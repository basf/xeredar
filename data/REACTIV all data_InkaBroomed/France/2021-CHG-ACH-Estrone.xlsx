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filterPrivacy="1" hidePivotFieldList="1" defaultThemeVersion="124226"/>
  <xr:revisionPtr revIDLastSave="0" documentId="13_ncr:1_{F5B12A88-AE1E-4D60-B792-969E3C307227}" xr6:coauthVersionLast="46" xr6:coauthVersionMax="46" xr10:uidLastSave="{00000000-0000-0000-0000-000000000000}"/>
  <bookViews>
    <workbookView xWindow="-120" yWindow="-120" windowWidth="29040" windowHeight="15840" firstSheet="5" activeTab="12"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8" r:id="rId20"/>
    <pivotCache cacheId="13" r:id="rId21"/>
    <pivotCache cacheId="18" r:id="rId22"/>
    <pivotCache cacheId="23" r:id="rId23"/>
  </pivotCaches>
</workbook>
</file>

<file path=xl/calcChain.xml><?xml version="1.0" encoding="utf-8"?>
<calcChain xmlns="http://schemas.openxmlformats.org/spreadsheetml/2006/main">
  <c r="R83" i="4" l="1"/>
  <c r="S83" i="4"/>
  <c r="T83" i="4"/>
  <c r="U83" i="4"/>
  <c r="V83" i="4"/>
  <c r="J81" i="4"/>
  <c r="K81" i="4"/>
  <c r="L81" i="4"/>
  <c r="M81" i="4"/>
  <c r="R61" i="23"/>
  <c r="S61" i="23"/>
  <c r="T61" i="23"/>
  <c r="U61" i="23"/>
  <c r="V61" i="23"/>
  <c r="I61" i="23"/>
  <c r="J61" i="23"/>
  <c r="K61" i="23"/>
  <c r="L61" i="23"/>
  <c r="M61" i="23"/>
  <c r="R61" i="1"/>
  <c r="S61" i="1"/>
  <c r="T61" i="1"/>
  <c r="U61" i="1"/>
  <c r="V61" i="1"/>
  <c r="C61" i="1"/>
  <c r="D61" i="1"/>
  <c r="E61" i="1"/>
  <c r="F61" i="1"/>
  <c r="G61" i="1"/>
  <c r="H61" i="1"/>
  <c r="L56" i="33"/>
  <c r="H56" i="33"/>
  <c r="D56" i="33"/>
  <c r="M56" i="33"/>
  <c r="E56" i="33"/>
  <c r="K56" i="33"/>
  <c r="G56" i="33"/>
  <c r="C56" i="33"/>
  <c r="I56" i="33"/>
  <c r="J56" i="33"/>
  <c r="F56" i="33"/>
  <c r="B56" i="33"/>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V45" i="4" s="1"/>
  <c r="U35" i="33"/>
  <c r="U45" i="4" s="1"/>
  <c r="T35" i="33"/>
  <c r="T45" i="4" s="1"/>
  <c r="S35" i="33"/>
  <c r="S45" i="4" s="1"/>
  <c r="R35" i="33"/>
  <c r="R45" i="4" s="1"/>
  <c r="Q35" i="33"/>
  <c r="Q45" i="4" s="1"/>
  <c r="P35" i="33"/>
  <c r="P45" i="4" s="1"/>
  <c r="V34" i="33"/>
  <c r="V44" i="4" s="1"/>
  <c r="U34" i="33"/>
  <c r="U44" i="4" s="1"/>
  <c r="T34" i="33"/>
  <c r="T44" i="4" s="1"/>
  <c r="S34" i="33"/>
  <c r="S44" i="4" s="1"/>
  <c r="R34" i="33"/>
  <c r="R44" i="4" s="1"/>
  <c r="Q34" i="33"/>
  <c r="Q44" i="4" s="1"/>
  <c r="P34" i="33"/>
  <c r="P44" i="4" s="1"/>
  <c r="V33" i="33"/>
  <c r="V43" i="4" s="1"/>
  <c r="U33" i="33"/>
  <c r="U43" i="4" s="1"/>
  <c r="T33" i="33"/>
  <c r="T43" i="4" s="1"/>
  <c r="S33" i="33"/>
  <c r="S43" i="4" s="1"/>
  <c r="R33" i="33"/>
  <c r="R43" i="4" s="1"/>
  <c r="Q33" i="33"/>
  <c r="Q43" i="4" s="1"/>
  <c r="P33" i="33"/>
  <c r="P43" i="4" s="1"/>
  <c r="L33" i="33"/>
  <c r="L43" i="4" s="1"/>
  <c r="V32" i="33"/>
  <c r="V42" i="4" s="1"/>
  <c r="U32" i="33"/>
  <c r="U42" i="4" s="1"/>
  <c r="T32" i="33"/>
  <c r="T42" i="4" s="1"/>
  <c r="S32" i="33"/>
  <c r="S42" i="4" s="1"/>
  <c r="R32" i="33"/>
  <c r="R42" i="4" s="1"/>
  <c r="Q32" i="33"/>
  <c r="Q42" i="4" s="1"/>
  <c r="P32" i="33"/>
  <c r="P42" i="4" s="1"/>
  <c r="V31" i="33"/>
  <c r="V41" i="4" s="1"/>
  <c r="U31" i="33"/>
  <c r="U41" i="4" s="1"/>
  <c r="T31" i="33"/>
  <c r="T41" i="4" s="1"/>
  <c r="S31" i="33"/>
  <c r="S41" i="4" s="1"/>
  <c r="R31" i="33"/>
  <c r="R41" i="4" s="1"/>
  <c r="Q31" i="33"/>
  <c r="Q41" i="4" s="1"/>
  <c r="P31" i="33"/>
  <c r="P41" i="4" s="1"/>
  <c r="V30" i="33"/>
  <c r="V40" i="4" s="1"/>
  <c r="U30" i="33"/>
  <c r="U40" i="4" s="1"/>
  <c r="T30" i="33"/>
  <c r="T40" i="4" s="1"/>
  <c r="S30" i="33"/>
  <c r="S40" i="4" s="1"/>
  <c r="R30" i="33"/>
  <c r="R40" i="4" s="1"/>
  <c r="Q30" i="33"/>
  <c r="Q40" i="4" s="1"/>
  <c r="P30" i="33"/>
  <c r="P40" i="4" s="1"/>
  <c r="V29" i="33"/>
  <c r="V39" i="4" s="1"/>
  <c r="U29" i="33"/>
  <c r="U39" i="4" s="1"/>
  <c r="T29" i="33"/>
  <c r="T39" i="4" s="1"/>
  <c r="S29" i="33"/>
  <c r="S39" i="4" s="1"/>
  <c r="R29" i="33"/>
  <c r="R39" i="4" s="1"/>
  <c r="Q29" i="33"/>
  <c r="Q39" i="4" s="1"/>
  <c r="P29" i="33"/>
  <c r="P39" i="4" s="1"/>
  <c r="E29" i="33"/>
  <c r="E39" i="4" s="1"/>
  <c r="V28" i="33"/>
  <c r="U28" i="33"/>
  <c r="T28" i="33"/>
  <c r="S28" i="33"/>
  <c r="R28" i="33"/>
  <c r="Q28" i="33"/>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T56" i="33"/>
  <c r="S56" i="33"/>
  <c r="P56" i="33"/>
  <c r="V56" i="33"/>
  <c r="R56" i="33"/>
  <c r="U56" i="33"/>
  <c r="Q56" i="33"/>
  <c r="J28" i="33" l="1"/>
  <c r="K30" i="33"/>
  <c r="K40" i="4" s="1"/>
  <c r="C31" i="33"/>
  <c r="C41" i="4" s="1"/>
  <c r="K32" i="33"/>
  <c r="K42" i="4" s="1"/>
  <c r="G33" i="33"/>
  <c r="G43" i="4" s="1"/>
  <c r="K34" i="33"/>
  <c r="K44" i="4" s="1"/>
  <c r="B28" i="33"/>
  <c r="B38" i="4" s="1"/>
  <c r="K29" i="33"/>
  <c r="K39" i="4" s="1"/>
  <c r="C30" i="33"/>
  <c r="C40" i="4" s="1"/>
  <c r="K31" i="33"/>
  <c r="K41" i="4" s="1"/>
  <c r="C32" i="33"/>
  <c r="C42" i="4" s="1"/>
  <c r="K33" i="33"/>
  <c r="K43" i="4" s="1"/>
  <c r="G35" i="33"/>
  <c r="G45" i="4" s="1"/>
  <c r="C33" i="33"/>
  <c r="C43" i="4" s="1"/>
  <c r="G34" i="33"/>
  <c r="G44" i="4" s="1"/>
  <c r="G29" i="33"/>
  <c r="G39" i="4" s="1"/>
  <c r="G31" i="33"/>
  <c r="G41" i="4" s="1"/>
  <c r="C35" i="33"/>
  <c r="C45" i="4" s="1"/>
  <c r="F28" i="33"/>
  <c r="C29" i="33"/>
  <c r="C39" i="4" s="1"/>
  <c r="G30" i="33"/>
  <c r="G40" i="4" s="1"/>
  <c r="G32" i="33"/>
  <c r="G42" i="4" s="1"/>
  <c r="C34" i="33"/>
  <c r="C44" i="4" s="1"/>
  <c r="K35" i="33"/>
  <c r="K45" i="4" s="1"/>
  <c r="O36" i="33"/>
  <c r="O46" i="4" s="1"/>
  <c r="O37" i="33"/>
  <c r="O47" i="4" s="1"/>
  <c r="O38" i="33"/>
  <c r="O48" i="4" s="1"/>
  <c r="O39" i="33"/>
  <c r="O49" i="4" s="1"/>
  <c r="O40" i="33"/>
  <c r="O50" i="4" s="1"/>
  <c r="O41" i="33"/>
  <c r="O51" i="4" s="1"/>
  <c r="O42" i="33"/>
  <c r="O52" i="4" s="1"/>
  <c r="O43" i="33"/>
  <c r="O53" i="4" s="1"/>
  <c r="C28" i="33"/>
  <c r="G28" i="33"/>
  <c r="K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D34" i="33"/>
  <c r="D44" i="4" s="1"/>
  <c r="H34" i="33"/>
  <c r="H44" i="4" s="1"/>
  <c r="L34" i="33"/>
  <c r="L44" i="4" s="1"/>
  <c r="D35" i="33"/>
  <c r="D45" i="4" s="1"/>
  <c r="H35" i="33"/>
  <c r="H45" i="4" s="1"/>
  <c r="L35" i="33"/>
  <c r="L45" i="4" s="1"/>
  <c r="D28" i="33"/>
  <c r="D38" i="4" s="1"/>
  <c r="L28" i="33"/>
  <c r="O28" i="33"/>
  <c r="B29" i="33"/>
  <c r="B39" i="4" s="1"/>
  <c r="I29" i="33"/>
  <c r="I39" i="4" s="1"/>
  <c r="M29" i="33"/>
  <c r="M39" i="4" s="1"/>
  <c r="B30" i="33"/>
  <c r="B40" i="4" s="1"/>
  <c r="E30" i="33"/>
  <c r="E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H28" i="33"/>
  <c r="H38" i="4" s="1"/>
  <c r="E28" i="33"/>
  <c r="E38" i="4" s="1"/>
  <c r="I28" i="33"/>
  <c r="I38" i="4" s="1"/>
  <c r="M28" i="33"/>
  <c r="M38" i="4" s="1"/>
  <c r="F29" i="33"/>
  <c r="F39" i="4" s="1"/>
  <c r="J29" i="33"/>
  <c r="J39" i="4" s="1"/>
  <c r="O29" i="33"/>
  <c r="O39" i="4" s="1"/>
  <c r="F30" i="33"/>
  <c r="F40" i="4" s="1"/>
  <c r="J30" i="33"/>
  <c r="J40" i="4" s="1"/>
  <c r="O30" i="33"/>
  <c r="O40" i="4" s="1"/>
  <c r="F31" i="33"/>
  <c r="F41" i="4" s="1"/>
  <c r="J31" i="33"/>
  <c r="J41" i="4" s="1"/>
  <c r="O31" i="33"/>
  <c r="O41" i="4" s="1"/>
  <c r="F32" i="33"/>
  <c r="F42" i="4" s="1"/>
  <c r="J32" i="33"/>
  <c r="J42" i="4" s="1"/>
  <c r="O32" i="33"/>
  <c r="O42" i="4" s="1"/>
  <c r="F33" i="33"/>
  <c r="F43" i="4" s="1"/>
  <c r="J33" i="33"/>
  <c r="J43" i="4" s="1"/>
  <c r="O33" i="33"/>
  <c r="O43" i="4" s="1"/>
  <c r="F34" i="33"/>
  <c r="F44" i="4" s="1"/>
  <c r="J34" i="33"/>
  <c r="J44" i="4" s="1"/>
  <c r="O34" i="33"/>
  <c r="O44" i="4" s="1"/>
  <c r="F35" i="33"/>
  <c r="F45" i="4" s="1"/>
  <c r="J35" i="33"/>
  <c r="J45" i="4" s="1"/>
  <c r="R38" i="4"/>
  <c r="V38" i="4"/>
  <c r="U38" i="4"/>
  <c r="B22" i="33"/>
  <c r="E22" i="33"/>
  <c r="I45" i="33"/>
  <c r="I52" i="33"/>
  <c r="I27" i="33"/>
  <c r="C38" i="4"/>
  <c r="C47" i="33"/>
  <c r="C48" i="33" s="1"/>
  <c r="C54" i="33" s="1"/>
  <c r="G38" i="4"/>
  <c r="K47" i="33"/>
  <c r="K48" i="33" s="1"/>
  <c r="K54" i="33" s="1"/>
  <c r="K38" i="4"/>
  <c r="P46" i="33"/>
  <c r="P53" i="33" s="1"/>
  <c r="P38" i="4"/>
  <c r="P47" i="33"/>
  <c r="P48" i="33" s="1"/>
  <c r="P54" i="33" s="1"/>
  <c r="T38" i="4"/>
  <c r="T46" i="33"/>
  <c r="T53" i="33" s="1"/>
  <c r="T47" i="33"/>
  <c r="T48" i="33" s="1"/>
  <c r="T54" i="33" s="1"/>
  <c r="B27" i="33"/>
  <c r="B52" i="33" s="1"/>
  <c r="L38" i="4"/>
  <c r="Q47" i="33"/>
  <c r="Q48" i="33" s="1"/>
  <c r="Q54" i="33" s="1"/>
  <c r="Q38" i="4"/>
  <c r="D27" i="33"/>
  <c r="D52" i="33" s="1"/>
  <c r="I22" i="33"/>
  <c r="E27" i="33"/>
  <c r="E52" i="33" s="1"/>
  <c r="F38" i="4"/>
  <c r="F47" i="33"/>
  <c r="F48" i="33" s="1"/>
  <c r="F54" i="33" s="1"/>
  <c r="J38" i="4"/>
  <c r="O38" i="4"/>
  <c r="S38" i="4"/>
  <c r="S46" i="33"/>
  <c r="S53" i="33" s="1"/>
  <c r="S47" i="33"/>
  <c r="S48" i="33" s="1"/>
  <c r="S54" i="33" s="1"/>
  <c r="D45" i="33"/>
  <c r="G57" i="33"/>
  <c r="T57" i="33"/>
  <c r="H57" i="33"/>
  <c r="U57" i="33"/>
  <c r="C57" i="33"/>
  <c r="J57" i="33"/>
  <c r="P57" i="33"/>
  <c r="D57" i="33"/>
  <c r="L57" i="33"/>
  <c r="S57" i="33"/>
  <c r="F57" i="33"/>
  <c r="K57" i="33"/>
  <c r="Q57" i="33"/>
  <c r="B57" i="33"/>
  <c r="E57" i="33"/>
  <c r="I57" i="33"/>
  <c r="M57" i="33"/>
  <c r="R57" i="33"/>
  <c r="V57" i="33"/>
  <c r="H46" i="33"/>
  <c r="H53" i="33" s="1"/>
  <c r="U46" i="33"/>
  <c r="U53" i="33" s="1"/>
  <c r="U47" i="33"/>
  <c r="U48" i="33" s="1"/>
  <c r="U54" i="33" s="1"/>
  <c r="Q46" i="33"/>
  <c r="Q53" i="33" s="1"/>
  <c r="F22" i="33"/>
  <c r="B47" i="33"/>
  <c r="B48" i="33" s="1"/>
  <c r="B54" i="33" s="1"/>
  <c r="B46" i="33"/>
  <c r="E47" i="33"/>
  <c r="E48" i="33" s="1"/>
  <c r="E54" i="33" s="1"/>
  <c r="E46" i="33"/>
  <c r="E53" i="33" s="1"/>
  <c r="I46" i="33"/>
  <c r="I53" i="33" s="1"/>
  <c r="M47" i="33"/>
  <c r="M48" i="33" s="1"/>
  <c r="M54" i="33" s="1"/>
  <c r="M46" i="33"/>
  <c r="M53" i="33" s="1"/>
  <c r="R47" i="33"/>
  <c r="R48" i="33" s="1"/>
  <c r="R54" i="33" s="1"/>
  <c r="R46" i="33"/>
  <c r="R53" i="33" s="1"/>
  <c r="V47" i="33"/>
  <c r="V48" i="33" s="1"/>
  <c r="V54" i="33" s="1"/>
  <c r="V46" i="33"/>
  <c r="V53" i="33" s="1"/>
  <c r="F45" i="33"/>
  <c r="G22" i="33"/>
  <c r="G27" i="33"/>
  <c r="G52" i="33" s="1"/>
  <c r="C22" i="33"/>
  <c r="C27" i="33"/>
  <c r="C52" i="33" s="1"/>
  <c r="H27" i="33"/>
  <c r="H52" i="33" s="1"/>
  <c r="H45" i="33"/>
  <c r="O56" i="33"/>
  <c r="I47" i="33" l="1"/>
  <c r="I48" i="33" s="1"/>
  <c r="I54" i="33" s="1"/>
  <c r="D47" i="33"/>
  <c r="D48" i="33" s="1"/>
  <c r="D54" i="33" s="1"/>
  <c r="J47" i="33"/>
  <c r="J48" i="33" s="1"/>
  <c r="J54" i="33" s="1"/>
  <c r="G47" i="33"/>
  <c r="G48" i="33" s="1"/>
  <c r="G54" i="33" s="1"/>
  <c r="D46" i="33"/>
  <c r="D53" i="33" s="1"/>
  <c r="O46" i="33"/>
  <c r="O53" i="33" s="1"/>
  <c r="O55" i="33" s="1"/>
  <c r="J46" i="33"/>
  <c r="J53" i="33" s="1"/>
  <c r="G46" i="33"/>
  <c r="G53" i="33" s="1"/>
  <c r="L46" i="33"/>
  <c r="L53" i="33" s="1"/>
  <c r="K46" i="33"/>
  <c r="K53" i="33" s="1"/>
  <c r="L47" i="33"/>
  <c r="L48" i="33" s="1"/>
  <c r="L54" i="33" s="1"/>
  <c r="H47" i="33"/>
  <c r="H48" i="33" s="1"/>
  <c r="H54" i="33" s="1"/>
  <c r="O47" i="33"/>
  <c r="O48" i="33" s="1"/>
  <c r="O54" i="33" s="1"/>
  <c r="C46" i="33"/>
  <c r="C53" i="33" s="1"/>
  <c r="O57" i="33"/>
  <c r="F46" i="33"/>
  <c r="F53" i="33" s="1"/>
  <c r="R55" i="33"/>
  <c r="O59" i="33"/>
  <c r="S61" i="33"/>
  <c r="U61" i="33"/>
  <c r="P59" i="33"/>
  <c r="P61" i="33" s="1"/>
  <c r="V61" i="33"/>
  <c r="T61" i="33"/>
  <c r="R61" i="33"/>
  <c r="Q59" i="33"/>
  <c r="Q61" i="33" s="1"/>
  <c r="B53" i="33"/>
  <c r="M55" i="33" s="1"/>
  <c r="B65" i="33"/>
  <c r="B64" i="33"/>
  <c r="E61" i="33" l="1"/>
  <c r="H61" i="33"/>
  <c r="J61" i="33"/>
  <c r="K61" i="33"/>
  <c r="L61" i="33"/>
  <c r="O61" i="33"/>
  <c r="M61" i="33"/>
  <c r="F61" i="33"/>
  <c r="G61" i="33"/>
  <c r="P55" i="33"/>
  <c r="Q55" i="33"/>
  <c r="T55" i="33"/>
  <c r="U55" i="33"/>
  <c r="S55" i="33"/>
  <c r="V55" i="33"/>
  <c r="D55" i="33"/>
  <c r="B55" i="33"/>
  <c r="K55" i="33"/>
  <c r="L55" i="33"/>
  <c r="G55" i="33"/>
  <c r="F55" i="33"/>
  <c r="C55" i="33"/>
  <c r="J55" i="33"/>
  <c r="H55" i="33"/>
  <c r="I55" i="33"/>
  <c r="E55" i="33"/>
  <c r="D61" i="33" l="1"/>
  <c r="I61" i="33"/>
  <c r="C61" i="33"/>
  <c r="M4" i="33"/>
  <c r="L4" i="33" l="1"/>
  <c r="L22" i="33" s="1"/>
  <c r="K4" i="33"/>
  <c r="K22" i="33" s="1"/>
  <c r="J4" i="33"/>
  <c r="J52" i="33" s="1"/>
  <c r="M45" i="33"/>
  <c r="M52" i="33"/>
  <c r="M27" i="33"/>
  <c r="M22" i="33"/>
  <c r="K52" i="33"/>
  <c r="K45"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I33" i="23"/>
  <c r="I27" i="4" s="1"/>
  <c r="J42" i="23"/>
  <c r="J36" i="4" s="1"/>
  <c r="J38" i="23"/>
  <c r="J32" i="4" s="1"/>
  <c r="J41" i="23"/>
  <c r="J35" i="4" s="1"/>
  <c r="J37" i="23"/>
  <c r="J31" i="4" s="1"/>
  <c r="J43" i="23"/>
  <c r="J39" i="23"/>
  <c r="J33" i="4" s="1"/>
  <c r="G30" i="23"/>
  <c r="G24" i="4" s="1"/>
  <c r="G33" i="23"/>
  <c r="G27" i="4" s="1"/>
  <c r="H31" i="23"/>
  <c r="H25"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0" i="1"/>
  <c r="H8" i="4" s="1"/>
  <c r="F32" i="1"/>
  <c r="F10" i="4" s="1"/>
  <c r="E35" i="1"/>
  <c r="E13" i="4" s="1"/>
  <c r="H31" i="1"/>
  <c r="H35" i="1"/>
  <c r="H13" i="4" s="1"/>
  <c r="E30" i="1"/>
  <c r="E8" i="4" s="1"/>
  <c r="H33" i="1"/>
  <c r="H11" i="4" s="1"/>
  <c r="I34" i="1"/>
  <c r="I12" i="4" s="1"/>
  <c r="E29" i="1"/>
  <c r="I29" i="1"/>
  <c r="E33" i="1"/>
  <c r="E11" i="4" s="1"/>
  <c r="I33" i="1"/>
  <c r="I11" i="4" s="1"/>
  <c r="G35" i="1"/>
  <c r="G13" i="4" s="1"/>
  <c r="F29" i="1"/>
  <c r="F7"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56" i="1"/>
  <c r="U56" i="1"/>
  <c r="S56" i="1"/>
  <c r="V56" i="1"/>
  <c r="O9" i="12" l="1"/>
  <c r="O10" i="12" s="1"/>
  <c r="V35" i="23"/>
  <c r="V29" i="4" s="1"/>
  <c r="R35" i="23"/>
  <c r="R29" i="4" s="1"/>
  <c r="T34" i="23"/>
  <c r="T28" i="4" s="1"/>
  <c r="P34" i="23"/>
  <c r="P28" i="4" s="1"/>
  <c r="V33" i="23"/>
  <c r="V27" i="4" s="1"/>
  <c r="R33" i="23"/>
  <c r="R27" i="4" s="1"/>
  <c r="V32" i="23"/>
  <c r="V26" i="4" s="1"/>
  <c r="R32" i="23"/>
  <c r="R26" i="4" s="1"/>
  <c r="V31" i="23"/>
  <c r="V25" i="4" s="1"/>
  <c r="R31" i="23"/>
  <c r="R25" i="4" s="1"/>
  <c r="V30" i="23"/>
  <c r="V24" i="4" s="1"/>
  <c r="R30" i="23"/>
  <c r="R24" i="4" s="1"/>
  <c r="U29" i="23"/>
  <c r="U23" i="4" s="1"/>
  <c r="Q29" i="23"/>
  <c r="Q23" i="4" s="1"/>
  <c r="U28" i="23"/>
  <c r="U46" i="23" s="1"/>
  <c r="U53" i="23" s="1"/>
  <c r="Q28" i="23"/>
  <c r="I28" i="23"/>
  <c r="U35" i="23"/>
  <c r="Q35" i="23"/>
  <c r="Q29" i="4" s="1"/>
  <c r="S34" i="23"/>
  <c r="S28" i="4" s="1"/>
  <c r="U33" i="23"/>
  <c r="U27" i="4" s="1"/>
  <c r="Q33" i="23"/>
  <c r="Q27" i="4" s="1"/>
  <c r="U32" i="23"/>
  <c r="U26" i="4" s="1"/>
  <c r="Q32" i="23"/>
  <c r="Q26" i="4" s="1"/>
  <c r="U31" i="23"/>
  <c r="U25" i="4" s="1"/>
  <c r="Q31" i="23"/>
  <c r="Q25" i="4" s="1"/>
  <c r="U30" i="23"/>
  <c r="U24" i="4" s="1"/>
  <c r="Q30" i="23"/>
  <c r="Q24" i="4" s="1"/>
  <c r="T29" i="23"/>
  <c r="T23" i="4" s="1"/>
  <c r="P29" i="23"/>
  <c r="T28" i="23"/>
  <c r="P28" i="23"/>
  <c r="T35" i="23"/>
  <c r="T29" i="4" s="1"/>
  <c r="P35" i="23"/>
  <c r="P29" i="4" s="1"/>
  <c r="V34" i="23"/>
  <c r="V28" i="4" s="1"/>
  <c r="R34" i="23"/>
  <c r="R28" i="4" s="1"/>
  <c r="T33" i="23"/>
  <c r="P33" i="23"/>
  <c r="P27" i="4" s="1"/>
  <c r="T32" i="23"/>
  <c r="T26" i="4" s="1"/>
  <c r="P32" i="23"/>
  <c r="P26" i="4" s="1"/>
  <c r="T31" i="23"/>
  <c r="T25" i="4" s="1"/>
  <c r="P31" i="23"/>
  <c r="P25" i="4" s="1"/>
  <c r="T30" i="23"/>
  <c r="T24" i="4" s="1"/>
  <c r="P30" i="23"/>
  <c r="P24" i="4" s="1"/>
  <c r="S29" i="23"/>
  <c r="S23" i="4" s="1"/>
  <c r="S28" i="23"/>
  <c r="D35" i="23"/>
  <c r="D29" i="4" s="1"/>
  <c r="I32" i="23"/>
  <c r="I26" i="4" s="1"/>
  <c r="S35" i="23"/>
  <c r="S29" i="4" s="1"/>
  <c r="U34" i="23"/>
  <c r="U28" i="4" s="1"/>
  <c r="Q34" i="23"/>
  <c r="Q28" i="4" s="1"/>
  <c r="S33" i="23"/>
  <c r="S27" i="4" s="1"/>
  <c r="S32" i="23"/>
  <c r="S26" i="4" s="1"/>
  <c r="S31" i="23"/>
  <c r="S25" i="4" s="1"/>
  <c r="S30" i="23"/>
  <c r="S24" i="4" s="1"/>
  <c r="V29" i="23"/>
  <c r="V23" i="4" s="1"/>
  <c r="R29" i="23"/>
  <c r="R23" i="4" s="1"/>
  <c r="V28" i="23"/>
  <c r="R28" i="23"/>
  <c r="R47" i="23" s="1"/>
  <c r="R48" i="23" s="1"/>
  <c r="R54" i="23" s="1"/>
  <c r="J30" i="23"/>
  <c r="J24" i="4" s="1"/>
  <c r="E29" i="23"/>
  <c r="E23" i="4" s="1"/>
  <c r="C28" i="23"/>
  <c r="I30" i="23"/>
  <c r="I24" i="4" s="1"/>
  <c r="F33" i="23"/>
  <c r="F27" i="4" s="1"/>
  <c r="G29" i="23"/>
  <c r="G23" i="4" s="1"/>
  <c r="I35" i="23"/>
  <c r="I29" i="4" s="1"/>
  <c r="H29" i="23"/>
  <c r="H23" i="4" s="1"/>
  <c r="J31" i="23"/>
  <c r="J25" i="4" s="1"/>
  <c r="H33" i="23"/>
  <c r="H27" i="4" s="1"/>
  <c r="J35" i="23"/>
  <c r="J29" i="4" s="1"/>
  <c r="I31" i="23"/>
  <c r="I25" i="4" s="1"/>
  <c r="F34" i="23"/>
  <c r="F28" i="4" s="1"/>
  <c r="F28" i="23"/>
  <c r="F22" i="4" s="1"/>
  <c r="D30" i="23"/>
  <c r="D24" i="4" s="1"/>
  <c r="J32" i="23"/>
  <c r="J26" i="4" s="1"/>
  <c r="D34" i="23"/>
  <c r="D28" i="4" s="1"/>
  <c r="M33" i="23"/>
  <c r="M27" i="4" s="1"/>
  <c r="M31" i="23"/>
  <c r="M25" i="4" s="1"/>
  <c r="K30" i="23"/>
  <c r="K24" i="4" s="1"/>
  <c r="O41" i="23"/>
  <c r="O35" i="4" s="1"/>
  <c r="G28" i="23"/>
  <c r="J33" i="23"/>
  <c r="J27" i="4" s="1"/>
  <c r="D32" i="23"/>
  <c r="D26" i="4" s="1"/>
  <c r="E28" i="23"/>
  <c r="C30" i="23"/>
  <c r="C24" i="4" s="1"/>
  <c r="E32" i="23"/>
  <c r="E26" i="4" s="1"/>
  <c r="C34" i="23"/>
  <c r="C28" i="4" s="1"/>
  <c r="E34" i="23"/>
  <c r="E28" i="4" s="1"/>
  <c r="F30" i="23"/>
  <c r="F24" i="4" s="1"/>
  <c r="H32" i="23"/>
  <c r="H26" i="4" s="1"/>
  <c r="J34" i="23"/>
  <c r="J28" i="4" s="1"/>
  <c r="J28" i="23"/>
  <c r="H30" i="23"/>
  <c r="H24" i="4" s="1"/>
  <c r="C35" i="23"/>
  <c r="C29" i="4" s="1"/>
  <c r="J29" i="23"/>
  <c r="J23" i="4" s="1"/>
  <c r="E30" i="23"/>
  <c r="E24" i="4" s="1"/>
  <c r="L32" i="23"/>
  <c r="L26" i="4" s="1"/>
  <c r="M28" i="23"/>
  <c r="O40" i="23"/>
  <c r="O34" i="4" s="1"/>
  <c r="I34" i="23"/>
  <c r="I28" i="4" s="1"/>
  <c r="C33" i="23"/>
  <c r="C27" i="4" s="1"/>
  <c r="E33" i="23"/>
  <c r="E27" i="4" s="1"/>
  <c r="O43" i="23"/>
  <c r="O37" i="4" s="1"/>
  <c r="O39" i="23"/>
  <c r="O33" i="4" s="1"/>
  <c r="G34" i="23"/>
  <c r="G28" i="4" s="1"/>
  <c r="D28" i="23"/>
  <c r="G31" i="23"/>
  <c r="G25" i="4" s="1"/>
  <c r="G35" i="23"/>
  <c r="G29" i="4" s="1"/>
  <c r="G32" i="23"/>
  <c r="G26" i="4" s="1"/>
  <c r="H28" i="23"/>
  <c r="E35" i="23"/>
  <c r="E29" i="4" s="1"/>
  <c r="D29" i="23"/>
  <c r="D23" i="4" s="1"/>
  <c r="F31" i="23"/>
  <c r="F25" i="4" s="1"/>
  <c r="D33" i="23"/>
  <c r="D27" i="4" s="1"/>
  <c r="F35" i="23"/>
  <c r="F29" i="4" s="1"/>
  <c r="C32" i="23"/>
  <c r="C26" i="4" s="1"/>
  <c r="H35" i="23"/>
  <c r="H29" i="4" s="1"/>
  <c r="C29" i="23"/>
  <c r="C23" i="4" s="1"/>
  <c r="E31" i="23"/>
  <c r="E25" i="4" s="1"/>
  <c r="I29" i="23"/>
  <c r="F32" i="23"/>
  <c r="F26" i="4" s="1"/>
  <c r="D31" i="23"/>
  <c r="D25" i="4" s="1"/>
  <c r="K35" i="23"/>
  <c r="K29" i="4" s="1"/>
  <c r="O42" i="23"/>
  <c r="O36" i="4" s="1"/>
  <c r="O36" i="23"/>
  <c r="O30" i="4" s="1"/>
  <c r="M34" i="23"/>
  <c r="M28" i="4" s="1"/>
  <c r="L33" i="23"/>
  <c r="L27" i="4" s="1"/>
  <c r="K32" i="23"/>
  <c r="K26" i="4" s="1"/>
  <c r="L31" i="23"/>
  <c r="L25" i="4" s="1"/>
  <c r="M29" i="23"/>
  <c r="L28" i="23"/>
  <c r="L22" i="4" s="1"/>
  <c r="O35" i="23"/>
  <c r="O29" i="4" s="1"/>
  <c r="C31" i="23"/>
  <c r="H34" i="23"/>
  <c r="F29" i="23"/>
  <c r="F47" i="23" s="1"/>
  <c r="F48" i="23" s="1"/>
  <c r="F54" i="23" s="1"/>
  <c r="M35" i="23"/>
  <c r="M29" i="4" s="1"/>
  <c r="L34" i="23"/>
  <c r="L28" i="4" s="1"/>
  <c r="K33" i="23"/>
  <c r="K27" i="4" s="1"/>
  <c r="K31" i="23"/>
  <c r="K25" i="4" s="1"/>
  <c r="M30" i="23"/>
  <c r="M24" i="4" s="1"/>
  <c r="L29" i="23"/>
  <c r="L23" i="4" s="1"/>
  <c r="K28" i="23"/>
  <c r="O33" i="23"/>
  <c r="O27" i="4" s="1"/>
  <c r="L35" i="23"/>
  <c r="L29" i="4" s="1"/>
  <c r="K34" i="23"/>
  <c r="K28" i="4" s="1"/>
  <c r="M32" i="23"/>
  <c r="M26" i="4" s="1"/>
  <c r="L30" i="23"/>
  <c r="L24" i="4" s="1"/>
  <c r="K29" i="23"/>
  <c r="K23" i="4" s="1"/>
  <c r="O29" i="23"/>
  <c r="O23" i="4" s="1"/>
  <c r="F33" i="1"/>
  <c r="F11" i="4" s="1"/>
  <c r="C35" i="1"/>
  <c r="C13" i="4" s="1"/>
  <c r="H32" i="1"/>
  <c r="H10" i="4" s="1"/>
  <c r="F35" i="1"/>
  <c r="F13" i="4" s="1"/>
  <c r="D33" i="1"/>
  <c r="D11" i="4" s="1"/>
  <c r="D35" i="1"/>
  <c r="D13" i="4" s="1"/>
  <c r="H34" i="1"/>
  <c r="H12" i="4" s="1"/>
  <c r="G29" i="1"/>
  <c r="G7" i="4" s="1"/>
  <c r="G30" i="1"/>
  <c r="G8" i="4" s="1"/>
  <c r="F34" i="1"/>
  <c r="F12" i="4" s="1"/>
  <c r="F30" i="1"/>
  <c r="I30" i="1"/>
  <c r="I8" i="4" s="1"/>
  <c r="E32" i="1"/>
  <c r="E10" i="4" s="1"/>
  <c r="C33" i="1"/>
  <c r="C11" i="4" s="1"/>
  <c r="J32" i="1"/>
  <c r="M35" i="1"/>
  <c r="M13" i="4" s="1"/>
  <c r="L34" i="1"/>
  <c r="L12" i="4" s="1"/>
  <c r="K33" i="1"/>
  <c r="K11" i="4" s="1"/>
  <c r="L32" i="1"/>
  <c r="L10" i="4" s="1"/>
  <c r="L31" i="1"/>
  <c r="L9" i="4" s="1"/>
  <c r="M30" i="1"/>
  <c r="M8" i="4" s="1"/>
  <c r="L29" i="1"/>
  <c r="L7" i="4" s="1"/>
  <c r="K28" i="1"/>
  <c r="J35" i="1"/>
  <c r="J13" i="4" s="1"/>
  <c r="J31" i="1"/>
  <c r="J9" i="4" s="1"/>
  <c r="L35" i="1"/>
  <c r="L13" i="4" s="1"/>
  <c r="K34" i="1"/>
  <c r="K12" i="4" s="1"/>
  <c r="K32" i="1"/>
  <c r="K10" i="4" s="1"/>
  <c r="K31" i="1"/>
  <c r="L30" i="1"/>
  <c r="L8" i="4" s="1"/>
  <c r="K29" i="1"/>
  <c r="K7" i="4" s="1"/>
  <c r="J34" i="1"/>
  <c r="J12" i="4" s="1"/>
  <c r="J30" i="1"/>
  <c r="J8" i="4" s="1"/>
  <c r="K35" i="1"/>
  <c r="K13" i="4" s="1"/>
  <c r="M33" i="1"/>
  <c r="M11" i="4" s="1"/>
  <c r="K30" i="1"/>
  <c r="K8" i="4" s="1"/>
  <c r="M28" i="1"/>
  <c r="J33" i="1"/>
  <c r="J11" i="4" s="1"/>
  <c r="J29" i="1"/>
  <c r="J7" i="4" s="1"/>
  <c r="J28" i="1"/>
  <c r="J6" i="4" s="1"/>
  <c r="M34" i="1"/>
  <c r="M12" i="4" s="1"/>
  <c r="L33" i="1"/>
  <c r="L11" i="4" s="1"/>
  <c r="M32" i="1"/>
  <c r="M10" i="4" s="1"/>
  <c r="M31" i="1"/>
  <c r="M9" i="4" s="1"/>
  <c r="M29" i="1"/>
  <c r="M7" i="4" s="1"/>
  <c r="L28" i="1"/>
  <c r="L6" i="4" s="1"/>
  <c r="D22" i="4"/>
  <c r="E22" i="4"/>
  <c r="T6" i="4"/>
  <c r="M22" i="4"/>
  <c r="I22" i="4"/>
  <c r="J22" i="4"/>
  <c r="K6" i="4"/>
  <c r="S6" i="4"/>
  <c r="Q6" i="4"/>
  <c r="Q22" i="4"/>
  <c r="H22" i="4"/>
  <c r="C22" i="4"/>
  <c r="P6" i="4"/>
  <c r="M6"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D47" i="23"/>
  <c r="D48" i="23" s="1"/>
  <c r="D54" i="23" s="1"/>
  <c r="P37" i="1"/>
  <c r="F22" i="23"/>
  <c r="O36" i="1"/>
  <c r="H45" i="23"/>
  <c r="M47" i="1"/>
  <c r="M48" i="1" s="1"/>
  <c r="M54" i="1" s="1"/>
  <c r="R31" i="1"/>
  <c r="R9" i="4" s="1"/>
  <c r="V22" i="4"/>
  <c r="U29" i="4"/>
  <c r="T27" i="4"/>
  <c r="V57" i="1"/>
  <c r="U57" i="1"/>
  <c r="T57" i="1"/>
  <c r="S57" i="1"/>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C4" i="4"/>
  <c r="P47" i="23"/>
  <c r="P48" i="23" s="1"/>
  <c r="P54" i="23" s="1"/>
  <c r="I46" i="23"/>
  <c r="I53" i="23" s="1"/>
  <c r="U47" i="23"/>
  <c r="U48" i="23" s="1"/>
  <c r="U54" i="23" s="1"/>
  <c r="A47" i="22"/>
  <c r="G27" i="23"/>
  <c r="G52" i="23" s="1"/>
  <c r="A50" i="22"/>
  <c r="H50" i="22" s="1"/>
  <c r="K27" i="23"/>
  <c r="L22" i="1"/>
  <c r="I7" i="4"/>
  <c r="D27" i="1"/>
  <c r="D52" i="1" s="1"/>
  <c r="D45" i="1"/>
  <c r="D22" i="23"/>
  <c r="D45" i="23"/>
  <c r="D27" i="23"/>
  <c r="D52" i="23" s="1"/>
  <c r="S46" i="23"/>
  <c r="S53"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T56" i="23"/>
  <c r="E56" i="23"/>
  <c r="D56" i="23"/>
  <c r="L56" i="23"/>
  <c r="G56" i="1"/>
  <c r="B56" i="1"/>
  <c r="L78" i="4"/>
  <c r="E56" i="1"/>
  <c r="V56" i="23"/>
  <c r="C56" i="23"/>
  <c r="F56" i="1"/>
  <c r="D56" i="1"/>
  <c r="V78" i="4"/>
  <c r="K56" i="23"/>
  <c r="O56" i="1"/>
  <c r="K56" i="1"/>
  <c r="S56" i="23"/>
  <c r="R56" i="23"/>
  <c r="J56" i="23"/>
  <c r="M56" i="23"/>
  <c r="F56" i="23"/>
  <c r="I56" i="1"/>
  <c r="C56" i="1"/>
  <c r="Q56" i="1"/>
  <c r="J78" i="4"/>
  <c r="R56" i="1"/>
  <c r="O56" i="23"/>
  <c r="Q56" i="23"/>
  <c r="H56" i="23"/>
  <c r="J56" i="1"/>
  <c r="P56" i="1"/>
  <c r="U56" i="23"/>
  <c r="G56" i="23"/>
  <c r="M56" i="1"/>
  <c r="H56" i="1"/>
  <c r="I56" i="23"/>
  <c r="P56" i="23"/>
  <c r="B56" i="23"/>
  <c r="L56" i="1"/>
  <c r="P57" i="23" l="1"/>
  <c r="Q57" i="23"/>
  <c r="R57" i="23"/>
  <c r="T57" i="23"/>
  <c r="U57" i="23"/>
  <c r="V57" i="23"/>
  <c r="S57" i="23"/>
  <c r="J46" i="23"/>
  <c r="J53" i="23" s="1"/>
  <c r="E47" i="23"/>
  <c r="E48" i="23" s="1"/>
  <c r="E54" i="23" s="1"/>
  <c r="R22" i="4"/>
  <c r="H47" i="23"/>
  <c r="H48" i="23" s="1"/>
  <c r="H54" i="23" s="1"/>
  <c r="E46" i="23"/>
  <c r="E53" i="23" s="1"/>
  <c r="G46" i="23"/>
  <c r="G53" i="23" s="1"/>
  <c r="T22" i="4"/>
  <c r="T57" i="4" s="1"/>
  <c r="T58" i="4" s="1"/>
  <c r="T76" i="4" s="1"/>
  <c r="U22" i="4"/>
  <c r="S47" i="23"/>
  <c r="S48" i="23" s="1"/>
  <c r="S54" i="23" s="1"/>
  <c r="I47" i="23"/>
  <c r="I48" i="23" s="1"/>
  <c r="I54" i="23" s="1"/>
  <c r="J47" i="23"/>
  <c r="J48" i="23" s="1"/>
  <c r="J54" i="23" s="1"/>
  <c r="Q47" i="23"/>
  <c r="Q48" i="23" s="1"/>
  <c r="Q54" i="23" s="1"/>
  <c r="Q46" i="23"/>
  <c r="Q53" i="23" s="1"/>
  <c r="R46" i="23"/>
  <c r="R53" i="23" s="1"/>
  <c r="S22" i="4"/>
  <c r="S57" i="4" s="1"/>
  <c r="S58" i="4" s="1"/>
  <c r="S76" i="4" s="1"/>
  <c r="T47" i="23"/>
  <c r="T48" i="23" s="1"/>
  <c r="T54" i="23" s="1"/>
  <c r="T46" i="23"/>
  <c r="T53" i="23" s="1"/>
  <c r="D46" i="23"/>
  <c r="D53" i="23" s="1"/>
  <c r="K47" i="23"/>
  <c r="K48" i="23" s="1"/>
  <c r="K54" i="23" s="1"/>
  <c r="C46" i="23"/>
  <c r="C53" i="23" s="1"/>
  <c r="G47" i="23"/>
  <c r="G48" i="23" s="1"/>
  <c r="G54" i="23" s="1"/>
  <c r="D57" i="23"/>
  <c r="G57" i="23"/>
  <c r="I57" i="23"/>
  <c r="J57" i="23"/>
  <c r="E57" i="23"/>
  <c r="M47" i="23"/>
  <c r="M48" i="23" s="1"/>
  <c r="M54" i="23" s="1"/>
  <c r="M46" i="23"/>
  <c r="M53" i="23" s="1"/>
  <c r="F46" i="23"/>
  <c r="F53" i="23" s="1"/>
  <c r="H46" i="23"/>
  <c r="H53" i="23" s="1"/>
  <c r="G22" i="4"/>
  <c r="I23" i="4"/>
  <c r="C57" i="23"/>
  <c r="F57" i="23"/>
  <c r="L57" i="23"/>
  <c r="K57" i="23"/>
  <c r="H57" i="23"/>
  <c r="M57" i="23"/>
  <c r="C25" i="4"/>
  <c r="L46" i="23"/>
  <c r="L53" i="23" s="1"/>
  <c r="L47" i="23"/>
  <c r="L48" i="23" s="1"/>
  <c r="L54" i="23" s="1"/>
  <c r="F23" i="4"/>
  <c r="C47" i="23"/>
  <c r="C48" i="23" s="1"/>
  <c r="C54" i="23" s="1"/>
  <c r="K46" i="23"/>
  <c r="K53" i="23" s="1"/>
  <c r="K22" i="4"/>
  <c r="H28" i="4"/>
  <c r="M23" i="4"/>
  <c r="M56" i="4" s="1"/>
  <c r="M75" i="4" s="1"/>
  <c r="M46" i="1"/>
  <c r="M53" i="1" s="1"/>
  <c r="K46" i="1"/>
  <c r="K53" i="1" s="1"/>
  <c r="J57" i="1"/>
  <c r="L57" i="1"/>
  <c r="M57" i="1"/>
  <c r="K57" i="1"/>
  <c r="L46" i="1"/>
  <c r="L53" i="1" s="1"/>
  <c r="L47" i="1"/>
  <c r="L48" i="1" s="1"/>
  <c r="L54" i="1" s="1"/>
  <c r="K9" i="4"/>
  <c r="J46" i="1"/>
  <c r="J53" i="1" s="1"/>
  <c r="K47" i="1"/>
  <c r="K48" i="1" s="1"/>
  <c r="K54" i="1" s="1"/>
  <c r="J47" i="1"/>
  <c r="J48" i="1" s="1"/>
  <c r="J54" i="1" s="1"/>
  <c r="L63" i="4"/>
  <c r="L64" i="4" s="1"/>
  <c r="F46" i="1"/>
  <c r="F53" i="1" s="1"/>
  <c r="D6" i="4"/>
  <c r="R6" i="4"/>
  <c r="C6" i="4"/>
  <c r="B22" i="4"/>
  <c r="I6" i="4"/>
  <c r="P7" i="4"/>
  <c r="E6" i="4"/>
  <c r="H6" i="4"/>
  <c r="F6" i="4"/>
  <c r="P47" i="1"/>
  <c r="P48" i="1" s="1"/>
  <c r="P54" i="1" s="1"/>
  <c r="O6" i="4"/>
  <c r="B6" i="4"/>
  <c r="G6" i="4"/>
  <c r="Q7" i="4"/>
  <c r="K63" i="4"/>
  <c r="K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H57" i="1"/>
  <c r="G57" i="1"/>
  <c r="F57" i="1"/>
  <c r="I57" i="1"/>
  <c r="E57" i="1"/>
  <c r="H7" i="4"/>
  <c r="G46" i="1"/>
  <c r="G53" i="1" s="1"/>
  <c r="H46" i="1"/>
  <c r="H53" i="1" s="1"/>
  <c r="H47" i="1"/>
  <c r="H48" i="1" s="1"/>
  <c r="H54" i="1" s="1"/>
  <c r="G11" i="4"/>
  <c r="F9" i="4"/>
  <c r="I13" i="4"/>
  <c r="E12" i="4"/>
  <c r="I55" i="4"/>
  <c r="I62" i="4"/>
  <c r="V57" i="4"/>
  <c r="V58" i="4" s="1"/>
  <c r="V76" i="4" s="1"/>
  <c r="V56" i="4"/>
  <c r="V75" i="4" s="1"/>
  <c r="L56" i="4"/>
  <c r="L75" i="4" s="1"/>
  <c r="S56" i="4"/>
  <c r="S75" i="4" s="1"/>
  <c r="J56" i="4"/>
  <c r="J75" i="4" s="1"/>
  <c r="O55" i="4"/>
  <c r="O62" i="4"/>
  <c r="F55" i="4"/>
  <c r="F62" i="4"/>
  <c r="M55" i="4"/>
  <c r="M62" i="4"/>
  <c r="J55" i="4"/>
  <c r="J62" i="4"/>
  <c r="L57" i="4"/>
  <c r="L58" i="4" s="1"/>
  <c r="L76" i="4" s="1"/>
  <c r="K56" i="4"/>
  <c r="K75" i="4" s="1"/>
  <c r="J57" i="4"/>
  <c r="J58" i="4" s="1"/>
  <c r="J76" i="4" s="1"/>
  <c r="P55" i="4"/>
  <c r="P62" i="4"/>
  <c r="G55" i="4"/>
  <c r="G62" i="4"/>
  <c r="H74" i="4"/>
  <c r="H62" i="4"/>
  <c r="U22" i="33"/>
  <c r="U45" i="33"/>
  <c r="U27" i="33"/>
  <c r="U52" i="33" s="1"/>
  <c r="R45" i="33"/>
  <c r="R27" i="33"/>
  <c r="R52" i="33" s="1"/>
  <c r="R22" i="33"/>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V79" i="4"/>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M78" i="4"/>
  <c r="I78" i="4"/>
  <c r="G78" i="4"/>
  <c r="E78" i="4"/>
  <c r="C78" i="4"/>
  <c r="T78" i="4"/>
  <c r="H78" i="4"/>
  <c r="K78" i="4"/>
  <c r="O78" i="4"/>
  <c r="P78" i="4"/>
  <c r="U78" i="4"/>
  <c r="S78" i="4"/>
  <c r="Q78" i="4"/>
  <c r="R78" i="4"/>
  <c r="B78" i="4"/>
  <c r="D78" i="4"/>
  <c r="F78" i="4"/>
  <c r="S63" i="4" l="1"/>
  <c r="S64" i="4" s="1"/>
  <c r="M63" i="4"/>
  <c r="M64" i="4" s="1"/>
  <c r="K57" i="4"/>
  <c r="K58" i="4" s="1"/>
  <c r="K76" i="4" s="1"/>
  <c r="U79" i="4"/>
  <c r="S79" i="4"/>
  <c r="T79" i="4"/>
  <c r="I63" i="4"/>
  <c r="I64" i="4" s="1"/>
  <c r="U56" i="4"/>
  <c r="U75" i="4" s="1"/>
  <c r="U57" i="4"/>
  <c r="U58" i="4" s="1"/>
  <c r="U76" i="4" s="1"/>
  <c r="U63" i="4"/>
  <c r="U64" i="4" s="1"/>
  <c r="C55" i="23"/>
  <c r="M57" i="4"/>
  <c r="M58" i="4" s="1"/>
  <c r="M76" i="4" s="1"/>
  <c r="M79" i="4"/>
  <c r="F55" i="23"/>
  <c r="G55" i="1"/>
  <c r="K79" i="4"/>
  <c r="C63" i="4"/>
  <c r="C64" i="4" s="1"/>
  <c r="H56" i="4"/>
  <c r="H75" i="4" s="1"/>
  <c r="F63" i="4"/>
  <c r="F64" i="4" s="1"/>
  <c r="V4" i="4"/>
  <c r="V55" i="4" s="1"/>
  <c r="I57" i="4"/>
  <c r="I58" i="4" s="1"/>
  <c r="I76" i="4" s="1"/>
  <c r="R63" i="4"/>
  <c r="R64" i="4" s="1"/>
  <c r="R55" i="1"/>
  <c r="P55" i="1"/>
  <c r="S55" i="1"/>
  <c r="U55" i="23"/>
  <c r="Q55" i="1"/>
  <c r="V55" i="23"/>
  <c r="U55" i="1"/>
  <c r="S55" i="23"/>
  <c r="V55" i="1"/>
  <c r="Q55" i="23"/>
  <c r="T55" i="1"/>
  <c r="P55" i="23"/>
  <c r="R55" i="23"/>
  <c r="T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H3" i="12"/>
  <c r="O59" i="1"/>
  <c r="M55" i="1"/>
  <c r="P59" i="1"/>
  <c r="Q59" i="1"/>
  <c r="B65" i="1"/>
  <c r="B64" i="1"/>
  <c r="B55" i="1"/>
  <c r="G3" i="12"/>
  <c r="T27" i="23"/>
  <c r="T52" i="23" s="1"/>
  <c r="T45" i="23"/>
  <c r="T22" i="23"/>
  <c r="F3" i="12"/>
  <c r="J3" i="12"/>
  <c r="I3" i="12"/>
  <c r="T27" i="1"/>
  <c r="T52" i="1" s="1"/>
  <c r="T45" i="1"/>
  <c r="T4" i="4"/>
  <c r="T62" i="4" s="1"/>
  <c r="T22" i="1"/>
  <c r="AH2" i="12" l="1"/>
  <c r="R80" i="4"/>
  <c r="J80" i="4"/>
  <c r="AA2" i="12"/>
  <c r="B80" i="4"/>
  <c r="P75" i="4"/>
  <c r="B5" i="27" s="1"/>
  <c r="O81" i="4"/>
  <c r="AE2" i="12"/>
  <c r="U74" i="4"/>
  <c r="Y2" i="12" s="1"/>
  <c r="U62" i="4"/>
  <c r="B5" i="12"/>
  <c r="B6" i="12"/>
  <c r="B6" i="27"/>
  <c r="U55" i="4"/>
  <c r="F3" i="27"/>
  <c r="V77" i="4"/>
  <c r="U77" i="4"/>
  <c r="O77" i="4"/>
  <c r="S77" i="4"/>
  <c r="Q77" i="4"/>
  <c r="R77" i="4"/>
  <c r="P81" i="4"/>
  <c r="Q81" i="4"/>
  <c r="B86" i="4"/>
  <c r="B87" i="4"/>
  <c r="B75" i="4"/>
  <c r="E61" i="23"/>
  <c r="D61" i="23"/>
  <c r="C61" i="23"/>
  <c r="Q61" i="23"/>
  <c r="P61" i="23"/>
  <c r="F61" i="23"/>
  <c r="H61" i="23"/>
  <c r="G61" i="23"/>
  <c r="M61" i="1"/>
  <c r="L61" i="1"/>
  <c r="K61" i="1"/>
  <c r="I61" i="1"/>
  <c r="J61" i="1"/>
  <c r="O3" i="12"/>
  <c r="R3" i="12"/>
  <c r="S3" i="12"/>
  <c r="N3" i="12"/>
  <c r="M3" i="12"/>
  <c r="L3" i="12"/>
  <c r="AC2" i="12"/>
  <c r="S55" i="4"/>
  <c r="S74" i="4"/>
  <c r="W2" i="12" s="1"/>
  <c r="AG2" i="12"/>
  <c r="R55" i="4"/>
  <c r="R74" i="4"/>
  <c r="P3" i="12"/>
  <c r="Q3" i="12"/>
  <c r="K2" i="12"/>
  <c r="K4" i="12" s="1"/>
  <c r="B4" i="27"/>
  <c r="B4" i="12"/>
  <c r="O61" i="1"/>
  <c r="Q61" i="1"/>
  <c r="P61" i="1"/>
  <c r="AB2" i="12"/>
  <c r="AF2" i="12"/>
  <c r="T55" i="4"/>
  <c r="T74" i="4"/>
  <c r="AD4" i="12" l="1"/>
  <c r="AB4" i="12"/>
  <c r="P77" i="4"/>
  <c r="AE4" i="12"/>
  <c r="Z4" i="12"/>
  <c r="W4" i="12"/>
  <c r="AG4" i="12"/>
  <c r="AC4" i="12"/>
  <c r="AH4" i="12"/>
  <c r="AF4" i="12"/>
  <c r="Y4" i="12"/>
  <c r="AA4" i="12"/>
  <c r="I81" i="4"/>
  <c r="F3" i="28" s="1"/>
  <c r="F81" i="4"/>
  <c r="G81" i="4"/>
  <c r="H81" i="4"/>
  <c r="D81" i="4"/>
  <c r="D83" i="4" s="1"/>
  <c r="E81" i="4"/>
  <c r="C81" i="4"/>
  <c r="K77" i="4"/>
  <c r="E5" i="28" s="1"/>
  <c r="J77" i="4"/>
  <c r="E4" i="28" s="1"/>
  <c r="G77" i="4"/>
  <c r="F77" i="4"/>
  <c r="L77" i="4"/>
  <c r="E6" i="28" s="1"/>
  <c r="B77" i="4"/>
  <c r="B2" i="27"/>
  <c r="G6" i="27" s="1"/>
  <c r="M77" i="4"/>
  <c r="E7" i="28" s="1"/>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M83" i="4"/>
  <c r="P83" i="4"/>
  <c r="F83" i="4"/>
  <c r="S5" i="12"/>
  <c r="Q83" i="4"/>
  <c r="K83" i="4"/>
  <c r="J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R5" i="12" l="1"/>
  <c r="Q5" i="12"/>
  <c r="P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F12" i="22"/>
  <c r="G12" i="22" s="1"/>
  <c r="F16" i="22"/>
  <c r="G16" i="22" s="1"/>
  <c r="F22" i="22"/>
  <c r="I22" i="22" s="1"/>
  <c r="J5" i="12"/>
  <c r="F15" i="22"/>
  <c r="G15" i="22" s="1"/>
  <c r="L5" i="12"/>
  <c r="F21" i="22"/>
  <c r="G21" i="22" s="1"/>
  <c r="F5" i="12"/>
  <c r="F24" i="22"/>
  <c r="G24" i="22" s="1"/>
  <c r="F10" i="22"/>
  <c r="G10" i="22" s="1"/>
  <c r="F11" i="22"/>
  <c r="F13" i="22"/>
  <c r="I13" i="22" s="1"/>
  <c r="F14" i="22"/>
  <c r="I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K14" i="22"/>
  <c r="M14"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K15" i="22" l="1"/>
  <c r="M15" i="22" s="1"/>
  <c r="I32" i="22"/>
  <c r="K32" i="22" s="1"/>
  <c r="L3" i="28" s="1"/>
  <c r="I12" i="22"/>
  <c r="G2" i="28" s="1"/>
  <c r="I15" i="22"/>
  <c r="I9" i="22"/>
  <c r="K12" i="22"/>
  <c r="M12" i="22" s="1"/>
  <c r="I33" i="22"/>
  <c r="K33" i="22" s="1"/>
  <c r="N33" i="22" s="1"/>
  <c r="K16" i="22"/>
  <c r="M16" i="22" s="1"/>
  <c r="I34" i="22"/>
  <c r="K34" i="22" s="1"/>
  <c r="L5" i="28" s="1"/>
  <c r="I35" i="22"/>
  <c r="K35" i="22" s="1"/>
  <c r="L6" i="28" s="1"/>
  <c r="I36" i="22"/>
  <c r="K36" i="22" s="1"/>
  <c r="L7" i="28" s="1"/>
  <c r="K26" i="22"/>
  <c r="M26" i="22" s="1"/>
  <c r="I19" i="22"/>
  <c r="G13" i="22"/>
  <c r="I17" i="22"/>
  <c r="K19" i="22"/>
  <c r="M19" i="22" s="1"/>
  <c r="I10" i="22"/>
  <c r="K10" i="22" s="1"/>
  <c r="K18" i="22"/>
  <c r="M18" i="22" s="1"/>
  <c r="I18" i="22"/>
  <c r="I24" i="22"/>
  <c r="G22" i="22"/>
  <c r="K21" i="22"/>
  <c r="M21" i="22" s="1"/>
  <c r="G11" i="22"/>
  <c r="I11" i="22" s="1"/>
  <c r="G14" i="22"/>
  <c r="I25" i="22"/>
  <c r="I7" i="22"/>
  <c r="G3" i="28" s="1"/>
  <c r="G25" i="22"/>
  <c r="K24" i="22"/>
  <c r="M24" i="22" s="1"/>
  <c r="G7" i="22"/>
  <c r="I26" i="22"/>
  <c r="G17" i="22"/>
  <c r="K13" i="22"/>
  <c r="M13" i="22" s="1"/>
  <c r="K9" i="22"/>
  <c r="M9" i="22" s="1"/>
  <c r="I16" i="22"/>
  <c r="G20" i="22"/>
  <c r="K8" i="22"/>
  <c r="M8" i="22" s="1"/>
  <c r="K23" i="22"/>
  <c r="M23" i="22" s="1"/>
  <c r="I21" i="22"/>
  <c r="K22" i="22"/>
  <c r="M22" i="22" s="1"/>
  <c r="I8" i="22"/>
  <c r="G4" i="28" s="1"/>
  <c r="I23" i="22"/>
  <c r="K20" i="22"/>
  <c r="M20" i="22" s="1"/>
  <c r="M7" i="22"/>
  <c r="H3" i="28"/>
  <c r="N15" i="22"/>
  <c r="N7" i="22"/>
  <c r="N25" i="22"/>
  <c r="N17" i="22"/>
  <c r="N14" i="22"/>
  <c r="L2" i="28"/>
  <c r="N32" i="22"/>
  <c r="K3" i="28"/>
  <c r="K2" i="28"/>
  <c r="G13" i="28"/>
  <c r="G14" i="28"/>
  <c r="G8" i="28"/>
  <c r="G11" i="28"/>
  <c r="G12" i="28"/>
  <c r="G9" i="28"/>
  <c r="G15" i="28"/>
  <c r="G5" i="28"/>
  <c r="G10" i="28"/>
  <c r="H15" i="28"/>
  <c r="H12" i="28"/>
  <c r="H9" i="28"/>
  <c r="H14" i="28"/>
  <c r="H10" i="28"/>
  <c r="H13" i="28"/>
  <c r="H11" i="28"/>
  <c r="H8" i="28"/>
  <c r="M32" i="22" l="1"/>
  <c r="N13" i="22"/>
  <c r="L4" i="28"/>
  <c r="H2" i="28"/>
  <c r="N12" i="22"/>
  <c r="M33" i="22"/>
  <c r="N16" i="22"/>
  <c r="K4" i="28"/>
  <c r="N18" i="22"/>
  <c r="M35" i="22"/>
  <c r="N35" i="22"/>
  <c r="H5" i="28"/>
  <c r="K6" i="28"/>
  <c r="N34" i="22"/>
  <c r="H4" i="28"/>
  <c r="G6" i="28"/>
  <c r="N19" i="22"/>
  <c r="N26" i="22"/>
  <c r="M34" i="22"/>
  <c r="M36" i="22"/>
  <c r="N36" i="22"/>
  <c r="K7" i="28"/>
  <c r="K5" i="28"/>
  <c r="N9" i="22"/>
  <c r="K11" i="22"/>
  <c r="N11" i="22" s="1"/>
  <c r="G7" i="28"/>
  <c r="M10" i="22"/>
  <c r="N10" i="22"/>
  <c r="H6" i="28"/>
  <c r="N21" i="22"/>
  <c r="N20" i="22"/>
  <c r="N24" i="22"/>
  <c r="N8" i="22"/>
  <c r="N23" i="22"/>
  <c r="N22" i="22"/>
  <c r="M11" i="22" l="1"/>
  <c r="H7"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<sst xmlns="http://schemas.openxmlformats.org/spreadsheetml/2006/main" count="8021" uniqueCount="4477">
  <si>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</si>
  <si>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</si>
  <si>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</si>
  <si>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</si>
  <si>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</si>
  <si>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</si>
  <si>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</si>
  <si>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</si>
  <si>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</si>
  <si>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</si>
  <si>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</si>
  <si>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</si>
  <si>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</si>
  <si>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</si>
  <si>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</si>
  <si>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</si>
  <si>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</si>
  <si>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</si>
  <si>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</si>
  <si>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</si>
  <si>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</si>
  <si>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</si>
  <si>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</si>
  <si>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</si>
  <si>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</si>
  <si>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</si>
  <si>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</si>
  <si>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</si>
  <si>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</si>
  <si>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</si>
  <si>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</si>
  <si>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</si>
  <si>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</si>
  <si>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</si>
  <si>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</si>
  <si>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</si>
  <si>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</si>
  <si>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</si>
  <si>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</si>
  <si>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</si>
  <si>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</si>
  <si>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</si>
  <si>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</si>
  <si>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</si>
  <si>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</si>
  <si>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</si>
  <si>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</si>
  <si>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</si>
  <si>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</si>
  <si>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</si>
  <si>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</si>
  <si>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</si>
  <si>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</si>
  <si>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</si>
  <si>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</si>
  <si>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</si>
  <si>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</si>
  <si>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</si>
  <si>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</si>
  <si>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</si>
  <si>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</si>
  <si>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</si>
  <si>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</si>
  <si>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</si>
  <si>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</si>
  <si>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</si>
  <si>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</si>
  <si>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</si>
  <si>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</si>
  <si>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</si>
  <si>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</si>
  <si>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</si>
  <si>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</si>
  <si>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</si>
  <si>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</si>
  <si>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</si>
  <si>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</si>
  <si>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</si>
  <si>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</si>
  <si>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</si>
  <si>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</si>
  <si>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</si>
  <si>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</si>
  <si>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</si>
  <si>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</si>
  <si>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</si>
  <si>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</si>
  <si>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</si>
  <si>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</si>
  <si>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</si>
  <si>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</si>
  <si>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</si>
  <si>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</si>
  <si>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</si>
  <si>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</si>
  <si>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</si>
  <si>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</si>
  <si>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</si>
  <si>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</si>
  <si>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</si>
  <si>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</si>
  <si>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</si>
  <si>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</si>
  <si>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</si>
  <si>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</si>
  <si>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</si>
  <si>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</si>
  <si>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</si>
  <si>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</si>
  <si>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</si>
  <si>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</si>
  <si>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</si>
  <si>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</si>
  <si>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</si>
  <si>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</si>
  <si>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</si>
  <si>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</si>
  <si>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</si>
  <si>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</si>
  <si>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</si>
  <si>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</si>
  <si>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</si>
  <si>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</si>
  <si>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</si>
  <si>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</si>
  <si>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</si>
  <si>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</si>
  <si>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</si>
  <si>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</si>
  <si>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</si>
  <si>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</si>
  <si>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</si>
  <si>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</si>
  <si>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</si>
  <si>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</si>
  <si>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</si>
  <si>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</si>
  <si>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</si>
  <si>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</si>
  <si>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</si>
  <si>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</si>
  <si>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</si>
  <si>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</si>
  <si>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</si>
  <si>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</si>
  <si>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</si>
  <si>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</si>
  <si>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</si>
  <si>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</si>
  <si>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</si>
  <si>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</si>
  <si>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</si>
  <si>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</si>
  <si>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</si>
  <si>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</si>
  <si>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</si>
  <si>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</si>
  <si>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</si>
  <si>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</si>
  <si>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</si>
  <si>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</si>
  <si>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</si>
  <si>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</si>
  <si>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</si>
  <si>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</si>
  <si>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Estrone-0,04µg/L</t>
  </si>
  <si>
    <t>Estrone-0,2µg/L</t>
  </si>
  <si>
    <t>Estrone-1µg/L</t>
  </si>
  <si>
    <t>Estrone-5µg/L</t>
  </si>
  <si>
    <t>Estrone-25µg/L</t>
  </si>
  <si>
    <t>Estrone</t>
  </si>
  <si>
    <t xml:space="preserve">F:\images\2021CHG-ACH-Estrone 1\plaque 1/@01 Evian + 0.2% DMSO/A1_01.tif </t>
  </si>
  <si>
    <t xml:space="preserve"> 5775.1819 </t>
  </si>
  <si>
    <t xml:space="preserve"> 72.2509 </t>
  </si>
  <si>
    <t xml:space="preserve">F:\images\2021CHG-ACH-Estrone 1\plaque 1/@01 Evian + 0.2% DMSO/A1_02.tif </t>
  </si>
  <si>
    <t xml:space="preserve"> 1622.2421 </t>
  </si>
  <si>
    <t xml:space="preserve"> 67.12 </t>
  </si>
  <si>
    <t xml:space="preserve">F:\images\2021CHG-ACH-Estrone 1\plaque 1/@01 Evian + 0.2% DMSO/A1_03.tif </t>
  </si>
  <si>
    <t xml:space="preserve"> 129.7794 </t>
  </si>
  <si>
    <t xml:space="preserve"> 61.6667 </t>
  </si>
  <si>
    <t xml:space="preserve">F:\images\2021CHG-ACH-Estrone 1\plaque 1/@01 Evian + 0.2% DMSO/B1_01.tif </t>
  </si>
  <si>
    <t xml:space="preserve"> 4888.3562 </t>
  </si>
  <si>
    <t xml:space="preserve"> 67.1593 </t>
  </si>
  <si>
    <t xml:space="preserve">F:\images\2021CHG-ACH-Estrone 1\plaque 1/@01 Evian + 0.2% DMSO/B1_02.tif </t>
  </si>
  <si>
    <t xml:space="preserve"> 973.3453 </t>
  </si>
  <si>
    <t xml:space="preserve"> 62.4444 </t>
  </si>
  <si>
    <t xml:space="preserve">F:\images\2021CHG-ACH-Estrone 1\plaque 1/@01 Evian + 0.2% DMSO/B1_03.tif </t>
  </si>
  <si>
    <t xml:space="preserve"> 2833.5162 </t>
  </si>
  <si>
    <t xml:space="preserve"> 64.8855 </t>
  </si>
  <si>
    <t xml:space="preserve">F:\images\2021CHG-ACH-Estrone 1\plaque 1/@01 Evian + 0.2% DMSO/C1_01.tif </t>
  </si>
  <si>
    <t xml:space="preserve"> 2292.7688 </t>
  </si>
  <si>
    <t xml:space="preserve"> 66.4151 </t>
  </si>
  <si>
    <t xml:space="preserve">F:\images\2021CHG-ACH-Estrone 1\plaque 1/@01 Evian + 0.2% DMSO/C1_02.tif </t>
  </si>
  <si>
    <t xml:space="preserve"> 843.5659 </t>
  </si>
  <si>
    <t xml:space="preserve"> 63.6154 </t>
  </si>
  <si>
    <t xml:space="preserve">F:\images\2021CHG-ACH-Estrone 1\plaque 1/@01 Evian + 0.2% DMSO/C1_03.tif </t>
  </si>
  <si>
    <t xml:space="preserve"> 259.5587 </t>
  </si>
  <si>
    <t xml:space="preserve"> 63.1667 </t>
  </si>
  <si>
    <t xml:space="preserve">F:\images\2021CHG-ACH-Estrone 1\plaque 1/@01 Evian + 0.2% DMSO/D1_01.tif </t>
  </si>
  <si>
    <t xml:space="preserve"> 2119.7297 </t>
  </si>
  <si>
    <t xml:space="preserve"> 66.6837 </t>
  </si>
  <si>
    <t xml:space="preserve">F:\images\2021CHG-ACH-Estrone 1\plaque 1/@01 Evian + 0.2% DMSO/D1_02.tif </t>
  </si>
  <si>
    <t xml:space="preserve"> 1578.9823 </t>
  </si>
  <si>
    <t xml:space="preserve"> 65.8219 </t>
  </si>
  <si>
    <t xml:space="preserve">F:\images\2021CHG-ACH-Estrone 1\plaque 1/@01 Evian + 0.2% DMSO/D1_03.tif </t>
  </si>
  <si>
    <t xml:space="preserve"> 194.6691 </t>
  </si>
  <si>
    <t xml:space="preserve"> 64.1111 </t>
  </si>
  <si>
    <t xml:space="preserve">F:\images\2021CHG-ACH-Estrone 1\plaque 1/@01 Evian + 0.2% DMSO/E1_01.tif </t>
  </si>
  <si>
    <t xml:space="preserve"> 670.5267 </t>
  </si>
  <si>
    <t xml:space="preserve">F:\images\2021CHG-ACH-Estrone 1\plaque 1/@01 Evian + 0.2% DMSO/E1_02.tif </t>
  </si>
  <si>
    <t xml:space="preserve"> 1276.1638 </t>
  </si>
  <si>
    <t xml:space="preserve"> 63.8136 </t>
  </si>
  <si>
    <t xml:space="preserve">F:\images\2021CHG-ACH-Estrone 1\plaque 1/@01 Evian + 0.2% DMSO/E1_03.tif </t>
  </si>
  <si>
    <t xml:space="preserve"> 302.8185 </t>
  </si>
  <si>
    <t xml:space="preserve"> 63.1429 </t>
  </si>
  <si>
    <t xml:space="preserve">F:\images\2021CHG-ACH-Estrone 1\plaque 1/@01 Evian + 0.2% DMSO/F1_01.tif </t>
  </si>
  <si>
    <t xml:space="preserve"> 1232.904 </t>
  </si>
  <si>
    <t xml:space="preserve"> 65.5614 </t>
  </si>
  <si>
    <t xml:space="preserve">F:\images\2021CHG-ACH-Estrone 1\plaque 1/@01 Evian + 0.2% DMSO/F1_02.tif </t>
  </si>
  <si>
    <t xml:space="preserve"> 1124.7545 </t>
  </si>
  <si>
    <t xml:space="preserve"> 64.9038 </t>
  </si>
  <si>
    <t xml:space="preserve">F:\images\2021CHG-ACH-Estrone 1\plaque 1/@01 Evian + 0.2% DMSO/F1_03.tif </t>
  </si>
  <si>
    <t xml:space="preserve"> 454.2278 </t>
  </si>
  <si>
    <t xml:space="preserve"> 62.5714 </t>
  </si>
  <si>
    <t xml:space="preserve">F:\images\2021CHG-ACH-Estrone 1\plaque 1/@01 Evian + 0.2% DMSO/G1_01.tif </t>
  </si>
  <si>
    <t xml:space="preserve"> 3136.3347 </t>
  </si>
  <si>
    <t xml:space="preserve"> 67.069 </t>
  </si>
  <si>
    <t xml:space="preserve">F:\images\2021CHG-ACH-Estrone 1\plaque 1/@01 Evian + 0.2% DMSO/G1_02.tif </t>
  </si>
  <si>
    <t xml:space="preserve"> 1103.1246 </t>
  </si>
  <si>
    <t xml:space="preserve"> 63.3529 </t>
  </si>
  <si>
    <t xml:space="preserve">F:\images\2021CHG-ACH-Estrone 1\plaque 1/@01 Evian + 0.2% DMSO/G1_03.tif </t>
  </si>
  <si>
    <t xml:space="preserve"> 4412.4985 </t>
  </si>
  <si>
    <t xml:space="preserve"> 67.6176 </t>
  </si>
  <si>
    <t xml:space="preserve">F:\images\2021CHG-ACH-Estrone 1\plaque 1/@01 Evian + 0.2% DMSO/H1_01.tif </t>
  </si>
  <si>
    <t xml:space="preserve"> 7375.7941 </t>
  </si>
  <si>
    <t xml:space="preserve"> 73.9677 </t>
  </si>
  <si>
    <t xml:space="preserve">F:\images\2021CHG-ACH-Estrone 1\plaque 1/@01 Evian + 0.2% DMSO/H1_02.tif </t>
  </si>
  <si>
    <t xml:space="preserve"> 10555.3886 </t>
  </si>
  <si>
    <t xml:space="preserve"> 73.3217 </t>
  </si>
  <si>
    <t xml:space="preserve">F:\images\2021CHG-ACH-Estrone 1\plaque 1/@01 Evian + 0.2% DMSO/H1_03.tif </t>
  </si>
  <si>
    <t xml:space="preserve"> 3028.1852 </t>
  </si>
  <si>
    <t xml:space="preserve"> 64.0143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</si>
  <si>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</si>
  <si>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</si>
  <si>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</si>
  <si>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</si>
  <si>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</si>
  <si>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</si>
  <si>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</si>
  <si>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F:\images\2021CHG-ACH-Estrone 1\plaque 1/@01 Evian + 0.2% DMSO/ </t>
  </si>
  <si>
    <t xml:space="preserve"> 65.7365 </t>
  </si>
  <si>
    <t xml:space="preserve"> 3.3461 </t>
  </si>
  <si>
    <t xml:space="preserve"> 166841.292 </t>
  </si>
  <si>
    <t xml:space="preserve"> 188163.24 </t>
  </si>
  <si>
    <t xml:space="preserve">file name </t>
  </si>
  <si>
    <t xml:space="preserve">F:\images\2021CHG-ACH-Estrone 1\plaque 1/@02 EE2 33.8/A2_01.tif </t>
  </si>
  <si>
    <t xml:space="preserve"> 1146.3844 </t>
  </si>
  <si>
    <t xml:space="preserve"> 63.3019 </t>
  </si>
  <si>
    <t xml:space="preserve">F:\images\2021CHG-ACH-Estrone 1\plaque 1/@02 EE2 33.8/A2_02.tif </t>
  </si>
  <si>
    <t xml:space="preserve"> 61.9286 </t>
  </si>
  <si>
    <t xml:space="preserve">F:\images\2021CHG-ACH-Estrone 1\plaque 1/@02 EE2 33.8/A2_03.tif </t>
  </si>
  <si>
    <t xml:space="preserve"> 3806.8615 </t>
  </si>
  <si>
    <t>F:\images\2021CHG-ACH-Estrone 1\plaque 1/@02 EE2 33.8/B2_01- exclu.tif</t>
  </si>
  <si>
    <t xml:space="preserve">F:\images\2021CHG-ACH-Estrone 1\plaque 1/@02 EE2 33.8/B2_02.tif </t>
  </si>
  <si>
    <t xml:space="preserve"> 367.7082 </t>
  </si>
  <si>
    <t xml:space="preserve"> 65.8235 </t>
  </si>
  <si>
    <t xml:space="preserve">F:\images\2021CHG-ACH-Estrone 1\plaque 1/@02 EE2 33.8/B2_03.tif </t>
  </si>
  <si>
    <t xml:space="preserve"> 475.8577 </t>
  </si>
  <si>
    <t xml:space="preserve"> 66.2727 </t>
  </si>
  <si>
    <t xml:space="preserve">F:\images\2021CHG-ACH-Estrone 1\plaque 1/@02 EE2 33.8/C2_01.tif </t>
  </si>
  <si>
    <t xml:space="preserve"> 10490.4989 </t>
  </si>
  <si>
    <t xml:space="preserve"> 81.8144 </t>
  </si>
  <si>
    <t xml:space="preserve">F:\images\2021CHG-ACH-Estrone 1\plaque 1/@02 EE2 33.8/C2_02.tif </t>
  </si>
  <si>
    <t xml:space="preserve"> 12458.8193 </t>
  </si>
  <si>
    <t xml:space="preserve"> 89.0035 </t>
  </si>
  <si>
    <t xml:space="preserve">F:\images\2021CHG-ACH-Estrone 1\plaque 1/@02 EE2 33.8/C2_03.tif </t>
  </si>
  <si>
    <t xml:space="preserve"> 12631.8585 </t>
  </si>
  <si>
    <t xml:space="preserve"> 88.2534 </t>
  </si>
  <si>
    <t xml:space="preserve">F:\images\2021CHG-ACH-Estrone 1\plaque 1/@02 EE2 33.8/D2_01.tif </t>
  </si>
  <si>
    <t xml:space="preserve"> 432.5979 </t>
  </si>
  <si>
    <t xml:space="preserve"> 63.3 </t>
  </si>
  <si>
    <t xml:space="preserve">F:\images\2021CHG-ACH-Estrone 1\plaque 1/@02 EE2 33.8/D2_02.tif </t>
  </si>
  <si>
    <t xml:space="preserve"> 62.5455 </t>
  </si>
  <si>
    <t xml:space="preserve">F:\images\2021CHG-ACH-Estrone 1\plaque 1/@02 EE2 33.8/D2_03.tif </t>
  </si>
  <si>
    <t xml:space="preserve"> 62.8571 </t>
  </si>
  <si>
    <t xml:space="preserve">F:\images\2021CHG-ACH-Estrone 1\plaque 1/@02 EE2 33.8/E2_01.tif </t>
  </si>
  <si>
    <t xml:space="preserve"> 1427.573 </t>
  </si>
  <si>
    <t xml:space="preserve"> 65.1364 </t>
  </si>
  <si>
    <t xml:space="preserve">F:\images\2021CHG-ACH-Estrone 1\plaque 1/@02 EE2 33.8/E2_02.tif </t>
  </si>
  <si>
    <t xml:space="preserve"> 519.1175 </t>
  </si>
  <si>
    <t xml:space="preserve"> 65.4583 </t>
  </si>
  <si>
    <t xml:space="preserve">F:\images\2021CHG-ACH-Estrone 1\plaque 1/@02 EE2 33.8/E2_03.tif </t>
  </si>
  <si>
    <t xml:space="preserve"> 62.6667 </t>
  </si>
  <si>
    <t xml:space="preserve">F:\images\2021CHG-ACH-Estrone 1\plaque 1/@02 EE2 33.8/F2_01.tif </t>
  </si>
  <si>
    <t xml:space="preserve"> 410.968 </t>
  </si>
  <si>
    <t xml:space="preserve"> 64.6842 </t>
  </si>
  <si>
    <t xml:space="preserve">F:\images\2021CHG-ACH-Estrone 1\plaque 1/@02 EE2 33.8/F2_02.tif </t>
  </si>
  <si>
    <t xml:space="preserve"> 389.3381 </t>
  </si>
  <si>
    <t xml:space="preserve"> 66.2222 </t>
  </si>
  <si>
    <t xml:space="preserve">F:\images\2021CHG-ACH-Estrone 1\plaque 1/@02 EE2 33.8/F2_03.tif </t>
  </si>
  <si>
    <t xml:space="preserve"> 281.1886 </t>
  </si>
  <si>
    <t xml:space="preserve">F:\images\2021CHG-ACH-Estrone 1\plaque 1/@02 EE2 33.8/G2_01.tif </t>
  </si>
  <si>
    <t xml:space="preserve"> 3525.6728 </t>
  </si>
  <si>
    <t xml:space="preserve"> 68.3558 </t>
  </si>
  <si>
    <t xml:space="preserve">F:\images\2021CHG-ACH-Estrone 1\plaque 1/@02 EE2 33.8/G2_02.tif </t>
  </si>
  <si>
    <t xml:space="preserve"> 1795.2813 </t>
  </si>
  <si>
    <t xml:space="preserve"> 65.8554 </t>
  </si>
  <si>
    <t xml:space="preserve">F:\images\2021CHG-ACH-Estrone 1\plaque 1/@02 EE2 33.8/G2_03.tif </t>
  </si>
  <si>
    <t xml:space="preserve"> 4390.8686 </t>
  </si>
  <si>
    <t xml:space="preserve"> 70.2906 </t>
  </si>
  <si>
    <t xml:space="preserve">F:\images\2021CHG-ACH-Estrone 1\plaque 1/@02 EE2 33.8/H2_01.tif </t>
  </si>
  <si>
    <t xml:space="preserve"> 5796.8118 </t>
  </si>
  <si>
    <t xml:space="preserve"> 68.0299 </t>
  </si>
  <si>
    <t xml:space="preserve">F:\images\2021CHG-ACH-Estrone 1\plaque 1/@02 EE2 33.8/H2_02.tif </t>
  </si>
  <si>
    <t xml:space="preserve"> 6856.6766 </t>
  </si>
  <si>
    <t xml:space="preserve"> 70.5363 </t>
  </si>
  <si>
    <t xml:space="preserve">F:\images\2021CHG-ACH-Estrone 1\plaque 1/@02 EE2 33.8/H2_03.tif </t>
  </si>
  <si>
    <t xml:space="preserve"> 1081.4947 </t>
  </si>
  <si>
    <t xml:space="preserve"> 64.18 </t>
  </si>
  <si>
    <t xml:space="preserve">F:\images\2021CHG-ACH-Estrone 1\plaque 1/@02 EE2 33.8/ </t>
  </si>
  <si>
    <t xml:space="preserve"> 68.1503 </t>
  </si>
  <si>
    <t xml:space="preserve"> 7.4702 </t>
  </si>
  <si>
    <t xml:space="preserve"> 225475.375 </t>
  </si>
  <si>
    <t xml:space="preserve"> 338492.422 </t>
  </si>
  <si>
    <t xml:space="preserve">F:\images\2021CHG-ACH-Estrone 1\plaque 1/@03 EE2 50.6/A3_01.tif </t>
  </si>
  <si>
    <t xml:space="preserve"> 994.9752 </t>
  </si>
  <si>
    <t xml:space="preserve"> 67.4348 </t>
  </si>
  <si>
    <t xml:space="preserve">F:\images\2021CHG-ACH-Estrone 1\plaque 1/@03 EE2 50.6/A3_02.tif </t>
  </si>
  <si>
    <t xml:space="preserve"> 692.1566 </t>
  </si>
  <si>
    <t xml:space="preserve"> 63.4375 </t>
  </si>
  <si>
    <t xml:space="preserve">F:\images\2021CHG-ACH-Estrone 1\plaque 1/@03 EE2 50.6/A3_03.tif </t>
  </si>
  <si>
    <t xml:space="preserve"> 930.0855 </t>
  </si>
  <si>
    <t xml:space="preserve"> 62.7209 </t>
  </si>
  <si>
    <t xml:space="preserve">F:\images\2021CHG-ACH-Estrone 1\plaque 1/@03 EE2 50.6/B3_01.tif </t>
  </si>
  <si>
    <t xml:space="preserve"> 64.5 </t>
  </si>
  <si>
    <t xml:space="preserve">F:\images\2021CHG-ACH-Estrone 1\plaque 1/@03 EE2 50.6/B3_02.tif </t>
  </si>
  <si>
    <t xml:space="preserve"> 4347.6088 </t>
  </si>
  <si>
    <t xml:space="preserve"> 69.2189 </t>
  </si>
  <si>
    <t xml:space="preserve">F:\images\2021CHG-ACH-Estrone 1\plaque 1/@03 EE2 50.6/B3_03.tif </t>
  </si>
  <si>
    <t xml:space="preserve"> 5169.5448 </t>
  </si>
  <si>
    <t xml:space="preserve"> 68.7741 </t>
  </si>
  <si>
    <t xml:space="preserve">F:\images\2021CHG-ACH-Estrone 1\plaque 1/@03 EE2 50.6/C3_01.tif </t>
  </si>
  <si>
    <t xml:space="preserve"> 62.3333 </t>
  </si>
  <si>
    <t xml:space="preserve">F:\images\2021CHG-ACH-Estrone 1\plaque 1/@03 EE2 50.6/C3_02.tif </t>
  </si>
  <si>
    <t xml:space="preserve"> 7094.6054 </t>
  </si>
  <si>
    <t xml:space="preserve"> 67.0762 </t>
  </si>
  <si>
    <t xml:space="preserve">F:\images\2021CHG-ACH-Estrone 1\plaque 1/@03 EE2 50.6/C3_03.tif </t>
  </si>
  <si>
    <t xml:space="preserve"> 64.2807 </t>
  </si>
  <si>
    <t xml:space="preserve">F:\images\2021CHG-ACH-Estrone 1\plaque 1/@03 EE2 50.6/D3_01.tif </t>
  </si>
  <si>
    <t xml:space="preserve"> 4499.0181 </t>
  </si>
  <si>
    <t xml:space="preserve"> 66.9423 </t>
  </si>
  <si>
    <t xml:space="preserve">F:\images\2021CHG-ACH-Estrone 1\plaque 1/@03 EE2 50.6/D3_02.tif </t>
  </si>
  <si>
    <t xml:space="preserve"> 2746.9966 </t>
  </si>
  <si>
    <t xml:space="preserve"> 67.4882 </t>
  </si>
  <si>
    <t xml:space="preserve">F:\images\2021CHG-ACH-Estrone 1\plaque 1/@03 EE2 50.6/D3_03.tif </t>
  </si>
  <si>
    <t xml:space="preserve"> 5623.7726 </t>
  </si>
  <si>
    <t xml:space="preserve"> 68.2154 </t>
  </si>
  <si>
    <t xml:space="preserve">F:\images\2021CHG-ACH-Estrone 1\plaque 1/@03 EE2 50.6/E3_01.tif </t>
  </si>
  <si>
    <t xml:space="preserve"> 64.9213 </t>
  </si>
  <si>
    <t xml:space="preserve">F:\images\2021CHG-ACH-Estrone 1\plaque 1/@03 EE2 50.6/E3_02.tif </t>
  </si>
  <si>
    <t xml:space="preserve"> 2855.1461 </t>
  </si>
  <si>
    <t xml:space="preserve"> 67.5909 </t>
  </si>
  <si>
    <t xml:space="preserve">F:\images\2021CHG-ACH-Estrone 1\plaque 1/@03 EE2 50.6/E3_03.tif </t>
  </si>
  <si>
    <t xml:space="preserve"> 800.3061 </t>
  </si>
  <si>
    <t xml:space="preserve"> 63.8378 </t>
  </si>
  <si>
    <t xml:space="preserve">F:\images\2021CHG-ACH-Estrone 1\plaque 1/@03 EE2 50.6/F3_01.tif </t>
  </si>
  <si>
    <t xml:space="preserve"> 1297.7937 </t>
  </si>
  <si>
    <t xml:space="preserve"> 64.2 </t>
  </si>
  <si>
    <t xml:space="preserve">F:\images\2021CHG-ACH-Estrone 1\plaque 1/@03 EE2 50.6/F3_02.tif </t>
  </si>
  <si>
    <t xml:space="preserve"> 237.9288 </t>
  </si>
  <si>
    <t xml:space="preserve"> 62.6364 </t>
  </si>
  <si>
    <t xml:space="preserve">F:\images\2021CHG-ACH-Estrone 1\plaque 1/@03 EE2 50.6/F3_03.tif </t>
  </si>
  <si>
    <t xml:space="preserve"> 62.8333 </t>
  </si>
  <si>
    <t xml:space="preserve">F:\images\2021CHG-ACH-Estrone 1\plaque 1/@03 EE2 50.6/G3_01.tif </t>
  </si>
  <si>
    <t xml:space="preserve"> 540.7474 </t>
  </si>
  <si>
    <t xml:space="preserve"> 63.72 </t>
  </si>
  <si>
    <t xml:space="preserve">F:\images\2021CHG-ACH-Estrone 1\plaque 1/@03 EE2 50.6/G3_02.tif </t>
  </si>
  <si>
    <t xml:space="preserve"> 605.637 </t>
  </si>
  <si>
    <t xml:space="preserve"> 65.5 </t>
  </si>
  <si>
    <t xml:space="preserve">F:\images\2021CHG-ACH-Estrone 1\plaque 1/@03 EE2 50.6/G3_03.tif </t>
  </si>
  <si>
    <t xml:space="preserve"> 63.2373 </t>
  </si>
  <si>
    <t xml:space="preserve">F:\images\2021CHG-ACH-Estrone 1\plaque 1/@03 EE2 50.6/H3_01.tif </t>
  </si>
  <si>
    <t xml:space="preserve"> 4866.7263 </t>
  </si>
  <si>
    <t xml:space="preserve"> 69.3911 </t>
  </si>
  <si>
    <t xml:space="preserve">F:\images\2021CHG-ACH-Estrone 1\plaque 1/@03 EE2 50.6/H3_02.tif </t>
  </si>
  <si>
    <t xml:space="preserve"> 62.7647 </t>
  </si>
  <si>
    <t xml:space="preserve">F:\images\2021CHG-ACH-Estrone 1\plaque 1/@03 EE2 50.6/H3_03.tif </t>
  </si>
  <si>
    <t xml:space="preserve"> 4304.349 </t>
  </si>
  <si>
    <t xml:space="preserve"> 71.8291 </t>
  </si>
  <si>
    <t xml:space="preserve">F:\images\2021CHG-ACH-Estrone 1\plaque 1/@03 EE2 50.6/ </t>
  </si>
  <si>
    <t xml:space="preserve"> 65.6202 </t>
  </si>
  <si>
    <t xml:space="preserve"> 2.6684 </t>
  </si>
  <si>
    <t xml:space="preserve"> 152021.25 </t>
  </si>
  <si>
    <t xml:space="preserve"> 143925.821 </t>
  </si>
  <si>
    <t>F:\images\2021CHG-ACH-Estrone 1\plaque 1/@04 EE2 76/A4_01- exclu.tif</t>
  </si>
  <si>
    <t xml:space="preserve">F:\images\2021CHG-ACH-Estrone 1\plaque 1/@04 EE2 76/A4_02.tif </t>
  </si>
  <si>
    <t xml:space="preserve"> 9062.9258 </t>
  </si>
  <si>
    <t xml:space="preserve"> 65.8974 </t>
  </si>
  <si>
    <t xml:space="preserve">F:\images\2021CHG-ACH-Estrone 1\plaque 1/@04 EE2 76/A4_03.tif </t>
  </si>
  <si>
    <t xml:space="preserve"> 8219.36 </t>
  </si>
  <si>
    <t xml:space="preserve"> 65.7842 </t>
  </si>
  <si>
    <t xml:space="preserve">F:\images\2021CHG-ACH-Estrone 1\plaque 1/@04 EE2 76/B4_01.tif </t>
  </si>
  <si>
    <t xml:space="preserve"> 13864.7625 </t>
  </si>
  <si>
    <t xml:space="preserve"> 65.1576 </t>
  </si>
  <si>
    <t xml:space="preserve">F:\images\2021CHG-ACH-Estrone 1\plaque 1/@04 EE2 76/B4_02.tif </t>
  </si>
  <si>
    <t xml:space="preserve"> 10252.5701 </t>
  </si>
  <si>
    <t xml:space="preserve"> 66.4937 </t>
  </si>
  <si>
    <t xml:space="preserve">F:\images\2021CHG-ACH-Estrone 1\plaque 1/@04 EE2 76/B4_03.tif </t>
  </si>
  <si>
    <t xml:space="preserve"> 12285.7801 </t>
  </si>
  <si>
    <t xml:space="preserve"> 66.7377 </t>
  </si>
  <si>
    <t xml:space="preserve">F:\images\2021CHG-ACH-Estrone 1\plaque 1/@04 EE2 76/C4_01.tif </t>
  </si>
  <si>
    <t xml:space="preserve"> 12502.0791 </t>
  </si>
  <si>
    <t xml:space="preserve"> 69.8547 </t>
  </si>
  <si>
    <t xml:space="preserve">F:\images\2021CHG-ACH-Estrone 1\plaque 1/@04 EE2 76/C4_02.tif </t>
  </si>
  <si>
    <t xml:space="preserve"> 11658.5132 </t>
  </si>
  <si>
    <t xml:space="preserve"> 69.0816 </t>
  </si>
  <si>
    <t xml:space="preserve">F:\images\2021CHG-ACH-Estrone 1\plaque 1/@04 EE2 76/C4_03.tif </t>
  </si>
  <si>
    <t xml:space="preserve"> 11809.9225 </t>
  </si>
  <si>
    <t xml:space="preserve"> 66.8297 </t>
  </si>
  <si>
    <t xml:space="preserve">F:\images\2021CHG-ACH-Estrone 1\plaque 1/@04 EE2 76/D4_01.tif </t>
  </si>
  <si>
    <t xml:space="preserve"> 8046.3208 </t>
  </si>
  <si>
    <t xml:space="preserve"> 65.0914 </t>
  </si>
  <si>
    <t xml:space="preserve">F:\images\2021CHG-ACH-Estrone 1\plaque 1/@04 EE2 76/D4_02.tif </t>
  </si>
  <si>
    <t xml:space="preserve"> 5731.9221 </t>
  </si>
  <si>
    <t xml:space="preserve"> 65.7623 </t>
  </si>
  <si>
    <t xml:space="preserve">F:\images\2021CHG-ACH-Estrone 1\plaque 1/@04 EE2 76/D4_03.tif </t>
  </si>
  <si>
    <t xml:space="preserve"> 5710.2922 </t>
  </si>
  <si>
    <t xml:space="preserve"> 64.4432 </t>
  </si>
  <si>
    <t xml:space="preserve">F:\images\2021CHG-ACH-Estrone 1\plaque 1/@04 EE2 76/E4_01.tif </t>
  </si>
  <si>
    <t xml:space="preserve"> 3979.9006 </t>
  </si>
  <si>
    <t xml:space="preserve"> 64.9837 </t>
  </si>
  <si>
    <t xml:space="preserve">F:\images\2021CHG-ACH-Estrone 1\plaque 1/@04 EE2 76/E4_02.tif </t>
  </si>
  <si>
    <t xml:space="preserve"> 3439.1532 </t>
  </si>
  <si>
    <t xml:space="preserve"> 65.5849 </t>
  </si>
  <si>
    <t xml:space="preserve">F:\images\2021CHG-ACH-Estrone 1\plaque 1/@04 EE2 76/E4_03.tif </t>
  </si>
  <si>
    <t xml:space="preserve"> 3244.4842 </t>
  </si>
  <si>
    <t xml:space="preserve"> 64.8933 </t>
  </si>
  <si>
    <t xml:space="preserve">F:\images\2021CHG-ACH-Estrone 1\plaque 1/@04 EE2 76/F4_01.tif </t>
  </si>
  <si>
    <t xml:space="preserve"> 1189.6442 </t>
  </si>
  <si>
    <t xml:space="preserve"> 63.0727 </t>
  </si>
  <si>
    <t xml:space="preserve">F:\images\2021CHG-ACH-Estrone 1\plaque 1/@04 EE2 76/F4_02.tif </t>
  </si>
  <si>
    <t xml:space="preserve"> 886.8257 </t>
  </si>
  <si>
    <t xml:space="preserve"> 63.0732 </t>
  </si>
  <si>
    <t xml:space="preserve">F:\images\2021CHG-ACH-Estrone 1\plaque 1/@04 EE2 76/F4_03.tif </t>
  </si>
  <si>
    <t xml:space="preserve"> 63.1282 </t>
  </si>
  <si>
    <t xml:space="preserve">F:\images\2021CHG-ACH-Estrone 1\plaque 1/@04 EE2 76/G4_01.tif </t>
  </si>
  <si>
    <t xml:space="preserve"> 12480.4492 </t>
  </si>
  <si>
    <t xml:space="preserve"> 68.2738 </t>
  </si>
  <si>
    <t xml:space="preserve">F:\images\2021CHG-ACH-Estrone 1\plaque 1/@04 EE2 76/G4_02.tif </t>
  </si>
  <si>
    <t xml:space="preserve"> 8846.6269 </t>
  </si>
  <si>
    <t xml:space="preserve"> 67.5746 </t>
  </si>
  <si>
    <t xml:space="preserve">F:\images\2021CHG-ACH-Estrone 1\plaque 1/@04 EE2 76/G4_03.tif </t>
  </si>
  <si>
    <t xml:space="preserve"> 12999.5667 </t>
  </si>
  <si>
    <t xml:space="preserve"> 67.8952 </t>
  </si>
  <si>
    <t xml:space="preserve">F:\images\2021CHG-ACH-Estrone 1\plaque 1/@04 EE2 76/H4_01.tif </t>
  </si>
  <si>
    <t xml:space="preserve"> 6142.8901 </t>
  </si>
  <si>
    <t xml:space="preserve"> 72.919 </t>
  </si>
  <si>
    <t xml:space="preserve">F:\images\2021CHG-ACH-Estrone 1\plaque 1/@04 EE2 76/H4_02.tif </t>
  </si>
  <si>
    <t xml:space="preserve"> 3893.381 </t>
  </si>
  <si>
    <t xml:space="preserve"> 69.2778 </t>
  </si>
  <si>
    <t xml:space="preserve">F:\images\2021CHG-ACH-Estrone 1\plaque 1/@04 EE2 76/H4_03.tif </t>
  </si>
  <si>
    <t xml:space="preserve"> 1016.605 </t>
  </si>
  <si>
    <t xml:space="preserve"> 63.5106 </t>
  </si>
  <si>
    <t xml:space="preserve">F:\images\2021CHG-ACH-Estrone 1\plaque 1/@04 EE2 76/ </t>
  </si>
  <si>
    <t xml:space="preserve"> 66.2395 </t>
  </si>
  <si>
    <t xml:space="preserve"> 2.4215 </t>
  </si>
  <si>
    <t xml:space="preserve"> 484237.417 </t>
  </si>
  <si>
    <t xml:space="preserve"> 294564.596 </t>
  </si>
  <si>
    <t xml:space="preserve">F:\images\2021CHG-ACH-Estrone 1\plaque 1/@05 EE2 114/A5_01.tif </t>
  </si>
  <si>
    <t xml:space="preserve"> 5429.1036 </t>
  </si>
  <si>
    <t xml:space="preserve"> 64.012 </t>
  </si>
  <si>
    <t xml:space="preserve">F:\images\2021CHG-ACH-Estrone 1\plaque 1/@05 EE2 114/A5_02.tif </t>
  </si>
  <si>
    <t xml:space="preserve"> 63.8182 </t>
  </si>
  <si>
    <t xml:space="preserve">F:\images\2021CHG-ACH-Estrone 1\plaque 1/@05 EE2 114/A5_03.tif </t>
  </si>
  <si>
    <t xml:space="preserve"> 9300.8547 </t>
  </si>
  <si>
    <t xml:space="preserve"> 64.3977 </t>
  </si>
  <si>
    <t xml:space="preserve">F:\images\2021CHG-ACH-Estrone 1\plaque 1/@05 EE2 114/B5_01.tif </t>
  </si>
  <si>
    <t xml:space="preserve"> 16092.6416 </t>
  </si>
  <si>
    <t xml:space="preserve"> 67.293 </t>
  </si>
  <si>
    <t xml:space="preserve">F:\images\2021CHG-ACH-Estrone 1\plaque 1/@05 EE2 114/B5_02.tif </t>
  </si>
  <si>
    <t xml:space="preserve"> 17325.5456 </t>
  </si>
  <si>
    <t xml:space="preserve"> 67.0911 </t>
  </si>
  <si>
    <t xml:space="preserve">F:\images\2021CHG-ACH-Estrone 1\plaque 1/@05 EE2 114/B5_03.tif </t>
  </si>
  <si>
    <t xml:space="preserve"> 13259.1254 </t>
  </si>
  <si>
    <t xml:space="preserve"> 65.7488 </t>
  </si>
  <si>
    <t xml:space="preserve">F:\images\2021CHG-ACH-Estrone 1\plaque 1/@05 EE2 114/C5_01.tif </t>
  </si>
  <si>
    <t xml:space="preserve"> 15400.485 </t>
  </si>
  <si>
    <t xml:space="preserve"> 67.1475 </t>
  </si>
  <si>
    <t xml:space="preserve">F:\images\2021CHG-ACH-Estrone 1\plaque 1/@05 EE2 114/C5_02.tif </t>
  </si>
  <si>
    <t xml:space="preserve"> 66.2708 </t>
  </si>
  <si>
    <t xml:space="preserve">F:\images\2021CHG-ACH-Estrone 1\plaque 1/@05 EE2 114/C5_03.tif </t>
  </si>
  <si>
    <t xml:space="preserve"> 13561.9439 </t>
  </si>
  <si>
    <t xml:space="preserve"> 66.555 </t>
  </si>
  <si>
    <t xml:space="preserve">F:\images\2021CHG-ACH-Estrone 1\plaque 1/@05 EE2 114/D5_01.tif </t>
  </si>
  <si>
    <t xml:space="preserve"> 65.5615 </t>
  </si>
  <si>
    <t xml:space="preserve">F:\images\2021CHG-ACH-Estrone 1\plaque 1/@05 EE2 114/D5_02.tif </t>
  </si>
  <si>
    <t xml:space="preserve"> 10901.4669 </t>
  </si>
  <si>
    <t xml:space="preserve"> 66.6746 </t>
  </si>
  <si>
    <t xml:space="preserve">F:\images\2021CHG-ACH-Estrone 1\plaque 1/@05 EE2 114/D5_03.tif </t>
  </si>
  <si>
    <t xml:space="preserve"> 12220.8905 </t>
  </si>
  <si>
    <t xml:space="preserve"> 66.8212 </t>
  </si>
  <si>
    <t xml:space="preserve">F:\images\2021CHG-ACH-Estrone 1\plaque 1/@05 EE2 114/E5_01.tif </t>
  </si>
  <si>
    <t xml:space="preserve"> 18904.5279 </t>
  </si>
  <si>
    <t xml:space="preserve"> 65.4062 </t>
  </si>
  <si>
    <t xml:space="preserve">F:\images\2021CHG-ACH-Estrone 1\plaque 1/@05 EE2 114/E5_02.tif </t>
  </si>
  <si>
    <t xml:space="preserve"> 21478.4854 </t>
  </si>
  <si>
    <t xml:space="preserve"> 65.1823 </t>
  </si>
  <si>
    <t xml:space="preserve">F:\images\2021CHG-ACH-Estrone 1\plaque 1/@05 EE2 114/E5_03.tif </t>
  </si>
  <si>
    <t xml:space="preserve"> 13150.9759 </t>
  </si>
  <si>
    <t xml:space="preserve"> 64.8158 </t>
  </si>
  <si>
    <t xml:space="preserve">F:\images\2021CHG-ACH-Estrone 1\plaque 1/@05 EE2 114/F5_01.tif </t>
  </si>
  <si>
    <t xml:space="preserve"> 11853.1823 </t>
  </si>
  <si>
    <t xml:space="preserve"> 67.4288 </t>
  </si>
  <si>
    <t xml:space="preserve">F:\images\2021CHG-ACH-Estrone 1\plaque 1/@05 EE2 114/F5_02.tif </t>
  </si>
  <si>
    <t xml:space="preserve"> 7786.7621 </t>
  </si>
  <si>
    <t xml:space="preserve"> 65.1333 </t>
  </si>
  <si>
    <t xml:space="preserve">F:\images\2021CHG-ACH-Estrone 1\plaque 1/@05 EE2 114/F5_03.tif </t>
  </si>
  <si>
    <t xml:space="preserve"> 12156.0008 </t>
  </si>
  <si>
    <t xml:space="preserve"> 67.3577 </t>
  </si>
  <si>
    <t xml:space="preserve">F:\images\2021CHG-ACH-Estrone 1\plaque 1/@05 EE2 114/G5_01.tif </t>
  </si>
  <si>
    <t xml:space="preserve"> 6359.189 </t>
  </si>
  <si>
    <t xml:space="preserve"> 65.4932 </t>
  </si>
  <si>
    <t xml:space="preserve">F:\images\2021CHG-ACH-Estrone 1\plaque 1/@05 EE2 114/G5_02.tif </t>
  </si>
  <si>
    <t xml:space="preserve"> 6099.6303 </t>
  </si>
  <si>
    <t xml:space="preserve"> 64.2376 </t>
  </si>
  <si>
    <t xml:space="preserve">F:\images\2021CHG-ACH-Estrone 1\plaque 1/@05 EE2 114/G5_03.tif </t>
  </si>
  <si>
    <t xml:space="preserve"> 6640.3777 </t>
  </si>
  <si>
    <t xml:space="preserve"> 64.1596 </t>
  </si>
  <si>
    <t xml:space="preserve">F:\images\2021CHG-ACH-Estrone 1\plaque 1/@05 EE2 114/H5_01.tif </t>
  </si>
  <si>
    <t xml:space="preserve"> 18601.7094 </t>
  </si>
  <si>
    <t xml:space="preserve"> 65.3547 </t>
  </si>
  <si>
    <t xml:space="preserve">F:\images\2021CHG-ACH-Estrone 1\plaque 1/@05 EE2 114/H5_02.tif </t>
  </si>
  <si>
    <t xml:space="preserve"> 15249.0757 </t>
  </si>
  <si>
    <t xml:space="preserve"> 65.5957 </t>
  </si>
  <si>
    <t xml:space="preserve">F:\images\2021CHG-ACH-Estrone 1\plaque 1/@05 EE2 114/H5_03.tif </t>
  </si>
  <si>
    <t xml:space="preserve"> 15487.0046 </t>
  </si>
  <si>
    <t xml:space="preserve"> 68.2612 </t>
  </si>
  <si>
    <t xml:space="preserve">F:\images\2021CHG-ACH-Estrone 1\plaque 1/@05 EE2 114/ </t>
  </si>
  <si>
    <t xml:space="preserve"> 65.8257 </t>
  </si>
  <si>
    <t xml:space="preserve"> 1.2511 </t>
  </si>
  <si>
    <t xml:space="preserve"> 811012.083 </t>
  </si>
  <si>
    <t xml:space="preserve"> 304968.774 </t>
  </si>
  <si>
    <t xml:space="preserve">F:\images\2021CHG-ACH-Estrone 1\plaque 1/@06 EE2 170.9/A6_01.tif </t>
  </si>
  <si>
    <t xml:space="preserve"> 44860.4015 </t>
  </si>
  <si>
    <t xml:space="preserve"> 69.5926 </t>
  </si>
  <si>
    <t xml:space="preserve">F:\images\2021CHG-ACH-Estrone 1\plaque 1/@06 EE2 170.9/A6_02.tif </t>
  </si>
  <si>
    <t xml:space="preserve"> 48861.932 </t>
  </si>
  <si>
    <t xml:space="preserve"> 71.2435 </t>
  </si>
  <si>
    <t xml:space="preserve">F:\images\2021CHG-ACH-Estrone 1\plaque 1/@06 EE2 170.9/A6_03.tif </t>
  </si>
  <si>
    <t xml:space="preserve"> 49121.4907 </t>
  </si>
  <si>
    <t xml:space="preserve"> 69.9247 </t>
  </si>
  <si>
    <t xml:space="preserve">F:\images\2021CHG-ACH-Estrone 1\plaque 1/@06 EE2 170.9/B6_01.tif </t>
  </si>
  <si>
    <t xml:space="preserve"> 30995.639 </t>
  </si>
  <si>
    <t xml:space="preserve"> 72.0447 </t>
  </si>
  <si>
    <t xml:space="preserve">F:\images\2021CHG-ACH-Estrone 1\plaque 1/@06 EE2 170.9/B6_02.tif </t>
  </si>
  <si>
    <t xml:space="preserve"> 31233.5678 </t>
  </si>
  <si>
    <t xml:space="preserve"> 70.8968 </t>
  </si>
  <si>
    <t xml:space="preserve">F:\images\2021CHG-ACH-Estrone 1\plaque 1/@06 EE2 170.9/B6_03.tif </t>
  </si>
  <si>
    <t xml:space="preserve"> 31190.3081 </t>
  </si>
  <si>
    <t xml:space="preserve"> 73.7503 </t>
  </si>
  <si>
    <t xml:space="preserve">F:\images\2021CHG-ACH-Estrone 1\plaque 1/@06 EE2 170.9/C6_01.tif </t>
  </si>
  <si>
    <t xml:space="preserve"> 25523.2757 </t>
  </si>
  <si>
    <t xml:space="preserve"> 66.1873 </t>
  </si>
  <si>
    <t xml:space="preserve">F:\images\2021CHG-ACH-Estrone 1\plaque 1/@06 EE2 170.9/C6_02.tif </t>
  </si>
  <si>
    <t xml:space="preserve"> 19423.6454 </t>
  </si>
  <si>
    <t xml:space="preserve"> 65.8775 </t>
  </si>
  <si>
    <t xml:space="preserve">F:\images\2021CHG-ACH-Estrone 1\plaque 1/@06 EE2 170.9/C6_03.tif </t>
  </si>
  <si>
    <t xml:space="preserve"> 26496.6209 </t>
  </si>
  <si>
    <t xml:space="preserve"> 66.3322 </t>
  </si>
  <si>
    <t xml:space="preserve">F:\images\2021CHG-ACH-Estrone 1\plaque 1/@06 EE2 170.9/D6_01.tif </t>
  </si>
  <si>
    <t xml:space="preserve"> 41659.1771 </t>
  </si>
  <si>
    <t xml:space="preserve"> 73.3858 </t>
  </si>
  <si>
    <t xml:space="preserve">F:\images\2021CHG-ACH-Estrone 1\plaque 1/@06 EE2 170.9/D6_02.tif </t>
  </si>
  <si>
    <t xml:space="preserve"> 45682.3375 </t>
  </si>
  <si>
    <t xml:space="preserve"> 71.8205 </t>
  </si>
  <si>
    <t xml:space="preserve">F:\images\2021CHG-ACH-Estrone 1\plaque 1/@06 EE2 170.9/D6_03.tif </t>
  </si>
  <si>
    <t xml:space="preserve"> 42178.2945 </t>
  </si>
  <si>
    <t xml:space="preserve"> 71.7051 </t>
  </si>
  <si>
    <t xml:space="preserve">F:\images\2021CHG-ACH-Estrone 1\plaque 1/@06 EE2 170.9/E6_01.tif </t>
  </si>
  <si>
    <t xml:space="preserve"> 20916.1081 </t>
  </si>
  <si>
    <t xml:space="preserve"> 68.1179 </t>
  </si>
  <si>
    <t xml:space="preserve">F:\images\2021CHG-ACH-Estrone 1\plaque 1/@06 EE2 170.9/E6_02.tif </t>
  </si>
  <si>
    <t xml:space="preserve"> 18147.4816 </t>
  </si>
  <si>
    <t xml:space="preserve"> 67.2813 </t>
  </si>
  <si>
    <t xml:space="preserve">F:\images\2021CHG-ACH-Estrone 1\plaque 1/@06 EE2 170.9/E6_03.tif </t>
  </si>
  <si>
    <t xml:space="preserve"> 16806.4281 </t>
  </si>
  <si>
    <t xml:space="preserve"> 66.7452 </t>
  </si>
  <si>
    <t xml:space="preserve">F:\images\2021CHG-ACH-Estrone 1\plaque 1/@06 EE2 170.9/F6_01.tif </t>
  </si>
  <si>
    <t xml:space="preserve"> 21716.4142 </t>
  </si>
  <si>
    <t xml:space="preserve"> 69.2659 </t>
  </si>
  <si>
    <t xml:space="preserve">F:\images\2021CHG-ACH-Estrone 1\plaque 1/@06 EE2 170.9/F6_02.tif </t>
  </si>
  <si>
    <t xml:space="preserve"> 20656.5494 </t>
  </si>
  <si>
    <t xml:space="preserve"> 70.4471 </t>
  </si>
  <si>
    <t xml:space="preserve">F:\images\2021CHG-ACH-Estrone 1\plaque 1/@06 EE2 170.9/F6_03.tif </t>
  </si>
  <si>
    <t xml:space="preserve"> 17952.8125 </t>
  </si>
  <si>
    <t xml:space="preserve"> 70.0012 </t>
  </si>
  <si>
    <t xml:space="preserve">F:\images\2021CHG-ACH-Estrone 1\plaque 1/@06 EE2 170.9/G6_01.tif </t>
  </si>
  <si>
    <t xml:space="preserve"> 51284.4802 </t>
  </si>
  <si>
    <t xml:space="preserve"> 78.2088 </t>
  </si>
  <si>
    <t xml:space="preserve">F:\images\2021CHG-ACH-Estrone 1\plaque 1/@06 EE2 170.9/G6_02.tif </t>
  </si>
  <si>
    <t xml:space="preserve"> 46850.3518 </t>
  </si>
  <si>
    <t xml:space="preserve"> 83.4395 </t>
  </si>
  <si>
    <t xml:space="preserve">F:\images\2021CHG-ACH-Estrone 1\plaque 1/@06 EE2 170.9/G6_03.tif </t>
  </si>
  <si>
    <t xml:space="preserve"> 53577.249 </t>
  </si>
  <si>
    <t xml:space="preserve"> 77.9011 </t>
  </si>
  <si>
    <t xml:space="preserve">F:\images\2021CHG-ACH-Estrone 1\plaque 1/@06 EE2 170.9/H6_01.tif </t>
  </si>
  <si>
    <t xml:space="preserve"> 44038.4655 </t>
  </si>
  <si>
    <t xml:space="preserve"> 72.8109 </t>
  </si>
  <si>
    <t>F:\images\2021CHG-ACH-Estrone 1\plaque 1/@06 EE2 170.9/H6_02- exclu.tif</t>
  </si>
  <si>
    <t xml:space="preserve">F:\images\2021CHG-ACH-Estrone 1\plaque 1/@06 EE2 170.9/H6_03.tif </t>
  </si>
  <si>
    <t xml:space="preserve"> 42026.8853 </t>
  </si>
  <si>
    <t xml:space="preserve"> 72.7077 </t>
  </si>
  <si>
    <t xml:space="preserve">F:\images\2021CHG-ACH-Estrone 1\plaque 1/@06 EE2 170.9/ </t>
  </si>
  <si>
    <t xml:space="preserve"> 71.3106 </t>
  </si>
  <si>
    <t xml:space="preserve"> 4.135 </t>
  </si>
  <si>
    <t xml:space="preserve"> 989787.437 </t>
  </si>
  <si>
    <t xml:space="preserve">F:\images\2021CHG-ACH-Estrone 1\plaque 1/@07 EE2 488/A7_01.tif </t>
  </si>
  <si>
    <t xml:space="preserve"> 55459.0498 </t>
  </si>
  <si>
    <t xml:space="preserve"> 80.6724 </t>
  </si>
  <si>
    <t xml:space="preserve">F:\images\2021CHG-ACH-Estrone 1\plaque 1/@07 EE2 488/A7_02.tif </t>
  </si>
  <si>
    <t xml:space="preserve"> 44535.953 </t>
  </si>
  <si>
    <t xml:space="preserve"> 80.3754 </t>
  </si>
  <si>
    <t>F:\images\2021CHG-ACH-Estrone 1\plaque 1/@07 EE2 488/A7_03- exclu.tif</t>
  </si>
  <si>
    <t xml:space="preserve">F:\images\2021CHG-ACH-Estrone 1\plaque 1/@07 EE2 488/B7_01.tif </t>
  </si>
  <si>
    <t xml:space="preserve"> 65906.2889 </t>
  </si>
  <si>
    <t xml:space="preserve"> 86.6826 </t>
  </si>
  <si>
    <t xml:space="preserve">F:\images\2021CHG-ACH-Estrone 1\plaque 1/@07 EE2 488/B7_02.tif </t>
  </si>
  <si>
    <t xml:space="preserve"> 67031.0435 </t>
  </si>
  <si>
    <t xml:space="preserve"> 84.7596 </t>
  </si>
  <si>
    <t xml:space="preserve">F:\images\2021CHG-ACH-Estrone 1\plaque 1/@07 EE2 488/B7_03.tif </t>
  </si>
  <si>
    <t xml:space="preserve"> 64543.6056 </t>
  </si>
  <si>
    <t xml:space="preserve"> 85.9973 </t>
  </si>
  <si>
    <t xml:space="preserve">F:\images\2021CHG-ACH-Estrone 1\plaque 1/@07 EE2 488/C7_01.tif </t>
  </si>
  <si>
    <t xml:space="preserve"> 52236.1955 </t>
  </si>
  <si>
    <t xml:space="preserve"> 89.1561 </t>
  </si>
  <si>
    <t xml:space="preserve">F:\images\2021CHG-ACH-Estrone 1\plaque 1/@07 EE2 488/C7_02.tif </t>
  </si>
  <si>
    <t xml:space="preserve"> 50116.4659 </t>
  </si>
  <si>
    <t xml:space="preserve"> 89.8187 </t>
  </si>
  <si>
    <t xml:space="preserve">F:\images\2021CHG-ACH-Estrone 1\plaque 1/@07 EE2 488/C7_03.tif </t>
  </si>
  <si>
    <t xml:space="preserve"> 48840.3021 </t>
  </si>
  <si>
    <t xml:space="preserve"> 88.9083 </t>
  </si>
  <si>
    <t xml:space="preserve">F:\images\2021CHG-ACH-Estrone 1\plaque 1/@07 EE2 488/D7_01.tif </t>
  </si>
  <si>
    <t xml:space="preserve"> 37873.9455 </t>
  </si>
  <si>
    <t xml:space="preserve"> 80.6608 </t>
  </si>
  <si>
    <t xml:space="preserve">F:\images\2021CHG-ACH-Estrone 1\plaque 1/@07 EE2 488/D7_02.tif </t>
  </si>
  <si>
    <t xml:space="preserve"> 40231.604 </t>
  </si>
  <si>
    <t xml:space="preserve"> 76.1833 </t>
  </si>
  <si>
    <t xml:space="preserve">F:\images\2021CHG-ACH-Estrone 1\plaque 1/@07 EE2 488/D7_03.tif </t>
  </si>
  <si>
    <t xml:space="preserve"> 37073.6394 </t>
  </si>
  <si>
    <t xml:space="preserve"> 79.283 </t>
  </si>
  <si>
    <t xml:space="preserve">F:\images\2021CHG-ACH-Estrone 1\plaque 1/@07 EE2 488/E7_01.tif </t>
  </si>
  <si>
    <t xml:space="preserve"> 58033.0073 </t>
  </si>
  <si>
    <t xml:space="preserve"> 87.249 </t>
  </si>
  <si>
    <t xml:space="preserve">F:\images\2021CHG-ACH-Estrone 1\plaque 1/@07 EE2 488/E7_02.tif </t>
  </si>
  <si>
    <t xml:space="preserve"> 61342.3812 </t>
  </si>
  <si>
    <t xml:space="preserve"> 85.7073 </t>
  </si>
  <si>
    <t xml:space="preserve">F:\images\2021CHG-ACH-Estrone 1\plaque 1/@07 EE2 488/E7_03.tif </t>
  </si>
  <si>
    <t xml:space="preserve"> 52603.9037 </t>
  </si>
  <si>
    <t xml:space="preserve"> 92.8417 </t>
  </si>
  <si>
    <t xml:space="preserve">F:\images\2021CHG-ACH-Estrone 1\plaque 1/@07 EE2 488/F7_01.tif </t>
  </si>
  <si>
    <t xml:space="preserve"> 71594.9512 </t>
  </si>
  <si>
    <t xml:space="preserve"> 84.9792 </t>
  </si>
  <si>
    <t xml:space="preserve">F:\images\2021CHG-ACH-Estrone 1\plaque 1/@07 EE2 488/F7_02.tif </t>
  </si>
  <si>
    <t xml:space="preserve"> 73520.0118 </t>
  </si>
  <si>
    <t xml:space="preserve"> 85.01 </t>
  </si>
  <si>
    <t xml:space="preserve">F:\images\2021CHG-ACH-Estrone 1\plaque 1/@07 EE2 488/F7_03.tif </t>
  </si>
  <si>
    <t xml:space="preserve"> 64284.0468 </t>
  </si>
  <si>
    <t xml:space="preserve"> 85.9115 </t>
  </si>
  <si>
    <t xml:space="preserve">F:\images\2021CHG-ACH-Estrone 1\plaque 1/@07 EE2 488/G7_01.tif </t>
  </si>
  <si>
    <t xml:space="preserve"> 34434.7922 </t>
  </si>
  <si>
    <t xml:space="preserve"> 82.0289 </t>
  </si>
  <si>
    <t xml:space="preserve">F:\images\2021CHG-ACH-Estrone 1\plaque 1/@07 EE2 488/G7_02.tif </t>
  </si>
  <si>
    <t xml:space="preserve"> 35775.8457 </t>
  </si>
  <si>
    <t xml:space="preserve"> 80.5145 </t>
  </si>
  <si>
    <t xml:space="preserve">F:\images\2021CHG-ACH-Estrone 1\plaque 1/@07 EE2 488/G7_03.tif </t>
  </si>
  <si>
    <t xml:space="preserve"> 35494.6571 </t>
  </si>
  <si>
    <t xml:space="preserve"> 82.4345 </t>
  </si>
  <si>
    <t xml:space="preserve">F:\images\2021CHG-ACH-Estrone 1\plaque 1/@07 EE2 488/H7_01.tif </t>
  </si>
  <si>
    <t xml:space="preserve"> 56691.9538 </t>
  </si>
  <si>
    <t xml:space="preserve"> 88.6929 </t>
  </si>
  <si>
    <t xml:space="preserve">F:\images\2021CHG-ACH-Estrone 1\plaque 1/@07 EE2 488/H7_02.tif </t>
  </si>
  <si>
    <t xml:space="preserve"> 57146.1816 </t>
  </si>
  <si>
    <t xml:space="preserve"> 89.2411 </t>
  </si>
  <si>
    <t xml:space="preserve">F:\images\2021CHG-ACH-Estrone 1\plaque 1/@07 EE2 488/H7_03.tif </t>
  </si>
  <si>
    <t xml:space="preserve"> 59071.2422 </t>
  </si>
  <si>
    <t xml:space="preserve"> 83.736 </t>
  </si>
  <si>
    <t xml:space="preserve">F:\images\2021CHG-ACH-Estrone 1\plaque 1/@07 EE2 488/ </t>
  </si>
  <si>
    <t xml:space="preserve"> 84.5249 </t>
  </si>
  <si>
    <t xml:space="preserve"> 4.2361 </t>
  </si>
  <si>
    <t xml:space="preserve"> 1122341.68 </t>
  </si>
  <si>
    <t xml:space="preserve">F:\images\2021CHG-ACH-Estrone 1\plaque 1/@08 Estrone 0.04µg_L/A8_01.tif </t>
  </si>
  <si>
    <t xml:space="preserve"> 63.3333 </t>
  </si>
  <si>
    <t xml:space="preserve">F:\images\2021CHG-ACH-Estrone 1\plaque 1/@08 Estrone 0.04µg_L/A8_02.tif </t>
  </si>
  <si>
    <t xml:space="preserve"> 5061.3953 </t>
  </si>
  <si>
    <t xml:space="preserve"> 66.8376 </t>
  </si>
  <si>
    <t xml:space="preserve">F:\images\2021CHG-ACH-Estrone 1\plaque 1/@08 Estrone 0.04µg_L/A8_03.tif </t>
  </si>
  <si>
    <t xml:space="preserve"> 63.4615 </t>
  </si>
  <si>
    <t xml:space="preserve">F:\images\2021CHG-ACH-Estrone 1\plaque 1/@08 Estrone 0.04µg_L/B8_01.tif </t>
  </si>
  <si>
    <t xml:space="preserve"> 757.0463 </t>
  </si>
  <si>
    <t xml:space="preserve"> 65.8 </t>
  </si>
  <si>
    <t xml:space="preserve">F:\images\2021CHG-ACH-Estrone 1\plaque 1/@08 Estrone 0.04µg_L/B8_02.tif </t>
  </si>
  <si>
    <t xml:space="preserve">F:\images\2021CHG-ACH-Estrone 1\plaque 1/@08 Estrone 0.04µg_L/B8_03.tif </t>
  </si>
  <si>
    <t xml:space="preserve"> 735.4164 </t>
  </si>
  <si>
    <t xml:space="preserve"> 64.7353 </t>
  </si>
  <si>
    <t xml:space="preserve">F:\images\2021CHG-ACH-Estrone 1\plaque 1/@08 Estrone 0.04µg_L/C8_01.tif </t>
  </si>
  <si>
    <t xml:space="preserve"> 68.0138 </t>
  </si>
  <si>
    <t xml:space="preserve">F:\images\2021CHG-ACH-Estrone 1\plaque 1/@08 Estrone 0.04µg_L/C8_02.tif </t>
  </si>
  <si>
    <t xml:space="preserve"> 4261.0892 </t>
  </si>
  <si>
    <t xml:space="preserve"> 68.132 </t>
  </si>
  <si>
    <t xml:space="preserve">F:\images\2021CHG-ACH-Estrone 1\plaque 1/@08 Estrone 0.04µg_L/C8_03.tif </t>
  </si>
  <si>
    <t xml:space="preserve"> 173.0392 </t>
  </si>
  <si>
    <t xml:space="preserve"> 61.5 </t>
  </si>
  <si>
    <t xml:space="preserve">F:\images\2021CHG-ACH-Estrone 1\plaque 1/@08 Estrone 0.04µg_L/D8_01.tif </t>
  </si>
  <si>
    <t xml:space="preserve"> 346.0783 </t>
  </si>
  <si>
    <t xml:space="preserve"> 64.4375 </t>
  </si>
  <si>
    <t xml:space="preserve">F:\images\2021CHG-ACH-Estrone 1\plaque 1/@08 Estrone 0.04µg_L/D8_02.tif </t>
  </si>
  <si>
    <t xml:space="preserve"> 627.2669 </t>
  </si>
  <si>
    <t xml:space="preserve"> 62.931 </t>
  </si>
  <si>
    <t xml:space="preserve">F:\images\2021CHG-ACH-Estrone 1\plaque 1/@08 Estrone 0.04µg_L/D8_03.tif </t>
  </si>
  <si>
    <t xml:space="preserve"> 6034.7406 </t>
  </si>
  <si>
    <t xml:space="preserve"> 75.9283 </t>
  </si>
  <si>
    <t xml:space="preserve">F:\images\2021CHG-ACH-Estrone 1\plaque 1/@08 Estrone 0.04µg_L/E8_01.tif </t>
  </si>
  <si>
    <t xml:space="preserve"> 1730.3916 </t>
  </si>
  <si>
    <t xml:space="preserve"> 62.8125 </t>
  </si>
  <si>
    <t xml:space="preserve">F:\images\2021CHG-ACH-Estrone 1\plaque 1/@08 Estrone 0.04µg_L/E8_02.tif </t>
  </si>
  <si>
    <t xml:space="preserve"> 64.125 </t>
  </si>
  <si>
    <t>F:\images\2021CHG-ACH-Estrone 1\plaque 1/@08 Estrone 0.04µg_L/E8_03- exclu.tif</t>
  </si>
  <si>
    <t xml:space="preserve">F:\images\2021CHG-ACH-Estrone 1\plaque 1/@08 Estrone 0.04µg_L/F8_01.tif </t>
  </si>
  <si>
    <t xml:space="preserve"> 63.2917 </t>
  </si>
  <si>
    <t xml:space="preserve">F:\images\2021CHG-ACH-Estrone 1\plaque 1/@08 Estrone 0.04µg_L/F8_02.tif </t>
  </si>
  <si>
    <t xml:space="preserve"> 62.5 </t>
  </si>
  <si>
    <t xml:space="preserve">F:\images\2021CHG-ACH-Estrone 1\plaque 1/@08 Estrone 0.04µg_L/F8_03.tif </t>
  </si>
  <si>
    <t xml:space="preserve"> 2465.808 </t>
  </si>
  <si>
    <t xml:space="preserve"> 65.9912 </t>
  </si>
  <si>
    <t xml:space="preserve">F:\images\2021CHG-ACH-Estrone 1\plaque 1/@08 Estrone 0.04µg_L/G8_01.tif </t>
  </si>
  <si>
    <t xml:space="preserve"> 66.801 </t>
  </si>
  <si>
    <t xml:space="preserve">F:\images\2021CHG-ACH-Estrone 1\plaque 1/@08 Estrone 0.04µg_L/G8_02.tif </t>
  </si>
  <si>
    <t xml:space="preserve"> 2184.6194 </t>
  </si>
  <si>
    <t xml:space="preserve"> 64.6337 </t>
  </si>
  <si>
    <t xml:space="preserve">F:\images\2021CHG-ACH-Estrone 1\plaque 1/@08 Estrone 0.04µg_L/G8_03.tif </t>
  </si>
  <si>
    <t xml:space="preserve"> 1514.0926 </t>
  </si>
  <si>
    <t xml:space="preserve"> 63.8714 </t>
  </si>
  <si>
    <t xml:space="preserve">F:\images\2021CHG-ACH-Estrone 1\plaque 1/@08 Estrone 0.04µg_L/H8_01.tif </t>
  </si>
  <si>
    <t xml:space="preserve"> 65.6875 </t>
  </si>
  <si>
    <t xml:space="preserve">F:\images\2021CHG-ACH-Estrone 1\plaque 1/@08 Estrone 0.04µg_L/H8_02.tif </t>
  </si>
  <si>
    <t xml:space="preserve"> 63.7692 </t>
  </si>
  <si>
    <t xml:space="preserve">F:\images\2021CHG-ACH-Estrone 1\plaque 1/@08 Estrone 0.04µg_L/H8_03.tif </t>
  </si>
  <si>
    <t xml:space="preserve"> 63.8125 </t>
  </si>
  <si>
    <t xml:space="preserve">F:\images\2021CHG-ACH-Estrone 1\plaque 1/@08 Estrone 0.04µg_L/ </t>
  </si>
  <si>
    <t xml:space="preserve"> 64.933 </t>
  </si>
  <si>
    <t xml:space="preserve"> 2.9204 </t>
  </si>
  <si>
    <t xml:space="preserve"> 104205.583 </t>
  </si>
  <si>
    <t xml:space="preserve"> 124949.947 </t>
  </si>
  <si>
    <t xml:space="preserve">F:\images\2021CHG-ACH-Estrone 1\plaque 1/@09 Estrone 0.2µg_L/A9_01.tif </t>
  </si>
  <si>
    <t xml:space="preserve"> 908.4556 </t>
  </si>
  <si>
    <t xml:space="preserve"> 63.8095 </t>
  </si>
  <si>
    <t xml:space="preserve">F:\images\2021CHG-ACH-Estrone 1\plaque 1/@09 Estrone 0.2µg_L/A9_02.tif </t>
  </si>
  <si>
    <t xml:space="preserve"> 63.7619 </t>
  </si>
  <si>
    <t xml:space="preserve">F:\images\2021CHG-ACH-Estrone 1\plaque 1/@09 Estrone 0.2µg_L/A9_03.tif </t>
  </si>
  <si>
    <t xml:space="preserve"> 1470.8328 </t>
  </si>
  <si>
    <t xml:space="preserve"> 63.7941 </t>
  </si>
  <si>
    <t xml:space="preserve">F:\images\2021CHG-ACH-Estrone 1\plaque 1/@09 Estrone 0.2µg_L/B9_01.tif </t>
  </si>
  <si>
    <t xml:space="preserve"> 5493.9932 </t>
  </si>
  <si>
    <t xml:space="preserve"> 70.2953 </t>
  </si>
  <si>
    <t xml:space="preserve">F:\images\2021CHG-ACH-Estrone 1\plaque 1/@09 Estrone 0.2µg_L/B9_02.tif </t>
  </si>
  <si>
    <t xml:space="preserve"> 1881.8008 </t>
  </si>
  <si>
    <t xml:space="preserve"> 65.2644 </t>
  </si>
  <si>
    <t xml:space="preserve">F:\images\2021CHG-ACH-Estrone 1\plaque 1/@09 Estrone 0.2µg_L/B9_03.tif </t>
  </si>
  <si>
    <t xml:space="preserve"> 151.4093 </t>
  </si>
  <si>
    <t xml:space="preserve"> 64.7143 </t>
  </si>
  <si>
    <t xml:space="preserve">F:\images\2021CHG-ACH-Estrone 1\plaque 1/@09 Estrone 0.2µg_L/C9_01.tif </t>
  </si>
  <si>
    <t xml:space="preserve"> 3352.6337 </t>
  </si>
  <si>
    <t xml:space="preserve"> 66.7226 </t>
  </si>
  <si>
    <t xml:space="preserve">F:\images\2021CHG-ACH-Estrone 1\plaque 1/@09 Estrone 0.2µg_L/C9_02.tif </t>
  </si>
  <si>
    <t xml:space="preserve"> 2076.4699 </t>
  </si>
  <si>
    <t xml:space="preserve">F:\images\2021CHG-ACH-Estrone 1\plaque 1/@09 Estrone 0.2µg_L/C9_03.tif </t>
  </si>
  <si>
    <t xml:space="preserve"> 62.2222 </t>
  </si>
  <si>
    <t xml:space="preserve">F:\images\2021CHG-ACH-Estrone 1\plaque 1/@09 Estrone 0.2µg_L/D9_01.tif </t>
  </si>
  <si>
    <t xml:space="preserve"> 64.35 </t>
  </si>
  <si>
    <t xml:space="preserve">F:\images\2021CHG-ACH-Estrone 1\plaque 1/@09 Estrone 0.2µg_L/D9_02.tif </t>
  </si>
  <si>
    <t xml:space="preserve"> 62.7368 </t>
  </si>
  <si>
    <t xml:space="preserve">F:\images\2021CHG-ACH-Estrone 1\plaque 1/@09 Estrone 0.2µg_L/D9_03.tif </t>
  </si>
  <si>
    <t xml:space="preserve"> 63.5833 </t>
  </si>
  <si>
    <t xml:space="preserve">F:\images\2021CHG-ACH-Estrone 1\plaque 1/@09 Estrone 0.2µg_L/E9_01.tif </t>
  </si>
  <si>
    <t xml:space="preserve"> 4650.4273 </t>
  </si>
  <si>
    <t xml:space="preserve"> 67.1535 </t>
  </si>
  <si>
    <t xml:space="preserve">F:\images\2021CHG-ACH-Estrone 1\plaque 1/@09 Estrone 0.2µg_L/E9_02.tif </t>
  </si>
  <si>
    <t xml:space="preserve"> 3958.2707 </t>
  </si>
  <si>
    <t xml:space="preserve"> 68.7158 </t>
  </si>
  <si>
    <t>F:\images\2021CHG-ACH-Estrone 1\plaque 1/@09 Estrone 0.2µg_L/E9_03- exclu.tif</t>
  </si>
  <si>
    <t xml:space="preserve">F:\images\2021CHG-ACH-Estrone 1\plaque 1/@09 Estrone 0.2µg_L/F9_01.tif </t>
  </si>
  <si>
    <t xml:space="preserve"> 8305.8795 </t>
  </si>
  <si>
    <t xml:space="preserve"> 72.375 </t>
  </si>
  <si>
    <t xml:space="preserve">F:\images\2021CHG-ACH-Estrone 1\plaque 1/@09 Estrone 0.2µg_L/F9_02.tif </t>
  </si>
  <si>
    <t xml:space="preserve"> 12264.1503 </t>
  </si>
  <si>
    <t xml:space="preserve"> 78.4727 </t>
  </si>
  <si>
    <t xml:space="preserve">F:\images\2021CHG-ACH-Estrone 1\plaque 1/@09 Estrone 0.2µg_L/F9_03.tif </t>
  </si>
  <si>
    <t xml:space="preserve"> 5602.1427 </t>
  </si>
  <si>
    <t xml:space="preserve"> 68.9691 </t>
  </si>
  <si>
    <t xml:space="preserve">F:\images\2021CHG-ACH-Estrone 1\plaque 1/@09 Estrone 0.2µg_L/G9_01.tif </t>
  </si>
  <si>
    <t xml:space="preserve"> 1752.0215 </t>
  </si>
  <si>
    <t xml:space="preserve"> 64.7901 </t>
  </si>
  <si>
    <t xml:space="preserve">F:\images\2021CHG-ACH-Estrone 1\plaque 1/@09 Estrone 0.2µg_L/G9_02.tif </t>
  </si>
  <si>
    <t xml:space="preserve"> 67.1525 </t>
  </si>
  <si>
    <t xml:space="preserve">F:\images\2021CHG-ACH-Estrone 1\plaque 1/@09 Estrone 0.2µg_L/G9_03.tif </t>
  </si>
  <si>
    <t xml:space="preserve"> 865.1958 </t>
  </si>
  <si>
    <t xml:space="preserve"> 64.175 </t>
  </si>
  <si>
    <t>F:\images\2021CHG-ACH-Estrone 1\plaque 1/@09 Estrone 0.2µg_L/H9_01- exclu.tif</t>
  </si>
  <si>
    <t xml:space="preserve">F:\images\2021CHG-ACH-Estrone 1\plaque 1/@09 Estrone 0.2µg_L/H9_02.tif </t>
  </si>
  <si>
    <t xml:space="preserve"> 65.2933 </t>
  </si>
  <si>
    <t xml:space="preserve">F:\images\2021CHG-ACH-Estrone 1\plaque 1/@09 Estrone 0.2µg_L/H9_03.tif </t>
  </si>
  <si>
    <t xml:space="preserve"> 64.0196 </t>
  </si>
  <si>
    <t xml:space="preserve">F:\images\2021CHG-ACH-Estrone 1\plaque 1/@09 Estrone 0.2µg_L/ </t>
  </si>
  <si>
    <t xml:space="preserve"> 66.3872 </t>
  </si>
  <si>
    <t xml:space="preserve"> 3.6703 </t>
  </si>
  <si>
    <t xml:space="preserve"> 186164.958 </t>
  </si>
  <si>
    <t xml:space="preserve"> 224534.119 </t>
  </si>
  <si>
    <t xml:space="preserve">F:\images\2021CHG-ACH-Estrone 1\plaque 1/@10 Estrone 1µg_L/A10_01.tif </t>
  </si>
  <si>
    <t xml:space="preserve"> 72.1903 </t>
  </si>
  <si>
    <t xml:space="preserve">F:\images\2021CHG-ACH-Estrone 1\plaque 1/@10 Estrone 1µg_L/A10_02.tif </t>
  </si>
  <si>
    <t xml:space="preserve"> 1946.6905 </t>
  </si>
  <si>
    <t xml:space="preserve"> 64.3556 </t>
  </si>
  <si>
    <t xml:space="preserve">F:\images\2021CHG-ACH-Estrone 1\plaque 1/@10 Estrone 1µg_L/A10_03.tif </t>
  </si>
  <si>
    <t xml:space="preserve"> 5969.8509 </t>
  </si>
  <si>
    <t xml:space="preserve"> 71.9565 </t>
  </si>
  <si>
    <t xml:space="preserve">F:\images\2021CHG-ACH-Estrone 1\plaque 1/@10 Estrone 1µg_L/B10_01.tif </t>
  </si>
  <si>
    <t xml:space="preserve"> 66.8595 </t>
  </si>
  <si>
    <t xml:space="preserve">F:\images\2021CHG-ACH-Estrone 1\plaque 1/@10 Estrone 1µg_L/B10_02.tif </t>
  </si>
  <si>
    <t xml:space="preserve"> 6294.2993 </t>
  </si>
  <si>
    <t xml:space="preserve"> 68.1443 </t>
  </si>
  <si>
    <t xml:space="preserve">F:\images\2021CHG-ACH-Estrone 1\plaque 1/@10 Estrone 1µg_L/B10_03.tif </t>
  </si>
  <si>
    <t xml:space="preserve"> 6402.4488 </t>
  </si>
  <si>
    <t xml:space="preserve"> 66.6824 </t>
  </si>
  <si>
    <t xml:space="preserve">F:\images\2021CHG-ACH-Estrone 1\plaque 1/@10 Estrone 1µg_L/C10_01.tif </t>
  </si>
  <si>
    <t xml:space="preserve"> 2876.776 </t>
  </si>
  <si>
    <t xml:space="preserve"> 65.3985 </t>
  </si>
  <si>
    <t xml:space="preserve">F:\images\2021CHG-ACH-Estrone 1\plaque 1/@10 Estrone 1µg_L/C10_02.tif </t>
  </si>
  <si>
    <t xml:space="preserve"> 5385.8438 </t>
  </si>
  <si>
    <t xml:space="preserve"> 68.5984 </t>
  </si>
  <si>
    <t xml:space="preserve">F:\images\2021CHG-ACH-Estrone 1\plaque 1/@10 Estrone 1µg_L/C10_03.tif </t>
  </si>
  <si>
    <t xml:space="preserve"> 63.0364 </t>
  </si>
  <si>
    <t xml:space="preserve">F:\images\2021CHG-ACH-Estrone 1\plaque 1/@10 Estrone 1µg_L/D10_01.tif </t>
  </si>
  <si>
    <t xml:space="preserve"> 63.0411 </t>
  </si>
  <si>
    <t xml:space="preserve">F:\images\2021CHG-ACH-Estrone 1\plaque 1/@10 Estrone 1µg_L/D10_02.tif </t>
  </si>
  <si>
    <t xml:space="preserve"> 62.9474 </t>
  </si>
  <si>
    <t xml:space="preserve">F:\images\2021CHG-ACH-Estrone 1\plaque 1/@10 Estrone 1µg_L/D10_03.tif </t>
  </si>
  <si>
    <t xml:space="preserve"> 63.375 </t>
  </si>
  <si>
    <t xml:space="preserve">F:\images\2021CHG-ACH-Estrone 1\plaque 1/@10 Estrone 1µg_L/E10_01.tif </t>
  </si>
  <si>
    <t xml:space="preserve"> 2963.2956 </t>
  </si>
  <si>
    <t xml:space="preserve"> 64.5547 </t>
  </si>
  <si>
    <t xml:space="preserve">F:\images\2021CHG-ACH-Estrone 1\plaque 1/@10 Estrone 1µg_L/E10_02.tif </t>
  </si>
  <si>
    <t xml:space="preserve"> 64.297 </t>
  </si>
  <si>
    <t xml:space="preserve">F:\images\2021CHG-ACH-Estrone 1\plaque 1/@10 Estrone 1µg_L/E10_03.tif </t>
  </si>
  <si>
    <t xml:space="preserve"> 3568.9326 </t>
  </si>
  <si>
    <t xml:space="preserve"> 65.9091 </t>
  </si>
  <si>
    <t xml:space="preserve">F:\images\2021CHG-ACH-Estrone 1\plaque 1/@10 Estrone 1µg_L/F10_01.tif </t>
  </si>
  <si>
    <t xml:space="preserve"> 584.0072 </t>
  </si>
  <si>
    <t xml:space="preserve"> 63.4074 </t>
  </si>
  <si>
    <t xml:space="preserve">F:\images\2021CHG-ACH-Estrone 1\plaque 1/@10 Estrone 1µg_L/F10_02.tif </t>
  </si>
  <si>
    <t xml:space="preserve"> 1038.2349 </t>
  </si>
  <si>
    <t xml:space="preserve"> 64.2083 </t>
  </si>
  <si>
    <t xml:space="preserve">F:\images\2021CHG-ACH-Estrone 1\plaque 1/@10 Estrone 1µg_L/F10_03.tif </t>
  </si>
  <si>
    <t xml:space="preserve"> 62.3846 </t>
  </si>
  <si>
    <t xml:space="preserve">F:\images\2021CHG-ACH-Estrone 1\plaque 1/@10 Estrone 1µg_L/G10_01.tif </t>
  </si>
  <si>
    <t xml:space="preserve"> 2790.2564 </t>
  </si>
  <si>
    <t xml:space="preserve"> 66.1473 </t>
  </si>
  <si>
    <t xml:space="preserve">F:\images\2021CHG-ACH-Estrone 1\plaque 1/@10 Estrone 1µg_L/G10_02.tif </t>
  </si>
  <si>
    <t xml:space="preserve"> 5861.7014 </t>
  </si>
  <si>
    <t xml:space="preserve"> 70.4502 </t>
  </si>
  <si>
    <t xml:space="preserve">F:\images\2021CHG-ACH-Estrone 1\plaque 1/@10 Estrone 1µg_L/G10_03.tif </t>
  </si>
  <si>
    <t xml:space="preserve"> 66.5273 </t>
  </si>
  <si>
    <t xml:space="preserve">F:\images\2021CHG-ACH-Estrone 1\plaque 1/@10 Estrone 1µg_L/H10_01.tif </t>
  </si>
  <si>
    <t xml:space="preserve"> 63.68 </t>
  </si>
  <si>
    <t xml:space="preserve">F:\images\2021CHG-ACH-Estrone 1\plaque 1/@10 Estrone 1µg_L/H10_02.tif </t>
  </si>
  <si>
    <t xml:space="preserve"> 64.9323 </t>
  </si>
  <si>
    <t xml:space="preserve">F:\images\2021CHG-ACH-Estrone 1\plaque 1/@10 Estrone 1µg_L/H10_03.tif </t>
  </si>
  <si>
    <t xml:space="preserve"> 4780.2067 </t>
  </si>
  <si>
    <t xml:space="preserve"> 66.2036 </t>
  </si>
  <si>
    <t xml:space="preserve">F:\images\2021CHG-ACH-Estrone 1\plaque 1/@10 Estrone 1µg_L/ </t>
  </si>
  <si>
    <t xml:space="preserve"> 65.8036 </t>
  </si>
  <si>
    <t xml:space="preserve"> 2.7734 </t>
  </si>
  <si>
    <t xml:space="preserve"> 213212.25 </t>
  </si>
  <si>
    <t xml:space="preserve"> 145380.217 </t>
  </si>
  <si>
    <t xml:space="preserve">F:\images\2021CHG-ACH-Estrone 1\plaque 1/@11 Estrone 5µg_L/A11_01.tif </t>
  </si>
  <si>
    <t xml:space="preserve"> 40491.1627 </t>
  </si>
  <si>
    <t xml:space="preserve"> 83.2276 </t>
  </si>
  <si>
    <t xml:space="preserve">F:\images\2021CHG-ACH-Estrone 1\plaque 1/@11 Estrone 5µg_L/A11_02.tif </t>
  </si>
  <si>
    <t xml:space="preserve"> 43454.4583 </t>
  </si>
  <si>
    <t xml:space="preserve"> 79.9472 </t>
  </si>
  <si>
    <t xml:space="preserve">F:\images\2021CHG-ACH-Estrone 1\plaque 1/@11 Estrone 5µg_L/A11_03.tif </t>
  </si>
  <si>
    <t xml:space="preserve"> 42005.2554 </t>
  </si>
  <si>
    <t xml:space="preserve"> 82.743 </t>
  </si>
  <si>
    <t xml:space="preserve">F:\images\2021CHG-ACH-Estrone 1\plaque 1/@11 Estrone 5µg_L/B11_01.tif </t>
  </si>
  <si>
    <t xml:space="preserve"> 39085.2196 </t>
  </si>
  <si>
    <t xml:space="preserve"> 83.7532 </t>
  </si>
  <si>
    <t xml:space="preserve">F:\images\2021CHG-ACH-Estrone 1\plaque 1/@11 Estrone 5µg_L/B11_02.tif </t>
  </si>
  <si>
    <t xml:space="preserve"> 35840.7354 </t>
  </si>
  <si>
    <t xml:space="preserve"> 87.3416 </t>
  </si>
  <si>
    <t xml:space="preserve">F:\images\2021CHG-ACH-Estrone 1\plaque 1/@11 Estrone 5µg_L/B11_03.tif </t>
  </si>
  <si>
    <t xml:space="preserve"> 37700.9063 </t>
  </si>
  <si>
    <t xml:space="preserve"> 84.7516 </t>
  </si>
  <si>
    <t xml:space="preserve">F:\images\2021CHG-ACH-Estrone 1\plaque 1/@11 Estrone 5µg_L/C11_01.tif </t>
  </si>
  <si>
    <t xml:space="preserve"> 28227.0125 </t>
  </si>
  <si>
    <t xml:space="preserve"> 75.2337 </t>
  </si>
  <si>
    <t xml:space="preserve">F:\images\2021CHG-ACH-Estrone 1\plaque 1/@11 Estrone 5µg_L/C11_02.tif </t>
  </si>
  <si>
    <t xml:space="preserve"> 27989.0836 </t>
  </si>
  <si>
    <t xml:space="preserve"> 74.7133 </t>
  </si>
  <si>
    <t xml:space="preserve">F:\images\2021CHG-ACH-Estrone 1\plaque 1/@11 Estrone 5µg_L/C11_03.tif </t>
  </si>
  <si>
    <t xml:space="preserve"> 25934.2437 </t>
  </si>
  <si>
    <t xml:space="preserve"> 77.1893 </t>
  </si>
  <si>
    <t xml:space="preserve">F:\images\2021CHG-ACH-Estrone 1\plaque 1/@11 Estrone 5µg_L/D11_01.tif </t>
  </si>
  <si>
    <t xml:space="preserve"> 71962.6594 </t>
  </si>
  <si>
    <t xml:space="preserve"> 83.2044 </t>
  </si>
  <si>
    <t xml:space="preserve">F:\images\2021CHG-ACH-Estrone 1\plaque 1/@11 Estrone 5µg_L/D11_02.tif </t>
  </si>
  <si>
    <t xml:space="preserve"> 67139.1929 </t>
  </si>
  <si>
    <t xml:space="preserve"> 84.4381 </t>
  </si>
  <si>
    <t xml:space="preserve">F:\images\2021CHG-ACH-Estrone 1\plaque 1/@11 Estrone 5µg_L/D11_03.tif </t>
  </si>
  <si>
    <t xml:space="preserve"> 77175.464 </t>
  </si>
  <si>
    <t xml:space="preserve"> 81.4084 </t>
  </si>
  <si>
    <t xml:space="preserve">F:\images\2021CHG-ACH-Estrone 1\plaque 1/@11 Estrone 5µg_L/E11_01.tif </t>
  </si>
  <si>
    <t xml:space="preserve"> 56107.9467 </t>
  </si>
  <si>
    <t xml:space="preserve"> 87.0089 </t>
  </si>
  <si>
    <t xml:space="preserve">F:\images\2021CHG-ACH-Estrone 1\plaque 1/@11 Estrone 5µg_L/E11_02.tif </t>
  </si>
  <si>
    <t xml:space="preserve"> 50722.1029 </t>
  </si>
  <si>
    <t xml:space="preserve"> 90.3514 </t>
  </si>
  <si>
    <t xml:space="preserve">F:\images\2021CHG-ACH-Estrone 1\plaque 1/@11 Estrone 5µg_L/E11_03.tif </t>
  </si>
  <si>
    <t xml:space="preserve"> 46893.6116 </t>
  </si>
  <si>
    <t xml:space="preserve"> 94.3773 </t>
  </si>
  <si>
    <t>F:\images\2021CHG-ACH-Estrone 1\plaque 1/@11 Estrone 5µg_L/F11_01- exclu.tif</t>
  </si>
  <si>
    <t xml:space="preserve">F:\images\2021CHG-ACH-Estrone 1\plaque 1/@11 Estrone 5µg_L/F11_02.tif </t>
  </si>
  <si>
    <t xml:space="preserve"> 94.2019 </t>
  </si>
  <si>
    <t xml:space="preserve">F:\images\2021CHG-ACH-Estrone 1\plaque 1/@11 Estrone 5µg_L/F11_03.tif </t>
  </si>
  <si>
    <t xml:space="preserve"> 67268.9723 </t>
  </si>
  <si>
    <t xml:space="preserve"> 93.2248 </t>
  </si>
  <si>
    <t xml:space="preserve">F:\images\2021CHG-ACH-Estrone 1\plaque 1/@11 Estrone 5µg_L/G11_01.tif </t>
  </si>
  <si>
    <t xml:space="preserve"> 63.0213 </t>
  </si>
  <si>
    <t xml:space="preserve">F:\images\2021CHG-ACH-Estrone 1\plaque 1/@11 Estrone 5µg_L/G11_02.tif </t>
  </si>
  <si>
    <t xml:space="preserve"> 8695.2176 </t>
  </si>
  <si>
    <t xml:space="preserve"> 69.1169 </t>
  </si>
  <si>
    <t xml:space="preserve">F:\images\2021CHG-ACH-Estrone 1\plaque 1/@11 Estrone 5µg_L/G11_03.tif </t>
  </si>
  <si>
    <t xml:space="preserve"> 7916.5414 </t>
  </si>
  <si>
    <t xml:space="preserve"> 67.1503 </t>
  </si>
  <si>
    <t xml:space="preserve">F:\images\2021CHG-ACH-Estrone 1\plaque 1/@11 Estrone 5µg_L/H11_01.tif </t>
  </si>
  <si>
    <t xml:space="preserve"> 37008.7497 </t>
  </si>
  <si>
    <t xml:space="preserve"> 81.4325 </t>
  </si>
  <si>
    <t xml:space="preserve">F:\images\2021CHG-ACH-Estrone 1\plaque 1/@11 Estrone 5µg_L/H11_02.tif </t>
  </si>
  <si>
    <t xml:space="preserve"> 41442.8781 </t>
  </si>
  <si>
    <t xml:space="preserve"> 81.632 </t>
  </si>
  <si>
    <t xml:space="preserve">F:\images\2021CHG-ACH-Estrone 1\plaque 1/@11 Estrone 5µg_L/H11_03.tif </t>
  </si>
  <si>
    <t xml:space="preserve"> 38825.6609 </t>
  </si>
  <si>
    <t xml:space="preserve"> 81.4947 </t>
  </si>
  <si>
    <t xml:space="preserve">F:\images\2021CHG-ACH-Estrone 1\plaque 1/@11 Estrone 5µg_L/ </t>
  </si>
  <si>
    <t xml:space="preserve"> 82.122 </t>
  </si>
  <si>
    <t xml:space="preserve"> 8.0988 </t>
  </si>
  <si>
    <t xml:space="preserve"> 3569469.88 </t>
  </si>
  <si>
    <t xml:space="preserve"> 1790395.36 </t>
  </si>
  <si>
    <t xml:space="preserve">F:\images\2021CHG-ACH-Estrone 1\plaque 1/@12 Estrone 25µg_L/A12_01.tif </t>
  </si>
  <si>
    <t xml:space="preserve"> 88574.4185 </t>
  </si>
  <si>
    <t xml:space="preserve"> 95.6691 </t>
  </si>
  <si>
    <t xml:space="preserve">F:\images\2021CHG-ACH-Estrone 1\plaque 1/@12 Estrone 25µg_L/A12_02.tif </t>
  </si>
  <si>
    <t xml:space="preserve"> 66576.8157 </t>
  </si>
  <si>
    <t xml:space="preserve"> 81.7817 </t>
  </si>
  <si>
    <t xml:space="preserve">F:\images\2021CHG-ACH-Estrone 1\plaque 1/@12 Estrone 25µg_L/A12_03.tif </t>
  </si>
  <si>
    <t xml:space="preserve"> 58941.4629 </t>
  </si>
  <si>
    <t xml:space="preserve"> 94.516 </t>
  </si>
  <si>
    <t xml:space="preserve">F:\images\2021CHG-ACH-Estrone 1\plaque 1/@12 Estrone 25µg_L/B12_01.tif </t>
  </si>
  <si>
    <t xml:space="preserve"> 71616.5811 </t>
  </si>
  <si>
    <t xml:space="preserve"> 74.8668 </t>
  </si>
  <si>
    <t xml:space="preserve">F:\images\2021CHG-ACH-Estrone 1\plaque 1/@12 Estrone 25µg_L/B12_02.tif </t>
  </si>
  <si>
    <t xml:space="preserve"> 58530.4949 </t>
  </si>
  <si>
    <t xml:space="preserve"> 93.3969 </t>
  </si>
  <si>
    <t xml:space="preserve">F:\images\2021CHG-ACH-Estrone 1\plaque 1/@12 Estrone 25µg_L/B12_03.tif </t>
  </si>
  <si>
    <t xml:space="preserve"> 96.2812 </t>
  </si>
  <si>
    <t xml:space="preserve">F:\images\2021CHG-ACH-Estrone 1\plaque 1/@12 Estrone 25µg_L/C12_01.tif </t>
  </si>
  <si>
    <t xml:space="preserve"> 68523.5062 </t>
  </si>
  <si>
    <t xml:space="preserve"> 86.6247 </t>
  </si>
  <si>
    <t xml:space="preserve">F:\images\2021CHG-ACH-Estrone 1\plaque 1/@12 Estrone 25µg_L/C12_02.tif </t>
  </si>
  <si>
    <t xml:space="preserve"> 79944.0905 </t>
  </si>
  <si>
    <t xml:space="preserve"> 86.3474 </t>
  </si>
  <si>
    <t xml:space="preserve">F:\images\2021CHG-ACH-Estrone 1\plaque 1/@12 Estrone 25µg_L/C12_03.tif </t>
  </si>
  <si>
    <t xml:space="preserve"> 57275.961 </t>
  </si>
  <si>
    <t xml:space="preserve"> 92.0899 </t>
  </si>
  <si>
    <t xml:space="preserve">F:\images\2021CHG-ACH-Estrone 1\plaque 1/@12 Estrone 25µg_L/D12_01.tif </t>
  </si>
  <si>
    <t xml:space="preserve"> 35083.6891 </t>
  </si>
  <si>
    <t xml:space="preserve"> 85.8693 </t>
  </si>
  <si>
    <t xml:space="preserve">F:\images\2021CHG-ACH-Estrone 1\plaque 1/@12 Estrone 25µg_L/D12_02.tif </t>
  </si>
  <si>
    <t xml:space="preserve"> 19769.7237 </t>
  </si>
  <si>
    <t xml:space="preserve"> 90.4912 </t>
  </si>
  <si>
    <t xml:space="preserve">F:\images\2021CHG-ACH-Estrone 1\plaque 1/@12 Estrone 25µg_L/D12_03.tif </t>
  </si>
  <si>
    <t xml:space="preserve"> 26128.9127 </t>
  </si>
  <si>
    <t xml:space="preserve"> 80.8204 </t>
  </si>
  <si>
    <t xml:space="preserve">F:\images\2021CHG-ACH-Estrone 1\plaque 1/@12 Estrone 25µg_L/E12_01.tif </t>
  </si>
  <si>
    <t xml:space="preserve"> 30238.5927 </t>
  </si>
  <si>
    <t xml:space="preserve"> 85.2597 </t>
  </si>
  <si>
    <t xml:space="preserve">F:\images\2021CHG-ACH-Estrone 1\plaque 1/@12 Estrone 25µg_L/E12_02.tif </t>
  </si>
  <si>
    <t xml:space="preserve"> 31406.607 </t>
  </si>
  <si>
    <t xml:space="preserve"> 85.1233 </t>
  </si>
  <si>
    <t>F:\images\2021CHG-ACH-Estrone 1\plaque 1/@12 Estrone 25µg_L/E12_03- exclu.tif</t>
  </si>
  <si>
    <t xml:space="preserve">F:\images\2021CHG-ACH-Estrone 1\plaque 1/@12 Estrone 25µg_L/F12_01.tif </t>
  </si>
  <si>
    <t xml:space="preserve"> 59374.0608 </t>
  </si>
  <si>
    <t xml:space="preserve"> 92.0514 </t>
  </si>
  <si>
    <t xml:space="preserve">F:\images\2021CHG-ACH-Estrone 1\plaque 1/@12 Estrone 25µg_L/F12_02.tif </t>
  </si>
  <si>
    <t xml:space="preserve"> 64305.6767 </t>
  </si>
  <si>
    <t xml:space="preserve"> 90.1917 </t>
  </si>
  <si>
    <t xml:space="preserve">F:\images\2021CHG-ACH-Estrone 1\plaque 1/@12 Estrone 25µg_L/F12_03.tif </t>
  </si>
  <si>
    <t xml:space="preserve"> 64911.3138 </t>
  </si>
  <si>
    <t xml:space="preserve"> 90.7298 </t>
  </si>
  <si>
    <t xml:space="preserve">F:\images\2021CHG-ACH-Estrone 1\plaque 1/@12 Estrone 25µg_L/G12_01.tif </t>
  </si>
  <si>
    <t xml:space="preserve"> 34088.7139 </t>
  </si>
  <si>
    <t xml:space="preserve"> 78.8623 </t>
  </si>
  <si>
    <t xml:space="preserve">F:\images\2021CHG-ACH-Estrone 1\plaque 1/@12 Estrone 25µg_L/G12_02.tif </t>
  </si>
  <si>
    <t xml:space="preserve"> 32228.543 </t>
  </si>
  <si>
    <t xml:space="preserve"> 87.8503 </t>
  </si>
  <si>
    <t xml:space="preserve">F:\images\2021CHG-ACH-Estrone 1\plaque 1/@12 Estrone 25µg_L/G12_03.tif </t>
  </si>
  <si>
    <t xml:space="preserve"> 34759.2407 </t>
  </si>
  <si>
    <t xml:space="preserve"> 83.9732 </t>
  </si>
  <si>
    <t xml:space="preserve">F:\images\2021CHG-ACH-Estrone 1\plaque 1/@12 Estrone 25µg_L/H12_01.tif </t>
  </si>
  <si>
    <t xml:space="preserve"> 30800.97 </t>
  </si>
  <si>
    <t xml:space="preserve"> 89.8076 </t>
  </si>
  <si>
    <t xml:space="preserve">F:\images\2021CHG-ACH-Estrone 1\plaque 1/@12 Estrone 25µg_L/H12_02.tif </t>
  </si>
  <si>
    <t xml:space="preserve"> 31622.9059 </t>
  </si>
  <si>
    <t xml:space="preserve"> 90.054 </t>
  </si>
  <si>
    <t xml:space="preserve">F:\images\2021CHG-ACH-Estrone 1\plaque 1/@12 Estrone 25µg_L/H12_03.tif </t>
  </si>
  <si>
    <t xml:space="preserve"> 34824.1304 </t>
  </si>
  <si>
    <t xml:space="preserve"> 90.9758 </t>
  </si>
  <si>
    <t xml:space="preserve">F:\images\2021CHG-ACH-Estrone 1\plaque 1/@12 Estrone 25µg_L/ </t>
  </si>
  <si>
    <t xml:space="preserve"> 86.9639 </t>
  </si>
  <si>
    <t xml:space="preserve"> 7.3093 </t>
  </si>
  <si>
    <t xml:space="preserve"> 4186732.88 </t>
  </si>
  <si>
    <t xml:space="preserve"> 1974760.19 </t>
  </si>
  <si>
    <t xml:space="preserve">F:\images\2021CHG-ACH-Estrone 1\plaque 2/@01 Testo 30/A1_01.tif </t>
  </si>
  <si>
    <t xml:space="preserve"> 33288.4078 </t>
  </si>
  <si>
    <t xml:space="preserve"> 67.8525 </t>
  </si>
  <si>
    <t xml:space="preserve">F:\images\2021CHG-ACH-Estrone 1\plaque 2/@01 Testo 30/A1_02.tif </t>
  </si>
  <si>
    <t xml:space="preserve"> 38868.9206 </t>
  </si>
  <si>
    <t xml:space="preserve"> 68.4992 </t>
  </si>
  <si>
    <t xml:space="preserve">F:\images\2021CHG-ACH-Estrone 1\plaque 2/@01 Testo 30/A1_03.tif </t>
  </si>
  <si>
    <t xml:space="preserve"> 33136.9986 </t>
  </si>
  <si>
    <t xml:space="preserve"> 67.9543 </t>
  </si>
  <si>
    <t xml:space="preserve">F:\images\2021CHG-ACH-Estrone 1\plaque 2/@01 Testo 30/B1_01.tif </t>
  </si>
  <si>
    <t xml:space="preserve"> 42308.0739 </t>
  </si>
  <si>
    <t xml:space="preserve"> 72.0987 </t>
  </si>
  <si>
    <t xml:space="preserve">F:\images\2021CHG-ACH-Estrone 1\plaque 2/@01 Testo 30/B1_02.tif </t>
  </si>
  <si>
    <t xml:space="preserve"> 44427.8036 </t>
  </si>
  <si>
    <t xml:space="preserve"> 71.1787 </t>
  </si>
  <si>
    <t xml:space="preserve">F:\images\2021CHG-ACH-Estrone 1\plaque 2/@01 Testo 30/B1_03.tif </t>
  </si>
  <si>
    <t xml:space="preserve"> 41918.7358 </t>
  </si>
  <si>
    <t xml:space="preserve"> 73.2358 </t>
  </si>
  <si>
    <t xml:space="preserve">F:\images\2021CHG-ACH-Estrone 1\plaque 2/@01 Testo 30/C1_01.tif </t>
  </si>
  <si>
    <t xml:space="preserve"> 28421.6815 </t>
  </si>
  <si>
    <t xml:space="preserve"> 73.9292 </t>
  </si>
  <si>
    <t xml:space="preserve">F:\images\2021CHG-ACH-Estrone 1\plaque 2/@01 Testo 30/C1_02.tif </t>
  </si>
  <si>
    <t xml:space="preserve"> 24095.7026 </t>
  </si>
  <si>
    <t xml:space="preserve"> 74.0153 </t>
  </si>
  <si>
    <t xml:space="preserve">F:\images\2021CHG-ACH-Estrone 1\plaque 2/@01 Testo 30/C1_03.tif </t>
  </si>
  <si>
    <t xml:space="preserve"> 25804.4643 </t>
  </si>
  <si>
    <t xml:space="preserve"> 74.4962 </t>
  </si>
  <si>
    <t xml:space="preserve">F:\images\2021CHG-ACH-Estrone 1\plaque 2/@01 Testo 30/D1_01.tif </t>
  </si>
  <si>
    <t xml:space="preserve"> 54269.4056 </t>
  </si>
  <si>
    <t xml:space="preserve"> 76.9067 </t>
  </si>
  <si>
    <t xml:space="preserve">F:\images\2021CHG-ACH-Estrone 1\plaque 2/@01 Testo 30/D1_02.tif </t>
  </si>
  <si>
    <t xml:space="preserve"> 55242.7509 </t>
  </si>
  <si>
    <t xml:space="preserve"> 74.3587 </t>
  </si>
  <si>
    <t xml:space="preserve">F:\images\2021CHG-ACH-Estrone 1\plaque 2/@01 Testo 30/D1_03.tif </t>
  </si>
  <si>
    <t xml:space="preserve"> 53836.8077 </t>
  </si>
  <si>
    <t xml:space="preserve"> 74.7843 </t>
  </si>
  <si>
    <t xml:space="preserve">F:\images\2021CHG-ACH-Estrone 1\plaque 2/@01 Testo 30/E1_01.tif </t>
  </si>
  <si>
    <t xml:space="preserve"> 5580.5128 </t>
  </si>
  <si>
    <t xml:space="preserve"> 65.2829 </t>
  </si>
  <si>
    <t xml:space="preserve">F:\images\2021CHG-ACH-Estrone 1\plaque 2/@01 Testo 30/E1_02.tif </t>
  </si>
  <si>
    <t xml:space="preserve"> 5645.4025 </t>
  </si>
  <si>
    <t xml:space="preserve"> 65.364 </t>
  </si>
  <si>
    <t xml:space="preserve">F:\images\2021CHG-ACH-Estrone 1\plaque 2/@01 Testo 30/E1_03.tif </t>
  </si>
  <si>
    <t xml:space="preserve"> 3785.2316 </t>
  </si>
  <si>
    <t xml:space="preserve"> 63.8914 </t>
  </si>
  <si>
    <t xml:space="preserve">F:\images\2021CHG-ACH-Estrone 1\plaque 2/@01 Testo 30/F1_01.tif </t>
  </si>
  <si>
    <t xml:space="preserve"> 20202.3216 </t>
  </si>
  <si>
    <t xml:space="preserve"> 68.2141 </t>
  </si>
  <si>
    <t xml:space="preserve">F:\images\2021CHG-ACH-Estrone 1\plaque 2/@01 Testo 30/F1_02.tif </t>
  </si>
  <si>
    <t xml:space="preserve"> 16027.7519 </t>
  </si>
  <si>
    <t xml:space="preserve"> 67.2672 </t>
  </si>
  <si>
    <t xml:space="preserve">F:\images\2021CHG-ACH-Estrone 1\plaque 2/@01 Testo 30/F1_03.tif </t>
  </si>
  <si>
    <t xml:space="preserve"> 17476.9549 </t>
  </si>
  <si>
    <t xml:space="preserve"> 66.8738 </t>
  </si>
  <si>
    <t xml:space="preserve">F:\images\2021CHG-ACH-Estrone 1\plaque 2/@01 Testo 30/G1_01.tif </t>
  </si>
  <si>
    <t xml:space="preserve"> 41140.0596 </t>
  </si>
  <si>
    <t xml:space="preserve"> 71.7766 </t>
  </si>
  <si>
    <t xml:space="preserve">F:\images\2021CHG-ACH-Estrone 1\plaque 2/@01 Testo 30/G1_02.tif </t>
  </si>
  <si>
    <t xml:space="preserve"> 43389.5686 </t>
  </si>
  <si>
    <t xml:space="preserve"> 70.3749 </t>
  </si>
  <si>
    <t xml:space="preserve">F:\images\2021CHG-ACH-Estrone 1\plaque 2/@01 Testo 30/G1_03.tif </t>
  </si>
  <si>
    <t xml:space="preserve"> 39863.8958 </t>
  </si>
  <si>
    <t xml:space="preserve"> 71.4281 </t>
  </si>
  <si>
    <t xml:space="preserve">F:\images\2021CHG-ACH-Estrone 1\plaque 2/@01 Testo 30/H1_01.tif </t>
  </si>
  <si>
    <t xml:space="preserve"> 497.4876 </t>
  </si>
  <si>
    <t xml:space="preserve"> 62.6522 </t>
  </si>
  <si>
    <t xml:space="preserve">F:\images\2021CHG-ACH-Estrone 1\plaque 2/@01 Testo 30/H1_02.tif </t>
  </si>
  <si>
    <t xml:space="preserve"> 62.3913 </t>
  </si>
  <si>
    <t xml:space="preserve">F:\images\2021CHG-ACH-Estrone 1\plaque 2/@01 Testo 30/H1_03.tif </t>
  </si>
  <si>
    <t xml:space="preserve"> 64.4286 </t>
  </si>
  <si>
    <t xml:space="preserve">F:\images\2021CHG-ACH-Estrone 1\plaque 2/@01 Testo 30/ </t>
  </si>
  <si>
    <t xml:space="preserve"> 69.5523 </t>
  </si>
  <si>
    <t xml:space="preserve"> 4.2407 </t>
  </si>
  <si>
    <t xml:space="preserve"> 2004005.33 </t>
  </si>
  <si>
    <t xml:space="preserve"> 1356280.42 </t>
  </si>
  <si>
    <t xml:space="preserve">F:\images\2021CHG-ACH-Estrone 1\plaque 2/@02 Testo 30/A2_01.tif </t>
  </si>
  <si>
    <t xml:space="preserve"> 67.3895 </t>
  </si>
  <si>
    <t xml:space="preserve">F:\images\2021CHG-ACH-Estrone 1\plaque 2/@02 Testo 30/A2_02.tif </t>
  </si>
  <si>
    <t xml:space="preserve"> 7959.8012 </t>
  </si>
  <si>
    <t xml:space="preserve"> 65.856 </t>
  </si>
  <si>
    <t xml:space="preserve">F:\images\2021CHG-ACH-Estrone 1\plaque 2/@02 Testo 30/A2_03.tif </t>
  </si>
  <si>
    <t xml:space="preserve"> 64.3596 </t>
  </si>
  <si>
    <t xml:space="preserve">F:\images\2021CHG-ACH-Estrone 1\plaque 2/@02 Testo 30/B2_01.tif </t>
  </si>
  <si>
    <t xml:space="preserve"> 13324.0151 </t>
  </si>
  <si>
    <t xml:space="preserve"> 65.4821 </t>
  </si>
  <si>
    <t xml:space="preserve">F:\images\2021CHG-ACH-Estrone 1\plaque 2/@02 Testo 30/B2_02.tif </t>
  </si>
  <si>
    <t xml:space="preserve"> 10382.3494 </t>
  </si>
  <si>
    <t xml:space="preserve"> 65.7854 </t>
  </si>
  <si>
    <t xml:space="preserve">F:\images\2021CHG-ACH-Estrone 1\plaque 2/@02 Testo 30/B2_03.tif </t>
  </si>
  <si>
    <t xml:space="preserve"> 65.1404 </t>
  </si>
  <si>
    <t xml:space="preserve">F:\images\2021CHG-ACH-Estrone 1\plaque 2/@02 Testo 30/C2_01.tif </t>
  </si>
  <si>
    <t xml:space="preserve"> 14362.25 </t>
  </si>
  <si>
    <t xml:space="preserve"> 66.512 </t>
  </si>
  <si>
    <t xml:space="preserve">F:\images\2021CHG-ACH-Estrone 1\plaque 2/@02 Testo 30/C2_02.tif </t>
  </si>
  <si>
    <t xml:space="preserve"> 11161.0256 </t>
  </si>
  <si>
    <t xml:space="preserve"> 65.907 </t>
  </si>
  <si>
    <t xml:space="preserve">F:\images\2021CHG-ACH-Estrone 1\plaque 2/@02 Testo 30/C2_03.tif </t>
  </si>
  <si>
    <t xml:space="preserve"> 10793.3174 </t>
  </si>
  <si>
    <t xml:space="preserve"> 64.5892 </t>
  </si>
  <si>
    <t xml:space="preserve">F:\images\2021CHG-ACH-Estrone 1\plaque 2/@02 Testo 30/D2_01.tif </t>
  </si>
  <si>
    <t xml:space="preserve"> 30281.8525 </t>
  </si>
  <si>
    <t xml:space="preserve"> 68.0836 </t>
  </si>
  <si>
    <t xml:space="preserve">F:\images\2021CHG-ACH-Estrone 1\plaque 2/@02 Testo 30/D2_02.tif </t>
  </si>
  <si>
    <t xml:space="preserve"> 14859.7376 </t>
  </si>
  <si>
    <t xml:space="preserve"> 64.9229 </t>
  </si>
  <si>
    <t xml:space="preserve">F:\images\2021CHG-ACH-Estrone 1\plaque 2/@02 Testo 30/D2_03.tif </t>
  </si>
  <si>
    <t xml:space="preserve"> 28097.2331 </t>
  </si>
  <si>
    <t xml:space="preserve"> 67.8222 </t>
  </si>
  <si>
    <t xml:space="preserve">F:\images\2021CHG-ACH-Estrone 1\plaque 2/@02 Testo 30/E2_01.tif </t>
  </si>
  <si>
    <t xml:space="preserve"> 6878.3065 </t>
  </si>
  <si>
    <t xml:space="preserve"> 64.6447 </t>
  </si>
  <si>
    <t xml:space="preserve">F:\images\2021CHG-ACH-Estrone 1\plaque 2/@02 Testo 30/E2_02.tif </t>
  </si>
  <si>
    <t xml:space="preserve"> 9711.8227 </t>
  </si>
  <si>
    <t xml:space="preserve"> 65.8218 </t>
  </si>
  <si>
    <t xml:space="preserve">F:\images\2021CHG-ACH-Estrone 1\plaque 2/@02 Testo 30/E2_03.tif </t>
  </si>
  <si>
    <t xml:space="preserve"> 10101.1608 </t>
  </si>
  <si>
    <t xml:space="preserve"> 65.758 </t>
  </si>
  <si>
    <t xml:space="preserve">F:\images\2021CHG-ACH-Estrone 1\plaque 2/@02 Testo 30/F2_01.tif </t>
  </si>
  <si>
    <t xml:space="preserve"> 11096.1359 </t>
  </si>
  <si>
    <t xml:space="preserve"> 64.6043 </t>
  </si>
  <si>
    <t xml:space="preserve">F:\images\2021CHG-ACH-Estrone 1\plaque 2/@02 Testo 30/F2_02.tif </t>
  </si>
  <si>
    <t xml:space="preserve"> 14492.0294 </t>
  </si>
  <si>
    <t xml:space="preserve"> 65.6164 </t>
  </si>
  <si>
    <t xml:space="preserve">F:\images\2021CHG-ACH-Estrone 1\plaque 2/@02 Testo 30/F2_03.tif </t>
  </si>
  <si>
    <t xml:space="preserve"> 10360.7195 </t>
  </si>
  <si>
    <t xml:space="preserve"> 65.3027 </t>
  </si>
  <si>
    <t xml:space="preserve">F:\images\2021CHG-ACH-Estrone 1\plaque 2/@02 Testo 30/G2_01.tif </t>
  </si>
  <si>
    <t xml:space="preserve"> 26777.8096 </t>
  </si>
  <si>
    <t xml:space="preserve"> 67.8013 </t>
  </si>
  <si>
    <t xml:space="preserve">F:\images\2021CHG-ACH-Estrone 1\plaque 2/@02 Testo 30/G2_02.tif </t>
  </si>
  <si>
    <t xml:space="preserve"> 19531.7948 </t>
  </si>
  <si>
    <t xml:space="preserve"> 66.2004 </t>
  </si>
  <si>
    <t xml:space="preserve">F:\images\2021CHG-ACH-Estrone 1\plaque 2/@02 Testo 30/G2_03.tif </t>
  </si>
  <si>
    <t xml:space="preserve"> 20245.5814 </t>
  </si>
  <si>
    <t xml:space="preserve"> 67.7959 </t>
  </si>
  <si>
    <t>F:\images\2021CHG-ACH-Estrone 1\plaque 2/@02 Testo 30/H2_01- exclu.tif</t>
  </si>
  <si>
    <t>F:\images\2021CHG-ACH-Estrone 1\plaque 2/@02 Testo 30/H2_02- exclu.tif</t>
  </si>
  <si>
    <t>F:\images\2021CHG-ACH-Estrone 1\plaque 2/@02 Testo 30/H2_03- exclu.tif</t>
  </si>
  <si>
    <t xml:space="preserve">F:\images\2021CHG-ACH-Estrone 1\plaque 2/@02 Testo 30/ </t>
  </si>
  <si>
    <t xml:space="preserve"> 65.6822 </t>
  </si>
  <si>
    <t xml:space="preserve"> 1.3943 </t>
  </si>
  <si>
    <t xml:space="preserve"> 806683.333 </t>
  </si>
  <si>
    <t xml:space="preserve"> 561461.495 </t>
  </si>
  <si>
    <t xml:space="preserve">F:\images\2021CHG-ACH-Estrone 1\plaque 2/@03 Testo+ EE2 64/A3_01.tif </t>
  </si>
  <si>
    <t xml:space="preserve"> 45422.7787 </t>
  </si>
  <si>
    <t xml:space="preserve"> 75.869 </t>
  </si>
  <si>
    <t xml:space="preserve">F:\images\2021CHG-ACH-Estrone 1\plaque 2/@03 Testo+ EE2 64/A3_02.tif </t>
  </si>
  <si>
    <t xml:space="preserve"> 48818.6722 </t>
  </si>
  <si>
    <t xml:space="preserve"> 71.8414 </t>
  </si>
  <si>
    <t xml:space="preserve">F:\images\2021CHG-ACH-Estrone 1\plaque 2/@03 Testo+ EE2 64/A3_03.tif </t>
  </si>
  <si>
    <t xml:space="preserve"> 50765.3627 </t>
  </si>
  <si>
    <t xml:space="preserve"> 75.1398 </t>
  </si>
  <si>
    <t xml:space="preserve">F:\images\2021CHG-ACH-Estrone 1\plaque 2/@03 Testo+ EE2 64/B3_01.tif </t>
  </si>
  <si>
    <t xml:space="preserve"> 31925.7245 </t>
  </si>
  <si>
    <t xml:space="preserve"> 77.4173 </t>
  </si>
  <si>
    <t xml:space="preserve">F:\images\2021CHG-ACH-Estrone 1\plaque 2/@03 Testo+ EE2 64/B3_02.tif </t>
  </si>
  <si>
    <t xml:space="preserve"> 32855.8099 </t>
  </si>
  <si>
    <t xml:space="preserve"> 78.6201 </t>
  </si>
  <si>
    <t xml:space="preserve">F:\images\2021CHG-ACH-Estrone 1\plaque 2/@03 Testo+ EE2 64/B3_03.tif </t>
  </si>
  <si>
    <t xml:space="preserve"> 41161.6895 </t>
  </si>
  <si>
    <t xml:space="preserve"> 78.6285 </t>
  </si>
  <si>
    <t xml:space="preserve">F:\images\2021CHG-ACH-Estrone 1\plaque 2/@03 Testo+ EE2 64/C3_01.tif </t>
  </si>
  <si>
    <t xml:space="preserve"> 25263.7169 </t>
  </si>
  <si>
    <t xml:space="preserve"> 67.1755 </t>
  </si>
  <si>
    <t xml:space="preserve">F:\images\2021CHG-ACH-Estrone 1\plaque 2/@03 Testo+ EE2 64/C3_02.tif </t>
  </si>
  <si>
    <t xml:space="preserve"> 19683.2041 </t>
  </si>
  <si>
    <t xml:space="preserve"> 66.2967 </t>
  </si>
  <si>
    <t xml:space="preserve">F:\images\2021CHG-ACH-Estrone 1\plaque 2/@03 Testo+ EE2 64/C3_03.tif </t>
  </si>
  <si>
    <t xml:space="preserve"> 25609.7952 </t>
  </si>
  <si>
    <t xml:space="preserve"> 67.1596 </t>
  </si>
  <si>
    <t xml:space="preserve">F:\images\2021CHG-ACH-Estrone 1\plaque 2/@03 Testo+ EE2 64/D3_01.tif </t>
  </si>
  <si>
    <t xml:space="preserve"> 39799.0061 </t>
  </si>
  <si>
    <t xml:space="preserve"> 71.7446 </t>
  </si>
  <si>
    <t xml:space="preserve">F:\images\2021CHG-ACH-Estrone 1\plaque 2/@03 Testo+ EE2 64/D3_02.tif </t>
  </si>
  <si>
    <t xml:space="preserve"> 40123.4545 </t>
  </si>
  <si>
    <t xml:space="preserve"> 74.9677 </t>
  </si>
  <si>
    <t xml:space="preserve">F:\images\2021CHG-ACH-Estrone 1\plaque 2/@03 Testo+ EE2 64/D3_03.tif </t>
  </si>
  <si>
    <t xml:space="preserve"> 36273.3333 </t>
  </si>
  <si>
    <t xml:space="preserve"> 72.2642 </t>
  </si>
  <si>
    <t xml:space="preserve">F:\images\2021CHG-ACH-Estrone 1\plaque 2/@03 Testo+ EE2 64/E3_01.tif </t>
  </si>
  <si>
    <t xml:space="preserve"> 25912.6138 </t>
  </si>
  <si>
    <t xml:space="preserve"> 72.4048 </t>
  </si>
  <si>
    <t xml:space="preserve">F:\images\2021CHG-ACH-Estrone 1\plaque 2/@03 Testo+ EE2 64/E3_02.tif </t>
  </si>
  <si>
    <t xml:space="preserve"> 27210.4074 </t>
  </si>
  <si>
    <t xml:space="preserve"> 74.5135 </t>
  </si>
  <si>
    <t xml:space="preserve">F:\images\2021CHG-ACH-Estrone 1\plaque 2/@03 Testo+ EE2 64/E3_03.tif </t>
  </si>
  <si>
    <t xml:space="preserve"> 26237.0622 </t>
  </si>
  <si>
    <t xml:space="preserve"> 73.9233 </t>
  </si>
  <si>
    <t xml:space="preserve">F:\images\2021CHG-ACH-Estrone 1\plaque 2/@03 Testo+ EE2 64/F3_01.tif </t>
  </si>
  <si>
    <t xml:space="preserve"> 12393.9296 </t>
  </si>
  <si>
    <t xml:space="preserve"> 71.6911 </t>
  </si>
  <si>
    <t xml:space="preserve">F:\images\2021CHG-ACH-Estrone 1\plaque 2/@03 Testo+ EE2 64/F3_02.tif </t>
  </si>
  <si>
    <t xml:space="preserve"> 69.3801 </t>
  </si>
  <si>
    <t xml:space="preserve">F:\images\2021CHG-ACH-Estrone 1\plaque 2/@03 Testo+ EE2 64/F3_03.tif </t>
  </si>
  <si>
    <t xml:space="preserve"> 17282.2858 </t>
  </si>
  <si>
    <t xml:space="preserve"> 67.8223 </t>
  </si>
  <si>
    <t xml:space="preserve">F:\images\2021CHG-ACH-Estrone 1\plaque 2/@03 Testo+ EE2 64/G3_01.tif </t>
  </si>
  <si>
    <t xml:space="preserve"> 3417.5234 </t>
  </si>
  <si>
    <t xml:space="preserve"> 66.2658 </t>
  </si>
  <si>
    <t xml:space="preserve">F:\images\2021CHG-ACH-Estrone 1\plaque 2/@03 Testo+ EE2 64/G3_02.tif </t>
  </si>
  <si>
    <t xml:space="preserve"> 6229.4097 </t>
  </si>
  <si>
    <t xml:space="preserve"> 67.0729 </t>
  </si>
  <si>
    <t xml:space="preserve">F:\images\2021CHG-ACH-Estrone 1\plaque 2/@03 Testo+ EE2 64/G3_03.tif </t>
  </si>
  <si>
    <t xml:space="preserve"> 2573.9575 </t>
  </si>
  <si>
    <t xml:space="preserve"> 66.6807 </t>
  </si>
  <si>
    <t xml:space="preserve">F:\images\2021CHG-ACH-Estrone 1\plaque 2/@03 Testo+ EE2 64/H3_01.tif </t>
  </si>
  <si>
    <t xml:space="preserve"> 62164.3172 </t>
  </si>
  <si>
    <t xml:space="preserve"> 76.65 </t>
  </si>
  <si>
    <t xml:space="preserve">F:\images\2021CHG-ACH-Estrone 1\plaque 2/@03 Testo+ EE2 64/H3_02.tif </t>
  </si>
  <si>
    <t xml:space="preserve"> 62813.214 </t>
  </si>
  <si>
    <t xml:space="preserve"> 76.5833 </t>
  </si>
  <si>
    <t xml:space="preserve">F:\images\2021CHG-ACH-Estrone 1\plaque 2/@03 Testo+ EE2 64/H3_03.tif </t>
  </si>
  <si>
    <t xml:space="preserve"> 60650.2245 </t>
  </si>
  <si>
    <t xml:space="preserve"> 78.4037 </t>
  </si>
  <si>
    <t xml:space="preserve">F:\images\2021CHG-ACH-Estrone 1\plaque 2/@03 Testo+ EE2 64/ </t>
  </si>
  <si>
    <t xml:space="preserve"> 72.4382 </t>
  </si>
  <si>
    <t xml:space="preserve"> 4.3199 </t>
  </si>
  <si>
    <t xml:space="preserve"> 2341352.29 </t>
  </si>
  <si>
    <t xml:space="preserve"> 1399785.35 </t>
  </si>
  <si>
    <t xml:space="preserve">F:\images\2021CHG-ACH-Estrone 1\plaque 2/@04 Testo+ FAD/A4_01.tif </t>
  </si>
  <si>
    <t xml:space="preserve"> 1211.2741 </t>
  </si>
  <si>
    <t xml:space="preserve"> 66.6607 </t>
  </si>
  <si>
    <t xml:space="preserve">F:\images\2021CHG-ACH-Estrone 1\plaque 2/@04 Testo+ FAD/A4_02.tif </t>
  </si>
  <si>
    <t xml:space="preserve"> 63.0417 </t>
  </si>
  <si>
    <t xml:space="preserve">F:\images\2021CHG-ACH-Estrone 1\plaque 2/@04 Testo+ FAD/A4_03.tif </t>
  </si>
  <si>
    <t xml:space="preserve"> 4044.7903 </t>
  </si>
  <si>
    <t xml:space="preserve"> 68.3102 </t>
  </si>
  <si>
    <t xml:space="preserve">F:\images\2021CHG-ACH-Estrone 1\plaque 2/@04 Testo+ FAD/B4_01.tif </t>
  </si>
  <si>
    <t xml:space="preserve"> 3915.0109 </t>
  </si>
  <si>
    <t xml:space="preserve"> 66.7072 </t>
  </si>
  <si>
    <t xml:space="preserve">F:\images\2021CHG-ACH-Estrone 1\plaque 2/@04 Testo+ FAD/B4_02.tif </t>
  </si>
  <si>
    <t xml:space="preserve"> 2336.0286 </t>
  </si>
  <si>
    <t xml:space="preserve"> 66.6759 </t>
  </si>
  <si>
    <t xml:space="preserve">F:\images\2021CHG-ACH-Estrone 1\plaque 2/@04 Testo+ FAD/B4_03.tif </t>
  </si>
  <si>
    <t xml:space="preserve"> 64.3714 </t>
  </si>
  <si>
    <t xml:space="preserve">F:\images\2021CHG-ACH-Estrone 1\plaque 2/@04 Testo+ FAD/C4_01.tif </t>
  </si>
  <si>
    <t xml:space="preserve"> 216.2989 </t>
  </si>
  <si>
    <t xml:space="preserve"> 64.9 </t>
  </si>
  <si>
    <t xml:space="preserve">F:\images\2021CHG-ACH-Estrone 1\plaque 2/@04 Testo+ FAD/C4_02.tif </t>
  </si>
  <si>
    <t xml:space="preserve"> 713.7865 </t>
  </si>
  <si>
    <t xml:space="preserve"> 63.7576 </t>
  </si>
  <si>
    <t xml:space="preserve">F:\images\2021CHG-ACH-Estrone 1\plaque 2/@04 Testo+ FAD/C4_03.tif </t>
  </si>
  <si>
    <t xml:space="preserve"> 65.1765 </t>
  </si>
  <si>
    <t xml:space="preserve">F:\images\2021CHG-ACH-Estrone 1\plaque 2/@04 Testo+ FAD/D4_01.tif </t>
  </si>
  <si>
    <t xml:space="preserve"> 67.5625 </t>
  </si>
  <si>
    <t xml:space="preserve">F:\images\2021CHG-ACH-Estrone 1\plaque 2/@04 Testo+ FAD/D4_02.tif </t>
  </si>
  <si>
    <t xml:space="preserve"> 69.6667 </t>
  </si>
  <si>
    <t xml:space="preserve">F:\images\2021CHG-ACH-Estrone 1\plaque 2/@04 Testo+ FAD/D4_03.tif </t>
  </si>
  <si>
    <t xml:space="preserve">F:\images\2021CHG-ACH-Estrone 1\plaque 2/@04 Testo+ FAD/E4_01.tif </t>
  </si>
  <si>
    <t xml:space="preserve"> 2400.9183 </t>
  </si>
  <si>
    <t xml:space="preserve"> 64.1532 </t>
  </si>
  <si>
    <t xml:space="preserve">F:\images\2021CHG-ACH-Estrone 1\plaque 2/@04 Testo+ FAD/E4_02.tif </t>
  </si>
  <si>
    <t xml:space="preserve"> 2811.8863 </t>
  </si>
  <si>
    <t xml:space="preserve"> 65.2154 </t>
  </si>
  <si>
    <t xml:space="preserve">F:\images\2021CHG-ACH-Estrone 1\plaque 2/@04 Testo+ FAD/E4_03.tif </t>
  </si>
  <si>
    <t xml:space="preserve"> 1362.6834 </t>
  </si>
  <si>
    <t xml:space="preserve">F:\images\2021CHG-ACH-Estrone 1\plaque 2/@04 Testo+ FAD/F4_01.tif </t>
  </si>
  <si>
    <t xml:space="preserve"> 5883.3313 </t>
  </si>
  <si>
    <t xml:space="preserve"> 76.6654 </t>
  </si>
  <si>
    <t xml:space="preserve">F:\images\2021CHG-ACH-Estrone 1\plaque 2/@04 Testo+ FAD/F4_02.tif </t>
  </si>
  <si>
    <t xml:space="preserve"> 6964.8261 </t>
  </si>
  <si>
    <t xml:space="preserve"> 78.4565 </t>
  </si>
  <si>
    <t xml:space="preserve">F:\images\2021CHG-ACH-Estrone 1\plaque 2/@04 Testo+ FAD/F4_03.tif </t>
  </si>
  <si>
    <t xml:space="preserve"> 108.1495 </t>
  </si>
  <si>
    <t xml:space="preserve"> 62.4 </t>
  </si>
  <si>
    <t xml:space="preserve">F:\images\2021CHG-ACH-Estrone 1\plaque 2/@04 Testo+ FAD/G4_01.tif </t>
  </si>
  <si>
    <t xml:space="preserve"> 324.4484 </t>
  </si>
  <si>
    <t xml:space="preserve"> 63.6 </t>
  </si>
  <si>
    <t xml:space="preserve">F:\images\2021CHG-ACH-Estrone 1\plaque 2/@04 Testo+ FAD/G4_02.tif </t>
  </si>
  <si>
    <t xml:space="preserve"> 1816.9111 </t>
  </si>
  <si>
    <t xml:space="preserve"> 64.2976 </t>
  </si>
  <si>
    <t xml:space="preserve">F:\images\2021CHG-ACH-Estrone 1\plaque 2/@04 Testo+ FAD/G4_03.tif </t>
  </si>
  <si>
    <t xml:space="preserve"> 63.1333 </t>
  </si>
  <si>
    <t xml:space="preserve">F:\images\2021CHG-ACH-Estrone 1\plaque 2/@04 Testo+ FAD/H4_01.tif </t>
  </si>
  <si>
    <t xml:space="preserve"> 3395.8935 </t>
  </si>
  <si>
    <t xml:space="preserve"> 66.2611 </t>
  </si>
  <si>
    <t xml:space="preserve">F:\images\2021CHG-ACH-Estrone 1\plaque 2/@04 Testo+ FAD/H4_02.tif </t>
  </si>
  <si>
    <t xml:space="preserve"> 1600.6122 </t>
  </si>
  <si>
    <t xml:space="preserve"> 64.4865 </t>
  </si>
  <si>
    <t xml:space="preserve">F:\images\2021CHG-ACH-Estrone 1\plaque 2/@04 Testo+ FAD/H4_03.tif </t>
  </si>
  <si>
    <t xml:space="preserve"> 3006.5554 </t>
  </si>
  <si>
    <t xml:space="preserve"> 67.2446 </t>
  </si>
  <si>
    <t xml:space="preserve">F:\images\2021CHG-ACH-Estrone 1\plaque 2/@04 Testo+ FAD/ </t>
  </si>
  <si>
    <t xml:space="preserve"> 66.2294 </t>
  </si>
  <si>
    <t xml:space="preserve"> 3.9583 </t>
  </si>
  <si>
    <t xml:space="preserve"> 135710.458 </t>
  </si>
  <si>
    <t xml:space="preserve"> 138197.16 </t>
  </si>
  <si>
    <t xml:space="preserve">F:\images\2021CHG-ACH-Estrone 1\plaque 2/@05 Estrone 0.04 µg_LL dopé/A5_01.tif </t>
  </si>
  <si>
    <t xml:space="preserve"> 42740.6718 </t>
  </si>
  <si>
    <t xml:space="preserve"> 71.1321 </t>
  </si>
  <si>
    <t xml:space="preserve">F:\images\2021CHG-ACH-Estrone 1\plaque 2/@05 Estrone 0.04 µg_LL dopé/A5_02.tif </t>
  </si>
  <si>
    <t xml:space="preserve"> 43908.6861 </t>
  </si>
  <si>
    <t xml:space="preserve"> 69.3527 </t>
  </si>
  <si>
    <t xml:space="preserve">F:\images\2021CHG-ACH-Estrone 1\plaque 2/@05 Estrone 0.04 µg_LL dopé/A5_03.tif </t>
  </si>
  <si>
    <t xml:space="preserve"> 28508.2011 </t>
  </si>
  <si>
    <t xml:space="preserve"> 67.3331 </t>
  </si>
  <si>
    <t xml:space="preserve">F:\images\2021CHG-ACH-Estrone 1\plaque 2/@05 Estrone 0.04 µg_LL dopé/B5_01.tif </t>
  </si>
  <si>
    <t xml:space="preserve"> 64.1096 </t>
  </si>
  <si>
    <t xml:space="preserve">F:\images\2021CHG-ACH-Estrone 1\plaque 2/@05 Estrone 0.04 µg_LL dopé/B5_02.tif </t>
  </si>
  <si>
    <t xml:space="preserve"> 65.473 </t>
  </si>
  <si>
    <t xml:space="preserve">F:\images\2021CHG-ACH-Estrone 1\plaque 2/@05 Estrone 0.04 µg_LL dopé/B5_03.tif </t>
  </si>
  <si>
    <t xml:space="preserve"> 4066.4202 </t>
  </si>
  <si>
    <t xml:space="preserve"> 68.6277 </t>
  </si>
  <si>
    <t xml:space="preserve">F:\images\2021CHG-ACH-Estrone 1\plaque 2/@05 Estrone 0.04 µg_LL dopé/C5_01.tif </t>
  </si>
  <si>
    <t xml:space="preserve"> 30152.0731 </t>
  </si>
  <si>
    <t xml:space="preserve"> 68.9914 </t>
  </si>
  <si>
    <t xml:space="preserve">F:\images\2021CHG-ACH-Estrone 1\plaque 2/@05 Estrone 0.04 µg_LL dopé/C5_02.tif </t>
  </si>
  <si>
    <t xml:space="preserve"> 34802.5005 </t>
  </si>
  <si>
    <t xml:space="preserve"> 68.8459 </t>
  </si>
  <si>
    <t xml:space="preserve">F:\images\2021CHG-ACH-Estrone 1\plaque 2/@05 Estrone 0.04 µg_LL dopé/C5_03.tif </t>
  </si>
  <si>
    <t xml:space="preserve"> 69.9535 </t>
  </si>
  <si>
    <t xml:space="preserve">F:\images\2021CHG-ACH-Estrone 1\plaque 2/@05 Estrone 0.04 µg_LL dopé/D5_01.tif </t>
  </si>
  <si>
    <t xml:space="preserve"> 11052.8762 </t>
  </si>
  <si>
    <t xml:space="preserve"> 64.7671 </t>
  </si>
  <si>
    <t xml:space="preserve">F:\images\2021CHG-ACH-Estrone 1\plaque 2/@05 Estrone 0.04 µg_LL dopé/D5_02.tif </t>
  </si>
  <si>
    <t xml:space="preserve"> 14989.517 </t>
  </si>
  <si>
    <t xml:space="preserve"> 65.7778 </t>
  </si>
  <si>
    <t xml:space="preserve">F:\images\2021CHG-ACH-Estrone 1\plaque 2/@05 Estrone 0.04 µg_LL dopé/D5_03.tif </t>
  </si>
  <si>
    <t xml:space="preserve"> 10447.2391 </t>
  </si>
  <si>
    <t xml:space="preserve"> 64.6356 </t>
  </si>
  <si>
    <t xml:space="preserve">F:\images\2021CHG-ACH-Estrone 1\plaque 2/@05 Estrone 0.04 µg_LL dopé/E5_01.tif </t>
  </si>
  <si>
    <t xml:space="preserve"> 19466.9052 </t>
  </si>
  <si>
    <t xml:space="preserve"> 66.8344 </t>
  </si>
  <si>
    <t xml:space="preserve">F:\images\2021CHG-ACH-Estrone 1\plaque 2/@05 Estrone 0.04 µg_LL dopé/E5_02.tif </t>
  </si>
  <si>
    <t xml:space="preserve"> 18450.3001 </t>
  </si>
  <si>
    <t xml:space="preserve"> 65.381 </t>
  </si>
  <si>
    <t xml:space="preserve">F:\images\2021CHG-ACH-Estrone 1\plaque 2/@05 Estrone 0.04 µg_LL dopé/E5_03.tif </t>
  </si>
  <si>
    <t xml:space="preserve"> 18753.1186 </t>
  </si>
  <si>
    <t xml:space="preserve"> 66.9354 </t>
  </si>
  <si>
    <t xml:space="preserve">F:\images\2021CHG-ACH-Estrone 1\plaque 2/@05 Estrone 0.04 µg_LL dopé/F5_01.tif </t>
  </si>
  <si>
    <t xml:space="preserve"> 23490.0656 </t>
  </si>
  <si>
    <t xml:space="preserve"> 68.0331 </t>
  </si>
  <si>
    <t xml:space="preserve">F:\images\2021CHG-ACH-Estrone 1\plaque 2/@05 Estrone 0.04 µg_LL dopé/F5_02.tif </t>
  </si>
  <si>
    <t xml:space="preserve"> 21781.3039 </t>
  </si>
  <si>
    <t xml:space="preserve"> 70.5859 </t>
  </si>
  <si>
    <t xml:space="preserve">F:\images\2021CHG-ACH-Estrone 1\plaque 2/@05 Estrone 0.04 µg_LL dopé/F5_03.tif </t>
  </si>
  <si>
    <t xml:space="preserve"> 21413.5957 </t>
  </si>
  <si>
    <t xml:space="preserve"> 69.2889 </t>
  </si>
  <si>
    <t xml:space="preserve">F:\images\2021CHG-ACH-Estrone 1\plaque 2/@05 Estrone 0.04 µg_LL dopé/G5_01.tif </t>
  </si>
  <si>
    <t xml:space="preserve"> 15833.0829 </t>
  </si>
  <si>
    <t xml:space="preserve"> 67.0929 </t>
  </si>
  <si>
    <t xml:space="preserve">F:\images\2021CHG-ACH-Estrone 1\plaque 2/@05 Estrone 0.04 µg_LL dopé/G5_02.tif </t>
  </si>
  <si>
    <t xml:space="preserve"> 14210.8408 </t>
  </si>
  <si>
    <t xml:space="preserve"> 66.3881 </t>
  </si>
  <si>
    <t xml:space="preserve">F:\images\2021CHG-ACH-Estrone 1\plaque 2/@05 Estrone 0.04 µg_LL dopé/G5_03.tif </t>
  </si>
  <si>
    <t xml:space="preserve"> 16157.5313 </t>
  </si>
  <si>
    <t xml:space="preserve"> 66.8246 </t>
  </si>
  <si>
    <t xml:space="preserve">F:\images\2021CHG-ACH-Estrone 1\plaque 2/@05 Estrone 0.04 µg_LL dopé/H5_01.tif </t>
  </si>
  <si>
    <t xml:space="preserve"> 33158.6285 </t>
  </si>
  <si>
    <t xml:space="preserve"> 75.1363 </t>
  </si>
  <si>
    <t xml:space="preserve">F:\images\2021CHG-ACH-Estrone 1\plaque 2/@05 Estrone 0.04 µg_LL dopé/H5_02.tif </t>
  </si>
  <si>
    <t xml:space="preserve"> 35732.5859 </t>
  </si>
  <si>
    <t xml:space="preserve"> 73.3099 </t>
  </si>
  <si>
    <t xml:space="preserve">F:\images\2021CHG-ACH-Estrone 1\plaque 2/@05 Estrone 0.04 µg_LL dopé/H5_03.tif </t>
  </si>
  <si>
    <t xml:space="preserve"> 38760.7712 </t>
  </si>
  <si>
    <t xml:space="preserve"> 75.8259 </t>
  </si>
  <si>
    <t xml:space="preserve">F:\images\2021CHG-ACH-Estrone 1\plaque 2/@05 Estrone 0.04 µg_LL dopé/ </t>
  </si>
  <si>
    <t xml:space="preserve"> 68.3598 </t>
  </si>
  <si>
    <t xml:space="preserve"> 3.1346 </t>
  </si>
  <si>
    <t xml:space="preserve"> 1540669.42 </t>
  </si>
  <si>
    <t xml:space="preserve"> 898058.201 </t>
  </si>
  <si>
    <t xml:space="preserve">F:\images\2021CHG-ACH-Estrone 1\plaque 2/@06 Estrone 0.2 µg_LL dopé/A6_01.tif </t>
  </si>
  <si>
    <t xml:space="preserve"> 22430.2007 </t>
  </si>
  <si>
    <t xml:space="preserve"> 77.3067 </t>
  </si>
  <si>
    <t xml:space="preserve">F:\images\2021CHG-ACH-Estrone 1\plaque 2/@06 Estrone 0.2 µg_LL dopé/A6_02.tif </t>
  </si>
  <si>
    <t xml:space="preserve"> 778.6762 </t>
  </si>
  <si>
    <t xml:space="preserve"> 62.4167 </t>
  </si>
  <si>
    <t xml:space="preserve">F:\images\2021CHG-ACH-Estrone 1\plaque 2/@06 Estrone 0.2 µg_LL dopé/A6_03.tif </t>
  </si>
  <si>
    <t xml:space="preserve"> 3157.9646 </t>
  </si>
  <si>
    <t xml:space="preserve"> 64.6918 </t>
  </si>
  <si>
    <t xml:space="preserve">F:\images\2021CHG-ACH-Estrone 1\plaque 2/@06 Estrone 0.2 µg_LL dopé/B6_01.tif </t>
  </si>
  <si>
    <t xml:space="preserve"> 33201.8883 </t>
  </si>
  <si>
    <t xml:space="preserve"> 72.6788 </t>
  </si>
  <si>
    <t xml:space="preserve">F:\images\2021CHG-ACH-Estrone 1\plaque 2/@06 Estrone 0.2 µg_LL dopé/B6_02.tif </t>
  </si>
  <si>
    <t xml:space="preserve"> 30519.7813 </t>
  </si>
  <si>
    <t xml:space="preserve"> 71.1361 </t>
  </si>
  <si>
    <t xml:space="preserve">F:\images\2021CHG-ACH-Estrone 1\plaque 2/@06 Estrone 0.2 µg_LL dopé/B6_03.tif </t>
  </si>
  <si>
    <t xml:space="preserve"> 33612.8563 </t>
  </si>
  <si>
    <t xml:space="preserve"> 71.4286 </t>
  </si>
  <si>
    <t xml:space="preserve">F:\images\2021CHG-ACH-Estrone 1\plaque 2/@06 Estrone 0.2 µg_LL dopé/C6_01.tif </t>
  </si>
  <si>
    <t xml:space="preserve"> 22992.578 </t>
  </si>
  <si>
    <t xml:space="preserve"> 67.6011 </t>
  </si>
  <si>
    <t xml:space="preserve">F:\images\2021CHG-ACH-Estrone 1\plaque 2/@06 Estrone 0.2 µg_LL dopé/C6_02.tif </t>
  </si>
  <si>
    <t xml:space="preserve"> 19921.133 </t>
  </si>
  <si>
    <t xml:space="preserve"> 67.0879 </t>
  </si>
  <si>
    <t xml:space="preserve">F:\images\2021CHG-ACH-Estrone 1\plaque 2/@06 Estrone 0.2 µg_LL dopé/C6_03.tif </t>
  </si>
  <si>
    <t xml:space="preserve"> 23814.514 </t>
  </si>
  <si>
    <t xml:space="preserve"> 66.9419 </t>
  </si>
  <si>
    <t xml:space="preserve">F:\images\2021CHG-ACH-Estrone 1\plaque 2/@06 Estrone 0.2 µg_LL dopé/D6_01.tif </t>
  </si>
  <si>
    <t xml:space="preserve"> 25653.055 </t>
  </si>
  <si>
    <t xml:space="preserve"> 66.6847 </t>
  </si>
  <si>
    <t xml:space="preserve">F:\images\2021CHG-ACH-Estrone 1\plaque 2/@06 Estrone 0.2 µg_LL dopé/D6_02.tif </t>
  </si>
  <si>
    <t xml:space="preserve"> 19942.7628 </t>
  </si>
  <si>
    <t xml:space="preserve"> 65.7907 </t>
  </si>
  <si>
    <t xml:space="preserve">F:\images\2021CHG-ACH-Estrone 1\plaque 2/@06 Estrone 0.2 µg_LL dopé/D6_03.tif </t>
  </si>
  <si>
    <t xml:space="preserve"> 22408.5708 </t>
  </si>
  <si>
    <t xml:space="preserve"> 66.9324 </t>
  </si>
  <si>
    <t xml:space="preserve">F:\images\2021CHG-ACH-Estrone 1\plaque 2/@06 Estrone 0.2 µg_LL dopé/E6_01.tif </t>
  </si>
  <si>
    <t xml:space="preserve"> 26799.4394 </t>
  </si>
  <si>
    <t xml:space="preserve"> 68.0178 </t>
  </si>
  <si>
    <t xml:space="preserve">F:\images\2021CHG-ACH-Estrone 1\plaque 2/@06 Estrone 0.2 µg_LL dopé/E6_02.tif </t>
  </si>
  <si>
    <t xml:space="preserve"> 28724.5001 </t>
  </si>
  <si>
    <t xml:space="preserve"> 68.8509 </t>
  </si>
  <si>
    <t xml:space="preserve">F:\images\2021CHG-ACH-Estrone 1\plaque 2/@06 Estrone 0.2 µg_LL dopé/E6_03.tif </t>
  </si>
  <si>
    <t xml:space="preserve"> 27643.0053 </t>
  </si>
  <si>
    <t xml:space="preserve"> 68.7152 </t>
  </si>
  <si>
    <t xml:space="preserve">F:\images\2021CHG-ACH-Estrone 1\plaque 2/@06 Estrone 0.2 µg_LL dopé/F6_01.tif </t>
  </si>
  <si>
    <t xml:space="preserve"> 9841.6021 </t>
  </si>
  <si>
    <t xml:space="preserve"> 66.5363 </t>
  </si>
  <si>
    <t xml:space="preserve">F:\images\2021CHG-ACH-Estrone 1\plaque 2/@06 Estrone 0.2 µg_LL dopé/F6_02.tif </t>
  </si>
  <si>
    <t xml:space="preserve"> 9473.8938 </t>
  </si>
  <si>
    <t xml:space="preserve"> 65.3995 </t>
  </si>
  <si>
    <t xml:space="preserve">F:\images\2021CHG-ACH-Estrone 1\plaque 2/@06 Estrone 0.2 µg_LL dopé/F6_03.tif </t>
  </si>
  <si>
    <t xml:space="preserve"> 18688.229 </t>
  </si>
  <si>
    <t xml:space="preserve"> 67.5729 </t>
  </si>
  <si>
    <t xml:space="preserve">F:\images\2021CHG-ACH-Estrone 1\plaque 2/@06 Estrone 0.2 µg_LL dopé/G6_01.tif </t>
  </si>
  <si>
    <t xml:space="preserve"> 65.28 </t>
  </si>
  <si>
    <t xml:space="preserve">F:\images\2021CHG-ACH-Estrone 1\plaque 2/@06 Estrone 0.2 µg_LL dopé/G6_02.tif </t>
  </si>
  <si>
    <t xml:space="preserve"> 63.7517 </t>
  </si>
  <si>
    <t xml:space="preserve">F:\images\2021CHG-ACH-Estrone 1\plaque 2/@06 Estrone 0.2 µg_LL dopé/G6_03.tif </t>
  </si>
  <si>
    <t xml:space="preserve"> 2617.2173 </t>
  </si>
  <si>
    <t xml:space="preserve"> 63.876 </t>
  </si>
  <si>
    <t xml:space="preserve">F:\images\2021CHG-ACH-Estrone 1\plaque 2/@06 Estrone 0.2 µg_LL dopé/H6_01.tif </t>
  </si>
  <si>
    <t xml:space="preserve"> 13086.0863 </t>
  </si>
  <si>
    <t xml:space="preserve"> 73.1983 </t>
  </si>
  <si>
    <t xml:space="preserve">F:\images\2021CHG-ACH-Estrone 1\plaque 2/@06 Estrone 0.2 µg_LL dopé/H6_02.tif </t>
  </si>
  <si>
    <t xml:space="preserve"> 11334.0648 </t>
  </si>
  <si>
    <t xml:space="preserve"> 73.6011 </t>
  </si>
  <si>
    <t xml:space="preserve">F:\images\2021CHG-ACH-Estrone 1\plaque 2/@06 Estrone 0.2 µg_LL dopé/H6_03.tif </t>
  </si>
  <si>
    <t xml:space="preserve"> 11982.9616 </t>
  </si>
  <si>
    <t xml:space="preserve"> 72.9386 </t>
  </si>
  <si>
    <t xml:space="preserve">F:\images\2021CHG-ACH-Estrone 1\plaque 2/@06 Estrone 0.2 µg_LL dopé/ </t>
  </si>
  <si>
    <t xml:space="preserve"> 68.2682 </t>
  </si>
  <si>
    <t xml:space="preserve"> 3.7061 </t>
  </si>
  <si>
    <t xml:space="preserve"> 1227574.83 </t>
  </si>
  <si>
    <t xml:space="preserve"> 739145.208 </t>
  </si>
  <si>
    <t xml:space="preserve">F:\images\2021CHG-ACH-Estrone 1\plaque 2/@07 Estrone 1 µg_LL dopé/A7_01.tif </t>
  </si>
  <si>
    <t xml:space="preserve"> 46828.7219 </t>
  </si>
  <si>
    <t xml:space="preserve"> 89.6162 </t>
  </si>
  <si>
    <t xml:space="preserve">F:\images\2021CHG-ACH-Estrone 1\plaque 2/@07 Estrone 1 µg_LL dopé/A7_02.tif </t>
  </si>
  <si>
    <t xml:space="preserve"> 44168.2448 </t>
  </si>
  <si>
    <t xml:space="preserve"> 89.3134 </t>
  </si>
  <si>
    <t xml:space="preserve">F:\images\2021CHG-ACH-Estrone 1\plaque 2/@07 Estrone 1 µg_LL dopé/A7_03.tif </t>
  </si>
  <si>
    <t xml:space="preserve"> 45703.9674 </t>
  </si>
  <si>
    <t xml:space="preserve"> 87.6555 </t>
  </si>
  <si>
    <t xml:space="preserve">F:\images\2021CHG-ACH-Estrone 1\plaque 2/@07 Estrone 1 µg_LL dopé/B7_01.tif </t>
  </si>
  <si>
    <t xml:space="preserve"> 53425.8397 </t>
  </si>
  <si>
    <t xml:space="preserve"> 80.1547 </t>
  </si>
  <si>
    <t xml:space="preserve">F:\images\2021CHG-ACH-Estrone 1\plaque 2/@07 Estrone 1 µg_LL dopé/B7_02.tif </t>
  </si>
  <si>
    <t xml:space="preserve"> 54247.7757 </t>
  </si>
  <si>
    <t xml:space="preserve"> 80.7843 </t>
  </si>
  <si>
    <t xml:space="preserve">F:\images\2021CHG-ACH-Estrone 1\plaque 2/@07 Estrone 1 µg_LL dopé/B7_03.tif </t>
  </si>
  <si>
    <t xml:space="preserve"> 53274.4305 </t>
  </si>
  <si>
    <t xml:space="preserve"> 80.0702 </t>
  </si>
  <si>
    <t xml:space="preserve">F:\images\2021CHG-ACH-Estrone 1\plaque 2/@07 Estrone 1 µg_LL dopé/C7_01.tif </t>
  </si>
  <si>
    <t xml:space="preserve"> 40404.6432 </t>
  </si>
  <si>
    <t xml:space="preserve"> 77.2195 </t>
  </si>
  <si>
    <t xml:space="preserve">F:\images\2021CHG-ACH-Estrone 1\plaque 2/@07 Estrone 1 µg_LL dopé/C7_02.tif </t>
  </si>
  <si>
    <t xml:space="preserve"> 76.0568 </t>
  </si>
  <si>
    <t xml:space="preserve">F:\images\2021CHG-ACH-Estrone 1\plaque 2/@07 Estrone 1 µg_LL dopé/C7_03.tif </t>
  </si>
  <si>
    <t xml:space="preserve"> 40729.0916 </t>
  </si>
  <si>
    <t xml:space="preserve"> 75.8619 </t>
  </si>
  <si>
    <t xml:space="preserve">F:\images\2021CHG-ACH-Estrone 1\plaque 2/@07 Estrone 1 µg_LL dopé/D7_01.tif </t>
  </si>
  <si>
    <t xml:space="preserve"> 12329.0399 </t>
  </si>
  <si>
    <t xml:space="preserve"> 66.4175 </t>
  </si>
  <si>
    <t xml:space="preserve">F:\images\2021CHG-ACH-Estrone 1\plaque 2/@07 Estrone 1 µg_LL dopé/D7_02.tif </t>
  </si>
  <si>
    <t xml:space="preserve"> 11355.6947 </t>
  </si>
  <si>
    <t xml:space="preserve"> 68.861 </t>
  </si>
  <si>
    <t xml:space="preserve">F:\images\2021CHG-ACH-Estrone 1\plaque 2/@07 Estrone 1 µg_LL dopé/D7_03.tif </t>
  </si>
  <si>
    <t xml:space="preserve"> 9668.5629 </t>
  </si>
  <si>
    <t xml:space="preserve"> 68.7226 </t>
  </si>
  <si>
    <t xml:space="preserve">F:\images\2021CHG-ACH-Estrone 1\plaque 2/@07 Estrone 1 µg_LL dopé/E7_01.tif </t>
  </si>
  <si>
    <t xml:space="preserve"> 56410.7652 </t>
  </si>
  <si>
    <t xml:space="preserve"> 77.7692 </t>
  </si>
  <si>
    <t xml:space="preserve">F:\images\2021CHG-ACH-Estrone 1\plaque 2/@07 Estrone 1 µg_LL dopé/E7_02.tif </t>
  </si>
  <si>
    <t xml:space="preserve"> 44189.8747 </t>
  </si>
  <si>
    <t xml:space="preserve"> 74.279 </t>
  </si>
  <si>
    <t xml:space="preserve">F:\images\2021CHG-ACH-Estrone 1\plaque 2/@07 Estrone 1 µg_LL dopé/E7_03.tif </t>
  </si>
  <si>
    <t xml:space="preserve"> 59503.8401 </t>
  </si>
  <si>
    <t xml:space="preserve"> 76.7412 </t>
  </si>
  <si>
    <t xml:space="preserve">F:\images\2021CHG-ACH-Estrone 1\plaque 2/@07 Estrone 1 µg_LL dopé/F7_01.tif </t>
  </si>
  <si>
    <t xml:space="preserve"> 36424.7426 </t>
  </si>
  <si>
    <t xml:space="preserve"> 71.0594 </t>
  </si>
  <si>
    <t xml:space="preserve">F:\images\2021CHG-ACH-Estrone 1\plaque 2/@07 Estrone 1 µg_LL dopé/F7_02.tif </t>
  </si>
  <si>
    <t xml:space="preserve"> 35646.0663 </t>
  </si>
  <si>
    <t xml:space="preserve"> 73.6462 </t>
  </si>
  <si>
    <t xml:space="preserve">F:\images\2021CHG-ACH-Estrone 1\plaque 2/@07 Estrone 1 µg_LL dopé/F7_03.tif </t>
  </si>
  <si>
    <t xml:space="preserve"> 30627.9308 </t>
  </si>
  <si>
    <t xml:space="preserve"> 71.8093 </t>
  </si>
  <si>
    <t xml:space="preserve">F:\images\2021CHG-ACH-Estrone 1\plaque 2/@07 Estrone 1 µg_LL dopé/G7_01.tif </t>
  </si>
  <si>
    <t xml:space="preserve"> 41983.6255 </t>
  </si>
  <si>
    <t xml:space="preserve"> 83.9335 </t>
  </si>
  <si>
    <t xml:space="preserve">F:\images\2021CHG-ACH-Estrone 1\plaque 2/@07 Estrone 1 µg_LL dopé/G7_02.tif </t>
  </si>
  <si>
    <t xml:space="preserve"> 83.5291 </t>
  </si>
  <si>
    <t xml:space="preserve">F:\images\2021CHG-ACH-Estrone 1\plaque 2/@07 Estrone 1 µg_LL dopé/G7_03.tif </t>
  </si>
  <si>
    <t xml:space="preserve"> 42870.4512 </t>
  </si>
  <si>
    <t xml:space="preserve"> 85.3244 </t>
  </si>
  <si>
    <t xml:space="preserve">F:\images\2021CHG-ACH-Estrone 1\plaque 2/@07 Estrone 1 µg_LL dopé/H7_01.tif </t>
  </si>
  <si>
    <t xml:space="preserve"> 52171.3058 </t>
  </si>
  <si>
    <t xml:space="preserve"> 72.2782 </t>
  </si>
  <si>
    <t xml:space="preserve">F:\images\2021CHG-ACH-Estrone 1\plaque 2/@07 Estrone 1 µg_LL dopé/H7_02.tif </t>
  </si>
  <si>
    <t xml:space="preserve"> 46547.5332 </t>
  </si>
  <si>
    <t xml:space="preserve"> 74.4545 </t>
  </si>
  <si>
    <t xml:space="preserve">F:\images\2021CHG-ACH-Estrone 1\plaque 2/@07 Estrone 1 µg_LL dopé/H7_03.tif </t>
  </si>
  <si>
    <t xml:space="preserve"> 56886.6229 </t>
  </si>
  <si>
    <t xml:space="preserve"> 72.6722 </t>
  </si>
  <si>
    <t xml:space="preserve">F:\images\2021CHG-ACH-Estrone 1\plaque 2/@07 Estrone 1 µg_LL dopé/ </t>
  </si>
  <si>
    <t xml:space="preserve"> 77.4262 </t>
  </si>
  <si>
    <t xml:space="preserve"> 6.5664 </t>
  </si>
  <si>
    <t xml:space="preserve"> 3276139.58 </t>
  </si>
  <si>
    <t xml:space="preserve"> 1158594.07 </t>
  </si>
  <si>
    <t xml:space="preserve">F:\images\2021CHG-ACH-Estrone 1\plaque 2/@08 Estrone 5 µg_LL dopé/A8_01.tif </t>
  </si>
  <si>
    <t xml:space="preserve"> 50029.9463 </t>
  </si>
  <si>
    <t xml:space="preserve"> 93.9447 </t>
  </si>
  <si>
    <t xml:space="preserve">F:\images\2021CHG-ACH-Estrone 1\plaque 2/@08 Estrone 5 µg_LL dopé/A8_02.tif </t>
  </si>
  <si>
    <t xml:space="preserve"> 53728.6583 </t>
  </si>
  <si>
    <t xml:space="preserve"> 91.6763 </t>
  </si>
  <si>
    <t>F:\images\2021CHG-ACH-Estrone 1\plaque 2/@08 Estrone 5 µg_LL dopé/A8_03- exclu.tif</t>
  </si>
  <si>
    <t xml:space="preserve">F:\images\2021CHG-ACH-Estrone 1\plaque 2/@08 Estrone 5 µg_LL dopé/B8_01.tif </t>
  </si>
  <si>
    <t xml:space="preserve"> 75012.4746 </t>
  </si>
  <si>
    <t xml:space="preserve"> 85.0499 </t>
  </si>
  <si>
    <t xml:space="preserve">F:\images\2021CHG-ACH-Estrone 1\plaque 2/@08 Estrone 5 µg_LL dopé/B8_02.tif </t>
  </si>
  <si>
    <t xml:space="preserve"> 84.5963 </t>
  </si>
  <si>
    <t xml:space="preserve">F:\images\2021CHG-ACH-Estrone 1\plaque 2/@08 Estrone 5 µg_LL dopé/B8_03.tif </t>
  </si>
  <si>
    <t xml:space="preserve"> 74450.0973 </t>
  </si>
  <si>
    <t xml:space="preserve"> 85.7594 </t>
  </si>
  <si>
    <t xml:space="preserve">F:\images\2021CHG-ACH-Estrone 1\plaque 2/@08 Estrone 5 µg_LL dopé/C8_01.tif </t>
  </si>
  <si>
    <t xml:space="preserve"> 80.249 </t>
  </si>
  <si>
    <t xml:space="preserve">F:\images\2021CHG-ACH-Estrone 1\plaque 2/@08 Estrone 5 µg_LL dopé/C8_02.tif </t>
  </si>
  <si>
    <t xml:space="preserve"> 23576.5851 </t>
  </si>
  <si>
    <t xml:space="preserve"> 77.7615 </t>
  </si>
  <si>
    <t xml:space="preserve">F:\images\2021CHG-ACH-Estrone 1\plaque 2/@08 Estrone 5 µg_LL dopé/C8_03.tif </t>
  </si>
  <si>
    <t xml:space="preserve"> 29373.3969 </t>
  </si>
  <si>
    <t xml:space="preserve"> 79.687 </t>
  </si>
  <si>
    <t xml:space="preserve">F:\images\2021CHG-ACH-Estrone 1\plaque 2/@08 Estrone 5 µg_LL dopé/D8_01.tif </t>
  </si>
  <si>
    <t xml:space="preserve"> 33180.2584 </t>
  </si>
  <si>
    <t xml:space="preserve"> 86.1017 </t>
  </si>
  <si>
    <t xml:space="preserve">F:\images\2021CHG-ACH-Estrone 1\plaque 2/@08 Estrone 5 µg_LL dopé/D8_02.tif </t>
  </si>
  <si>
    <t xml:space="preserve"> 38349.8032 </t>
  </si>
  <si>
    <t xml:space="preserve"> 79.9193 </t>
  </si>
  <si>
    <t xml:space="preserve">F:\images\2021CHG-ACH-Estrone 1\plaque 2/@08 Estrone 5 µg_LL dopé/D8_03.tif </t>
  </si>
  <si>
    <t xml:space="preserve"> 37116.8992 </t>
  </si>
  <si>
    <t xml:space="preserve"> 83.5938 </t>
  </si>
  <si>
    <t xml:space="preserve">F:\images\2021CHG-ACH-Estrone 1\plaque 2/@08 Estrone 5 µg_LL dopé/E8_01.tif </t>
  </si>
  <si>
    <t xml:space="preserve"> 16179.1612 </t>
  </si>
  <si>
    <t xml:space="preserve"> 123.9906 </t>
  </si>
  <si>
    <t xml:space="preserve">F:\images\2021CHG-ACH-Estrone 1\plaque 2/@08 Estrone 5 µg_LL dopé/E8_02.tif </t>
  </si>
  <si>
    <t xml:space="preserve"> 15119.2963 </t>
  </si>
  <si>
    <t xml:space="preserve"> 115.2246 </t>
  </si>
  <si>
    <t xml:space="preserve">F:\images\2021CHG-ACH-Estrone 1\plaque 2/@08 Estrone 5 µg_LL dopé/E8_03.tif </t>
  </si>
  <si>
    <t xml:space="preserve"> 14967.8871 </t>
  </si>
  <si>
    <t xml:space="preserve"> 116.5809 </t>
  </si>
  <si>
    <t xml:space="preserve">F:\images\2021CHG-ACH-Estrone 1\plaque 2/@08 Estrone 5 µg_LL dopé/F8_01.tif </t>
  </si>
  <si>
    <t xml:space="preserve"> 29092.2083 </t>
  </si>
  <si>
    <t xml:space="preserve"> 83.6387 </t>
  </si>
  <si>
    <t xml:space="preserve">F:\images\2021CHG-ACH-Estrone 1\plaque 2/@08 Estrone 5 µg_LL dopé/F8_02.tif </t>
  </si>
  <si>
    <t xml:space="preserve"> 31774.3152 </t>
  </si>
  <si>
    <t xml:space="preserve"> 84.4472 </t>
  </si>
  <si>
    <t xml:space="preserve">F:\images\2021CHG-ACH-Estrone 1\plaque 2/@08 Estrone 5 µg_LL dopé/F8_03.tif </t>
  </si>
  <si>
    <t xml:space="preserve"> 31428.2369 </t>
  </si>
  <si>
    <t xml:space="preserve"> 85.4838 </t>
  </si>
  <si>
    <t xml:space="preserve">F:\images\2021CHG-ACH-Estrone 1\plaque 2/@08 Estrone 5 µg_LL dopé/G8_01.tif </t>
  </si>
  <si>
    <t xml:space="preserve"> 39431.2979 </t>
  </si>
  <si>
    <t xml:space="preserve"> 73.2457 </t>
  </si>
  <si>
    <t xml:space="preserve">F:\images\2021CHG-ACH-Estrone 1\plaque 2/@08 Estrone 5 µg_LL dopé/G8_02.tif </t>
  </si>
  <si>
    <t xml:space="preserve"> 41377.9884 </t>
  </si>
  <si>
    <t xml:space="preserve"> 82.0915 </t>
  </si>
  <si>
    <t xml:space="preserve">F:\images\2021CHG-ACH-Estrone 1\plaque 2/@08 Estrone 5 µg_LL dopé/G8_03.tif </t>
  </si>
  <si>
    <t xml:space="preserve"> 44276.3943 </t>
  </si>
  <si>
    <t xml:space="preserve"> 80.1724 </t>
  </si>
  <si>
    <t xml:space="preserve">F:\images\2021CHG-ACH-Estrone 1\plaque 2/@08 Estrone 5 µg_LL dopé/H8_01.tif </t>
  </si>
  <si>
    <t xml:space="preserve"> 35970.5148 </t>
  </si>
  <si>
    <t xml:space="preserve"> 79.6849 </t>
  </si>
  <si>
    <t xml:space="preserve">F:\images\2021CHG-ACH-Estrone 1\plaque 2/@08 Estrone 5 µg_LL dopé/H8_02.tif </t>
  </si>
  <si>
    <t xml:space="preserve"> 37614.3868 </t>
  </si>
  <si>
    <t xml:space="preserve"> 77.778 </t>
  </si>
  <si>
    <t xml:space="preserve">F:\images\2021CHG-ACH-Estrone 1\plaque 2/@08 Estrone 5 µg_LL dopé/H8_03.tif </t>
  </si>
  <si>
    <t xml:space="preserve"> 39323.1484 </t>
  </si>
  <si>
    <t xml:space="preserve"> 78.2651 </t>
  </si>
  <si>
    <t xml:space="preserve">F:\images\2021CHG-ACH-Estrone 1\plaque 2/@08 Estrone 5 µg_LL dopé/ </t>
  </si>
  <si>
    <t xml:space="preserve"> 87.0803 </t>
  </si>
  <si>
    <t xml:space="preserve"> 13.0201 </t>
  </si>
  <si>
    <t xml:space="preserve"> 3349584.62 </t>
  </si>
  <si>
    <t xml:space="preserve"> 1434941.01 </t>
  </si>
  <si>
    <t xml:space="preserve">F:\images\2021CHG-ACH-Estrone 1\plaque 2/@09 Estrone 25 µg_LL dopé/A9_01.tif </t>
  </si>
  <si>
    <t xml:space="preserve"> 34218.4933 </t>
  </si>
  <si>
    <t xml:space="preserve"> 87.5714 </t>
  </si>
  <si>
    <t xml:space="preserve">F:\images\2021CHG-ACH-Estrone 1\plaque 2/@09 Estrone 25 µg_LL dopé/A9_02.tif </t>
  </si>
  <si>
    <t xml:space="preserve"> 85.5777 </t>
  </si>
  <si>
    <t xml:space="preserve">F:\images\2021CHG-ACH-Estrone 1\plaque 2/@09 Estrone 25 µg_LL dopé/A9_03.tif </t>
  </si>
  <si>
    <t xml:space="preserve"> 41204.9493 </t>
  </si>
  <si>
    <t xml:space="preserve"> 84.1176 </t>
  </si>
  <si>
    <t xml:space="preserve">F:\images\2021CHG-ACH-Estrone 1\plaque 2/@09 Estrone 25 µg_LL dopé/B9_01.tif </t>
  </si>
  <si>
    <t xml:space="preserve"> 89612.6534 </t>
  </si>
  <si>
    <t xml:space="preserve"> 100.504 </t>
  </si>
  <si>
    <t xml:space="preserve">F:\images\2021CHG-ACH-Estrone 1\plaque 2/@09 Estrone 25 µg_LL dopé/B9_02.tif </t>
  </si>
  <si>
    <t xml:space="preserve"> 91191.6358 </t>
  </si>
  <si>
    <t xml:space="preserve"> 103.9004 </t>
  </si>
  <si>
    <t xml:space="preserve">F:\images\2021CHG-ACH-Estrone 1\plaque 2/@09 Estrone 25 µg_LL dopé/B9_03.tif </t>
  </si>
  <si>
    <t xml:space="preserve"> 79165.4143 </t>
  </si>
  <si>
    <t xml:space="preserve"> 108.7642 </t>
  </si>
  <si>
    <t xml:space="preserve">F:\images\2021CHG-ACH-Estrone 1\plaque 2/@09 Estrone 25 µg_LL dopé/C9_01.tif </t>
  </si>
  <si>
    <t xml:space="preserve"> 68372.0969 </t>
  </si>
  <si>
    <t xml:space="preserve"> 82.9048 </t>
  </si>
  <si>
    <t xml:space="preserve">F:\images\2021CHG-ACH-Estrone 1\plaque 2/@09 Estrone 25 µg_LL dopé/C9_02.tif </t>
  </si>
  <si>
    <t xml:space="preserve"> 72957.6346 </t>
  </si>
  <si>
    <t xml:space="preserve"> 86.1251 </t>
  </si>
  <si>
    <t xml:space="preserve">F:\images\2021CHG-ACH-Estrone 1\plaque 2/@09 Estrone 25 µg_LL dopé/C9_03.tif </t>
  </si>
  <si>
    <t xml:space="preserve"> 71227.243 </t>
  </si>
  <si>
    <t xml:space="preserve"> 86.6915 </t>
  </si>
  <si>
    <t xml:space="preserve">F:\images\2021CHG-ACH-Estrone 1\plaque 2/@09 Estrone 25 µg_LL dopé/D9_01.tif </t>
  </si>
  <si>
    <t xml:space="preserve"> 54334.2953 </t>
  </si>
  <si>
    <t xml:space="preserve"> 87.2512 </t>
  </si>
  <si>
    <t xml:space="preserve">F:\images\2021CHG-ACH-Estrone 1\plaque 2/@09 Estrone 25 µg_LL dopé/D9_02.tif </t>
  </si>
  <si>
    <t xml:space="preserve"> 55653.7189 </t>
  </si>
  <si>
    <t xml:space="preserve"> 86.0016 </t>
  </si>
  <si>
    <t xml:space="preserve">F:\images\2021CHG-ACH-Estrone 1\plaque 2/@09 Estrone 25 µg_LL dopé/D9_03.tif </t>
  </si>
  <si>
    <t xml:space="preserve"> 54312.6654 </t>
  </si>
  <si>
    <t xml:space="preserve"> 86.6898 </t>
  </si>
  <si>
    <t xml:space="preserve">F:\images\2021CHG-ACH-Estrone 1\plaque 2/@09 Estrone 25 µg_LL dopé/E9_01.tif </t>
  </si>
  <si>
    <t xml:space="preserve"> 25242.087 </t>
  </si>
  <si>
    <t xml:space="preserve"> 81.4207 </t>
  </si>
  <si>
    <t xml:space="preserve">F:\images\2021CHG-ACH-Estrone 1\plaque 2/@09 Estrone 25 µg_LL dopé/E9_02.tif </t>
  </si>
  <si>
    <t xml:space="preserve"> 80.2754 </t>
  </si>
  <si>
    <t xml:space="preserve">F:\images\2021CHG-ACH-Estrone 1\plaque 2/@09 Estrone 25 µg_LL dopé/E9_03.tif </t>
  </si>
  <si>
    <t xml:space="preserve"> 24117.3325 </t>
  </si>
  <si>
    <t xml:space="preserve"> 79.3399 </t>
  </si>
  <si>
    <t xml:space="preserve">F:\images\2021CHG-ACH-Estrone 1\plaque 2/@09 Estrone 25 µg_LL dopé/F9_01.tif </t>
  </si>
  <si>
    <t xml:space="preserve"> 50397.6545 </t>
  </si>
  <si>
    <t xml:space="preserve"> 85.9601 </t>
  </si>
  <si>
    <t xml:space="preserve">F:\images\2021CHG-ACH-Estrone 1\plaque 2/@09 Estrone 25 µg_LL dopé/F9_02.tif </t>
  </si>
  <si>
    <t xml:space="preserve"> 85.3096 </t>
  </si>
  <si>
    <t xml:space="preserve">F:\images\2021CHG-ACH-Estrone 1\plaque 2/@09 Estrone 25 µg_LL dopé/F9_03.tif </t>
  </si>
  <si>
    <t xml:space="preserve"> 52041.5265 </t>
  </si>
  <si>
    <t xml:space="preserve"> 87.3096 </t>
  </si>
  <si>
    <t xml:space="preserve">F:\images\2021CHG-ACH-Estrone 1\plaque 2/@09 Estrone 25 µg_LL dopé/G9_01.tif </t>
  </si>
  <si>
    <t xml:space="preserve"> 44492.6933 </t>
  </si>
  <si>
    <t xml:space="preserve"> 84.1512 </t>
  </si>
  <si>
    <t xml:space="preserve">F:\images\2021CHG-ACH-Estrone 1\plaque 2/@09 Estrone 25 µg_LL dopé/G9_02.tif </t>
  </si>
  <si>
    <t xml:space="preserve"> 43714.017 </t>
  </si>
  <si>
    <t xml:space="preserve"> 81.8194 </t>
  </si>
  <si>
    <t xml:space="preserve">F:\images\2021CHG-ACH-Estrone 1\plaque 2/@09 Estrone 25 µg_LL dopé/G9_03.tif </t>
  </si>
  <si>
    <t xml:space="preserve"> 43887.0562 </t>
  </si>
  <si>
    <t xml:space="preserve"> 82.2203 </t>
  </si>
  <si>
    <t xml:space="preserve">F:\images\2021CHG-ACH-Estrone 1\plaque 2/@09 Estrone 25 µg_LL dopé/H9_01.tif </t>
  </si>
  <si>
    <t xml:space="preserve"> 50332.7648 </t>
  </si>
  <si>
    <t xml:space="preserve"> 97.9557 </t>
  </si>
  <si>
    <t xml:space="preserve">F:\images\2021CHG-ACH-Estrone 1\plaque 2/@09 Estrone 25 µg_LL dopé/H9_02.tif </t>
  </si>
  <si>
    <t xml:space="preserve"> 51695.4482 </t>
  </si>
  <si>
    <t xml:space="preserve"> 101.8887 </t>
  </si>
  <si>
    <t xml:space="preserve">F:\images\2021CHG-ACH-Estrone 1\plaque 2/@09 Estrone 25 µg_LL dopé/H9_03.tif </t>
  </si>
  <si>
    <t xml:space="preserve"> 50159.7256 </t>
  </si>
  <si>
    <t xml:space="preserve"> 100.9483 </t>
  </si>
  <si>
    <t xml:space="preserve">F:\images\2021CHG-ACH-Estrone 1\plaque 2/@09 Estrone 25 µg_LL dopé/ </t>
  </si>
  <si>
    <t xml:space="preserve"> 88.9458 </t>
  </si>
  <si>
    <t xml:space="preserve"> 8.3753 </t>
  </si>
  <si>
    <t xml:space="preserve"> 4766374.33 </t>
  </si>
  <si>
    <t xml:space="preserve"> 2030863.56 </t>
  </si>
  <si>
    <t>Colonne1</t>
  </si>
  <si>
    <t>01 Evian + 0.2% DMSO</t>
  </si>
  <si>
    <t>02 EE2 33.8</t>
  </si>
  <si>
    <t>03 EE2 50.6</t>
  </si>
  <si>
    <t>04 EE2 76</t>
  </si>
  <si>
    <t>05 EE2 114</t>
  </si>
  <si>
    <t>06 EE2 170.9</t>
  </si>
  <si>
    <t>07 EE2 488</t>
  </si>
  <si>
    <t>08 Estrone 0.04µg_L</t>
  </si>
  <si>
    <t>09 Estrone 0.2µg_L</t>
  </si>
  <si>
    <t>10 Estrone 1µg_L</t>
  </si>
  <si>
    <t>11 Estrone 5µg_L</t>
  </si>
  <si>
    <t>12 Estrone 25µg_L</t>
  </si>
  <si>
    <t>01 Testo 30</t>
  </si>
  <si>
    <t>02 Testo 30</t>
  </si>
  <si>
    <t>03 Testo+ EE2 64</t>
  </si>
  <si>
    <t>04 Testo+ FAD</t>
  </si>
  <si>
    <t>05 Estrone 0.04 µg_LL dopé</t>
  </si>
  <si>
    <t>06 Estrone 0.2 µg_LL dopé</t>
  </si>
  <si>
    <t>07 Estrone 1 µg_LL dopé</t>
  </si>
  <si>
    <t>08 Estrone 5 µg_LL dopé</t>
  </si>
  <si>
    <t>09 Estrone 25 µg_LL dopé</t>
  </si>
  <si>
    <t>B</t>
  </si>
  <si>
    <t>C</t>
  </si>
  <si>
    <t>D</t>
  </si>
  <si>
    <t>E</t>
  </si>
  <si>
    <t>F</t>
  </si>
  <si>
    <t>G</t>
  </si>
  <si>
    <t>H</t>
  </si>
  <si>
    <t>Estrone-0,04µg/L + Testostérone</t>
  </si>
  <si>
    <t>Estrone-0,2µg/L + Testostérone</t>
  </si>
  <si>
    <t>Estrone-1µg/L + Testostérone</t>
  </si>
  <si>
    <t>Estrone-5µg/L + Testostérone</t>
  </si>
  <si>
    <t>Estrone-25µg/L + Testostérone</t>
  </si>
  <si>
    <t>Krustall Wallis</t>
  </si>
  <si>
    <t xml:space="preserve">F:\images\20210512\plaque 1/@01 Evian + 0.2% DMSO/A1_01.tif </t>
  </si>
  <si>
    <t xml:space="preserve"> 64.4407 </t>
  </si>
  <si>
    <t xml:space="preserve">F:\images\20210512\plaque 1/@01 Evian + 0.2% DMSO/A1_02.tif </t>
  </si>
  <si>
    <t xml:space="preserve"> 1059.8648 </t>
  </si>
  <si>
    <t xml:space="preserve"> 64.2041 </t>
  </si>
  <si>
    <t xml:space="preserve">F:\images\20210512\plaque 1/@01 Evian + 0.2% DMSO/A1_03.tif </t>
  </si>
  <si>
    <t xml:space="preserve"> 66.3596 </t>
  </si>
  <si>
    <t xml:space="preserve">F:\images\20210512\plaque 1/@01 Evian + 0.2% DMSO/B1_01.tif </t>
  </si>
  <si>
    <t xml:space="preserve"> 2098.0998 </t>
  </si>
  <si>
    <t xml:space="preserve"> 63.9278 </t>
  </si>
  <si>
    <t xml:space="preserve">F:\images\20210512\plaque 1/@01 Evian + 0.2% DMSO/B1_02.tif </t>
  </si>
  <si>
    <t xml:space="preserve"> 1254.5339 </t>
  </si>
  <si>
    <t xml:space="preserve"> 63.6897 </t>
  </si>
  <si>
    <t>F:\images\20210512\plaque 1/@01 Evian + 0.2% DMSO/B1_03- exclu.tif</t>
  </si>
  <si>
    <t xml:space="preserve">F:\images\20210512\plaque 1/@01 Evian + 0.2% DMSO/C1_01.tif </t>
  </si>
  <si>
    <t xml:space="preserve"> 14513.6593 </t>
  </si>
  <si>
    <t xml:space="preserve"> 84.6706 </t>
  </si>
  <si>
    <t xml:space="preserve">F:\images\20210512\plaque 1/@01 Evian + 0.2% DMSO/C1_02.tif </t>
  </si>
  <si>
    <t xml:space="preserve"> 1168.0143 </t>
  </si>
  <si>
    <t xml:space="preserve"> 63.5 </t>
  </si>
  <si>
    <t xml:space="preserve">F:\images\20210512\plaque 1/@01 Evian + 0.2% DMSO/C1_03.tif </t>
  </si>
  <si>
    <t xml:space="preserve"> 5818.4417 </t>
  </si>
  <si>
    <t xml:space="preserve"> 67.4684 </t>
  </si>
  <si>
    <t xml:space="preserve">F:\images\20210512\plaque 1/@01 Evian + 0.2% DMSO/D1_01.tif </t>
  </si>
  <si>
    <t xml:space="preserve"> 4542.2779 </t>
  </si>
  <si>
    <t xml:space="preserve"> 68.8476 </t>
  </si>
  <si>
    <t xml:space="preserve">F:\images\20210512\plaque 1/@01 Evian + 0.2% DMSO/D1_02.tif </t>
  </si>
  <si>
    <t xml:space="preserve"> 5126.285 </t>
  </si>
  <si>
    <t xml:space="preserve"> 68.0844 </t>
  </si>
  <si>
    <t xml:space="preserve">F:\images\20210512\plaque 1/@01 Evian + 0.2% DMSO/D1_03.tif </t>
  </si>
  <si>
    <t xml:space="preserve"> 9084.5557 </t>
  </si>
  <si>
    <t xml:space="preserve"> 72.8357 </t>
  </si>
  <si>
    <t xml:space="preserve">F:\images\20210512\plaque 1/@01 Evian + 0.2% DMSO/E1_01.tif </t>
  </si>
  <si>
    <t xml:space="preserve"> 2552.3276 </t>
  </si>
  <si>
    <t xml:space="preserve"> 66.2966 </t>
  </si>
  <si>
    <t xml:space="preserve">F:\images\20210512\plaque 1/@01 Evian + 0.2% DMSO/E1_02.tif </t>
  </si>
  <si>
    <t xml:space="preserve"> 63.6957 </t>
  </si>
  <si>
    <t xml:space="preserve">F:\images\20210512\plaque 1/@01 Evian + 0.2% DMSO/E1_03.tif </t>
  </si>
  <si>
    <t xml:space="preserve"> 648.8968 </t>
  </si>
  <si>
    <t xml:space="preserve"> 63.9333 </t>
  </si>
  <si>
    <t xml:space="preserve">F:\images\20210512\plaque 1/@01 Evian + 0.2% DMSO/F1_01.tif </t>
  </si>
  <si>
    <t xml:space="preserve"> 63.7934 </t>
  </si>
  <si>
    <t xml:space="preserve">F:\images\20210512\plaque 1/@01 Evian + 0.2% DMSO/F1_02.tif </t>
  </si>
  <si>
    <t xml:space="preserve"> 2768.6265 </t>
  </si>
  <si>
    <t xml:space="preserve"> 65.6094 </t>
  </si>
  <si>
    <t xml:space="preserve">F:\images\20210512\plaque 1/@01 Evian + 0.2% DMSO/F1_03.tif </t>
  </si>
  <si>
    <t xml:space="preserve"> 64.0714 </t>
  </si>
  <si>
    <t xml:space="preserve">F:\images\20210512\plaque 1/@01 Evian + 0.2% DMSO/G1_01.tif </t>
  </si>
  <si>
    <t xml:space="preserve"> 65.2481 </t>
  </si>
  <si>
    <t xml:space="preserve">F:\images\20210512\plaque 1/@01 Evian + 0.2% DMSO/G1_02.tif </t>
  </si>
  <si>
    <t xml:space="preserve">F:\images\20210512\plaque 1/@01 Evian + 0.2% DMSO/G1_03.tif </t>
  </si>
  <si>
    <t xml:space="preserve"> 1319.4236 </t>
  </si>
  <si>
    <t xml:space="preserve"> 64.377 </t>
  </si>
  <si>
    <t xml:space="preserve">F:\images\20210512\plaque 1/@01 Evian + 0.2% DMSO/H1_01.tif </t>
  </si>
  <si>
    <t xml:space="preserve"> 63.8947 </t>
  </si>
  <si>
    <t xml:space="preserve">F:\images\20210512\plaque 1/@01 Evian + 0.2% DMSO/H1_02.tif </t>
  </si>
  <si>
    <t xml:space="preserve"> 4131.3099 </t>
  </si>
  <si>
    <t xml:space="preserve"> 64.2408 </t>
  </si>
  <si>
    <t xml:space="preserve">F:\images\20210512\plaque 1/@01 Evian + 0.2% DMSO/H1_03.tif </t>
  </si>
  <si>
    <t xml:space="preserve"> 1557.3524 </t>
  </si>
  <si>
    <t xml:space="preserve"> 63.1944 </t>
  </si>
  <si>
    <t xml:space="preserve">F:\images\20210512\plaque 1/@01 Evian + 0.2% DMSO/ </t>
  </si>
  <si>
    <t xml:space="preserve"> 65.8788 </t>
  </si>
  <si>
    <t xml:space="preserve"> 4.6384 </t>
  </si>
  <si>
    <t xml:space="preserve"> 204775.75 </t>
  </si>
  <si>
    <t xml:space="preserve"> 264054.302 </t>
  </si>
  <si>
    <t xml:space="preserve">F:\images\20210512\plaque 1/@02 EE2 33.8/A2_01.tif </t>
  </si>
  <si>
    <t xml:space="preserve"> 66.6354 </t>
  </si>
  <si>
    <t xml:space="preserve">F:\images\20210512\plaque 1/@02 EE2 33.8/A2_02.tif </t>
  </si>
  <si>
    <t xml:space="preserve"> 68.5057 </t>
  </si>
  <si>
    <t xml:space="preserve">F:\images\20210512\plaque 1/@02 EE2 33.8/A2_03.tif </t>
  </si>
  <si>
    <t xml:space="preserve"> 69.0517 </t>
  </si>
  <si>
    <t xml:space="preserve">F:\images\20210512\plaque 1/@02 EE2 33.8/B2_01.tif </t>
  </si>
  <si>
    <t xml:space="preserve"> 2444.1781 </t>
  </si>
  <si>
    <t xml:space="preserve"> 66.7522 </t>
  </si>
  <si>
    <t xml:space="preserve">F:\images\20210512\plaque 1/@02 EE2 33.8/B2_02.tif </t>
  </si>
  <si>
    <t xml:space="preserve"> 68.5975 </t>
  </si>
  <si>
    <t xml:space="preserve">F:\images\20210512\plaque 1/@02 EE2 33.8/B2_03.tif </t>
  </si>
  <si>
    <t xml:space="preserve"> 63.3636 </t>
  </si>
  <si>
    <t xml:space="preserve">F:\images\20210512\plaque 1/@02 EE2 33.8/C2_01.tif </t>
  </si>
  <si>
    <t xml:space="preserve"> 3936.6408 </t>
  </si>
  <si>
    <t xml:space="preserve"> 64.7308 </t>
  </si>
  <si>
    <t xml:space="preserve">F:\images\20210512\plaque 1/@02 EE2 33.8/C2_02.tif </t>
  </si>
  <si>
    <t xml:space="preserve"> 67.119 </t>
  </si>
  <si>
    <t xml:space="preserve">F:\images\20210512\plaque 1/@02 EE2 33.8/C2_03.tif </t>
  </si>
  <si>
    <t xml:space="preserve"> 66.3846 </t>
  </si>
  <si>
    <t xml:space="preserve">F:\images\20210512\plaque 1/@02 EE2 33.8/D2_01.tif </t>
  </si>
  <si>
    <t xml:space="preserve"> 63.037 </t>
  </si>
  <si>
    <t xml:space="preserve">F:\images\20210512\plaque 1/@02 EE2 33.8/D2_02.tif </t>
  </si>
  <si>
    <t xml:space="preserve"> 65.3151 </t>
  </si>
  <si>
    <t xml:space="preserve">F:\images\20210512\plaque 1/@02 EE2 33.8/D2_03.tif </t>
  </si>
  <si>
    <t xml:space="preserve"> 62.2941 </t>
  </si>
  <si>
    <t xml:space="preserve">F:\images\20210512\plaque 1/@02 EE2 33.8/E2_01.tif </t>
  </si>
  <si>
    <t xml:space="preserve"> 66.3149 </t>
  </si>
  <si>
    <t xml:space="preserve">F:\images\20210512\plaque 1/@02 EE2 33.8/E2_02.tif </t>
  </si>
  <si>
    <t xml:space="preserve"> 2682.1069 </t>
  </si>
  <si>
    <t xml:space="preserve"> 65.3952 </t>
  </si>
  <si>
    <t xml:space="preserve">F:\images\20210512\plaque 1/@02 EE2 33.8/E2_03.tif </t>
  </si>
  <si>
    <t xml:space="preserve"> 64.0217 </t>
  </si>
  <si>
    <t xml:space="preserve">F:\images\20210512\plaque 1/@02 EE2 33.8/F2_01.tif </t>
  </si>
  <si>
    <t xml:space="preserve"> 72.1379 </t>
  </si>
  <si>
    <t xml:space="preserve">F:\images\20210512\plaque 1/@02 EE2 33.8/F2_02.tif </t>
  </si>
  <si>
    <t xml:space="preserve"> 4974.8758 </t>
  </si>
  <si>
    <t xml:space="preserve"> 68.9261 </t>
  </si>
  <si>
    <t xml:space="preserve">F:\images\20210512\plaque 1/@02 EE2 33.8/F2_03.tif </t>
  </si>
  <si>
    <t xml:space="preserve"> 70.4741 </t>
  </si>
  <si>
    <t xml:space="preserve">F:\images\20210512\plaque 1/@02 EE2 33.8/G2_01.tif </t>
  </si>
  <si>
    <t xml:space="preserve">F:\images\20210512\plaque 1/@02 EE2 33.8/G2_02.tif </t>
  </si>
  <si>
    <t xml:space="preserve"> 67.362 </t>
  </si>
  <si>
    <t xml:space="preserve">F:\images\20210512\plaque 1/@02 EE2 33.8/G2_03.tif </t>
  </si>
  <si>
    <t xml:space="preserve">F:\images\20210512\plaque 1/@02 EE2 33.8/H2_01.tif </t>
  </si>
  <si>
    <t xml:space="preserve"> 13042.8265 </t>
  </si>
  <si>
    <t xml:space="preserve"> 75.1559 </t>
  </si>
  <si>
    <t xml:space="preserve">F:\images\20210512\plaque 1/@02 EE2 33.8/H2_02.tif </t>
  </si>
  <si>
    <t xml:space="preserve"> 9949.7515 </t>
  </si>
  <si>
    <t xml:space="preserve"> 71.2043 </t>
  </si>
  <si>
    <t xml:space="preserve">F:\images\20210512\plaque 1/@02 EE2 33.8/H2_03.tif </t>
  </si>
  <si>
    <t xml:space="preserve"> 12026.2214 </t>
  </si>
  <si>
    <t xml:space="preserve"> 75.232 </t>
  </si>
  <si>
    <t xml:space="preserve">F:\images\20210512\plaque 1/@02 EE2 33.8/ </t>
  </si>
  <si>
    <t xml:space="preserve"> 67.313 </t>
  </si>
  <si>
    <t xml:space="preserve"> 3.5799 </t>
  </si>
  <si>
    <t xml:space="preserve"> 275283.708 </t>
  </si>
  <si>
    <t xml:space="preserve"> 261583.807 </t>
  </si>
  <si>
    <t xml:space="preserve">F:\images\20210512\plaque 1/@03 EE2 50.6/A3_01.tif </t>
  </si>
  <si>
    <t xml:space="preserve"> 2941.6657 </t>
  </si>
  <si>
    <t xml:space="preserve"> 64.3309 </t>
  </si>
  <si>
    <t xml:space="preserve">F:\images\20210512\plaque 1/@03 EE2 50.6/A3_02.tif </t>
  </si>
  <si>
    <t xml:space="preserve"> 65.6889 </t>
  </si>
  <si>
    <t xml:space="preserve">F:\images\20210512\plaque 1/@03 EE2 50.6/A3_03.tif </t>
  </si>
  <si>
    <t xml:space="preserve"> 65.7551 </t>
  </si>
  <si>
    <t xml:space="preserve">F:\images\20210512\plaque 1/@03 EE2 50.6/B3_01.tif </t>
  </si>
  <si>
    <t xml:space="preserve">F:\images\20210512\plaque 1/@03 EE2 50.6/B3_02.tif </t>
  </si>
  <si>
    <t xml:space="preserve"> 64.0943 </t>
  </si>
  <si>
    <t xml:space="preserve">F:\images\20210512\plaque 1/@03 EE2 50.6/B3_03.tif </t>
  </si>
  <si>
    <t xml:space="preserve"> 3482.413 </t>
  </si>
  <si>
    <t xml:space="preserve"> 65.7702 </t>
  </si>
  <si>
    <t xml:space="preserve">F:\images\20210512\plaque 1/@03 EE2 50.6/C3_01.tif </t>
  </si>
  <si>
    <t xml:space="preserve"> 4325.9789 </t>
  </si>
  <si>
    <t xml:space="preserve"> 66.04 </t>
  </si>
  <si>
    <t xml:space="preserve">F:\images\20210512\plaque 1/@03 EE2 50.6/C3_02.tif </t>
  </si>
  <si>
    <t xml:space="preserve"> 3741.9718 </t>
  </si>
  <si>
    <t xml:space="preserve"> 66.104 </t>
  </si>
  <si>
    <t xml:space="preserve">F:\images\20210512\plaque 1/@03 EE2 50.6/C3_03.tif </t>
  </si>
  <si>
    <t xml:space="preserve"> 7072.9755 </t>
  </si>
  <si>
    <t xml:space="preserve"> 73.8991 </t>
  </si>
  <si>
    <t xml:space="preserve">F:\images\20210512\plaque 1/@03 EE2 50.6/D3_01.tif </t>
  </si>
  <si>
    <t xml:space="preserve"> 2249.509 </t>
  </si>
  <si>
    <t xml:space="preserve"> 66.1731 </t>
  </si>
  <si>
    <t xml:space="preserve">F:\images\20210512\plaque 1/@03 EE2 50.6/D3_02.tif </t>
  </si>
  <si>
    <t xml:space="preserve"> 4628.7975 </t>
  </si>
  <si>
    <t xml:space="preserve"> 64.3738 </t>
  </si>
  <si>
    <t xml:space="preserve">F:\images\20210512\plaque 1/@03 EE2 50.6/D3_03.tif </t>
  </si>
  <si>
    <t xml:space="preserve"> 68.0833 </t>
  </si>
  <si>
    <t xml:space="preserve">F:\images\20210512\plaque 1/@03 EE2 50.6/E3_01.tif </t>
  </si>
  <si>
    <t xml:space="preserve"> 66.2955 </t>
  </si>
  <si>
    <t xml:space="preserve">F:\images\20210512\plaque 1/@03 EE2 50.6/E3_02.tif </t>
  </si>
  <si>
    <t xml:space="preserve">F:\images\20210512\plaque 1/@03 EE2 50.6/E3_03.tif </t>
  </si>
  <si>
    <t xml:space="preserve"> 4088.0501 </t>
  </si>
  <si>
    <t xml:space="preserve"> 66.8413 </t>
  </si>
  <si>
    <t xml:space="preserve">F:\images\20210512\plaque 1/@03 EE2 50.6/F3_01.tif </t>
  </si>
  <si>
    <t xml:space="preserve"> 65.9009 </t>
  </si>
  <si>
    <t xml:space="preserve">F:\images\20210512\plaque 1/@03 EE2 50.6/F3_02.tif </t>
  </si>
  <si>
    <t xml:space="preserve"> 4174.5697 </t>
  </si>
  <si>
    <t xml:space="preserve"> 66.1399 </t>
  </si>
  <si>
    <t xml:space="preserve">F:\images\20210512\plaque 1/@03 EE2 50.6/F3_03.tif </t>
  </si>
  <si>
    <t xml:space="preserve"> 7700.2425 </t>
  </si>
  <si>
    <t xml:space="preserve"> 68.8848 </t>
  </si>
  <si>
    <t xml:space="preserve">F:\images\20210512\plaque 1/@03 EE2 50.6/G3_01.tif </t>
  </si>
  <si>
    <t xml:space="preserve"> 62.2857 </t>
  </si>
  <si>
    <t xml:space="preserve">F:\images\20210512\plaque 1/@03 EE2 50.6/G3_02.tif </t>
  </si>
  <si>
    <t xml:space="preserve"> 67.3756 </t>
  </si>
  <si>
    <t xml:space="preserve">F:\images\20210512\plaque 1/@03 EE2 50.6/G3_03.tif </t>
  </si>
  <si>
    <t xml:space="preserve"> 65.1132 </t>
  </si>
  <si>
    <t xml:space="preserve">F:\images\20210512\plaque 1/@03 EE2 50.6/H3_01.tif </t>
  </si>
  <si>
    <t xml:space="preserve"> 11745.0328 </t>
  </si>
  <si>
    <t xml:space="preserve"> 77.9761 </t>
  </si>
  <si>
    <t xml:space="preserve">F:\images\20210512\plaque 1/@03 EE2 50.6/H3_02.tif </t>
  </si>
  <si>
    <t xml:space="preserve"> 11074.506 </t>
  </si>
  <si>
    <t xml:space="preserve"> 77.1738 </t>
  </si>
  <si>
    <t xml:space="preserve">F:\images\20210512\plaque 1/@03 EE2 50.6/H3_03.tif </t>
  </si>
  <si>
    <t xml:space="preserve"> 10620.2783 </t>
  </si>
  <si>
    <t xml:space="preserve"> 76.5723 </t>
  </si>
  <si>
    <t xml:space="preserve">F:\images\20210512\plaque 1/@03 EE2 50.6/ </t>
  </si>
  <si>
    <t xml:space="preserve"> 67.4113 </t>
  </si>
  <si>
    <t xml:space="preserve"> 4.4081 </t>
  </si>
  <si>
    <t xml:space="preserve"> 291820.625 </t>
  </si>
  <si>
    <t xml:space="preserve"> 257872.22 </t>
  </si>
  <si>
    <t xml:space="preserve">F:\images\20210512\plaque 1/@04 EE2 76/A4_01.tif </t>
  </si>
  <si>
    <t xml:space="preserve"> 66.8273 </t>
  </si>
  <si>
    <t xml:space="preserve">F:\images\20210512\plaque 1/@04 EE2 76/A4_02.tif </t>
  </si>
  <si>
    <t xml:space="preserve"> 64.8538 </t>
  </si>
  <si>
    <t xml:space="preserve">F:\images\20210512\plaque 1/@04 EE2 76/A4_03.tif </t>
  </si>
  <si>
    <t xml:space="preserve"> 1687.1318 </t>
  </si>
  <si>
    <t xml:space="preserve"> 64.2436 </t>
  </si>
  <si>
    <t>F:\images\20210512\plaque 1/@04 EE2 76/B4_01- exclu.tif</t>
  </si>
  <si>
    <t xml:space="preserve">F:\images\20210512\plaque 1/@04 EE2 76/B4_02.tif </t>
  </si>
  <si>
    <t xml:space="preserve"> 5537.253 </t>
  </si>
  <si>
    <t xml:space="preserve"> 70.8281 </t>
  </si>
  <si>
    <t xml:space="preserve">F:\images\20210512\plaque 1/@04 EE2 76/B4_03.tif </t>
  </si>
  <si>
    <t xml:space="preserve"> 65.1449 </t>
  </si>
  <si>
    <t xml:space="preserve">F:\images\20210512\plaque 1/@04 EE2 76/C4_01.tif </t>
  </si>
  <si>
    <t xml:space="preserve"> 65.1667 </t>
  </si>
  <si>
    <t xml:space="preserve">F:\images\20210512\plaque 1/@04 EE2 76/C4_02.tif </t>
  </si>
  <si>
    <t xml:space="preserve"> 562.3773 </t>
  </si>
  <si>
    <t xml:space="preserve">F:\images\20210512\plaque 1/@04 EE2 76/C4_03.tif </t>
  </si>
  <si>
    <t xml:space="preserve"> 64.9429 </t>
  </si>
  <si>
    <t xml:space="preserve">F:\images\20210512\plaque 1/@04 EE2 76/D4_01.tif </t>
  </si>
  <si>
    <t xml:space="preserve"> 8392.3991 </t>
  </si>
  <si>
    <t xml:space="preserve"> 64.9613 </t>
  </si>
  <si>
    <t xml:space="preserve">F:\images\20210512\plaque 1/@04 EE2 76/D4_02.tif </t>
  </si>
  <si>
    <t xml:space="preserve"> 5840.0715 </t>
  </si>
  <si>
    <t xml:space="preserve"> 63.9185 </t>
  </si>
  <si>
    <t xml:space="preserve">F:\images\20210512\plaque 1/@04 EE2 76/D4_03.tif </t>
  </si>
  <si>
    <t xml:space="preserve"> 5299.3242 </t>
  </si>
  <si>
    <t xml:space="preserve"> 63.8408 </t>
  </si>
  <si>
    <t xml:space="preserve">F:\images\20210512\plaque 1/@04 EE2 76/E4_01.tif </t>
  </si>
  <si>
    <t xml:space="preserve"> 63.9518 </t>
  </si>
  <si>
    <t xml:space="preserve">F:\images\20210512\plaque 1/@04 EE2 76/E4_02.tif </t>
  </si>
  <si>
    <t xml:space="preserve"> 64.7481 </t>
  </si>
  <si>
    <t xml:space="preserve">F:\images\20210512\plaque 1/@04 EE2 76/E4_03.tif </t>
  </si>
  <si>
    <t xml:space="preserve"> 63.5714 </t>
  </si>
  <si>
    <t xml:space="preserve">F:\images\20210512\plaque 1/@04 EE2 76/F4_01.tif </t>
  </si>
  <si>
    <t xml:space="preserve"> 64.6202 </t>
  </si>
  <si>
    <t xml:space="preserve">F:\images\20210512\plaque 1/@04 EE2 76/F4_02.tif </t>
  </si>
  <si>
    <t xml:space="preserve"> 65.6598 </t>
  </si>
  <si>
    <t xml:space="preserve">F:\images\20210512\plaque 1/@04 EE2 76/F4_03.tif </t>
  </si>
  <si>
    <t xml:space="preserve"> 65.1968 </t>
  </si>
  <si>
    <t xml:space="preserve">F:\images\20210512\plaque 1/@04 EE2 76/G4_01.tif </t>
  </si>
  <si>
    <t xml:space="preserve"> 6186.1499 </t>
  </si>
  <si>
    <t xml:space="preserve"> 64.8776 </t>
  </si>
  <si>
    <t xml:space="preserve">F:\images\20210512\plaque 1/@04 EE2 76/G4_02.tif </t>
  </si>
  <si>
    <t xml:space="preserve"> 3179.5945 </t>
  </si>
  <si>
    <t xml:space="preserve"> 63.2041 </t>
  </si>
  <si>
    <t xml:space="preserve">F:\images\20210512\plaque 1/@04 EE2 76/G4_03.tif </t>
  </si>
  <si>
    <t xml:space="preserve"> 64.0055 </t>
  </si>
  <si>
    <t xml:space="preserve">F:\images\20210512\plaque 1/@04 EE2 76/H4_01.tif </t>
  </si>
  <si>
    <t xml:space="preserve"> 1449.2029 </t>
  </si>
  <si>
    <t xml:space="preserve"> 64.4925 </t>
  </si>
  <si>
    <t xml:space="preserve">F:\images\20210512\plaque 1/@04 EE2 76/H4_02.tif </t>
  </si>
  <si>
    <t xml:space="preserve"> 64.027 </t>
  </si>
  <si>
    <t xml:space="preserve">F:\images\20210512\plaque 1/@04 EE2 76/H4_03.tif </t>
  </si>
  <si>
    <t xml:space="preserve"> 63.425 </t>
  </si>
  <si>
    <t xml:space="preserve">F:\images\20210512\plaque 1/@04 EE2 76/ </t>
  </si>
  <si>
    <t xml:space="preserve"> 64.6739 </t>
  </si>
  <si>
    <t xml:space="preserve"> 1.6142 </t>
  </si>
  <si>
    <t xml:space="preserve"> 138748.701 </t>
  </si>
  <si>
    <t xml:space="preserve">F:\images\20210512\plaque 1/@05 EE2 114/A5_01.tif </t>
  </si>
  <si>
    <t xml:space="preserve"> 10685.1679 </t>
  </si>
  <si>
    <t xml:space="preserve"> 65.2409 </t>
  </si>
  <si>
    <t xml:space="preserve">F:\images\20210512\plaque 1/@05 EE2 114/A5_02.tif </t>
  </si>
  <si>
    <t xml:space="preserve"> 14189.2109 </t>
  </si>
  <si>
    <t xml:space="preserve"> 65.7363 </t>
  </si>
  <si>
    <t xml:space="preserve">F:\images\20210512\plaque 1/@05 EE2 114/A5_03.tif </t>
  </si>
  <si>
    <t xml:space="preserve"> 8889.8867 </t>
  </si>
  <si>
    <t xml:space="preserve"> 66.0097 </t>
  </si>
  <si>
    <t xml:space="preserve">F:\images\20210512\plaque 1/@05 EE2 114/B5_01.tif </t>
  </si>
  <si>
    <t xml:space="preserve"> 9776.7124 </t>
  </si>
  <si>
    <t xml:space="preserve"> 66.4204 </t>
  </si>
  <si>
    <t xml:space="preserve">F:\images\20210512\plaque 1/@05 EE2 114/B5_02.tif </t>
  </si>
  <si>
    <t xml:space="preserve"> 9646.933 </t>
  </si>
  <si>
    <t xml:space="preserve"> 66.1749 </t>
  </si>
  <si>
    <t xml:space="preserve">F:\images\20210512\plaque 1/@05 EE2 114/B5_03.tif </t>
  </si>
  <si>
    <t xml:space="preserve"> 11485.474 </t>
  </si>
  <si>
    <t xml:space="preserve"> 65.565 </t>
  </si>
  <si>
    <t xml:space="preserve">F:\images\20210512\plaque 1/@05 EE2 114/C5_01.tif </t>
  </si>
  <si>
    <t xml:space="preserve"> 66.234 </t>
  </si>
  <si>
    <t xml:space="preserve">F:\images\20210512\plaque 1/@05 EE2 114/C5_02.tif </t>
  </si>
  <si>
    <t xml:space="preserve"> 4001.5305 </t>
  </si>
  <si>
    <t xml:space="preserve"> 64.4216 </t>
  </si>
  <si>
    <t xml:space="preserve">F:\images\20210512\plaque 1/@05 EE2 114/C5_03.tif </t>
  </si>
  <si>
    <t xml:space="preserve"> 4585.5377 </t>
  </si>
  <si>
    <t xml:space="preserve"> 65.8443 </t>
  </si>
  <si>
    <t xml:space="preserve">F:\images\20210512\plaque 1/@05 EE2 114/D5_01.tif </t>
  </si>
  <si>
    <t xml:space="preserve"> 11723.4029 </t>
  </si>
  <si>
    <t xml:space="preserve"> 69.2066 </t>
  </si>
  <si>
    <t xml:space="preserve">F:\images\20210512\plaque 1/@05 EE2 114/D5_02.tif </t>
  </si>
  <si>
    <t xml:space="preserve"> 14556.9191 </t>
  </si>
  <si>
    <t xml:space="preserve"> 71.1813 </t>
  </si>
  <si>
    <t xml:space="preserve">F:\images\20210512\plaque 1/@05 EE2 114/D5_03.tif </t>
  </si>
  <si>
    <t xml:space="preserve"> 72.71 </t>
  </si>
  <si>
    <t xml:space="preserve">F:\images\20210512\plaque 1/@05 EE2 114/E5_01.tif </t>
  </si>
  <si>
    <t xml:space="preserve"> 66.2527 </t>
  </si>
  <si>
    <t xml:space="preserve">F:\images\20210512\plaque 1/@05 EE2 114/E5_02.tif </t>
  </si>
  <si>
    <t xml:space="preserve"> 17239.026 </t>
  </si>
  <si>
    <t xml:space="preserve"> 65.2334 </t>
  </si>
  <si>
    <t xml:space="preserve">F:\images\20210512\plaque 1/@05 EE2 114/E5_03.tif </t>
  </si>
  <si>
    <t xml:space="preserve"> 18947.7877 </t>
  </si>
  <si>
    <t xml:space="preserve"> 65.0422 </t>
  </si>
  <si>
    <t>F:\images\20210512\plaque 1/@05 EE2 114/F5_01- exclu.tif</t>
  </si>
  <si>
    <t>F:\images\20210512\plaque 1/@05 EE2 114/F5_02- exclu.tif</t>
  </si>
  <si>
    <t xml:space="preserve">F:\images\20210512\plaque 1/@05 EE2 114/F5_03.tif </t>
  </si>
  <si>
    <t xml:space="preserve"> 67.7401 </t>
  </si>
  <si>
    <t xml:space="preserve">F:\images\20210512\plaque 1/@05 EE2 114/G5_01.tif </t>
  </si>
  <si>
    <t xml:space="preserve"> 17844.6631 </t>
  </si>
  <si>
    <t xml:space="preserve"> 64.6279 </t>
  </si>
  <si>
    <t xml:space="preserve">F:\images\20210512\plaque 1/@05 EE2 114/G5_02.tif </t>
  </si>
  <si>
    <t xml:space="preserve"> 18039.3321 </t>
  </si>
  <si>
    <t xml:space="preserve"> 65.5456 </t>
  </si>
  <si>
    <t xml:space="preserve">F:\images\20210512\plaque 1/@05 EE2 114/G5_03.tif </t>
  </si>
  <si>
    <t xml:space="preserve"> 18385.4104 </t>
  </si>
  <si>
    <t xml:space="preserve"> 65.4106 </t>
  </si>
  <si>
    <t xml:space="preserve">F:\images\20210512\plaque 1/@05 EE2 114/H5_01.tif </t>
  </si>
  <si>
    <t xml:space="preserve"> 66.2869 </t>
  </si>
  <si>
    <t xml:space="preserve">F:\images\20210512\plaque 1/@05 EE2 114/H5_02.tif </t>
  </si>
  <si>
    <t xml:space="preserve"> 66.131 </t>
  </si>
  <si>
    <t xml:space="preserve">F:\images\20210512\plaque 1/@05 EE2 114/H5_03.tif </t>
  </si>
  <si>
    <t xml:space="preserve"> 65.6967 </t>
  </si>
  <si>
    <t xml:space="preserve">F:\images\20210512\plaque 1/@05 EE2 114/ </t>
  </si>
  <si>
    <t xml:space="preserve"> 66.2852 </t>
  </si>
  <si>
    <t xml:space="preserve"> 2.0964 </t>
  </si>
  <si>
    <t xml:space="preserve"> 780984.375 </t>
  </si>
  <si>
    <t xml:space="preserve"> 414618.003 </t>
  </si>
  <si>
    <t xml:space="preserve">F:\images\20210512\plaque 1/@06 EE2 170.9/A6_01.tif </t>
  </si>
  <si>
    <t xml:space="preserve"> 52712.0532 </t>
  </si>
  <si>
    <t xml:space="preserve"> 75.5375 </t>
  </si>
  <si>
    <t xml:space="preserve">F:\images\20210512\plaque 1/@06 EE2 170.9/A6_02.tif </t>
  </si>
  <si>
    <t xml:space="preserve"> 45336.2591 </t>
  </si>
  <si>
    <t xml:space="preserve"> 70.0052 </t>
  </si>
  <si>
    <t xml:space="preserve">F:\images\20210512\plaque 1/@06 EE2 170.9/A6_03.tif </t>
  </si>
  <si>
    <t xml:space="preserve"> 55502.3096 </t>
  </si>
  <si>
    <t xml:space="preserve"> 71.2564 </t>
  </si>
  <si>
    <t xml:space="preserve">F:\images\20210512\plaque 1/@06 EE2 170.9/B6_01.tif </t>
  </si>
  <si>
    <t xml:space="preserve"> 8132.8404 </t>
  </si>
  <si>
    <t xml:space="preserve"> 64.4814 </t>
  </si>
  <si>
    <t xml:space="preserve">F:\images\20210512\plaque 1/@06 EE2 170.9/B6_02.tif </t>
  </si>
  <si>
    <t xml:space="preserve"> 12350.6698 </t>
  </si>
  <si>
    <t xml:space="preserve"> 65.2032 </t>
  </si>
  <si>
    <t xml:space="preserve">F:\images\20210512\plaque 1/@06 EE2 170.9/B6_03.tif </t>
  </si>
  <si>
    <t xml:space="preserve"> 12134.3709 </t>
  </si>
  <si>
    <t xml:space="preserve"> 66.5597 </t>
  </si>
  <si>
    <t xml:space="preserve">F:\images\20210512\plaque 1/@06 EE2 170.9/C6_01.tif </t>
  </si>
  <si>
    <t xml:space="preserve"> 32488.1017 </t>
  </si>
  <si>
    <t xml:space="preserve"> 69.7057 </t>
  </si>
  <si>
    <t xml:space="preserve">F:\images\20210512\plaque 1/@06 EE2 170.9/C6_02.tif </t>
  </si>
  <si>
    <t xml:space="preserve"> 23706.3645 </t>
  </si>
  <si>
    <t xml:space="preserve"> 68.0356 </t>
  </si>
  <si>
    <t xml:space="preserve">F:\images\20210512\plaque 1/@06 EE2 170.9/C6_03.tif </t>
  </si>
  <si>
    <t xml:space="preserve"> 34975.5396 </t>
  </si>
  <si>
    <t xml:space="preserve"> 69.5015 </t>
  </si>
  <si>
    <t xml:space="preserve">F:\images\20210512\plaque 1/@06 EE2 170.9/D6_01.tif </t>
  </si>
  <si>
    <t xml:space="preserve"> 33569.5965 </t>
  </si>
  <si>
    <t xml:space="preserve"> 68.5825 </t>
  </si>
  <si>
    <t xml:space="preserve">F:\images\20210512\plaque 1/@06 EE2 170.9/D6_02.tif </t>
  </si>
  <si>
    <t xml:space="preserve"> 44730.6221 </t>
  </si>
  <si>
    <t xml:space="preserve"> 69.4415 </t>
  </si>
  <si>
    <t xml:space="preserve">F:\images\20210512\plaque 1/@06 EE2 170.9/D6_03.tif </t>
  </si>
  <si>
    <t xml:space="preserve"> 39496.1876 </t>
  </si>
  <si>
    <t xml:space="preserve"> 70.2453 </t>
  </si>
  <si>
    <t xml:space="preserve">F:\images\20210512\plaque 1/@06 EE2 170.9/E6_01.tif </t>
  </si>
  <si>
    <t xml:space="preserve"> 44838.7716 </t>
  </si>
  <si>
    <t xml:space="preserve"> 70.1235 </t>
  </si>
  <si>
    <t xml:space="preserve">F:\images\20210512\plaque 1/@06 EE2 170.9/E6_02.tif </t>
  </si>
  <si>
    <t xml:space="preserve"> 43670.7573 </t>
  </si>
  <si>
    <t xml:space="preserve"> 69.8752 </t>
  </si>
  <si>
    <t xml:space="preserve">F:\images\20210512\plaque 1/@06 EE2 170.9/E6_03.tif </t>
  </si>
  <si>
    <t xml:space="preserve"> 41248.2091 </t>
  </si>
  <si>
    <t xml:space="preserve"> 69.2722 </t>
  </si>
  <si>
    <t xml:space="preserve">F:\images\20210512\plaque 1/@06 EE2 170.9/F6_01.tif </t>
  </si>
  <si>
    <t xml:space="preserve"> 34240.1232 </t>
  </si>
  <si>
    <t xml:space="preserve"> 68.4315 </t>
  </si>
  <si>
    <t xml:space="preserve">F:\images\20210512\plaque 1/@06 EE2 170.9/F6_02.tif </t>
  </si>
  <si>
    <t xml:space="preserve"> 36943.86 </t>
  </si>
  <si>
    <t xml:space="preserve"> 69.4251 </t>
  </si>
  <si>
    <t xml:space="preserve">F:\images\20210512\plaque 1/@06 EE2 170.9/F6_03.tif </t>
  </si>
  <si>
    <t xml:space="preserve"> 36684.3013 </t>
  </si>
  <si>
    <t xml:space="preserve"> 70.0991 </t>
  </si>
  <si>
    <t xml:space="preserve">F:\images\20210512\plaque 1/@06 EE2 170.9/G6_01.tif </t>
  </si>
  <si>
    <t xml:space="preserve"> 66.3658 </t>
  </si>
  <si>
    <t xml:space="preserve">F:\images\20210512\plaque 1/@06 EE2 170.9/G6_02.tif </t>
  </si>
  <si>
    <t xml:space="preserve"> 66.7127 </t>
  </si>
  <si>
    <t xml:space="preserve">F:\images\20210512\plaque 1/@06 EE2 170.9/G6_03.tif </t>
  </si>
  <si>
    <t xml:space="preserve"> 27037.3683 </t>
  </si>
  <si>
    <t xml:space="preserve"> 67.0544 </t>
  </si>
  <si>
    <t xml:space="preserve">F:\images\20210512\plaque 1/@06 EE2 170.9/H6_01.tif </t>
  </si>
  <si>
    <t xml:space="preserve"> 43367.9387 </t>
  </si>
  <si>
    <t xml:space="preserve"> 68.3975 </t>
  </si>
  <si>
    <t xml:space="preserve">F:\images\20210512\plaque 1/@06 EE2 170.9/H6_02.tif </t>
  </si>
  <si>
    <t xml:space="preserve"> 35126.9489 </t>
  </si>
  <si>
    <t xml:space="preserve"> 67.4797 </t>
  </si>
  <si>
    <t xml:space="preserve">F:\images\20210512\plaque 1/@06 EE2 170.9/H6_03.tif </t>
  </si>
  <si>
    <t xml:space="preserve"> 68.743 </t>
  </si>
  <si>
    <t xml:space="preserve">F:\images\20210512\plaque 1/@06 EE2 170.9/ </t>
  </si>
  <si>
    <t xml:space="preserve"> 68.7723 </t>
  </si>
  <si>
    <t xml:space="preserve"> 2.2312 </t>
  </si>
  <si>
    <t xml:space="preserve"> 2372063.08 </t>
  </si>
  <si>
    <t xml:space="preserve"> 897642.358 </t>
  </si>
  <si>
    <t xml:space="preserve">F:\images\20210512\plaque 1/@07 EE2 488/A7_01.tif </t>
  </si>
  <si>
    <t xml:space="preserve"> 50462.5442 </t>
  </si>
  <si>
    <t xml:space="preserve"> 93.003 </t>
  </si>
  <si>
    <t xml:space="preserve">F:\images\20210512\plaque 1/@07 EE2 488/A7_02.tif </t>
  </si>
  <si>
    <t xml:space="preserve"> 49965.0566 </t>
  </si>
  <si>
    <t xml:space="preserve"> 91.4113 </t>
  </si>
  <si>
    <t xml:space="preserve">F:\images\20210512\plaque 1/@07 EE2 488/A7_03.tif </t>
  </si>
  <si>
    <t xml:space="preserve"> 48602.3732 </t>
  </si>
  <si>
    <t xml:space="preserve"> 90.4259 </t>
  </si>
  <si>
    <t xml:space="preserve">F:\images\20210512\plaque 1/@07 EE2 488/B7_01.tif </t>
  </si>
  <si>
    <t xml:space="preserve"> 71335.3925 </t>
  </si>
  <si>
    <t xml:space="preserve"> 90.2159 </t>
  </si>
  <si>
    <t xml:space="preserve">F:\images\20210512\plaque 1/@07 EE2 488/B7_02.tif </t>
  </si>
  <si>
    <t xml:space="preserve"> 63894.7087 </t>
  </si>
  <si>
    <t xml:space="preserve"> 87.8913 </t>
  </si>
  <si>
    <t xml:space="preserve">F:\images\20210512\plaque 1/@07 EE2 488/B7_03.tif </t>
  </si>
  <si>
    <t xml:space="preserve"> 69129.1432 </t>
  </si>
  <si>
    <t xml:space="preserve"> 85.5304 </t>
  </si>
  <si>
    <t xml:space="preserve">F:\images\20210512\plaque 1/@07 EE2 488/C7_01.tif </t>
  </si>
  <si>
    <t xml:space="preserve"> 69194.0329 </t>
  </si>
  <si>
    <t xml:space="preserve"> 97.8209 </t>
  </si>
  <si>
    <t xml:space="preserve">F:\images\20210512\plaque 1/@07 EE2 488/C7_02.tif </t>
  </si>
  <si>
    <t xml:space="preserve"> 69648.2607 </t>
  </si>
  <si>
    <t xml:space="preserve"> 97.736 </t>
  </si>
  <si>
    <t xml:space="preserve">F:\images\20210512\plaque 1/@07 EE2 488/C7_03.tif </t>
  </si>
  <si>
    <t xml:space="preserve"> 68501.8763 </t>
  </si>
  <si>
    <t xml:space="preserve"> 97.2371 </t>
  </si>
  <si>
    <t xml:space="preserve">F:\images\20210512\plaque 1/@07 EE2 488/D7_01.tif </t>
  </si>
  <si>
    <t xml:space="preserve"> 53707.0284 </t>
  </si>
  <si>
    <t xml:space="preserve"> 84.0624 </t>
  </si>
  <si>
    <t xml:space="preserve">F:\images\20210512\plaque 1/@07 EE2 488/D7_02.tif </t>
  </si>
  <si>
    <t xml:space="preserve"> 54961.5623 </t>
  </si>
  <si>
    <t xml:space="preserve"> 83.8229 </t>
  </si>
  <si>
    <t xml:space="preserve">F:\images\20210512\plaque 1/@07 EE2 488/D7_03.tif </t>
  </si>
  <si>
    <t xml:space="preserve"> 59568.7298 </t>
  </si>
  <si>
    <t xml:space="preserve"> 84.0741 </t>
  </si>
  <si>
    <t xml:space="preserve">F:\images\20210512\plaque 1/@07 EE2 488/E7_01.tif </t>
  </si>
  <si>
    <t xml:space="preserve"> 64651.755 </t>
  </si>
  <si>
    <t xml:space="preserve"> 78.4935 </t>
  </si>
  <si>
    <t xml:space="preserve">F:\images\20210512\plaque 1/@07 EE2 488/E7_02.tif </t>
  </si>
  <si>
    <t xml:space="preserve"> 65019.4633 </t>
  </si>
  <si>
    <t xml:space="preserve"> 78.5739 </t>
  </si>
  <si>
    <t xml:space="preserve">F:\images\20210512\plaque 1/@07 EE2 488/E7_03.tif </t>
  </si>
  <si>
    <t xml:space="preserve"> 67463.6413 </t>
  </si>
  <si>
    <t xml:space="preserve"> 78.8144 </t>
  </si>
  <si>
    <t xml:space="preserve">F:\images\20210512\plaque 1/@07 EE2 488/F7_01.tif </t>
  </si>
  <si>
    <t xml:space="preserve"> 67009.4136 </t>
  </si>
  <si>
    <t xml:space="preserve"> 87.491 </t>
  </si>
  <si>
    <t xml:space="preserve">F:\images\20210512\plaque 1/@07 EE2 488/F7_02.tif </t>
  </si>
  <si>
    <t xml:space="preserve"> 73584.9015 </t>
  </si>
  <si>
    <t xml:space="preserve"> 87.5397 </t>
  </si>
  <si>
    <t xml:space="preserve">F:\images\20210512\plaque 1/@07 EE2 488/F7_03.tif </t>
  </si>
  <si>
    <t xml:space="preserve"> 65192.5024 </t>
  </si>
  <si>
    <t xml:space="preserve"> 88.2717 </t>
  </si>
  <si>
    <t xml:space="preserve">F:\images\20210512\plaque 1/@07 EE2 488/G7_01.tif </t>
  </si>
  <si>
    <t xml:space="preserve"> 47023.3909 </t>
  </si>
  <si>
    <t xml:space="preserve"> 80.3316 </t>
  </si>
  <si>
    <t xml:space="preserve">F:\images\20210512\plaque 1/@07 EE2 488/G7_02.tif </t>
  </si>
  <si>
    <t xml:space="preserve"> 45855.3766 </t>
  </si>
  <si>
    <t xml:space="preserve"> 78.3807 </t>
  </si>
  <si>
    <t xml:space="preserve">F:\images\20210512\plaque 1/@07 EE2 488/G7_03.tif </t>
  </si>
  <si>
    <t xml:space="preserve"> 47304.5796 </t>
  </si>
  <si>
    <t xml:space="preserve"> 80.7727 </t>
  </si>
  <si>
    <t xml:space="preserve">F:\images\20210512\plaque 1/@07 EE2 488/H7_01.tif </t>
  </si>
  <si>
    <t xml:space="preserve"> 73866.0902 </t>
  </si>
  <si>
    <t xml:space="preserve"> 94.9092 </t>
  </si>
  <si>
    <t xml:space="preserve">F:\images\20210512\plaque 1/@07 EE2 488/H7_02.tif </t>
  </si>
  <si>
    <t xml:space="preserve"> 76223.7487 </t>
  </si>
  <si>
    <t xml:space="preserve"> 95.5911 </t>
  </si>
  <si>
    <t xml:space="preserve">F:\images\20210512\plaque 1/@07 EE2 488/H7_03.tif </t>
  </si>
  <si>
    <t xml:space="preserve"> 68199.0578 </t>
  </si>
  <si>
    <t xml:space="preserve"> 96.9632 </t>
  </si>
  <si>
    <t xml:space="preserve">F:\images\20210512\plaque 1/@07 EE2 488/ </t>
  </si>
  <si>
    <t xml:space="preserve"> 87.8902 </t>
  </si>
  <si>
    <t xml:space="preserve"> 6.6973 </t>
  </si>
  <si>
    <t xml:space="preserve"> 5485334.08 </t>
  </si>
  <si>
    <t xml:space="preserve"> 1104370.64 </t>
  </si>
  <si>
    <t xml:space="preserve">F:\images\20210512\plaque 1/@08 Estrone 0.04 µg_L/A8_01.tif </t>
  </si>
  <si>
    <t xml:space="preserve"> 4217.8295 </t>
  </si>
  <si>
    <t xml:space="preserve"> 68.6821 </t>
  </si>
  <si>
    <t xml:space="preserve">F:\images\20210512\plaque 1/@08 Estrone 0.04 µg_L/A8_02.tif </t>
  </si>
  <si>
    <t xml:space="preserve"> 4607.1676 </t>
  </si>
  <si>
    <t xml:space="preserve"> 68.0845 </t>
  </si>
  <si>
    <t xml:space="preserve">F:\images\20210512\plaque 1/@08 Estrone 0.04 µg_L/A8_03.tif </t>
  </si>
  <si>
    <t xml:space="preserve"> 64.855 </t>
  </si>
  <si>
    <t xml:space="preserve">F:\images\20210512\plaque 1/@08 Estrone 0.04 µg_L/B8_01.tif </t>
  </si>
  <si>
    <t xml:space="preserve"> 72.1338 </t>
  </si>
  <si>
    <t xml:space="preserve">F:\images\20210512\plaque 1/@08 Estrone 0.04 µg_L/B8_02.tif </t>
  </si>
  <si>
    <t xml:space="preserve"> 3720.3419 </t>
  </si>
  <si>
    <t xml:space="preserve"> 67.8547 </t>
  </si>
  <si>
    <t xml:space="preserve">F:\images\20210512\plaque 1/@08 Estrone 0.04 µg_L/B8_03.tif </t>
  </si>
  <si>
    <t xml:space="preserve"> 65.3333 </t>
  </si>
  <si>
    <t xml:space="preserve">F:\images\20210512\plaque 1/@08 Estrone 0.04 µg_L/C8_01.tif </t>
  </si>
  <si>
    <t xml:space="preserve"> 66.027 </t>
  </si>
  <si>
    <t xml:space="preserve">F:\images\20210512\plaque 1/@08 Estrone 0.04 µg_L/C8_02.tif </t>
  </si>
  <si>
    <t xml:space="preserve"> 65.0323 </t>
  </si>
  <si>
    <t xml:space="preserve">F:\images\20210512\plaque 1/@08 Estrone 0.04 µg_L/C8_03.tif </t>
  </si>
  <si>
    <t xml:space="preserve"> 3850.1212 </t>
  </si>
  <si>
    <t xml:space="preserve"> 67.4045 </t>
  </si>
  <si>
    <t xml:space="preserve">F:\images\20210512\plaque 1/@08 Estrone 0.04 µg_L/D8_01.tif </t>
  </si>
  <si>
    <t xml:space="preserve"> 68.0345 </t>
  </si>
  <si>
    <t xml:space="preserve">F:\images\20210512\plaque 1/@08 Estrone 0.04 µg_L/D8_02.tif </t>
  </si>
  <si>
    <t xml:space="preserve"> 951.7154 </t>
  </si>
  <si>
    <t xml:space="preserve"> 64.4545 </t>
  </si>
  <si>
    <t xml:space="preserve">F:\images\20210512\plaque 1/@08 Estrone 0.04 µg_L/D8_03.tif </t>
  </si>
  <si>
    <t xml:space="preserve">F:\images\20210512\plaque 1/@08 Estrone 0.04 µg_L/E8_01.tif </t>
  </si>
  <si>
    <t xml:space="preserve"> 73.9266 </t>
  </si>
  <si>
    <t xml:space="preserve">F:\images\20210512\plaque 1/@08 Estrone 0.04 µg_L/E8_02.tif </t>
  </si>
  <si>
    <t xml:space="preserve">F:\images\20210512\plaque 1/@08 Estrone 0.04 µg_L/E8_03.tif </t>
  </si>
  <si>
    <t xml:space="preserve"> 1708.7617 </t>
  </si>
  <si>
    <t xml:space="preserve"> 65.7089 </t>
  </si>
  <si>
    <t>F:\images\20210512\plaque 1/@08 Estrone 0.04 µg_L/F8_01- exclu.tif</t>
  </si>
  <si>
    <t>F:\images\20210512\plaque 1/@08 Estrone 0.04 µg_L/F8_02- exclu.tif</t>
  </si>
  <si>
    <t>F:\images\20210512\plaque 1/@08 Estrone 0.04 µg_L/F8_03- exclu.tif</t>
  </si>
  <si>
    <t xml:space="preserve">F:\images\20210512\plaque 1/@08 Estrone 0.04 µg_L/G8_01.tif </t>
  </si>
  <si>
    <t xml:space="preserve"> 64.0412 </t>
  </si>
  <si>
    <t xml:space="preserve">F:\images\20210512\plaque 1/@08 Estrone 0.04 µg_L/G8_02.tif </t>
  </si>
  <si>
    <t xml:space="preserve"> 63.8882 </t>
  </si>
  <si>
    <t xml:space="preserve">F:\images\20210512\plaque 1/@08 Estrone 0.04 µg_L/G8_03.tif </t>
  </si>
  <si>
    <t xml:space="preserve"> 63.8319 </t>
  </si>
  <si>
    <t xml:space="preserve">F:\images\20210512\plaque 1/@08 Estrone 0.04 µg_L/H8_01.tif </t>
  </si>
  <si>
    <t xml:space="preserve"> 68.2394 </t>
  </si>
  <si>
    <t xml:space="preserve">F:\images\20210512\plaque 1/@08 Estrone 0.04 µg_L/H8_02.tif </t>
  </si>
  <si>
    <t xml:space="preserve"> 3655.4522 </t>
  </si>
  <si>
    <t xml:space="preserve"> 67.3669 </t>
  </si>
  <si>
    <t xml:space="preserve">F:\images\20210512\plaque 1/@08 Estrone 0.04 µg_L/H8_03.tif </t>
  </si>
  <si>
    <t xml:space="preserve"> 2141.3596 </t>
  </si>
  <si>
    <t xml:space="preserve"> 64.9293 </t>
  </si>
  <si>
    <t xml:space="preserve">F:\images\20210512\plaque 1/@08 Estrone 0.04 µg_L/ </t>
  </si>
  <si>
    <t xml:space="preserve"> 66.1525 </t>
  </si>
  <si>
    <t xml:space="preserve"> 2.8017 </t>
  </si>
  <si>
    <t xml:space="preserve"> 183666.625 </t>
  </si>
  <si>
    <t xml:space="preserve"> 145973.896 </t>
  </si>
  <si>
    <t xml:space="preserve">F:\images\20210512\plaque 1/@09 Estrone 0.2 µg_L/A9_01.tif </t>
  </si>
  <si>
    <t xml:space="preserve"> 2660.477 </t>
  </si>
  <si>
    <t xml:space="preserve"> 65.2358 </t>
  </si>
  <si>
    <t xml:space="preserve">F:\images\20210512\plaque 1/@09 Estrone 0.2 µg_L/A9_02.tif </t>
  </si>
  <si>
    <t xml:space="preserve"> 62.5484 </t>
  </si>
  <si>
    <t xml:space="preserve">F:\images\20210512\plaque 1/@09 Estrone 0.2 µg_L/A9_03.tif </t>
  </si>
  <si>
    <t xml:space="preserve"> 65.7714 </t>
  </si>
  <si>
    <t xml:space="preserve">F:\images\20210512\plaque 1/@09 Estrone 0.2 µg_L/B9_01.tif </t>
  </si>
  <si>
    <t xml:space="preserve"> 69.7197 </t>
  </si>
  <si>
    <t xml:space="preserve">F:\images\20210512\plaque 1/@09 Estrone 0.2 µg_L/B9_02.tif </t>
  </si>
  <si>
    <t xml:space="preserve"> 64.4118 </t>
  </si>
  <si>
    <t xml:space="preserve">F:\images\20210512\plaque 1/@09 Estrone 0.2 µg_L/B9_03.tif </t>
  </si>
  <si>
    <t xml:space="preserve"> 64.6333 </t>
  </si>
  <si>
    <t xml:space="preserve">F:\images\20210512\plaque 1/@09 Estrone 0.2 µg_L/C9_01.tif </t>
  </si>
  <si>
    <t xml:space="preserve"> 4023.1604 </t>
  </si>
  <si>
    <t xml:space="preserve"> 66.5484 </t>
  </si>
  <si>
    <t xml:space="preserve">F:\images\20210512\plaque 1/@09 Estrone 0.2 µg_L/C9_02.tif </t>
  </si>
  <si>
    <t xml:space="preserve"> 63.8889 </t>
  </si>
  <si>
    <t xml:space="preserve">F:\images\20210512\plaque 1/@09 Estrone 0.2 µg_L/C9_03.tif </t>
  </si>
  <si>
    <t xml:space="preserve"> 66.6126 </t>
  </si>
  <si>
    <t xml:space="preserve">F:\images\20210512\plaque 1/@09 Estrone 0.2 µg_L/D9_01.tif </t>
  </si>
  <si>
    <t xml:space="preserve"> 64.2812 </t>
  </si>
  <si>
    <t xml:space="preserve">F:\images\20210512\plaque 1/@09 Estrone 0.2 µg_L/D9_02.tif </t>
  </si>
  <si>
    <t xml:space="preserve"> 63.9123 </t>
  </si>
  <si>
    <t xml:space="preserve">F:\images\20210512\plaque 1/@09 Estrone 0.2 µg_L/D9_03.tif </t>
  </si>
  <si>
    <t xml:space="preserve"> 65.669 </t>
  </si>
  <si>
    <t xml:space="preserve">F:\images\20210512\plaque 1/@09 Estrone 0.2 µg_L/E9_01.tif </t>
  </si>
  <si>
    <t xml:space="preserve"> 78.0851 </t>
  </si>
  <si>
    <t xml:space="preserve">F:\images\20210512\plaque 1/@09 Estrone 0.2 µg_L/E9_02.tif </t>
  </si>
  <si>
    <t xml:space="preserve"> 8630.328 </t>
  </si>
  <si>
    <t xml:space="preserve"> 68.3885 </t>
  </si>
  <si>
    <t xml:space="preserve">F:\images\20210512\plaque 1/@09 Estrone 0.2 µg_L/E9_03.tif </t>
  </si>
  <si>
    <t xml:space="preserve"> 66.8063 </t>
  </si>
  <si>
    <t xml:space="preserve">F:\images\20210512\plaque 1/@09 Estrone 0.2 µg_L/F9_01.tif </t>
  </si>
  <si>
    <t xml:space="preserve"> 63.2647 </t>
  </si>
  <si>
    <t xml:space="preserve">F:\images\20210512\plaque 1/@09 Estrone 0.2 µg_L/F9_02.tif </t>
  </si>
  <si>
    <t xml:space="preserve"> 4693.6871 </t>
  </si>
  <si>
    <t xml:space="preserve"> 69.9862 </t>
  </si>
  <si>
    <t xml:space="preserve">F:\images\20210512\plaque 1/@09 Estrone 0.2 µg_L/F9_03.tif </t>
  </si>
  <si>
    <t xml:space="preserve"> 63.1389 </t>
  </si>
  <si>
    <t xml:space="preserve">F:\images\20210512\plaque 1/@09 Estrone 0.2 µg_L/G9_01.tif </t>
  </si>
  <si>
    <t xml:space="preserve"> 5256.0644 </t>
  </si>
  <si>
    <t xml:space="preserve"> 68.2181 </t>
  </si>
  <si>
    <t xml:space="preserve">F:\images\20210512\plaque 1/@09 Estrone 0.2 µg_L/G9_02.tif </t>
  </si>
  <si>
    <t xml:space="preserve"> 4996.5057 </t>
  </si>
  <si>
    <t xml:space="preserve"> 66.684 </t>
  </si>
  <si>
    <t xml:space="preserve">F:\images\20210512\plaque 1/@09 Estrone 0.2 µg_L/G9_03.tif </t>
  </si>
  <si>
    <t xml:space="preserve"> 67.4303 </t>
  </si>
  <si>
    <t xml:space="preserve">F:\images\20210512\plaque 1/@09 Estrone 0.2 µg_L/H9_01.tif </t>
  </si>
  <si>
    <t xml:space="preserve"> 63.8571 </t>
  </si>
  <si>
    <t xml:space="preserve">F:\images\20210512\plaque 1/@09 Estrone 0.2 µg_L/H9_02.tif </t>
  </si>
  <si>
    <t xml:space="preserve"> 66.4872 </t>
  </si>
  <si>
    <t xml:space="preserve">F:\images\20210512\plaque 1/@09 Estrone 0.2 µg_L/H9_03.tif </t>
  </si>
  <si>
    <t xml:space="preserve"> 65.8333 </t>
  </si>
  <si>
    <t xml:space="preserve">F:\images\20210512\plaque 1/@09 Estrone 0.2 µg_L/ </t>
  </si>
  <si>
    <t xml:space="preserve"> 66.3089 </t>
  </si>
  <si>
    <t xml:space="preserve"> 3.212 </t>
  </si>
  <si>
    <t xml:space="preserve"> 194332.917 </t>
  </si>
  <si>
    <t xml:space="preserve"> 173370.14 </t>
  </si>
  <si>
    <t xml:space="preserve">F:\images\20210512\plaque 1/@10 Estrone 1 µg_L/A10_01.tif </t>
  </si>
  <si>
    <t xml:space="preserve"> 7505.5734 </t>
  </si>
  <si>
    <t xml:space="preserve"> 68.6282 </t>
  </si>
  <si>
    <t xml:space="preserve">F:\images\20210512\plaque 1/@10 Estrone 1 µg_L/A10_02.tif </t>
  </si>
  <si>
    <t xml:space="preserve"> 61.9091 </t>
  </si>
  <si>
    <t xml:space="preserve">F:\images\20210512\plaque 1/@10 Estrone 1 µg_L/A10_03.tif </t>
  </si>
  <si>
    <t xml:space="preserve"> 64.6124 </t>
  </si>
  <si>
    <t xml:space="preserve">F:\images\20210512\plaque 1/@10 Estrone 1 µg_L/B10_01.tif </t>
  </si>
  <si>
    <t xml:space="preserve"> 73.4146 </t>
  </si>
  <si>
    <t xml:space="preserve">F:\images\20210512\plaque 1/@10 Estrone 1 µg_L/B10_02.tif </t>
  </si>
  <si>
    <t xml:space="preserve"> 72.7531 </t>
  </si>
  <si>
    <t xml:space="preserve">F:\images\20210512\plaque 1/@10 Estrone 1 µg_L/B10_03.tif </t>
  </si>
  <si>
    <t xml:space="preserve"> 70.5 </t>
  </si>
  <si>
    <t xml:space="preserve">F:\images\20210512\plaque 1/@10 Estrone 1 µg_L/C10_01.tif </t>
  </si>
  <si>
    <t xml:space="preserve"> 7137.8652 </t>
  </si>
  <si>
    <t xml:space="preserve"> 71.8424 </t>
  </si>
  <si>
    <t xml:space="preserve">F:\images\20210512\plaque 1/@10 Estrone 1 µg_L/C10_02.tif </t>
  </si>
  <si>
    <t xml:space="preserve"> 80.7161 </t>
  </si>
  <si>
    <t xml:space="preserve">F:\images\20210512\plaque 1/@10 Estrone 1 µg_L/C10_03.tif </t>
  </si>
  <si>
    <t xml:space="preserve"> 76.1629 </t>
  </si>
  <si>
    <t xml:space="preserve">F:\images\20210512\plaque 1/@10 Estrone 1 µg_L/D10_01.tif </t>
  </si>
  <si>
    <t xml:space="preserve"> 2530.6977 </t>
  </si>
  <si>
    <t xml:space="preserve"> 65.1453 </t>
  </si>
  <si>
    <t xml:space="preserve">F:\images\20210512\plaque 1/@10 Estrone 1 µg_L/D10_02.tif </t>
  </si>
  <si>
    <t xml:space="preserve"> 64.1591 </t>
  </si>
  <si>
    <t xml:space="preserve">F:\images\20210512\plaque 1/@10 Estrone 1 µg_L/D10_03.tif </t>
  </si>
  <si>
    <t xml:space="preserve"> 2011.5802 </t>
  </si>
  <si>
    <t xml:space="preserve"> 62.828 </t>
  </si>
  <si>
    <t xml:space="preserve">F:\images\20210512\plaque 1/@10 Estrone 1 µg_L/E10_01.tif </t>
  </si>
  <si>
    <t xml:space="preserve"> 1643.872 </t>
  </si>
  <si>
    <t xml:space="preserve"> 64.4079 </t>
  </si>
  <si>
    <t xml:space="preserve">F:\images\20210512\plaque 1/@10 Estrone 1 µg_L/E10_02.tif </t>
  </si>
  <si>
    <t xml:space="preserve"> 3698.712 </t>
  </si>
  <si>
    <t xml:space="preserve"> 66.9474 </t>
  </si>
  <si>
    <t xml:space="preserve">F:\images\20210512\plaque 1/@10 Estrone 1 µg_L/E10_03.tif </t>
  </si>
  <si>
    <t xml:space="preserve"> 1384.3133 </t>
  </si>
  <si>
    <t xml:space="preserve"> 67.125 </t>
  </si>
  <si>
    <t>F:\images\20210512\plaque 1/@10 Estrone 1 µg_L/F10_01- exclu.tif</t>
  </si>
  <si>
    <t xml:space="preserve">F:\images\20210512\plaque 1/@10 Estrone 1 µg_L/F10_02.tif </t>
  </si>
  <si>
    <t xml:space="preserve"> 64.6111 </t>
  </si>
  <si>
    <t xml:space="preserve">F:\images\20210512\plaque 1/@10 Estrone 1 µg_L/F10_03.tif </t>
  </si>
  <si>
    <t xml:space="preserve"> 821.936 </t>
  </si>
  <si>
    <t xml:space="preserve">F:\images\20210512\plaque 1/@10 Estrone 1 µg_L/G10_01.tif </t>
  </si>
  <si>
    <t xml:space="preserve"> 7224.3848 </t>
  </si>
  <si>
    <t xml:space="preserve"> 66.1317 </t>
  </si>
  <si>
    <t xml:space="preserve">F:\images\20210512\plaque 1/@10 Estrone 1 µg_L/G10_02.tif </t>
  </si>
  <si>
    <t xml:space="preserve"> 6553.8581 </t>
  </si>
  <si>
    <t xml:space="preserve"> 67.9736 </t>
  </si>
  <si>
    <t xml:space="preserve">F:\images\20210512\plaque 1/@10 Estrone 1 µg_L/G10_03.tif </t>
  </si>
  <si>
    <t xml:space="preserve"> 65.0928 </t>
  </si>
  <si>
    <t xml:space="preserve">F:\images\20210512\plaque 1/@10 Estrone 1 µg_L/H10_01.tif </t>
  </si>
  <si>
    <t xml:space="preserve"> 66.2103 </t>
  </si>
  <si>
    <t xml:space="preserve">F:\images\20210512\plaque 1/@10 Estrone 1 µg_L/H10_02.tif </t>
  </si>
  <si>
    <t xml:space="preserve"> 2898.4059 </t>
  </si>
  <si>
    <t xml:space="preserve"> 63.6269 </t>
  </si>
  <si>
    <t xml:space="preserve">F:\images\20210512\plaque 1/@10 Estrone 1 µg_L/H10_03.tif </t>
  </si>
  <si>
    <t xml:space="preserve"> 63.9635 </t>
  </si>
  <si>
    <t xml:space="preserve">F:\images\20210512\plaque 1/@10 Estrone 1 µg_L/ </t>
  </si>
  <si>
    <t xml:space="preserve"> 67.306 </t>
  </si>
  <si>
    <t xml:space="preserve"> 4.7099 </t>
  </si>
  <si>
    <t xml:space="preserve"> 262644.542 </t>
  </si>
  <si>
    <t xml:space="preserve"> 181498.78 </t>
  </si>
  <si>
    <t xml:space="preserve">F:\images\20210512\plaque 1/@11 Estrone 5 µg_L/A11_01.tif </t>
  </si>
  <si>
    <t xml:space="preserve"> 65257.3921 </t>
  </si>
  <si>
    <t xml:space="preserve"> 89.5973 </t>
  </si>
  <si>
    <t xml:space="preserve">F:\images\20210512\plaque 1/@11 Estrone 5 µg_L/A11_02.tif </t>
  </si>
  <si>
    <t xml:space="preserve"> 64521.9757 </t>
  </si>
  <si>
    <t xml:space="preserve"> 87.3426 </t>
  </si>
  <si>
    <t xml:space="preserve">F:\images\20210512\plaque 1/@11 Estrone 5 µg_L/A11_03.tif </t>
  </si>
  <si>
    <t xml:space="preserve"> 57102.9218 </t>
  </si>
  <si>
    <t xml:space="preserve"> 88.8178 </t>
  </si>
  <si>
    <t xml:space="preserve">F:\images\20210512\plaque 1/@11 Estrone 5 µg_L/B11_01.tif </t>
  </si>
  <si>
    <t xml:space="preserve"> 67204.0826 </t>
  </si>
  <si>
    <t xml:space="preserve"> 85.2288 </t>
  </si>
  <si>
    <t xml:space="preserve">F:\images\20210512\plaque 1/@11 Estrone 5 µg_L/B11_02.tif </t>
  </si>
  <si>
    <t xml:space="preserve"> 63483.7407 </t>
  </si>
  <si>
    <t xml:space="preserve"> 84.4078 </t>
  </si>
  <si>
    <t xml:space="preserve">F:\images\20210512\plaque 1/@11 Estrone 5 µg_L/B11_03.tif </t>
  </si>
  <si>
    <t xml:space="preserve"> 65603.4704 </t>
  </si>
  <si>
    <t xml:space="preserve"> 85.4636 </t>
  </si>
  <si>
    <t xml:space="preserve">F:\images\20210512\plaque 1/@11 Estrone 5 µg_L/C11_01.tif </t>
  </si>
  <si>
    <t xml:space="preserve"> 44557.5829 </t>
  </si>
  <si>
    <t xml:space="preserve"> 88.1 </t>
  </si>
  <si>
    <t xml:space="preserve">F:\images\20210512\plaque 1/@11 Estrone 5 µg_L/C11_02.tif </t>
  </si>
  <si>
    <t xml:space="preserve"> 83.7743 </t>
  </si>
  <si>
    <t xml:space="preserve">F:\images\20210512\plaque 1/@11 Estrone 5 µg_L/C11_03.tif </t>
  </si>
  <si>
    <t xml:space="preserve"> 42654.1522 </t>
  </si>
  <si>
    <t xml:space="preserve"> 87.7039 </t>
  </si>
  <si>
    <t xml:space="preserve">F:\images\20210512\plaque 1/@11 Estrone 5 µg_L/D11_01.tif </t>
  </si>
  <si>
    <t xml:space="preserve"> 37982.095 </t>
  </si>
  <si>
    <t xml:space="preserve"> 83.988 </t>
  </si>
  <si>
    <t xml:space="preserve">F:\images\20210512\plaque 1/@11 Estrone 5 µg_L/D11_02.tif </t>
  </si>
  <si>
    <t xml:space="preserve"> 34002.1944 </t>
  </si>
  <si>
    <t xml:space="preserve"> 81.1622 </t>
  </si>
  <si>
    <t xml:space="preserve">F:\images\20210512\plaque 1/@11 Estrone 5 µg_L/D11_03.tif </t>
  </si>
  <si>
    <t xml:space="preserve"> 65.7179 </t>
  </si>
  <si>
    <t xml:space="preserve">F:\images\20210512\plaque 1/@11 Estrone 5 µg_L/E11_01.tif </t>
  </si>
  <si>
    <t xml:space="preserve"> 59547.0999 </t>
  </si>
  <si>
    <t xml:space="preserve"> 85.433 </t>
  </si>
  <si>
    <t xml:space="preserve">F:\images\20210512\plaque 1/@11 Estrone 5 µg_L/E11_02.tif </t>
  </si>
  <si>
    <t xml:space="preserve"> 64759.9045 </t>
  </si>
  <si>
    <t xml:space="preserve"> 83.2792 </t>
  </si>
  <si>
    <t xml:space="preserve">F:\images\20210512\plaque 1/@11 Estrone 5 µg_L/E11_03.tif </t>
  </si>
  <si>
    <t xml:space="preserve"> 67442.0115 </t>
  </si>
  <si>
    <t xml:space="preserve"> 85.2486 </t>
  </si>
  <si>
    <t xml:space="preserve">F:\images\20210512\plaque 1/@11 Estrone 5 µg_L/F11_01.tif </t>
  </si>
  <si>
    <t xml:space="preserve"> 46136.5652 </t>
  </si>
  <si>
    <t xml:space="preserve"> 84.9114 </t>
  </si>
  <si>
    <t xml:space="preserve">F:\images\20210512\plaque 1/@11 Estrone 5 µg_L/F11_02.tif </t>
  </si>
  <si>
    <t xml:space="preserve"> 44687.3623 </t>
  </si>
  <si>
    <t xml:space="preserve"> 90.4637 </t>
  </si>
  <si>
    <t xml:space="preserve">F:\images\20210512\plaque 1/@11 Estrone 5 µg_L/F11_03.tif </t>
  </si>
  <si>
    <t xml:space="preserve"> 45163.22 </t>
  </si>
  <si>
    <t xml:space="preserve"> 89.0144 </t>
  </si>
  <si>
    <t xml:space="preserve">F:\images\20210512\plaque 1/@11 Estrone 5 µg_L/G11_01.tif </t>
  </si>
  <si>
    <t xml:space="preserve"> 64392.1963 </t>
  </si>
  <si>
    <t xml:space="preserve"> 91.0917 </t>
  </si>
  <si>
    <t xml:space="preserve">F:\images\20210512\plaque 1/@11 Estrone 5 µg_L/G11_02.tif </t>
  </si>
  <si>
    <t xml:space="preserve"> 64348.9365 </t>
  </si>
  <si>
    <t xml:space="preserve"> 94.9509 </t>
  </si>
  <si>
    <t xml:space="preserve">F:\images\20210512\plaque 1/@11 Estrone 5 µg_L/G11_03.tif </t>
  </si>
  <si>
    <t xml:space="preserve"> 66901.2641 </t>
  </si>
  <si>
    <t xml:space="preserve"> 96.0993 </t>
  </si>
  <si>
    <t xml:space="preserve">F:\images\20210512\plaque 1/@11 Estrone 5 µg_L/H11_01.tif </t>
  </si>
  <si>
    <t xml:space="preserve"> 66944.5239 </t>
  </si>
  <si>
    <t xml:space="preserve"> 82.0704 </t>
  </si>
  <si>
    <t xml:space="preserve">F:\images\20210512\plaque 1/@11 Estrone 5 µg_L/H11_02.tif </t>
  </si>
  <si>
    <t xml:space="preserve"> 75293.6632 </t>
  </si>
  <si>
    <t xml:space="preserve"> 82.206 </t>
  </si>
  <si>
    <t xml:space="preserve">F:\images\20210512\plaque 1/@11 Estrone 5 µg_L/H11_03.tif </t>
  </si>
  <si>
    <t xml:space="preserve"> 72135.6986 </t>
  </si>
  <si>
    <t xml:space="preserve"> 80.6225 </t>
  </si>
  <si>
    <t xml:space="preserve">F:\images\20210512\plaque 1/@11 Estrone 5 µg_L/ </t>
  </si>
  <si>
    <t xml:space="preserve"> 85.6956 </t>
  </si>
  <si>
    <t xml:space="preserve"> 5.8244 </t>
  </si>
  <si>
    <t xml:space="preserve"> 4795151.21 </t>
  </si>
  <si>
    <t xml:space="preserve"> 1413866.73 </t>
  </si>
  <si>
    <t xml:space="preserve">F:\images\20210512\plaque 1/@12 Estrone 25 µg_L/A12_01.tif </t>
  </si>
  <si>
    <t xml:space="preserve"> 77651.3217 </t>
  </si>
  <si>
    <t xml:space="preserve"> 99.5967 </t>
  </si>
  <si>
    <t xml:space="preserve">F:\images\20210512\plaque 1/@12 Estrone 25 µg_L/A12_02.tif </t>
  </si>
  <si>
    <t xml:space="preserve"> 75747.891 </t>
  </si>
  <si>
    <t xml:space="preserve"> 100.9218 </t>
  </si>
  <si>
    <t xml:space="preserve">F:\images\20210512\plaque 1/@12 Estrone 25 µg_L/A12_03.tif </t>
  </si>
  <si>
    <t xml:space="preserve"> 76591.4569 </t>
  </si>
  <si>
    <t xml:space="preserve"> 100.2917 </t>
  </si>
  <si>
    <t xml:space="preserve">F:\images\20210512\plaque 1/@12 Estrone 25 µg_L/B12_01.tif </t>
  </si>
  <si>
    <t xml:space="preserve"> 92.9219 </t>
  </si>
  <si>
    <t xml:space="preserve">F:\images\20210512\plaque 1/@12 Estrone 25 µg_L/B12_02.tif </t>
  </si>
  <si>
    <t xml:space="preserve"> 65884.659 </t>
  </si>
  <si>
    <t xml:space="preserve"> 87.6185 </t>
  </si>
  <si>
    <t xml:space="preserve">F:\images\20210512\plaque 1/@12 Estrone 25 µg_L/B12_03.tif </t>
  </si>
  <si>
    <t xml:space="preserve"> 62726.6944 </t>
  </si>
  <si>
    <t xml:space="preserve"> 90.4155 </t>
  </si>
  <si>
    <t xml:space="preserve">F:\images\20210512\plaque 1/@12 Estrone 25 µg_L/C12_01.tif </t>
  </si>
  <si>
    <t xml:space="preserve"> 69626.6308 </t>
  </si>
  <si>
    <t xml:space="preserve"> 90.2349 </t>
  </si>
  <si>
    <t xml:space="preserve">F:\images\20210512\plaque 1/@12 Estrone 25 µg_L/C12_02.tif </t>
  </si>
  <si>
    <t xml:space="preserve"> 63613.5201 </t>
  </si>
  <si>
    <t xml:space="preserve"> 90.9113 </t>
  </si>
  <si>
    <t xml:space="preserve">F:\images\20210512\plaque 1/@12 Estrone 25 µg_L/C12_03.tif </t>
  </si>
  <si>
    <t xml:space="preserve"> 63137.6624 </t>
  </si>
  <si>
    <t xml:space="preserve"> 89.7698 </t>
  </si>
  <si>
    <t xml:space="preserve">F:\images\20210512\plaque 1/@12 Estrone 25 µg_L/D12_01.tif </t>
  </si>
  <si>
    <t xml:space="preserve"> 56843.3631 </t>
  </si>
  <si>
    <t xml:space="preserve"> 99.4817 </t>
  </si>
  <si>
    <t xml:space="preserve">F:\images\20210512\plaque 1/@12 Estrone 25 µg_L/D12_02.tif </t>
  </si>
  <si>
    <t xml:space="preserve"> 52841.8326 </t>
  </si>
  <si>
    <t xml:space="preserve"> 98.4871 </t>
  </si>
  <si>
    <t xml:space="preserve">F:\images\20210512\plaque 1/@12 Estrone 25 µg_L/D12_03.tif </t>
  </si>
  <si>
    <t xml:space="preserve"> 56605.4342 </t>
  </si>
  <si>
    <t xml:space="preserve"> 98.9771 </t>
  </si>
  <si>
    <t xml:space="preserve">F:\images\20210512\plaque 1/@12 Estrone 25 µg_L/E12_01.tif </t>
  </si>
  <si>
    <t xml:space="preserve"> 73974.2396 </t>
  </si>
  <si>
    <t xml:space="preserve"> 94.1851 </t>
  </si>
  <si>
    <t xml:space="preserve">F:\images\20210512\plaque 1/@12 Estrone 25 µg_L/E12_02.tif </t>
  </si>
  <si>
    <t xml:space="preserve"> 79598.0122 </t>
  </si>
  <si>
    <t xml:space="preserve"> 91.1535 </t>
  </si>
  <si>
    <t xml:space="preserve">F:\images\20210512\plaque 1/@12 Estrone 25 µg_L/E12_03.tif </t>
  </si>
  <si>
    <t xml:space="preserve"> 96.6888 </t>
  </si>
  <si>
    <t xml:space="preserve">F:\images\20210512\plaque 1/@12 Estrone 25 µg_L/F12_01.tif </t>
  </si>
  <si>
    <t xml:space="preserve"> 78127.1794 </t>
  </si>
  <si>
    <t xml:space="preserve"> 103.3261 </t>
  </si>
  <si>
    <t xml:space="preserve">F:\images\20210512\plaque 1/@12 Estrone 25 µg_L/F12_02.tif </t>
  </si>
  <si>
    <t xml:space="preserve"> 72308.7377 </t>
  </si>
  <si>
    <t xml:space="preserve"> 107.3978 </t>
  </si>
  <si>
    <t xml:space="preserve">F:\images\20210512\plaque 1/@12 Estrone 25 µg_L/F12_03.tif </t>
  </si>
  <si>
    <t xml:space="preserve"> 72438.5171 </t>
  </si>
  <si>
    <t xml:space="preserve"> 105.5351 </t>
  </si>
  <si>
    <t xml:space="preserve">F:\images\20210512\plaque 1/@12 Estrone 25 µg_L/G12_01.tif </t>
  </si>
  <si>
    <t xml:space="preserve"> 93462.7747 </t>
  </si>
  <si>
    <t xml:space="preserve"> 100.8836 </t>
  </si>
  <si>
    <t xml:space="preserve">F:\images\20210512\plaque 1/@12 Estrone 25 µg_L/G12_02.tif </t>
  </si>
  <si>
    <t xml:space="preserve"> 90802.2977 </t>
  </si>
  <si>
    <t xml:space="preserve"> 103.6148 </t>
  </si>
  <si>
    <t xml:space="preserve">F:\images\20210512\plaque 1/@12 Estrone 25 µg_L/G12_03.tif </t>
  </si>
  <si>
    <t xml:space="preserve"> 93700.7035 </t>
  </si>
  <si>
    <t xml:space="preserve"> 102.075 </t>
  </si>
  <si>
    <t xml:space="preserve">F:\images\20210512\plaque 1/@12 Estrone 25 µg_L/H12_01.tif </t>
  </si>
  <si>
    <t xml:space="preserve"> 90.1449 </t>
  </si>
  <si>
    <t>F:\images\20210512\plaque 1/@12 Estrone 25 µg_L/H12_02- exclu.tif</t>
  </si>
  <si>
    <t>F:\images\20210512\plaque 1/@12 Estrone 25 µg_L/H12_03- exclu.tif</t>
  </si>
  <si>
    <t xml:space="preserve">F:\images\20210512\plaque 1/@12 Estrone 25 µg_L/ </t>
  </si>
  <si>
    <t xml:space="preserve"> 94.9281 </t>
  </si>
  <si>
    <t xml:space="preserve"> 9.1367 </t>
  </si>
  <si>
    <t xml:space="preserve"> 6484456.62 </t>
  </si>
  <si>
    <t xml:space="preserve"> 2156316.18 </t>
  </si>
  <si>
    <t>F:\images\20210512\plaque 2/@01 Testo 30/A1_01- exclu.tif</t>
  </si>
  <si>
    <t>F:\images\20210512\plaque 2/@01 Testo 30/A1_02- exclu.tif</t>
  </si>
  <si>
    <t xml:space="preserve">F:\images\20210512\plaque 2/@01 Testo 30/A1_03.tif </t>
  </si>
  <si>
    <t xml:space="preserve"> 10144.4206 </t>
  </si>
  <si>
    <t xml:space="preserve"> 65.3412 </t>
  </si>
  <si>
    <t xml:space="preserve">F:\images\20210512\plaque 2/@01 Testo 30/B1_01.tif </t>
  </si>
  <si>
    <t xml:space="preserve"> 18666.5991 </t>
  </si>
  <si>
    <t xml:space="preserve"> 65.5435 </t>
  </si>
  <si>
    <t xml:space="preserve">F:\images\20210512\plaque 2/@01 Testo 30/B1_02.tif </t>
  </si>
  <si>
    <t xml:space="preserve"> 18493.5599 </t>
  </si>
  <si>
    <t xml:space="preserve"> 65.0047 </t>
  </si>
  <si>
    <t xml:space="preserve">F:\images\20210512\plaque 2/@01 Testo 30/B1_03.tif </t>
  </si>
  <si>
    <t xml:space="preserve"> 22451.8306 </t>
  </si>
  <si>
    <t xml:space="preserve"> 66.4441 </t>
  </si>
  <si>
    <t xml:space="preserve">F:\images\20210512\plaque 2/@01 Testo 30/C1_01.tif </t>
  </si>
  <si>
    <t xml:space="preserve"> 5191.1747 </t>
  </si>
  <si>
    <t xml:space="preserve"> 63.5167 </t>
  </si>
  <si>
    <t xml:space="preserve">F:\images\20210512\plaque 2/@01 Testo 30/C1_02.tif </t>
  </si>
  <si>
    <t xml:space="preserve"> 7419.0539 </t>
  </si>
  <si>
    <t xml:space="preserve"> 64.3615 </t>
  </si>
  <si>
    <t xml:space="preserve">F:\images\20210512\plaque 2/@01 Testo 30/C1_03.tif </t>
  </si>
  <si>
    <t xml:space="preserve"> 15422.1149 </t>
  </si>
  <si>
    <t xml:space="preserve"> 65.7349 </t>
  </si>
  <si>
    <t xml:space="preserve">F:\images\20210512\plaque 2/@01 Testo 30/D1_01.tif </t>
  </si>
  <si>
    <t xml:space="preserve"> 65.0042 </t>
  </si>
  <si>
    <t xml:space="preserve">F:\images\20210512\plaque 2/@01 Testo 30/D1_02.tif </t>
  </si>
  <si>
    <t xml:space="preserve"> 14383.8799 </t>
  </si>
  <si>
    <t xml:space="preserve"> 64.2256 </t>
  </si>
  <si>
    <t xml:space="preserve">F:\images\20210512\plaque 2/@01 Testo 30/D1_03.tif </t>
  </si>
  <si>
    <t xml:space="preserve"> 19077.5671 </t>
  </si>
  <si>
    <t xml:space="preserve"> 65.8243 </t>
  </si>
  <si>
    <t>F:\images\20210512\plaque 2/@01 Testo 30/E1_01- exclu.tif</t>
  </si>
  <si>
    <t>F:\images\20210512\plaque 2/@01 Testo 30/E1_02- exclu.tif</t>
  </si>
  <si>
    <t xml:space="preserve">F:\images\20210512\plaque 2/@01 Testo 30/E1_03.tif </t>
  </si>
  <si>
    <t xml:space="preserve"> 65.1899 </t>
  </si>
  <si>
    <t xml:space="preserve">F:\images\20210512\plaque 2/@01 Testo 30/F1_01.tif </t>
  </si>
  <si>
    <t xml:space="preserve"> 11593.6235 </t>
  </si>
  <si>
    <t xml:space="preserve"> 65.0485 </t>
  </si>
  <si>
    <t xml:space="preserve">F:\images\20210512\plaque 2/@01 Testo 30/F1_02.tif </t>
  </si>
  <si>
    <t xml:space="preserve"> 13540.314 </t>
  </si>
  <si>
    <t xml:space="preserve"> 65.5288 </t>
  </si>
  <si>
    <t xml:space="preserve">F:\images\20210512\plaque 2/@01 Testo 30/F1_03.tif </t>
  </si>
  <si>
    <t xml:space="preserve"> 15011.1469 </t>
  </si>
  <si>
    <t xml:space="preserve"> 66.513 </t>
  </si>
  <si>
    <t xml:space="preserve">F:\images\20210512\plaque 2/@01 Testo 30/G1_01.tif </t>
  </si>
  <si>
    <t xml:space="preserve"> 73.1222 </t>
  </si>
  <si>
    <t xml:space="preserve">F:\images\20210512\plaque 2/@01 Testo 30/G1_02.tif </t>
  </si>
  <si>
    <t xml:space="preserve"> 47823.697 </t>
  </si>
  <si>
    <t xml:space="preserve"> 72.957 </t>
  </si>
  <si>
    <t xml:space="preserve">F:\images\20210512\plaque 2/@01 Testo 30/G1_03.tif </t>
  </si>
  <si>
    <t xml:space="preserve"> 55675.3488 </t>
  </si>
  <si>
    <t xml:space="preserve"> 74.392 </t>
  </si>
  <si>
    <t>F:\images\20210512\plaque 2/@01 Testo 30/H1_01- exclu.tif</t>
  </si>
  <si>
    <t xml:space="preserve">F:\images\20210512\plaque 2/@01 Testo 30/H1_02.tif </t>
  </si>
  <si>
    <t xml:space="preserve"> 65.7581 </t>
  </si>
  <si>
    <t xml:space="preserve">F:\images\20210512\plaque 2/@01 Testo 30/H1_03.tif </t>
  </si>
  <si>
    <t xml:space="preserve"> 3633.8223 </t>
  </si>
  <si>
    <t xml:space="preserve"> 67.3631 </t>
  </si>
  <si>
    <t xml:space="preserve">F:\images\20210512\plaque 2/@01 Testo 30/ </t>
  </si>
  <si>
    <t xml:space="preserve"> 66.2624 </t>
  </si>
  <si>
    <t xml:space="preserve"> 2.9807 </t>
  </si>
  <si>
    <t xml:space="preserve"> 1041686.71 </t>
  </si>
  <si>
    <t xml:space="preserve"> 1181076.75 </t>
  </si>
  <si>
    <t xml:space="preserve">F:\images\20210512\plaque 2/@02 Testo 30/A2_01.tif </t>
  </si>
  <si>
    <t xml:space="preserve"> 63.5952 </t>
  </si>
  <si>
    <t xml:space="preserve">F:\images\20210512\plaque 2/@02 Testo 30/A2_02.tif </t>
  </si>
  <si>
    <t xml:space="preserve"> 63.3723 </t>
  </si>
  <si>
    <t>F:\images\20210512\plaque 2/@02 Testo 30/A2_03- exclu.tif</t>
  </si>
  <si>
    <t xml:space="preserve">F:\images\20210512\plaque 2/@02 Testo 30/B2_01.tif </t>
  </si>
  <si>
    <t>F:\images\20210512\plaque 2/@02 Testo 30/B2_02- exclu.tif</t>
  </si>
  <si>
    <t xml:space="preserve">F:\images\20210512\plaque 2/@02 Testo 30/B2_03.tif </t>
  </si>
  <si>
    <t xml:space="preserve"> 63.7736 </t>
  </si>
  <si>
    <t xml:space="preserve">F:\images\20210512\plaque 2/@02 Testo 30/C2_01.tif </t>
  </si>
  <si>
    <t xml:space="preserve"> 63.5746 </t>
  </si>
  <si>
    <t xml:space="preserve">F:\images\20210512\plaque 2/@02 Testo 30/C2_02.tif </t>
  </si>
  <si>
    <t xml:space="preserve"> 4282.7191 </t>
  </si>
  <si>
    <t xml:space="preserve"> 63.7626 </t>
  </si>
  <si>
    <t xml:space="preserve">F:\images\20210512\plaque 2/@02 Testo 30/C2_03.tif </t>
  </si>
  <si>
    <t xml:space="preserve"> 9798.3423 </t>
  </si>
  <si>
    <t xml:space="preserve"> 64.7461 </t>
  </si>
  <si>
    <t xml:space="preserve">F:\images\20210512\plaque 2/@02 Testo 30/D2_01.tif </t>
  </si>
  <si>
    <t xml:space="preserve"> 5407.4737 </t>
  </si>
  <si>
    <t xml:space="preserve"> 64.392 </t>
  </si>
  <si>
    <t xml:space="preserve">F:\images\20210512\plaque 2/@02 Testo 30/D2_02.tif </t>
  </si>
  <si>
    <t xml:space="preserve"> 10728.4277 </t>
  </si>
  <si>
    <t xml:space="preserve"> 66.9093 </t>
  </si>
  <si>
    <t>F:\images\20210512\plaque 2/@02 Testo 30/D2_03- exclu.tif</t>
  </si>
  <si>
    <t xml:space="preserve">F:\images\20210512\plaque 2/@02 Testo 30/E2_01.tif </t>
  </si>
  <si>
    <t xml:space="preserve"> 15854.7128 </t>
  </si>
  <si>
    <t xml:space="preserve"> 65.693 </t>
  </si>
  <si>
    <t xml:space="preserve">F:\images\20210512\plaque 2/@02 Testo 30/E2_02.tif </t>
  </si>
  <si>
    <t xml:space="preserve"> 18255.6311 </t>
  </si>
  <si>
    <t xml:space="preserve"> 66.7062 </t>
  </si>
  <si>
    <t xml:space="preserve">F:\images\20210512\plaque 2/@02 Testo 30/E2_03.tif </t>
  </si>
  <si>
    <t xml:space="preserve"> 19337.1258 </t>
  </si>
  <si>
    <t xml:space="preserve"> 66.8949 </t>
  </si>
  <si>
    <t xml:space="preserve">F:\images\20210512\plaque 2/@02 Testo 30/F2_01.tif </t>
  </si>
  <si>
    <t xml:space="preserve"> 29438.2866 </t>
  </si>
  <si>
    <t xml:space="preserve"> 70.0279 </t>
  </si>
  <si>
    <t xml:space="preserve">F:\images\20210512\plaque 2/@02 Testo 30/F2_02.tif </t>
  </si>
  <si>
    <t xml:space="preserve"> 29611.3257 </t>
  </si>
  <si>
    <t xml:space="preserve"> 70.225 </t>
  </si>
  <si>
    <t xml:space="preserve">F:\images\20210512\plaque 2/@02 Testo 30/F2_03.tif </t>
  </si>
  <si>
    <t xml:space="preserve"> 30000.6639 </t>
  </si>
  <si>
    <t xml:space="preserve"> 71.9683 </t>
  </si>
  <si>
    <t xml:space="preserve">F:\images\20210512\plaque 2/@02 Testo 30/G2_01.tif </t>
  </si>
  <si>
    <t xml:space="preserve"> 52474.1244 </t>
  </si>
  <si>
    <t xml:space="preserve"> 74.3021 </t>
  </si>
  <si>
    <t xml:space="preserve">F:\images\20210512\plaque 2/@02 Testo 30/G2_02.tif </t>
  </si>
  <si>
    <t xml:space="preserve"> 46050.0457 </t>
  </si>
  <si>
    <t xml:space="preserve"> 74.2969 </t>
  </si>
  <si>
    <t xml:space="preserve">F:\images\20210512\plaque 2/@02 Testo 30/G2_03.tif </t>
  </si>
  <si>
    <t xml:space="preserve"> 48559.1134 </t>
  </si>
  <si>
    <t xml:space="preserve"> 74.4918 </t>
  </si>
  <si>
    <t xml:space="preserve">F:\images\20210512\plaque 2/@02 Testo 30/H2_01.tif </t>
  </si>
  <si>
    <t xml:space="preserve"> 21521.7452 </t>
  </si>
  <si>
    <t xml:space="preserve"> 67.5698 </t>
  </si>
  <si>
    <t xml:space="preserve">F:\images\20210512\plaque 2/@02 Testo 30/H2_02.tif </t>
  </si>
  <si>
    <t xml:space="preserve"> 18320.5208 </t>
  </si>
  <si>
    <t xml:space="preserve"> 66.5218 </t>
  </si>
  <si>
    <t xml:space="preserve">F:\images\20210512\plaque 2/@02 Testo 30/H2_03.tif </t>
  </si>
  <si>
    <t xml:space="preserve"> 19899.5031 </t>
  </si>
  <si>
    <t xml:space="preserve"> 67.775 </t>
  </si>
  <si>
    <t xml:space="preserve">F:\images\20210512\plaque 2/@02 Testo 30/ </t>
  </si>
  <si>
    <t xml:space="preserve"> 66.9546 </t>
  </si>
  <si>
    <t xml:space="preserve"> 3.7502 </t>
  </si>
  <si>
    <t xml:space="preserve"> 1172574.58 </t>
  </si>
  <si>
    <t xml:space="preserve"> 1167776.34 </t>
  </si>
  <si>
    <t xml:space="preserve">F:\images\20210512\plaque 2/@03 Testo+ EE2 64/A3_01.tif </t>
  </si>
  <si>
    <t xml:space="preserve"> 42632.5223 </t>
  </si>
  <si>
    <t xml:space="preserve"> 70.9762 </t>
  </si>
  <si>
    <t xml:space="preserve">F:\images\20210512\plaque 2/@03 Testo+ EE2 64/A3_02.tif </t>
  </si>
  <si>
    <t xml:space="preserve"> 41551.0276 </t>
  </si>
  <si>
    <t xml:space="preserve"> 70.1546 </t>
  </si>
  <si>
    <t xml:space="preserve">F:\images\20210512\plaque 2/@03 Testo+ EE2 64/A3_03.tif </t>
  </si>
  <si>
    <t xml:space="preserve"> 50743.7328 </t>
  </si>
  <si>
    <t xml:space="preserve"> 74.3167 </t>
  </si>
  <si>
    <t xml:space="preserve">F:\images\20210512\plaque 2/@03 Testo+ EE2 64/B3_01.tif </t>
  </si>
  <si>
    <t xml:space="preserve"> 18882.898 </t>
  </si>
  <si>
    <t xml:space="preserve"> 67.3585 </t>
  </si>
  <si>
    <t xml:space="preserve">F:\images\20210512\plaque 2/@03 Testo+ EE2 64/B3_02.tif </t>
  </si>
  <si>
    <t xml:space="preserve"> 28811.0196 </t>
  </si>
  <si>
    <t xml:space="preserve"> 70.7005 </t>
  </si>
  <si>
    <t xml:space="preserve">F:\images\20210512\plaque 2/@03 Testo+ EE2 64/B3_03.tif </t>
  </si>
  <si>
    <t xml:space="preserve"> 33115.3687 </t>
  </si>
  <si>
    <t xml:space="preserve"> 78.1332 </t>
  </si>
  <si>
    <t xml:space="preserve">F:\images\20210512\plaque 2/@03 Testo+ EE2 64/C3_01.tif </t>
  </si>
  <si>
    <t xml:space="preserve"> 68.8738 </t>
  </si>
  <si>
    <t xml:space="preserve">F:\images\20210512\plaque 2/@03 Testo+ EE2 64/C3_02.tif </t>
  </si>
  <si>
    <t xml:space="preserve"> 24593.1902 </t>
  </si>
  <si>
    <t xml:space="preserve"> 68.1337 </t>
  </si>
  <si>
    <t xml:space="preserve">F:\images\20210512\plaque 2/@03 Testo+ EE2 64/C3_03.tif </t>
  </si>
  <si>
    <t xml:space="preserve"> 20159.0618 </t>
  </si>
  <si>
    <t xml:space="preserve"> 72.265 </t>
  </si>
  <si>
    <t xml:space="preserve">F:\images\20210512\plaque 2/@03 Testo+ EE2 64/D3_01.tif </t>
  </si>
  <si>
    <t xml:space="preserve"> 24939.2685 </t>
  </si>
  <si>
    <t xml:space="preserve"> 64.7034 </t>
  </si>
  <si>
    <t xml:space="preserve">F:\images\20210512\plaque 2/@03 Testo+ EE2 64/D3_02.tif </t>
  </si>
  <si>
    <t xml:space="preserve"> 42481.1131 </t>
  </si>
  <si>
    <t xml:space="preserve"> 76.5677 </t>
  </si>
  <si>
    <t xml:space="preserve">F:\images\20210512\plaque 2/@03 Testo+ EE2 64/D3_03.tif </t>
  </si>
  <si>
    <t xml:space="preserve"> 48970.0814 </t>
  </si>
  <si>
    <t xml:space="preserve"> 76.6166 </t>
  </si>
  <si>
    <t xml:space="preserve">F:\images\20210512\plaque 2/@03 Testo+ EE2 64/E3_01.tif </t>
  </si>
  <si>
    <t xml:space="preserve"> 36511.2621 </t>
  </si>
  <si>
    <t xml:space="preserve"> 70.4111 </t>
  </si>
  <si>
    <t xml:space="preserve">F:\images\20210512\plaque 2/@03 Testo+ EE2 64/E3_02.tif </t>
  </si>
  <si>
    <t xml:space="preserve"> 39669.2267 </t>
  </si>
  <si>
    <t xml:space="preserve"> 72.3888 </t>
  </si>
  <si>
    <t xml:space="preserve">F:\images\20210512\plaque 2/@03 Testo+ EE2 64/E3_03.tif </t>
  </si>
  <si>
    <t xml:space="preserve"> 72.3087 </t>
  </si>
  <si>
    <t xml:space="preserve">F:\images\20210512\plaque 2/@03 Testo+ EE2 64/F3_01.tif </t>
  </si>
  <si>
    <t xml:space="preserve"> 69.3095 </t>
  </si>
  <si>
    <t xml:space="preserve">F:\images\20210512\plaque 2/@03 Testo+ EE2 64/F3_02.tif </t>
  </si>
  <si>
    <t xml:space="preserve"> 41788.9564 </t>
  </si>
  <si>
    <t xml:space="preserve"> 70.7987 </t>
  </si>
  <si>
    <t xml:space="preserve">F:\images\20210512\plaque 2/@03 Testo+ EE2 64/F3_03.tif </t>
  </si>
  <si>
    <t xml:space="preserve"> 46266.3446 </t>
  </si>
  <si>
    <t xml:space="preserve"> 69.7952 </t>
  </si>
  <si>
    <t xml:space="preserve">F:\images\20210512\plaque 2/@03 Testo+ EE2 64/G3_01.tif </t>
  </si>
  <si>
    <t xml:space="preserve"> 25220.4571 </t>
  </si>
  <si>
    <t xml:space="preserve"> 69.9391 </t>
  </si>
  <si>
    <t xml:space="preserve">F:\images\20210512\plaque 2/@03 Testo+ EE2 64/G3_02.tif </t>
  </si>
  <si>
    <t xml:space="preserve"> 36576.1518 </t>
  </si>
  <si>
    <t xml:space="preserve"> 72.33 </t>
  </si>
  <si>
    <t xml:space="preserve">F:\images\20210512\plaque 2/@03 Testo+ EE2 64/G3_03.tif </t>
  </si>
  <si>
    <t xml:space="preserve"> 35343.2478 </t>
  </si>
  <si>
    <t xml:space="preserve"> 71.2173 </t>
  </si>
  <si>
    <t xml:space="preserve">F:\images\20210512\plaque 2/@03 Testo+ EE2 64/H3_01.tif </t>
  </si>
  <si>
    <t xml:space="preserve"> 70.5794 </t>
  </si>
  <si>
    <t xml:space="preserve">F:\images\20210512\plaque 2/@03 Testo+ EE2 64/H3_02.tif </t>
  </si>
  <si>
    <t xml:space="preserve"> 36035.4045 </t>
  </si>
  <si>
    <t xml:space="preserve"> 69.3055 </t>
  </si>
  <si>
    <t xml:space="preserve">F:\images\20210512\plaque 2/@03 Testo+ EE2 64/H3_03.tif </t>
  </si>
  <si>
    <t xml:space="preserve"> 39582.7072 </t>
  </si>
  <si>
    <t xml:space="preserve"> 69.7541 </t>
  </si>
  <si>
    <t xml:space="preserve">F:\images\20210512\plaque 2/@03 Testo+ EE2 64/ </t>
  </si>
  <si>
    <t xml:space="preserve"> 71.1224 </t>
  </si>
  <si>
    <t xml:space="preserve"> 3.0072 </t>
  </si>
  <si>
    <t xml:space="preserve"> 2560147.58 </t>
  </si>
  <si>
    <t xml:space="preserve"> 703581.664 </t>
  </si>
  <si>
    <t xml:space="preserve">F:\images\20210512\plaque 2/@04 Testo+ FAD/A4_01.tif </t>
  </si>
  <si>
    <t xml:space="preserve"> 63.1818 </t>
  </si>
  <si>
    <t xml:space="preserve">F:\images\20210512\plaque 2/@04 Testo+ FAD/A4_02.tif </t>
  </si>
  <si>
    <t xml:space="preserve"> 62.75 </t>
  </si>
  <si>
    <t xml:space="preserve">F:\images\20210512\plaque 2/@04 Testo+ FAD/A4_03.tif </t>
  </si>
  <si>
    <t xml:space="preserve"> 3871.7511 </t>
  </si>
  <si>
    <t xml:space="preserve"> 67.6257 </t>
  </si>
  <si>
    <t xml:space="preserve">F:\images\20210512\plaque 2/@04 Testo+ FAD/B4_01.tif </t>
  </si>
  <si>
    <t xml:space="preserve"> 64.1935 </t>
  </si>
  <si>
    <t xml:space="preserve">F:\images\20210512\plaque 2/@04 Testo+ FAD/B4_02.tif </t>
  </si>
  <si>
    <t xml:space="preserve"> 64.25 </t>
  </si>
  <si>
    <t xml:space="preserve">F:\images\20210512\plaque 2/@04 Testo+ FAD/B4_03.tif </t>
  </si>
  <si>
    <t xml:space="preserve"> 63.9429 </t>
  </si>
  <si>
    <t xml:space="preserve">F:\images\20210512\plaque 2/@04 Testo+ FAD/C4_01.tif </t>
  </si>
  <si>
    <t xml:space="preserve">F:\images\20210512\plaque 2/@04 Testo+ FAD/C4_02.tif </t>
  </si>
  <si>
    <t xml:space="preserve">F:\images\20210512\plaque 2/@04 Testo+ FAD/C4_03.tif </t>
  </si>
  <si>
    <t xml:space="preserve"> 63.6667 </t>
  </si>
  <si>
    <t xml:space="preserve">F:\images\20210512\plaque 2/@04 Testo+ FAD/D4_01.tif </t>
  </si>
  <si>
    <t xml:space="preserve">F:\images\20210512\plaque 2/@04 Testo+ FAD/D4_02.tif </t>
  </si>
  <si>
    <t xml:space="preserve">F:\images\20210512\plaque 2/@04 Testo+ FAD/D4_03.tif </t>
  </si>
  <si>
    <t xml:space="preserve"> 64.0588 </t>
  </si>
  <si>
    <t xml:space="preserve">F:\images\20210512\plaque 2/@04 Testo+ FAD/E4_01.tif </t>
  </si>
  <si>
    <t xml:space="preserve">F:\images\20210512\plaque 2/@04 Testo+ FAD/E4_02.tif </t>
  </si>
  <si>
    <t xml:space="preserve">F:\images\20210512\plaque 2/@04 Testo+ FAD/E4_03.tif </t>
  </si>
  <si>
    <t xml:space="preserve"> 64.7963 </t>
  </si>
  <si>
    <t xml:space="preserve">F:\images\20210512\plaque 2/@04 Testo+ FAD/F4_01.tif </t>
  </si>
  <si>
    <t xml:space="preserve"> 64.1707 </t>
  </si>
  <si>
    <t xml:space="preserve">F:\images\20210512\plaque 2/@04 Testo+ FAD/F4_02.tif </t>
  </si>
  <si>
    <t xml:space="preserve">F:\images\20210512\plaque 2/@04 Testo+ FAD/F4_03.tif </t>
  </si>
  <si>
    <t xml:space="preserve">F:\images\20210512\plaque 2/@04 Testo+ FAD/G4_01.tif </t>
  </si>
  <si>
    <t xml:space="preserve"> 62.9231 </t>
  </si>
  <si>
    <t xml:space="preserve">F:\images\20210512\plaque 2/@04 Testo+ FAD/G4_02.tif </t>
  </si>
  <si>
    <t xml:space="preserve"> 63.7188 </t>
  </si>
  <si>
    <t xml:space="preserve">F:\images\20210512\plaque 2/@04 Testo+ FAD/G4_03.tif </t>
  </si>
  <si>
    <t xml:space="preserve"> 64.2533 </t>
  </si>
  <si>
    <t xml:space="preserve">F:\images\20210512\plaque 2/@04 Testo+ FAD/H4_01.tif </t>
  </si>
  <si>
    <t xml:space="preserve"> 6575.488 </t>
  </si>
  <si>
    <t xml:space="preserve"> 74.875 </t>
  </si>
  <si>
    <t xml:space="preserve">F:\images\20210512\plaque 2/@04 Testo+ FAD/H4_02.tif </t>
  </si>
  <si>
    <t xml:space="preserve"> 62.5625 </t>
  </si>
  <si>
    <t xml:space="preserve">F:\images\20210512\plaque 2/@04 Testo+ FAD/H4_03.tif </t>
  </si>
  <si>
    <t xml:space="preserve"> 3763.6017 </t>
  </si>
  <si>
    <t xml:space="preserve"> 65.4253 </t>
  </si>
  <si>
    <t xml:space="preserve">F:\images\20210512\plaque 2/@04 Testo+ FAD/ </t>
  </si>
  <si>
    <t xml:space="preserve"> 64.1587 </t>
  </si>
  <si>
    <t xml:space="preserve"> 2.5984 </t>
  </si>
  <si>
    <t xml:space="preserve"> 73068.4583 </t>
  </si>
  <si>
    <t xml:space="preserve"> 111881.815 </t>
  </si>
  <si>
    <t xml:space="preserve">F:\images\20210512\plaque 2/@05 Estrone 0.04 µg_LL dopé/A5_01.tif </t>
  </si>
  <si>
    <t xml:space="preserve"> 62.9688 </t>
  </si>
  <si>
    <t xml:space="preserve">F:\images\20210512\plaque 2/@05 Estrone 0.04 µg_LL dopé/A5_02.tif </t>
  </si>
  <si>
    <t xml:space="preserve"> 63.791 </t>
  </si>
  <si>
    <t xml:space="preserve">F:\images\20210512\plaque 2/@05 Estrone 0.04 µg_LL dopé/A5_03.tif </t>
  </si>
  <si>
    <t xml:space="preserve"> 11225.9153 </t>
  </si>
  <si>
    <t xml:space="preserve"> 65.9268 </t>
  </si>
  <si>
    <t xml:space="preserve">F:\images\20210512\plaque 2/@05 Estrone 0.04 µg_LL dopé/B5_01.tif </t>
  </si>
  <si>
    <t xml:space="preserve"> 66.6591 </t>
  </si>
  <si>
    <t xml:space="preserve">F:\images\20210512\plaque 2/@05 Estrone 0.04 µg_LL dopé/B5_02.tif </t>
  </si>
  <si>
    <t xml:space="preserve"> 15616.7839 </t>
  </si>
  <si>
    <t xml:space="preserve"> 70.7867 </t>
  </si>
  <si>
    <t xml:space="preserve">F:\images\20210512\plaque 2/@05 Estrone 0.04 µg_LL dopé/B5_03.tif </t>
  </si>
  <si>
    <t xml:space="preserve"> 39063.5897 </t>
  </si>
  <si>
    <t xml:space="preserve"> 73.6938 </t>
  </si>
  <si>
    <t xml:space="preserve">F:\images\20210512\plaque 2/@05 Estrone 0.04 µg_LL dopé/C5_01.tif </t>
  </si>
  <si>
    <t xml:space="preserve"> 65.8836 </t>
  </si>
  <si>
    <t xml:space="preserve">F:\images\20210512\plaque 2/@05 Estrone 0.04 µg_LL dopé/C5_02.tif </t>
  </si>
  <si>
    <t xml:space="preserve"> 9041.296 </t>
  </si>
  <si>
    <t xml:space="preserve"> 64.677 </t>
  </si>
  <si>
    <t xml:space="preserve">F:\images\20210512\plaque 2/@05 Estrone 0.04 µg_LL dopé/C5_03.tif </t>
  </si>
  <si>
    <t xml:space="preserve"> 12913.0471 </t>
  </si>
  <si>
    <t xml:space="preserve"> 65.9079 </t>
  </si>
  <si>
    <t xml:space="preserve">F:\images\20210512\plaque 2/@05 Estrone 0.04 µg_LL dopé/D5_01.tif </t>
  </si>
  <si>
    <t xml:space="preserve"> 63.5238 </t>
  </si>
  <si>
    <t xml:space="preserve">F:\images\20210512\plaque 2/@05 Estrone 0.04 µg_LL dopé/D5_02.tif </t>
  </si>
  <si>
    <t xml:space="preserve">F:\images\20210512\plaque 2/@05 Estrone 0.04 µg_LL dopé/D5_03.tif </t>
  </si>
  <si>
    <t xml:space="preserve"> 64.6824 </t>
  </si>
  <si>
    <t xml:space="preserve">F:\images\20210512\plaque 2/@05 Estrone 0.04 µg_LL dopé/E5_01.tif </t>
  </si>
  <si>
    <t xml:space="preserve"> 68.609 </t>
  </si>
  <si>
    <t xml:space="preserve">F:\images\20210512\plaque 2/@05 Estrone 0.04 µg_LL dopé/E5_02.tif </t>
  </si>
  <si>
    <t xml:space="preserve"> 18017.7022 </t>
  </si>
  <si>
    <t xml:space="preserve"> 67.5738 </t>
  </si>
  <si>
    <t xml:space="preserve">F:\images\20210512\plaque 2/@05 Estrone 0.04 µg_LL dopé/E5_03.tif </t>
  </si>
  <si>
    <t xml:space="preserve"> 20634.9195 </t>
  </si>
  <si>
    <t xml:space="preserve"> 69.001 </t>
  </si>
  <si>
    <t xml:space="preserve">F:\images\20210512\plaque 2/@05 Estrone 0.04 µg_LL dopé/F5_01.tif </t>
  </si>
  <si>
    <t xml:space="preserve"> 70.0461 </t>
  </si>
  <si>
    <t xml:space="preserve">F:\images\20210512\plaque 2/@05 Estrone 0.04 µg_LL dopé/F5_02.tif </t>
  </si>
  <si>
    <t xml:space="preserve"> 9344.1145 </t>
  </si>
  <si>
    <t xml:space="preserve"> 68.5046 </t>
  </si>
  <si>
    <t xml:space="preserve">F:\images\20210512\plaque 2/@05 Estrone 0.04 µg_LL dopé/F5_03.tif </t>
  </si>
  <si>
    <t xml:space="preserve"> 10987.9865 </t>
  </si>
  <si>
    <t xml:space="preserve"> 70.878 </t>
  </si>
  <si>
    <t xml:space="preserve">F:\images\20210512\plaque 2/@05 Estrone 0.04 µg_LL dopé/G5_01.tif </t>
  </si>
  <si>
    <t xml:space="preserve"> 32574.6213 </t>
  </si>
  <si>
    <t xml:space="preserve"> 68.2145 </t>
  </si>
  <si>
    <t xml:space="preserve">F:\images\20210512\plaque 2/@05 Estrone 0.04 µg_LL dopé/G5_02.tif </t>
  </si>
  <si>
    <t xml:space="preserve"> 26907.5889 </t>
  </si>
  <si>
    <t xml:space="preserve"> 66.5619 </t>
  </si>
  <si>
    <t xml:space="preserve">F:\images\20210512\plaque 2/@05 Estrone 0.04 µg_LL dopé/G5_03.tif </t>
  </si>
  <si>
    <t xml:space="preserve"> 32704.4007 </t>
  </si>
  <si>
    <t xml:space="preserve"> 68.0714 </t>
  </si>
  <si>
    <t xml:space="preserve">F:\images\20210512\plaque 2/@05 Estrone 0.04 µg_LL dopé/H5_01.tif </t>
  </si>
  <si>
    <t xml:space="preserve"> 69.5176 </t>
  </si>
  <si>
    <t xml:space="preserve">F:\images\20210512\plaque 2/@05 Estrone 0.04 µg_LL dopé/H5_02.tif </t>
  </si>
  <si>
    <t xml:space="preserve"> 11269.1751 </t>
  </si>
  <si>
    <t xml:space="preserve"> 68.5048 </t>
  </si>
  <si>
    <t xml:space="preserve">F:\images\20210512\plaque 2/@05 Estrone 0.04 µg_LL dopé/H5_03.tif </t>
  </si>
  <si>
    <t xml:space="preserve"> 10274.1999 </t>
  </si>
  <si>
    <t xml:space="preserve"> 69.0695 </t>
  </si>
  <si>
    <t xml:space="preserve">F:\images\20210512\plaque 2/@05 Estrone 0.04 µg_LL dopé/ </t>
  </si>
  <si>
    <t xml:space="preserve"> 67.3696 </t>
  </si>
  <si>
    <t xml:space="preserve"> 2.7051 </t>
  </si>
  <si>
    <t xml:space="preserve"> 1002547.38 </t>
  </si>
  <si>
    <t xml:space="preserve"> 681196.284 </t>
  </si>
  <si>
    <t xml:space="preserve">F:\images\20210512\plaque 2/@06 Estrone 0.2 µg_LL dopé/A6_01.tif </t>
  </si>
  <si>
    <t xml:space="preserve"> 29827.6247 </t>
  </si>
  <si>
    <t xml:space="preserve"> 68.5482 </t>
  </si>
  <si>
    <t xml:space="preserve">F:\images\20210512\plaque 2/@06 Estrone 0.2 µg_LL dopé/A6_02.tif </t>
  </si>
  <si>
    <t xml:space="preserve"> 29805.9948 </t>
  </si>
  <si>
    <t xml:space="preserve"> 69.9702 </t>
  </si>
  <si>
    <t xml:space="preserve">F:\images\20210512\plaque 2/@06 Estrone 0.2 µg_LL dopé/A6_03.tif </t>
  </si>
  <si>
    <t xml:space="preserve"> 41875.476 </t>
  </si>
  <si>
    <t xml:space="preserve"> 71.1307 </t>
  </si>
  <si>
    <t xml:space="preserve">F:\images\20210512\plaque 2/@06 Estrone 0.2 µg_LL dopé/B6_01.tif </t>
  </si>
  <si>
    <t xml:space="preserve"> 27816.0445 </t>
  </si>
  <si>
    <t xml:space="preserve"> 68.811 </t>
  </si>
  <si>
    <t xml:space="preserve">F:\images\20210512\plaque 2/@06 Estrone 0.2 µg_LL dopé/B6_02.tif </t>
  </si>
  <si>
    <t xml:space="preserve"> 71.0471 </t>
  </si>
  <si>
    <t xml:space="preserve">F:\images\20210512\plaque 2/@06 Estrone 0.2 µg_LL dopé/B6_03.tif </t>
  </si>
  <si>
    <t xml:space="preserve"> 37160.159 </t>
  </si>
  <si>
    <t xml:space="preserve"> 72.7095 </t>
  </si>
  <si>
    <t xml:space="preserve">F:\images\20210512\plaque 2/@06 Estrone 0.2 µg_LL dopé/C6_01.tif </t>
  </si>
  <si>
    <t xml:space="preserve"> 19791.3536 </t>
  </si>
  <si>
    <t xml:space="preserve"> 67.5224 </t>
  </si>
  <si>
    <t xml:space="preserve">F:\images\20210512\plaque 2/@06 Estrone 0.2 µg_LL dopé/C6_02.tif </t>
  </si>
  <si>
    <t xml:space="preserve"> 22884.4285 </t>
  </si>
  <si>
    <t xml:space="preserve"> 67.1418 </t>
  </si>
  <si>
    <t xml:space="preserve">F:\images\20210512\plaque 2/@06 Estrone 0.2 µg_LL dopé/C6_03.tif </t>
  </si>
  <si>
    <t xml:space="preserve"> 25371.8664 </t>
  </si>
  <si>
    <t xml:space="preserve"> 67.5345 </t>
  </si>
  <si>
    <t xml:space="preserve">F:\images\20210512\plaque 2/@06 Estrone 0.2 µg_LL dopé/D6_01.tif </t>
  </si>
  <si>
    <t xml:space="preserve"> 40534.4225 </t>
  </si>
  <si>
    <t xml:space="preserve"> 71.6297 </t>
  </si>
  <si>
    <t xml:space="preserve">F:\images\20210512\plaque 2/@06 Estrone 0.2 µg_LL dopé/D6_02.tif </t>
  </si>
  <si>
    <t xml:space="preserve"> 41724.0667 </t>
  </si>
  <si>
    <t xml:space="preserve"> 72.1498 </t>
  </si>
  <si>
    <t xml:space="preserve">F:\images\20210512\plaque 2/@06 Estrone 0.2 µg_LL dopé/D6_03.tif </t>
  </si>
  <si>
    <t xml:space="preserve"> 35819.1055 </t>
  </si>
  <si>
    <t xml:space="preserve"> 68.0755 </t>
  </si>
  <si>
    <t xml:space="preserve">F:\images\20210512\plaque 2/@06 Estrone 0.2 µg_LL dopé/E6_01.tif </t>
  </si>
  <si>
    <t xml:space="preserve"> 62056.1677 </t>
  </si>
  <si>
    <t xml:space="preserve"> 74.7877 </t>
  </si>
  <si>
    <t xml:space="preserve">F:\images\20210512\plaque 2/@06 Estrone 0.2 µg_LL dopé/E6_02.tif </t>
  </si>
  <si>
    <t xml:space="preserve"> 59309.1711 </t>
  </si>
  <si>
    <t xml:space="preserve"> 73.8246 </t>
  </si>
  <si>
    <t xml:space="preserve">F:\images\20210512\plaque 2/@06 Estrone 0.2 µg_LL dopé/E6_03.tif </t>
  </si>
  <si>
    <t xml:space="preserve"> 67225.7125 </t>
  </si>
  <si>
    <t xml:space="preserve"> 74.6554 </t>
  </si>
  <si>
    <t xml:space="preserve">F:\images\20210512\plaque 2/@06 Estrone 0.2 µg_LL dopé/F6_01.tif </t>
  </si>
  <si>
    <t xml:space="preserve"> 43497.7181 </t>
  </si>
  <si>
    <t xml:space="preserve"> 70.5152 </t>
  </si>
  <si>
    <t xml:space="preserve">F:\images\20210512\plaque 2/@06 Estrone 0.2 µg_LL dopé/F6_02.tif </t>
  </si>
  <si>
    <t xml:space="preserve"> 39820.636 </t>
  </si>
  <si>
    <t xml:space="preserve"> 70.9636 </t>
  </si>
  <si>
    <t xml:space="preserve">F:\images\20210512\plaque 2/@06 Estrone 0.2 µg_LL dopé/F6_03.tif </t>
  </si>
  <si>
    <t xml:space="preserve"> 39734.1164 </t>
  </si>
  <si>
    <t xml:space="preserve"> 70.0838 </t>
  </si>
  <si>
    <t xml:space="preserve">F:\images\20210512\plaque 2/@06 Estrone 0.2 µg_LL dopé/G6_01.tif </t>
  </si>
  <si>
    <t xml:space="preserve"> 33915.6748 </t>
  </si>
  <si>
    <t xml:space="preserve"> 70.0198 </t>
  </si>
  <si>
    <t xml:space="preserve">F:\images\20210512\plaque 2/@06 Estrone 0.2 µg_LL dopé/G6_02.tif </t>
  </si>
  <si>
    <t xml:space="preserve"> 28919.1691 </t>
  </si>
  <si>
    <t xml:space="preserve"> 69.8773 </t>
  </si>
  <si>
    <t xml:space="preserve">F:\images\20210512\plaque 2/@06 Estrone 0.2 µg_LL dopé/G6_03.tif </t>
  </si>
  <si>
    <t xml:space="preserve"> 68.9978 </t>
  </si>
  <si>
    <t xml:space="preserve">F:\images\20210512\plaque 2/@06 Estrone 0.2 µg_LL dopé/H6_01.tif </t>
  </si>
  <si>
    <t xml:space="preserve"> 22754.6491 </t>
  </si>
  <si>
    <t xml:space="preserve"> 68.6768 </t>
  </si>
  <si>
    <t xml:space="preserve">F:\images\20210512\plaque 2/@06 Estrone 0.2 µg_LL dopé/H6_02.tif </t>
  </si>
  <si>
    <t xml:space="preserve"> 19812.9835 </t>
  </si>
  <si>
    <t xml:space="preserve"> 67.9891 </t>
  </si>
  <si>
    <t xml:space="preserve">F:\images\20210512\plaque 2/@06 Estrone 0.2 µg_LL dopé/H6_03.tif </t>
  </si>
  <si>
    <t xml:space="preserve"> 68.8045 </t>
  </si>
  <si>
    <t xml:space="preserve">F:\images\20210512\plaque 2/@06 Estrone 0.2 µg_LL dopé/ </t>
  </si>
  <si>
    <t xml:space="preserve"> 70.2278 </t>
  </si>
  <si>
    <t xml:space="preserve"> 2.207 </t>
  </si>
  <si>
    <t xml:space="preserve"> 1015046.9 </t>
  </si>
  <si>
    <t xml:space="preserve">F:\images\20210512\plaque 2/@07 Estrone 1 µg_LL dopé/A7_01.tif </t>
  </si>
  <si>
    <t xml:space="preserve"> 38804.031 </t>
  </si>
  <si>
    <t xml:space="preserve"> 72.0557 </t>
  </si>
  <si>
    <t xml:space="preserve">F:\images\20210512\plaque 2/@07 Estrone 1 µg_LL dopé/A7_02.tif </t>
  </si>
  <si>
    <t xml:space="preserve"> 37095.2693 </t>
  </si>
  <si>
    <t xml:space="preserve"> 72.1504 </t>
  </si>
  <si>
    <t xml:space="preserve">F:\images\20210512\plaque 2/@07 Estrone 1 µg_LL dopé/A7_03.tif </t>
  </si>
  <si>
    <t xml:space="preserve"> 44644.1025 </t>
  </si>
  <si>
    <t xml:space="preserve"> 74.86 </t>
  </si>
  <si>
    <t xml:space="preserve">F:\images\20210512\plaque 2/@07 Estrone 1 µg_LL dopé/B7_01.tif </t>
  </si>
  <si>
    <t xml:space="preserve"> 61796.609 </t>
  </si>
  <si>
    <t xml:space="preserve"> 72.3206 </t>
  </si>
  <si>
    <t xml:space="preserve">F:\images\20210512\plaque 2/@07 Estrone 1 µg_LL dopé/B7_02.tif </t>
  </si>
  <si>
    <t xml:space="preserve"> 56778.4734 </t>
  </si>
  <si>
    <t xml:space="preserve"> 71.6552 </t>
  </si>
  <si>
    <t xml:space="preserve">F:\images\20210512\plaque 2/@07 Estrone 1 µg_LL dopé/B7_03.tif </t>
  </si>
  <si>
    <t xml:space="preserve"> 68891.2144 </t>
  </si>
  <si>
    <t xml:space="preserve"> 75.5736 </t>
  </si>
  <si>
    <t xml:space="preserve">F:\images\20210512\plaque 2/@07 Estrone 1 µg_LL dopé/C7_01.tif </t>
  </si>
  <si>
    <t xml:space="preserve"> 24614.8201 </t>
  </si>
  <si>
    <t xml:space="preserve"> 67.8752 </t>
  </si>
  <si>
    <t xml:space="preserve">F:\images\20210512\plaque 2/@07 Estrone 1 µg_LL dopé/C7_02.tif </t>
  </si>
  <si>
    <t xml:space="preserve"> 68.3122 </t>
  </si>
  <si>
    <t xml:space="preserve">F:\images\20210512\plaque 2/@07 Estrone 1 µg_LL dopé/C7_03.tif </t>
  </si>
  <si>
    <t xml:space="preserve"> 29416.6567 </t>
  </si>
  <si>
    <t xml:space="preserve"> 69.0301 </t>
  </si>
  <si>
    <t xml:space="preserve">F:\images\20210512\plaque 2/@07 Estrone 1 µg_LL dopé/D7_01.tif </t>
  </si>
  <si>
    <t xml:space="preserve"> 32509.7316 </t>
  </si>
  <si>
    <t xml:space="preserve"> 69.845 </t>
  </si>
  <si>
    <t xml:space="preserve">F:\images\20210512\plaque 2/@07 Estrone 1 µg_LL dopé/D7_02.tif </t>
  </si>
  <si>
    <t xml:space="preserve"> 69.6337 </t>
  </si>
  <si>
    <t xml:space="preserve">F:\images\20210512\plaque 2/@07 Estrone 1 µg_LL dopé/D7_03.tif </t>
  </si>
  <si>
    <t xml:space="preserve"> 34564.5716 </t>
  </si>
  <si>
    <t xml:space="preserve"> 69.1558 </t>
  </si>
  <si>
    <t xml:space="preserve">F:\images\20210512\plaque 2/@07 Estrone 1 µg_LL dopé/E7_01.tif </t>
  </si>
  <si>
    <t xml:space="preserve"> 43519.348 </t>
  </si>
  <si>
    <t xml:space="preserve"> 69.8265 </t>
  </si>
  <si>
    <t xml:space="preserve">F:\images\20210512\plaque 2/@07 Estrone 1 µg_LL dopé/E7_02.tif </t>
  </si>
  <si>
    <t xml:space="preserve"> 56237.726 </t>
  </si>
  <si>
    <t xml:space="preserve"> 75.5335 </t>
  </si>
  <si>
    <t xml:space="preserve">F:\images\20210512\plaque 2/@07 Estrone 1 µg_LL dopé/E7_03.tif </t>
  </si>
  <si>
    <t xml:space="preserve"> 56713.5837 </t>
  </si>
  <si>
    <t xml:space="preserve"> 76.8406 </t>
  </si>
  <si>
    <t xml:space="preserve">F:\images\20210512\plaque 2/@07 Estrone 1 µg_LL dopé/F7_01.tif </t>
  </si>
  <si>
    <t xml:space="preserve"> 55826.758 </t>
  </si>
  <si>
    <t xml:space="preserve"> 77.6075 </t>
  </si>
  <si>
    <t xml:space="preserve">F:\images\20210512\plaque 2/@07 Estrone 1 µg_LL dopé/F7_02.tif </t>
  </si>
  <si>
    <t xml:space="preserve"> 54637.1138 </t>
  </si>
  <si>
    <t xml:space="preserve"> 78.1255 </t>
  </si>
  <si>
    <t xml:space="preserve">F:\images\20210512\plaque 2/@07 Estrone 1 µg_LL dopé/F7_03.tif </t>
  </si>
  <si>
    <t xml:space="preserve"> 79.9086 </t>
  </si>
  <si>
    <t xml:space="preserve">F:\images\20210512\plaque 2/@07 Estrone 1 µg_LL dopé/G7_01.tif </t>
  </si>
  <si>
    <t xml:space="preserve"> 63937.9685 </t>
  </si>
  <si>
    <t xml:space="preserve"> 75.9851 </t>
  </si>
  <si>
    <t xml:space="preserve">F:\images\20210512\plaque 2/@07 Estrone 1 µg_LL dopé/G7_02.tif </t>
  </si>
  <si>
    <t xml:space="preserve"> 65992.8085 </t>
  </si>
  <si>
    <t xml:space="preserve"> 76.0016 </t>
  </si>
  <si>
    <t xml:space="preserve">F:\images\20210512\plaque 2/@07 Estrone 1 µg_LL dopé/G7_03.tif </t>
  </si>
  <si>
    <t xml:space="preserve"> 63873.0788 </t>
  </si>
  <si>
    <t xml:space="preserve"> 77.9905 </t>
  </si>
  <si>
    <t xml:space="preserve">F:\images\20210512\plaque 2/@07 Estrone 1 µg_LL dopé/H7_01.tif </t>
  </si>
  <si>
    <t xml:space="preserve"> 48624.0031 </t>
  </si>
  <si>
    <t xml:space="preserve"> 80.7131 </t>
  </si>
  <si>
    <t xml:space="preserve">F:\images\20210512\plaque 2/@07 Estrone 1 µg_LL dopé/H7_02.tif </t>
  </si>
  <si>
    <t xml:space="preserve"> 53014.8717 </t>
  </si>
  <si>
    <t xml:space="preserve"> 78.8874 </t>
  </si>
  <si>
    <t xml:space="preserve">F:\images\20210512\plaque 2/@07 Estrone 1 µg_LL dopé/H7_03.tif </t>
  </si>
  <si>
    <t xml:space="preserve"> 78.2436 </t>
  </si>
  <si>
    <t xml:space="preserve">F:\images\20210512\plaque 2/@07 Estrone 1 µg_LL dopé/ </t>
  </si>
  <si>
    <t xml:space="preserve"> 74.0888 </t>
  </si>
  <si>
    <t xml:space="preserve"> 4.046 </t>
  </si>
  <si>
    <t xml:space="preserve"> 3618582.25 </t>
  </si>
  <si>
    <t xml:space="preserve"> 1140645.69 </t>
  </si>
  <si>
    <t xml:space="preserve">F:\images\20210512\plaque 2/@08 Estrone 5 µg_LL dopé/A8_01.tif </t>
  </si>
  <si>
    <t xml:space="preserve"> 78603.0371 </t>
  </si>
  <si>
    <t xml:space="preserve"> 88.3453 </t>
  </si>
  <si>
    <t xml:space="preserve">F:\images\20210512\plaque 2/@08 Estrone 5 µg_LL dopé/A8_02.tif </t>
  </si>
  <si>
    <t xml:space="preserve"> 77759.4712 </t>
  </si>
  <si>
    <t xml:space="preserve"> 89.5013 </t>
  </si>
  <si>
    <t xml:space="preserve">F:\images\20210512\plaque 2/@08 Estrone 5 µg_LL dopé/A8_03.tif </t>
  </si>
  <si>
    <t xml:space="preserve"> 73390.2325 </t>
  </si>
  <si>
    <t xml:space="preserve"> 97.2417 </t>
  </si>
  <si>
    <t xml:space="preserve">F:\images\20210512\plaque 2/@08 Estrone 5 µg_LL dopé/B8_01.tif </t>
  </si>
  <si>
    <t xml:space="preserve"> 64738.2746 </t>
  </si>
  <si>
    <t xml:space="preserve"> 88.0765 </t>
  </si>
  <si>
    <t xml:space="preserve">F:\images\20210512\plaque 2/@08 Estrone 5 µg_LL dopé/B8_02.tif </t>
  </si>
  <si>
    <t xml:space="preserve"> 57405.7403 </t>
  </si>
  <si>
    <t xml:space="preserve"> 92.7427 </t>
  </si>
  <si>
    <t xml:space="preserve">F:\images\20210512\plaque 2/@08 Estrone 5 µg_LL dopé/B8_03.tif </t>
  </si>
  <si>
    <t xml:space="preserve"> 62532.0254 </t>
  </si>
  <si>
    <t xml:space="preserve"> 94.6676 </t>
  </si>
  <si>
    <t xml:space="preserve">F:\images\20210512\plaque 2/@08 Estrone 5 µg_LL dopé/C8_01.tif </t>
  </si>
  <si>
    <t xml:space="preserve"> 58249.3062 </t>
  </si>
  <si>
    <t xml:space="preserve"> 82.2377 </t>
  </si>
  <si>
    <t xml:space="preserve">F:\images\20210512\plaque 2/@08 Estrone 5 µg_LL dopé/C8_02.tif </t>
  </si>
  <si>
    <t xml:space="preserve"> 55329.2705 </t>
  </si>
  <si>
    <t xml:space="preserve"> 85.2924 </t>
  </si>
  <si>
    <t xml:space="preserve">F:\images\20210512\plaque 2/@08 Estrone 5 µg_LL dopé/C8_03.tif </t>
  </si>
  <si>
    <t xml:space="preserve"> 55177.8612 </t>
  </si>
  <si>
    <t xml:space="preserve"> 90.069 </t>
  </si>
  <si>
    <t xml:space="preserve">F:\images\20210512\plaque 2/@08 Estrone 5 µg_LL dopé/D8_01.tif </t>
  </si>
  <si>
    <t xml:space="preserve"> 43649.1274 </t>
  </si>
  <si>
    <t xml:space="preserve"> 75.3731 </t>
  </si>
  <si>
    <t xml:space="preserve">F:\images\20210512\plaque 2/@08 Estrone 5 µg_LL dopé/D8_02.tif </t>
  </si>
  <si>
    <t xml:space="preserve"> 41810.5863 </t>
  </si>
  <si>
    <t xml:space="preserve"> 76.0279 </t>
  </si>
  <si>
    <t xml:space="preserve">F:\images\20210512\plaque 2/@08 Estrone 5 µg_LL dopé/D8_03.tif </t>
  </si>
  <si>
    <t xml:space="preserve"> 43584.2377 </t>
  </si>
  <si>
    <t xml:space="preserve"> 83.8675 </t>
  </si>
  <si>
    <t xml:space="preserve">F:\images\20210512\plaque 2/@08 Estrone 5 µg_LL dopé/E8_01.tif </t>
  </si>
  <si>
    <t xml:space="preserve"> 93.0708 </t>
  </si>
  <si>
    <t xml:space="preserve">F:\images\20210512\plaque 2/@08 Estrone 5 µg_LL dopé/E8_02.tif </t>
  </si>
  <si>
    <t xml:space="preserve"> 48429.3341 </t>
  </si>
  <si>
    <t xml:space="preserve"> 94.4993 </t>
  </si>
  <si>
    <t xml:space="preserve">F:\images\20210512\plaque 2/@08 Estrone 5 µg_LL dopé/E8_03.tif </t>
  </si>
  <si>
    <t xml:space="preserve"> 51176.3307 </t>
  </si>
  <si>
    <t xml:space="preserve"> 89.6183 </t>
  </si>
  <si>
    <t xml:space="preserve">F:\images\20210512\plaque 2/@08 Estrone 5 µg_LL dopé/F8_01.tif </t>
  </si>
  <si>
    <t xml:space="preserve"> 9452.264 </t>
  </si>
  <si>
    <t xml:space="preserve"> 63.9222 </t>
  </si>
  <si>
    <t xml:space="preserve">F:\images\20210512\plaque 2/@08 Estrone 5 µg_LL dopé/F8_02.tif </t>
  </si>
  <si>
    <t xml:space="preserve"> 71443.542 </t>
  </si>
  <si>
    <t xml:space="preserve"> 77.8974 </t>
  </si>
  <si>
    <t xml:space="preserve">F:\images\20210512\plaque 2/@08 Estrone 5 µg_LL dopé/F8_03.tif </t>
  </si>
  <si>
    <t xml:space="preserve"> 20937.738 </t>
  </si>
  <si>
    <t xml:space="preserve"> 66.1612 </t>
  </si>
  <si>
    <t>F:\images\20210512\plaque 2/@08 Estrone 5 µg_LL dopé/G8_01- exclu.tif</t>
  </si>
  <si>
    <t>F:\images\20210512\plaque 2/@08 Estrone 5 µg_LL dopé/G8_02- exclu.tif</t>
  </si>
  <si>
    <t xml:space="preserve">F:\images\20210512\plaque 2/@08 Estrone 5 µg_LL dopé/G8_03.tif </t>
  </si>
  <si>
    <t xml:space="preserve"> 49489.1989 </t>
  </si>
  <si>
    <t xml:space="preserve"> 76.0472 </t>
  </si>
  <si>
    <t xml:space="preserve">F:\images\20210512\plaque 2/@08 Estrone 5 µg_LL dopé/H8_01.tif </t>
  </si>
  <si>
    <t xml:space="preserve"> 65863.0291 </t>
  </si>
  <si>
    <t xml:space="preserve"> 84.045 </t>
  </si>
  <si>
    <t xml:space="preserve">F:\images\20210512\plaque 2/@08 Estrone 5 µg_LL dopé/H8_02.tif </t>
  </si>
  <si>
    <t xml:space="preserve"> 73173.9335 </t>
  </si>
  <si>
    <t xml:space="preserve"> 83.9876 </t>
  </si>
  <si>
    <t xml:space="preserve">F:\images\20210512\plaque 2/@08 Estrone 5 µg_LL dopé/H8_03.tif </t>
  </si>
  <si>
    <t xml:space="preserve"> 67485.2712 </t>
  </si>
  <si>
    <t xml:space="preserve"> 82.5567 </t>
  </si>
  <si>
    <t xml:space="preserve">F:\images\20210512\plaque 2/@08 Estrone 5 µg_LL dopé/ </t>
  </si>
  <si>
    <t xml:space="preserve"> 82.8577 </t>
  </si>
  <si>
    <t xml:space="preserve"> 9.8579 </t>
  </si>
  <si>
    <t xml:space="preserve"> 4408245.54 </t>
  </si>
  <si>
    <t xml:space="preserve"> 2008499.43 </t>
  </si>
  <si>
    <t xml:space="preserve">F:\images\20210512\plaque 2/@09 Estrone 25 µg_LL dopé/A9_01.tif </t>
  </si>
  <si>
    <t xml:space="preserve"> 59958.0679 </t>
  </si>
  <si>
    <t xml:space="preserve"> 83.5815 </t>
  </si>
  <si>
    <t xml:space="preserve">F:\images\20210512\plaque 2/@09 Estrone 25 µg_LL dopé/A9_02.tif </t>
  </si>
  <si>
    <t xml:space="preserve"> 61385.641 </t>
  </si>
  <si>
    <t xml:space="preserve"> 84.3668 </t>
  </si>
  <si>
    <t xml:space="preserve">F:\images\20210512\plaque 2/@09 Estrone 25 µg_LL dopé/A9_03.tif </t>
  </si>
  <si>
    <t xml:space="preserve"> 57232.7012 </t>
  </si>
  <si>
    <t xml:space="preserve"> 91.514 </t>
  </si>
  <si>
    <t xml:space="preserve">F:\images\20210512\plaque 2/@09 Estrone 25 µg_LL dopé/B9_01.tif </t>
  </si>
  <si>
    <t xml:space="preserve"> 83361.6139 </t>
  </si>
  <si>
    <t xml:space="preserve"> 99.5202 </t>
  </si>
  <si>
    <t xml:space="preserve">F:\images\20210512\plaque 2/@09 Estrone 25 µg_LL dopé/B9_02.tif </t>
  </si>
  <si>
    <t xml:space="preserve"> 85805.792 </t>
  </si>
  <si>
    <t xml:space="preserve"> 97.1608 </t>
  </si>
  <si>
    <t xml:space="preserve">F:\images\20210512\plaque 2/@09 Estrone 25 µg_LL dopé/B9_03.tif </t>
  </si>
  <si>
    <t xml:space="preserve"> 75856.0405 </t>
  </si>
  <si>
    <t xml:space="preserve"> 106.7097 </t>
  </si>
  <si>
    <t xml:space="preserve">F:\images\20210512\plaque 2/@09 Estrone 25 µg_LL dopé/C9_01.tif </t>
  </si>
  <si>
    <t xml:space="preserve"> 91.4094 </t>
  </si>
  <si>
    <t xml:space="preserve">F:\images\20210512\plaque 2/@09 Estrone 25 µg_LL dopé/C9_02.tif </t>
  </si>
  <si>
    <t xml:space="preserve"> 83513.0232 </t>
  </si>
  <si>
    <t xml:space="preserve"> 93.4245 </t>
  </si>
  <si>
    <t xml:space="preserve">F:\images\20210512\plaque 2/@09 Estrone 25 µg_LL dopé/C9_03.tif </t>
  </si>
  <si>
    <t xml:space="preserve"> 84962.2261 </t>
  </si>
  <si>
    <t xml:space="preserve"> 96.334 </t>
  </si>
  <si>
    <t xml:space="preserve">F:\images\20210512\plaque 2/@09 Estrone 25 µg_LL dopé/D9_01.tif </t>
  </si>
  <si>
    <t xml:space="preserve"> 45812.1168 </t>
  </si>
  <si>
    <t xml:space="preserve"> 95.9429 </t>
  </si>
  <si>
    <t xml:space="preserve">F:\images\20210512\plaque 2/@09 Estrone 25 µg_LL dopé/D9_02.tif </t>
  </si>
  <si>
    <t xml:space="preserve"> 48364.4444 </t>
  </si>
  <si>
    <t xml:space="preserve"> 93.7133 </t>
  </si>
  <si>
    <t xml:space="preserve">F:\images\20210512\plaque 2/@09 Estrone 25 µg_LL dopé/D9_03.tif </t>
  </si>
  <si>
    <t xml:space="preserve"> 44254.7644 </t>
  </si>
  <si>
    <t xml:space="preserve"> 103.2561 </t>
  </si>
  <si>
    <t xml:space="preserve">F:\images\20210512\plaque 2/@09 Estrone 25 µg_LL dopé/E9_01.tif </t>
  </si>
  <si>
    <t xml:space="preserve"> 46028.4158 </t>
  </si>
  <si>
    <t xml:space="preserve"> 91.4347 </t>
  </si>
  <si>
    <t xml:space="preserve">F:\images\20210512\plaque 2/@09 Estrone 25 µg_LL dopé/E9_02.tif </t>
  </si>
  <si>
    <t xml:space="preserve"> 47607.3981 </t>
  </si>
  <si>
    <t xml:space="preserve"> 91.965 </t>
  </si>
  <si>
    <t xml:space="preserve">F:\images\20210512\plaque 2/@09 Estrone 25 µg_LL dopé/E9_03.tif </t>
  </si>
  <si>
    <t xml:space="preserve"> 88.2171 </t>
  </si>
  <si>
    <t xml:space="preserve">F:\images\20210512\plaque 2/@09 Estrone 25 µg_LL dopé/F9_01.tif </t>
  </si>
  <si>
    <t xml:space="preserve"> 76699.6064 </t>
  </si>
  <si>
    <t xml:space="preserve"> 102.5353 </t>
  </si>
  <si>
    <t xml:space="preserve">F:\images\20210512\plaque 2/@09 Estrone 25 µg_LL dopé/F9_02.tif </t>
  </si>
  <si>
    <t xml:space="preserve"> 74514.987 </t>
  </si>
  <si>
    <t xml:space="preserve"> 104.1782 </t>
  </si>
  <si>
    <t xml:space="preserve">F:\images\20210512\plaque 2/@09 Estrone 25 µg_LL dopé/F9_03.tif </t>
  </si>
  <si>
    <t xml:space="preserve"> 76613.0868 </t>
  </si>
  <si>
    <t xml:space="preserve"> 104.1832 </t>
  </si>
  <si>
    <t xml:space="preserve">F:\images\20210512\plaque 2/@09 Estrone 25 µg_LL dopé/G9_01.tif </t>
  </si>
  <si>
    <t xml:space="preserve"> 69821.2999 </t>
  </si>
  <si>
    <t xml:space="preserve"> 97.3587 </t>
  </si>
  <si>
    <t xml:space="preserve">F:\images\20210512\plaque 2/@09 Estrone 25 µg_LL dopé/G9_02.tif </t>
  </si>
  <si>
    <t xml:space="preserve"> 77737.8413 </t>
  </si>
  <si>
    <t xml:space="preserve"> 92.4238 </t>
  </si>
  <si>
    <t xml:space="preserve">F:\images\20210512\plaque 2/@09 Estrone 25 µg_LL dopé/G9_03.tif </t>
  </si>
  <si>
    <t xml:space="preserve"> 77305.2434 </t>
  </si>
  <si>
    <t xml:space="preserve"> 93.7787 </t>
  </si>
  <si>
    <t xml:space="preserve">F:\images\20210512\plaque 2/@09 Estrone 25 µg_LL dopé/H9_01.tif </t>
  </si>
  <si>
    <t xml:space="preserve"> 63700.0397 </t>
  </si>
  <si>
    <t xml:space="preserve"> 97.2156 </t>
  </si>
  <si>
    <t xml:space="preserve">F:\images\20210512\plaque 2/@09 Estrone 25 µg_LL dopé/H9_02.tif </t>
  </si>
  <si>
    <t xml:space="preserve"> 96.5461 </t>
  </si>
  <si>
    <t xml:space="preserve">F:\images\20210512\plaque 2/@09 Estrone 25 µg_LL dopé/H9_03.tif </t>
  </si>
  <si>
    <t xml:space="preserve"> 53685.3985 </t>
  </si>
  <si>
    <t xml:space="preserve"> 103.9247 </t>
  </si>
  <si>
    <t xml:space="preserve">F:\images\20210512\plaque 2/@09 Estrone 25 µg_LL dopé/ </t>
  </si>
  <si>
    <t xml:space="preserve"> 95.8623 </t>
  </si>
  <si>
    <t xml:space="preserve"> 6.1917 </t>
  </si>
  <si>
    <t xml:space="preserve"> 6405659.12 </t>
  </si>
  <si>
    <t xml:space="preserve"> 1561555.82 </t>
  </si>
  <si>
    <t>08 Estrone 0.04 µg_L</t>
  </si>
  <si>
    <t>09 Estrone 0.2 µg_L</t>
  </si>
  <si>
    <t>10 Estrone 1 µg_L</t>
  </si>
  <si>
    <t>11 Estrone 5 µg_L</t>
  </si>
  <si>
    <t>12 Estrone 25 µg_L</t>
  </si>
  <si>
    <t xml:space="preserve">F:\images\20210518\plaque 1/@01 Evian + 0.2% DMSO/A1_01.tif </t>
  </si>
  <si>
    <t xml:space="preserve"> 64.3182 </t>
  </si>
  <si>
    <t xml:space="preserve">F:\images\20210518\plaque 1/@01 Evian + 0.2% DMSO/A1_02.tif </t>
  </si>
  <si>
    <t xml:space="preserve"> 6618.7478 </t>
  </si>
  <si>
    <t xml:space="preserve"> 74.6765 </t>
  </si>
  <si>
    <t xml:space="preserve">F:\images\20210518\plaque 1/@01 Evian + 0.2% DMSO/A1_03.tif </t>
  </si>
  <si>
    <t xml:space="preserve"> 65.638 </t>
  </si>
  <si>
    <t xml:space="preserve">F:\images\20210518\plaque 1/@01 Evian + 0.2% DMSO/B1_01.tif </t>
  </si>
  <si>
    <t xml:space="preserve"> 64.8898 </t>
  </si>
  <si>
    <t xml:space="preserve">F:\images\20210518\plaque 1/@01 Evian + 0.2% DMSO/B1_02.tif </t>
  </si>
  <si>
    <t xml:space="preserve"> 69.2489 </t>
  </si>
  <si>
    <t xml:space="preserve">F:\images\20210518\plaque 1/@01 Evian + 0.2% DMSO/B1_03.tif </t>
  </si>
  <si>
    <t xml:space="preserve"> 63.6222 </t>
  </si>
  <si>
    <t xml:space="preserve">F:\images\20210518\plaque 1/@01 Evian + 0.2% DMSO/C1_01.tif </t>
  </si>
  <si>
    <t xml:space="preserve"> 1773.6514 </t>
  </si>
  <si>
    <t xml:space="preserve"> 63.622 </t>
  </si>
  <si>
    <t xml:space="preserve">F:\images\20210518\plaque 1/@01 Evian + 0.2% DMSO/C1_02.tif </t>
  </si>
  <si>
    <t xml:space="preserve"> 64.5769 </t>
  </si>
  <si>
    <t xml:space="preserve">F:\images\20210518\plaque 1/@01 Evian + 0.2% DMSO/C1_03.tif </t>
  </si>
  <si>
    <t xml:space="preserve"> 1925.0606 </t>
  </si>
  <si>
    <t xml:space="preserve"> 64.8315 </t>
  </si>
  <si>
    <t xml:space="preserve">F:\images\20210518\plaque 1/@01 Evian + 0.2% DMSO/D1_01.tif </t>
  </si>
  <si>
    <t xml:space="preserve"> 64.6829 </t>
  </si>
  <si>
    <t xml:space="preserve">F:\images\20210518\plaque 1/@01 Evian + 0.2% DMSO/D1_02.tif </t>
  </si>
  <si>
    <t xml:space="preserve"> 63.4667 </t>
  </si>
  <si>
    <t xml:space="preserve">F:\images\20210518\plaque 1/@01 Evian + 0.2% DMSO/D1_03.tif </t>
  </si>
  <si>
    <t xml:space="preserve"> 67.3478 </t>
  </si>
  <si>
    <t xml:space="preserve">F:\images\20210518\plaque 1/@01 Evian + 0.2% DMSO/E1_01.tif </t>
  </si>
  <si>
    <t xml:space="preserve"> 68.4733 </t>
  </si>
  <si>
    <t xml:space="preserve">F:\images\20210518\plaque 1/@01 Evian + 0.2% DMSO/E1_02.tif </t>
  </si>
  <si>
    <t xml:space="preserve"> 64.7213 </t>
  </si>
  <si>
    <t xml:space="preserve">F:\images\20210518\plaque 1/@01 Evian + 0.2% DMSO/E1_03.tif </t>
  </si>
  <si>
    <t xml:space="preserve"> 3201.2244 </t>
  </si>
  <si>
    <t xml:space="preserve"> 67.277 </t>
  </si>
  <si>
    <t xml:space="preserve">F:\images\20210518\plaque 1/@01 Evian + 0.2% DMSO/F1_01.tif </t>
  </si>
  <si>
    <t xml:space="preserve"> 65.68 </t>
  </si>
  <si>
    <t xml:space="preserve">F:\images\20210518\plaque 1/@01 Evian + 0.2% DMSO/F1_02.tif </t>
  </si>
  <si>
    <t xml:space="preserve"> 66.3889 </t>
  </si>
  <si>
    <t xml:space="preserve">F:\images\20210518\plaque 1/@01 Evian + 0.2% DMSO/F1_03.tif </t>
  </si>
  <si>
    <t xml:space="preserve"> 68.4981 </t>
  </si>
  <si>
    <t xml:space="preserve">F:\images\20210518\plaque 1/@01 Evian + 0.2% DMSO/G1_01.tif </t>
  </si>
  <si>
    <t xml:space="preserve"> 63.5366 </t>
  </si>
  <si>
    <t xml:space="preserve">F:\images\20210518\plaque 1/@01 Evian + 0.2% DMSO/G1_02.tif </t>
  </si>
  <si>
    <t xml:space="preserve"> 64.0526 </t>
  </si>
  <si>
    <t xml:space="preserve">F:\images\20210518\plaque 1/@01 Evian + 0.2% DMSO/G1_03.tif </t>
  </si>
  <si>
    <t xml:space="preserve"> 64.0698 </t>
  </si>
  <si>
    <t xml:space="preserve">F:\images\20210518\plaque 1/@01 Evian + 0.2% DMSO/H1_01.tif </t>
  </si>
  <si>
    <t xml:space="preserve"> 1535.7225 </t>
  </si>
  <si>
    <t xml:space="preserve"> 64.5211 </t>
  </si>
  <si>
    <t xml:space="preserve">F:\images\20210518\plaque 1/@01 Evian + 0.2% DMSO/H1_02.tif </t>
  </si>
  <si>
    <t xml:space="preserve"> 4196.1996 </t>
  </si>
  <si>
    <t xml:space="preserve"> 64.8711 </t>
  </si>
  <si>
    <t xml:space="preserve">F:\images\20210518\plaque 1/@01 Evian + 0.2% DMSO/H1_03.tif </t>
  </si>
  <si>
    <t xml:space="preserve">F:\images\20210518\plaque 1/@01 Evian + 0.2% DMSO/ </t>
  </si>
  <si>
    <t xml:space="preserve"> 65.7192 </t>
  </si>
  <si>
    <t xml:space="preserve"> 2.5435 </t>
  </si>
  <si>
    <t xml:space="preserve"> 140244.625 </t>
  </si>
  <si>
    <t xml:space="preserve"> 125078.754 </t>
  </si>
  <si>
    <t xml:space="preserve">F:\images\20210518\plaque 1/@02 EE2 33.8/A2_01.tif </t>
  </si>
  <si>
    <t xml:space="preserve"> 64.7843 </t>
  </si>
  <si>
    <t xml:space="preserve">F:\images\20210518\plaque 1/@02 EE2 33.8/A2_02.tif </t>
  </si>
  <si>
    <t xml:space="preserve"> 64.4737 </t>
  </si>
  <si>
    <t xml:space="preserve">F:\images\20210518\plaque 1/@02 EE2 33.8/A2_03.tif </t>
  </si>
  <si>
    <t>F:\images\20210518\plaque 1/@02 EE2 33.8/B2_01- exclu.tif</t>
  </si>
  <si>
    <t>F:\images\20210518\plaque 1/@02 EE2 33.8/B2_02- exclu.tif</t>
  </si>
  <si>
    <t xml:space="preserve">F:\images\20210518\plaque 1/@02 EE2 33.8/B2_03.tif </t>
  </si>
  <si>
    <t xml:space="preserve"> 62.8182 </t>
  </si>
  <si>
    <t xml:space="preserve">F:\images\20210518\plaque 1/@02 EE2 33.8/C2_01.tif </t>
  </si>
  <si>
    <t xml:space="preserve"> 79.7022 </t>
  </si>
  <si>
    <t xml:space="preserve">F:\images\20210518\plaque 1/@02 EE2 33.8/C2_02.tif </t>
  </si>
  <si>
    <t xml:space="preserve"> 6791.7869 </t>
  </si>
  <si>
    <t xml:space="preserve"> 71.7548 </t>
  </si>
  <si>
    <t xml:space="preserve">F:\images\20210518\plaque 1/@02 EE2 33.8/C2_03.tif </t>
  </si>
  <si>
    <t xml:space="preserve"> 7830.0219 </t>
  </si>
  <si>
    <t xml:space="preserve"> 83.0497 </t>
  </si>
  <si>
    <t xml:space="preserve">F:\images\20210518\plaque 1/@02 EE2 33.8/D2_01.tif </t>
  </si>
  <si>
    <t xml:space="preserve"> 4109.68 </t>
  </si>
  <si>
    <t xml:space="preserve"> 66.6526 </t>
  </si>
  <si>
    <t xml:space="preserve">F:\images\20210518\plaque 1/@02 EE2 33.8/D2_02.tif </t>
  </si>
  <si>
    <t xml:space="preserve"> 3460.7831 </t>
  </si>
  <si>
    <t xml:space="preserve"> 68.8187 </t>
  </si>
  <si>
    <t xml:space="preserve">F:\images\20210518\plaque 1/@02 EE2 33.8/D2_03.tif </t>
  </si>
  <si>
    <t xml:space="preserve"> 5667.0324 </t>
  </si>
  <si>
    <t xml:space="preserve"> 70.5802 </t>
  </si>
  <si>
    <t xml:space="preserve">F:\images\20210518\plaque 1/@02 EE2 33.8/E2_01.tif </t>
  </si>
  <si>
    <t xml:space="preserve"> 3114.7048 </t>
  </si>
  <si>
    <t xml:space="preserve"> 65.0069 </t>
  </si>
  <si>
    <t xml:space="preserve">F:\images\20210518\plaque 1/@02 EE2 33.8/E2_02.tif </t>
  </si>
  <si>
    <t xml:space="preserve"> 66.0511 </t>
  </si>
  <si>
    <t xml:space="preserve">F:\images\20210518\plaque 1/@02 EE2 33.8/E2_03.tif </t>
  </si>
  <si>
    <t xml:space="preserve"> 61.7143 </t>
  </si>
  <si>
    <t xml:space="preserve">F:\images\20210518\plaque 1/@02 EE2 33.8/F2_01.tif </t>
  </si>
  <si>
    <t xml:space="preserve"> 64.9787 </t>
  </si>
  <si>
    <t xml:space="preserve">F:\images\20210518\plaque 1/@02 EE2 33.8/F2_02.tif </t>
  </si>
  <si>
    <t xml:space="preserve"> 64.587 </t>
  </si>
  <si>
    <t xml:space="preserve">F:\images\20210518\plaque 1/@02 EE2 33.8/F2_03.tif </t>
  </si>
  <si>
    <t xml:space="preserve"> 64.8897 </t>
  </si>
  <si>
    <t xml:space="preserve"> 61.3333 </t>
  </si>
  <si>
    <t xml:space="preserve">F:\images\20210518\plaque 1/@02 EE2 33.8/G2_01.tif </t>
  </si>
  <si>
    <t xml:space="preserve"> 64.4068 </t>
  </si>
  <si>
    <t xml:space="preserve">F:\images\20210518\plaque 1/@02 EE2 33.8/G2_02.tif </t>
  </si>
  <si>
    <t xml:space="preserve"> 66.7744 </t>
  </si>
  <si>
    <t xml:space="preserve">F:\images\20210518\plaque 1/@02 EE2 33.8/G2_03.tif </t>
  </si>
  <si>
    <t xml:space="preserve"> 1838.541 </t>
  </si>
  <si>
    <t xml:space="preserve"> 65.1647 </t>
  </si>
  <si>
    <t xml:space="preserve">F:\images\20210518\plaque 1/@02 EE2 33.8/H2_01.tif </t>
  </si>
  <si>
    <t xml:space="preserve"> 65.9652 </t>
  </si>
  <si>
    <t xml:space="preserve">F:\images\20210518\plaque 1/@02 EE2 33.8/H2_02.tif </t>
  </si>
  <si>
    <t xml:space="preserve"> 66.226 </t>
  </si>
  <si>
    <t xml:space="preserve">F:\images\20210518\plaque 1/@02 EE2 33.8/H2_03.tif </t>
  </si>
  <si>
    <t xml:space="preserve"> 66.823 </t>
  </si>
  <si>
    <t xml:space="preserve">F:\images\20210518\plaque 1/@02 EE2 33.8/ </t>
  </si>
  <si>
    <t xml:space="preserve"> 66.87 </t>
  </si>
  <si>
    <t xml:space="preserve"> 5.0821 </t>
  </si>
  <si>
    <t xml:space="preserve"> 209985.708 </t>
  </si>
  <si>
    <t xml:space="preserve"> 233431.758 </t>
  </si>
  <si>
    <t xml:space="preserve">F:\images\20210518\plaque 1/@03 EE2 50.6/A3_01.tif </t>
  </si>
  <si>
    <t xml:space="preserve"> 70.7931 </t>
  </si>
  <si>
    <t xml:space="preserve">F:\images\20210518\plaque 1/@03 EE2 50.6/A3_02.tif </t>
  </si>
  <si>
    <t xml:space="preserve"> 64.9737 </t>
  </si>
  <si>
    <t xml:space="preserve">F:\images\20210518\plaque 1/@03 EE2 50.6/A3_03.tif </t>
  </si>
  <si>
    <t xml:space="preserve"> 64.9091 </t>
  </si>
  <si>
    <t xml:space="preserve">F:\images\20210518\plaque 1/@03 EE2 50.6/B3_01.tif </t>
  </si>
  <si>
    <t xml:space="preserve"> 3590.5625 </t>
  </si>
  <si>
    <t xml:space="preserve"> 67.8434 </t>
  </si>
  <si>
    <t xml:space="preserve">F:\images\20210518\plaque 1/@03 EE2 50.6/B3_02.tif </t>
  </si>
  <si>
    <t xml:space="preserve"> 1665.5019 </t>
  </si>
  <si>
    <t xml:space="preserve"> 63.6753 </t>
  </si>
  <si>
    <t xml:space="preserve">F:\images\20210518\plaque 1/@03 EE2 50.6/B3_03.tif </t>
  </si>
  <si>
    <t xml:space="preserve">F:\images\20210518\plaque 1/@03 EE2 50.6/C3_01.tif </t>
  </si>
  <si>
    <t xml:space="preserve"> 65.5714 </t>
  </si>
  <si>
    <t xml:space="preserve">F:\images\20210518\plaque 1/@03 EE2 50.6/C3_02.tif </t>
  </si>
  <si>
    <t xml:space="preserve"> 63.1154 </t>
  </si>
  <si>
    <t xml:space="preserve">F:\images\20210518\plaque 1/@03 EE2 50.6/C3_03.tif </t>
  </si>
  <si>
    <t xml:space="preserve"> 1341.0535 </t>
  </si>
  <si>
    <t xml:space="preserve"> 67.9032 </t>
  </si>
  <si>
    <t xml:space="preserve">F:\images\20210518\plaque 1/@03 EE2 50.6/D3_01.tif </t>
  </si>
  <si>
    <t xml:space="preserve"> 65.375 </t>
  </si>
  <si>
    <t xml:space="preserve">F:\images\20210518\plaque 1/@03 EE2 50.6/D3_02.tif </t>
  </si>
  <si>
    <t xml:space="preserve"> 67.0714 </t>
  </si>
  <si>
    <t xml:space="preserve">F:\images\20210518\plaque 1/@03 EE2 50.6/D3_03.tif </t>
  </si>
  <si>
    <t xml:space="preserve"> 65.9808 </t>
  </si>
  <si>
    <t xml:space="preserve">F:\images\20210518\plaque 1/@03 EE2 50.6/E3_01.tif </t>
  </si>
  <si>
    <t xml:space="preserve"> 1989.9503 </t>
  </si>
  <si>
    <t xml:space="preserve"> 64.4674 </t>
  </si>
  <si>
    <t xml:space="preserve">F:\images\20210518\plaque 1/@03 EE2 50.6/E3_02.tif </t>
  </si>
  <si>
    <t xml:space="preserve"> 8565.4383 </t>
  </si>
  <si>
    <t xml:space="preserve"> 67.0379 </t>
  </si>
  <si>
    <t xml:space="preserve">F:\images\20210518\plaque 1/@03 EE2 50.6/E3_03.tif </t>
  </si>
  <si>
    <t xml:space="preserve"> 64.1216 </t>
  </si>
  <si>
    <t xml:space="preserve">F:\images\20210518\plaque 1/@03 EE2 50.6/F3_01.tif </t>
  </si>
  <si>
    <t xml:space="preserve"> 1405.9432 </t>
  </si>
  <si>
    <t xml:space="preserve">F:\images\20210518\plaque 1/@03 EE2 50.6/F3_02.tif </t>
  </si>
  <si>
    <t xml:space="preserve">F:\images\20210518\plaque 1/@03 EE2 50.6/F3_03.tif </t>
  </si>
  <si>
    <t xml:space="preserve"> 63.08 </t>
  </si>
  <si>
    <t xml:space="preserve">F:\images\20210518\plaque 1/@03 EE2 50.6/G3_01.tif </t>
  </si>
  <si>
    <t xml:space="preserve"> 63.871 </t>
  </si>
  <si>
    <t xml:space="preserve">F:\images\20210518\plaque 1/@03 EE2 50.6/G3_02.tif </t>
  </si>
  <si>
    <t xml:space="preserve"> 65.0968 </t>
  </si>
  <si>
    <t xml:space="preserve">F:\images\20210518\plaque 1/@03 EE2 50.6/G3_03.tif </t>
  </si>
  <si>
    <t xml:space="preserve"> 67.7692 </t>
  </si>
  <si>
    <t xml:space="preserve">F:\images\20210518\plaque 1/@03 EE2 50.6/H3_01.tif </t>
  </si>
  <si>
    <t xml:space="preserve"> 65.7024 </t>
  </si>
  <si>
    <t xml:space="preserve">F:\images\20210518\plaque 1/@03 EE2 50.6/H3_02.tif </t>
  </si>
  <si>
    <t xml:space="preserve"> 63.8113 </t>
  </si>
  <si>
    <t xml:space="preserve">F:\images\20210518\plaque 1/@03 EE2 50.6/H3_03.tif </t>
  </si>
  <si>
    <t xml:space="preserve"> 66.5319 </t>
  </si>
  <si>
    <t xml:space="preserve">F:\images\20210518\plaque 1/@03 EE2 50.6/ </t>
  </si>
  <si>
    <t xml:space="preserve"> 65.3813 </t>
  </si>
  <si>
    <t xml:space="preserve"> 1.9446 </t>
  </si>
  <si>
    <t xml:space="preserve"> 105400.708 </t>
  </si>
  <si>
    <t xml:space="preserve"> 114283.143 </t>
  </si>
  <si>
    <t xml:space="preserve">F:\images\20210518\plaque 1/@04 EE2 76/A4_01.tif </t>
  </si>
  <si>
    <t xml:space="preserve"> 62.88 </t>
  </si>
  <si>
    <t xml:space="preserve">F:\images\20210518\plaque 1/@04 EE2 76/A4_02.tif </t>
  </si>
  <si>
    <t xml:space="preserve"> 62.9412 </t>
  </si>
  <si>
    <t>F:\images\20210518\plaque 1/@04 EE2 76/A4_03- exclu.tif</t>
  </si>
  <si>
    <t>F:\images\20210518\plaque 1/@04 EE2 76/B4_01- exclu.tif</t>
  </si>
  <si>
    <t>F:\images\20210518\plaque 1/@04 EE2 76/B4_02- exclu.tif</t>
  </si>
  <si>
    <t>F:\images\20210518\plaque 1/@04 EE2 76/B4_03- exclu.tif</t>
  </si>
  <si>
    <t xml:space="preserve">F:\images\20210518\plaque 1/@04 EE2 76/C4_01.tif </t>
  </si>
  <si>
    <t xml:space="preserve"> 65.4141 </t>
  </si>
  <si>
    <t xml:space="preserve">F:\images\20210518\plaque 1/@04 EE2 76/C4_02.tif </t>
  </si>
  <si>
    <t xml:space="preserve"> 2227.8791 </t>
  </si>
  <si>
    <t xml:space="preserve"> 64.1165 </t>
  </si>
  <si>
    <t xml:space="preserve">F:\images\20210518\plaque 1/@04 EE2 76/C4_03.tif </t>
  </si>
  <si>
    <t xml:space="preserve"> 63.8018 </t>
  </si>
  <si>
    <t xml:space="preserve">F:\images\20210518\plaque 1/@04 EE2 76/D4_01.tif </t>
  </si>
  <si>
    <t xml:space="preserve"> 65.5275 </t>
  </si>
  <si>
    <t xml:space="preserve">F:\images\20210518\plaque 1/@04 EE2 76/D4_02.tif </t>
  </si>
  <si>
    <t xml:space="preserve"> 9928.1216 </t>
  </si>
  <si>
    <t xml:space="preserve"> 66.3508 </t>
  </si>
  <si>
    <t xml:space="preserve">F:\images\20210518\plaque 1/@04 EE2 76/D4_03.tif </t>
  </si>
  <si>
    <t xml:space="preserve"> 64.5625 </t>
  </si>
  <si>
    <t xml:space="preserve">F:\images\20210518\plaque 1/@04 EE2 76/E4_01.tif </t>
  </si>
  <si>
    <t xml:space="preserve"> 6726.8972 </t>
  </si>
  <si>
    <t xml:space="preserve"> 64.492 </t>
  </si>
  <si>
    <t xml:space="preserve">F:\images\20210518\plaque 1/@04 EE2 76/E4_02.tif </t>
  </si>
  <si>
    <t xml:space="preserve"> 7483.9435 </t>
  </si>
  <si>
    <t xml:space="preserve"> 66.3092 </t>
  </si>
  <si>
    <t xml:space="preserve">F:\images\20210518\plaque 1/@04 EE2 76/E4_03.tif </t>
  </si>
  <si>
    <t xml:space="preserve"> 6662.0075 </t>
  </si>
  <si>
    <t xml:space="preserve"> 64.6071 </t>
  </si>
  <si>
    <t xml:space="preserve">F:\images\20210518\plaque 1/@04 EE2 76/F4_01.tif </t>
  </si>
  <si>
    <t xml:space="preserve"> 64.3504 </t>
  </si>
  <si>
    <t>F:\images\20210518\plaque 1/@04 EE2 76/F4_02- exclu.tif</t>
  </si>
  <si>
    <t xml:space="preserve">F:\images\20210518\plaque 1/@04 EE2 76/F4_03.tif </t>
  </si>
  <si>
    <t xml:space="preserve"> 64.0784 </t>
  </si>
  <si>
    <t xml:space="preserve">F:\images\20210518\plaque 1/@04 EE2 76/G4_01.tif </t>
  </si>
  <si>
    <t xml:space="preserve"> 64.254 </t>
  </si>
  <si>
    <t xml:space="preserve">F:\images\20210518\plaque 1/@04 EE2 76/G4_02.tif </t>
  </si>
  <si>
    <t xml:space="preserve">F:\images\20210518\plaque 1/@04 EE2 76/G4_03.tif </t>
  </si>
  <si>
    <t xml:space="preserve"> 63.4286 </t>
  </si>
  <si>
    <t xml:space="preserve">F:\images\20210518\plaque 1/@04 EE2 76/H4_01.tif </t>
  </si>
  <si>
    <t xml:space="preserve"> 4801.8366 </t>
  </si>
  <si>
    <t xml:space="preserve"> 63.6171 </t>
  </si>
  <si>
    <t xml:space="preserve">F:\images\20210518\plaque 1/@04 EE2 76/H4_02.tif </t>
  </si>
  <si>
    <t xml:space="preserve"> 6986.456 </t>
  </si>
  <si>
    <t xml:space="preserve"> 63.9721 </t>
  </si>
  <si>
    <t xml:space="preserve">F:\images\20210518\plaque 1/@04 EE2 76/H4_03.tif </t>
  </si>
  <si>
    <t xml:space="preserve"> 8024.6909 </t>
  </si>
  <si>
    <t xml:space="preserve"> 65.4852 </t>
  </si>
  <si>
    <t xml:space="preserve">F:\images\20210518\plaque 1/@04 EE2 76/ </t>
  </si>
  <si>
    <t xml:space="preserve"> 64.3375 </t>
  </si>
  <si>
    <t xml:space="preserve"> 1.0544 </t>
  </si>
  <si>
    <t xml:space="preserve"> 230191.583 </t>
  </si>
  <si>
    <t xml:space="preserve"> 216323.149 </t>
  </si>
  <si>
    <t xml:space="preserve">F:\images\20210518\plaque 1/@05 EE2 114/A5_01.tif </t>
  </si>
  <si>
    <t xml:space="preserve"> 64.7197 </t>
  </si>
  <si>
    <t xml:space="preserve">F:\images\20210518\plaque 1/@05 EE2 114/A5_02.tif </t>
  </si>
  <si>
    <t xml:space="preserve"> 10533.7587 </t>
  </si>
  <si>
    <t xml:space="preserve"> 64.3039 </t>
  </si>
  <si>
    <t xml:space="preserve">F:\images\20210518\plaque 1/@05 EE2 114/A5_03.tif </t>
  </si>
  <si>
    <t xml:space="preserve"> 64.2554 </t>
  </si>
  <si>
    <t xml:space="preserve">F:\images\20210518\plaque 1/@05 EE2 114/B5_01.tif </t>
  </si>
  <si>
    <t xml:space="preserve"> 12956.3069 </t>
  </si>
  <si>
    <t xml:space="preserve"> 65.6528 </t>
  </si>
  <si>
    <t xml:space="preserve">F:\images\20210518\plaque 1/@05 EE2 114/B5_02.tif </t>
  </si>
  <si>
    <t xml:space="preserve"> 9495.5237 </t>
  </si>
  <si>
    <t xml:space="preserve"> 64.3895 </t>
  </si>
  <si>
    <t xml:space="preserve">F:\images\20210518\plaque 1/@05 EE2 114/B5_03.tif </t>
  </si>
  <si>
    <t xml:space="preserve"> 9517.1536 </t>
  </si>
  <si>
    <t xml:space="preserve"> 65.0818 </t>
  </si>
  <si>
    <t xml:space="preserve">F:\images\20210518\plaque 1/@05 EE2 114/C5_01.tif </t>
  </si>
  <si>
    <t xml:space="preserve"> 37484.6074 </t>
  </si>
  <si>
    <t xml:space="preserve"> 69.0739 </t>
  </si>
  <si>
    <t xml:space="preserve">F:\images\20210518\plaque 1/@05 EE2 114/C5_02.tif </t>
  </si>
  <si>
    <t xml:space="preserve"> 68.2453 </t>
  </si>
  <si>
    <t xml:space="preserve">F:\images\20210518\plaque 1/@05 EE2 114/C5_03.tif </t>
  </si>
  <si>
    <t xml:space="preserve"> 40339.7535 </t>
  </si>
  <si>
    <t xml:space="preserve"> 69.6043 </t>
  </si>
  <si>
    <t xml:space="preserve">F:\images\20210518\plaque 1/@05 EE2 114/D5_01.tif </t>
  </si>
  <si>
    <t xml:space="preserve"> 15530.2643 </t>
  </si>
  <si>
    <t xml:space="preserve"> 65.9248 </t>
  </si>
  <si>
    <t xml:space="preserve">F:\images\20210518\plaque 1/@05 EE2 114/D5_02.tif </t>
  </si>
  <si>
    <t xml:space="preserve"> 16287.3107 </t>
  </si>
  <si>
    <t xml:space="preserve"> 64.9841 </t>
  </si>
  <si>
    <t xml:space="preserve">F:\images\20210518\plaque 1/@05 EE2 114/D5_03.tif </t>
  </si>
  <si>
    <t xml:space="preserve"> 17736.5136 </t>
  </si>
  <si>
    <t xml:space="preserve"> 66.0451 </t>
  </si>
  <si>
    <t xml:space="preserve">F:\images\20210518\plaque 1/@05 EE2 114/E5_01.tif </t>
  </si>
  <si>
    <t xml:space="preserve"> 13972.9119 </t>
  </si>
  <si>
    <t xml:space="preserve"> 68.709 </t>
  </si>
  <si>
    <t xml:space="preserve">F:\images\20210518\plaque 1/@05 EE2 114/E5_02.tif </t>
  </si>
  <si>
    <t xml:space="preserve"> 9192.7052 </t>
  </si>
  <si>
    <t xml:space="preserve"> 65.0565 </t>
  </si>
  <si>
    <t xml:space="preserve">F:\images\20210518\plaque 1/@05 EE2 114/E5_03.tif </t>
  </si>
  <si>
    <t xml:space="preserve"> 10512.1288 </t>
  </si>
  <si>
    <t xml:space="preserve"> 65.1379 </t>
  </si>
  <si>
    <t xml:space="preserve">F:\images\20210518\plaque 1/@05 EE2 114/F5_01.tif </t>
  </si>
  <si>
    <t xml:space="preserve"> 3093.0749 </t>
  </si>
  <si>
    <t xml:space="preserve"> 64.2448 </t>
  </si>
  <si>
    <t xml:space="preserve">F:\images\20210518\plaque 1/@05 EE2 114/F5_02.tif </t>
  </si>
  <si>
    <t xml:space="preserve"> 63.573 </t>
  </si>
  <si>
    <t xml:space="preserve">F:\images\20210518\plaque 1/@05 EE2 114/F5_03.tif </t>
  </si>
  <si>
    <t xml:space="preserve"> 3374.2636 </t>
  </si>
  <si>
    <t xml:space="preserve"> 64.5256 </t>
  </si>
  <si>
    <t xml:space="preserve">F:\images\20210518\plaque 1/@05 EE2 114/G5_01.tif </t>
  </si>
  <si>
    <t xml:space="preserve"> 24896.0087 </t>
  </si>
  <si>
    <t xml:space="preserve"> 67.4153 </t>
  </si>
  <si>
    <t xml:space="preserve">F:\images\20210518\plaque 1/@05 EE2 114/G5_02.tif </t>
  </si>
  <si>
    <t xml:space="preserve"> 28248.6424 </t>
  </si>
  <si>
    <t xml:space="preserve"> 67.6462 </t>
  </si>
  <si>
    <t xml:space="preserve">F:\images\20210518\plaque 1/@05 EE2 114/G5_03.tif </t>
  </si>
  <si>
    <t xml:space="preserve"> 16114.2715 </t>
  </si>
  <si>
    <t xml:space="preserve"> 65.4242 </t>
  </si>
  <si>
    <t xml:space="preserve">F:\images\20210518\plaque 1/@05 EE2 114/H5_01.tif </t>
  </si>
  <si>
    <t xml:space="preserve"> 22841.1687 </t>
  </si>
  <si>
    <t xml:space="preserve"> 68.3835 </t>
  </si>
  <si>
    <t xml:space="preserve">F:\images\20210518\plaque 1/@05 EE2 114/H5_02.tif </t>
  </si>
  <si>
    <t xml:space="preserve"> 20483.5102 </t>
  </si>
  <si>
    <t xml:space="preserve"> 67.7223 </t>
  </si>
  <si>
    <t xml:space="preserve">F:\images\20210518\plaque 1/@05 EE2 114/H5_03.tif </t>
  </si>
  <si>
    <t xml:space="preserve"> 25090.6778 </t>
  </si>
  <si>
    <t xml:space="preserve"> 68.6405 </t>
  </si>
  <si>
    <t xml:space="preserve">F:\images\20210518\plaque 1/@05 EE2 114/ </t>
  </si>
  <si>
    <t xml:space="preserve"> 66.1983 </t>
  </si>
  <si>
    <t xml:space="preserve"> 1.8589 </t>
  </si>
  <si>
    <t xml:space="preserve"> 724524.509 </t>
  </si>
  <si>
    <t xml:space="preserve">F:\images\20210518\plaque 1/@06 EE2 170.9/A6_01.tif </t>
  </si>
  <si>
    <t xml:space="preserve"> 49208.0103 </t>
  </si>
  <si>
    <t xml:space="preserve"> 73.3411 </t>
  </si>
  <si>
    <t xml:space="preserve">F:\images\20210518\plaque 1/@06 EE2 170.9/A6_02.tif </t>
  </si>
  <si>
    <t xml:space="preserve"> 43065.1202 </t>
  </si>
  <si>
    <t xml:space="preserve"> 77.1723 </t>
  </si>
  <si>
    <t xml:space="preserve">F:\images\20210518\plaque 1/@06 EE2 170.9/A6_03.tif </t>
  </si>
  <si>
    <t xml:space="preserve"> 50181.3555 </t>
  </si>
  <si>
    <t xml:space="preserve"> 74.2198 </t>
  </si>
  <si>
    <t xml:space="preserve">F:\images\20210518\plaque 1/@06 EE2 170.9/B6_01.tif </t>
  </si>
  <si>
    <t xml:space="preserve"> 72.2747 </t>
  </si>
  <si>
    <t xml:space="preserve">F:\images\20210518\plaque 1/@06 EE2 170.9/B6_02.tif </t>
  </si>
  <si>
    <t xml:space="preserve"> 38652.6217 </t>
  </si>
  <si>
    <t xml:space="preserve"> 74.6581 </t>
  </si>
  <si>
    <t xml:space="preserve">F:\images\20210518\plaque 1/@06 EE2 170.9/B6_03.tif </t>
  </si>
  <si>
    <t xml:space="preserve"> 35516.287 </t>
  </si>
  <si>
    <t xml:space="preserve"> 74.8946 </t>
  </si>
  <si>
    <t xml:space="preserve">F:\images\20210518\plaque 1/@06 EE2 170.9/C6_01.tif </t>
  </si>
  <si>
    <t xml:space="preserve"> 37311.5682 </t>
  </si>
  <si>
    <t xml:space="preserve"> 73.8342 </t>
  </si>
  <si>
    <t xml:space="preserve">F:\images\20210518\plaque 1/@06 EE2 170.9/C6_02.tif </t>
  </si>
  <si>
    <t xml:space="preserve"> 36900.6002 </t>
  </si>
  <si>
    <t xml:space="preserve"> 74.7104 </t>
  </si>
  <si>
    <t xml:space="preserve">F:\images\20210518\plaque 1/@06 EE2 170.9/C6_03.tif </t>
  </si>
  <si>
    <t xml:space="preserve"> 38501.2124 </t>
  </si>
  <si>
    <t xml:space="preserve"> 74.118 </t>
  </si>
  <si>
    <t xml:space="preserve">F:\images\20210518\plaque 1/@06 EE2 170.9/D6_01.tif </t>
  </si>
  <si>
    <t xml:space="preserve"> 43216.5295 </t>
  </si>
  <si>
    <t xml:space="preserve"> 77.1932 </t>
  </si>
  <si>
    <t xml:space="preserve">F:\images\20210518\plaque 1/@06 EE2 170.9/D6_02.tif </t>
  </si>
  <si>
    <t xml:space="preserve"> 50311.1349 </t>
  </si>
  <si>
    <t xml:space="preserve"> 78.5787 </t>
  </si>
  <si>
    <t xml:space="preserve">F:\images\20210518\plaque 1/@06 EE2 170.9/D6_03.tif </t>
  </si>
  <si>
    <t xml:space="preserve"> 49381.0494 </t>
  </si>
  <si>
    <t xml:space="preserve"> 77.6159 </t>
  </si>
  <si>
    <t xml:space="preserve">F:\images\20210518\plaque 1/@06 EE2 170.9/E6_01.tif </t>
  </si>
  <si>
    <t xml:space="preserve"> 24571.5603 </t>
  </si>
  <si>
    <t xml:space="preserve"> 77.6364 </t>
  </si>
  <si>
    <t xml:space="preserve">F:\images\20210518\plaque 1/@06 EE2 170.9/E6_02.tif </t>
  </si>
  <si>
    <t xml:space="preserve"> 23187.247 </t>
  </si>
  <si>
    <t xml:space="preserve"> 82.1539 </t>
  </si>
  <si>
    <t xml:space="preserve">F:\images\20210518\plaque 1/@06 EE2 170.9/E6_03.tif </t>
  </si>
  <si>
    <t xml:space="preserve"> 23165.6171 </t>
  </si>
  <si>
    <t xml:space="preserve"> 81.1597 </t>
  </si>
  <si>
    <t xml:space="preserve">F:\images\20210518\plaque 1/@06 EE2 170.9/F6_01.tif </t>
  </si>
  <si>
    <t xml:space="preserve"> 17303.9157 </t>
  </si>
  <si>
    <t xml:space="preserve"> 65.92 </t>
  </si>
  <si>
    <t xml:space="preserve">F:\images\20210518\plaque 1/@06 EE2 170.9/F6_02.tif </t>
  </si>
  <si>
    <t xml:space="preserve"> 22668.1296 </t>
  </si>
  <si>
    <t xml:space="preserve"> 67.5477 </t>
  </si>
  <si>
    <t xml:space="preserve">F:\images\20210518\plaque 1/@06 EE2 170.9/F6_03.tif </t>
  </si>
  <si>
    <t xml:space="preserve"> 21370.3359 </t>
  </si>
  <si>
    <t xml:space="preserve"> 66.3765 </t>
  </si>
  <si>
    <t xml:space="preserve">F:\images\20210518\plaque 1/@06 EE2 170.9/G6_01.tif </t>
  </si>
  <si>
    <t xml:space="preserve"> 64.3671 </t>
  </si>
  <si>
    <t xml:space="preserve">F:\images\20210518\plaque 1/@06 EE2 170.9/G6_02.tif </t>
  </si>
  <si>
    <t xml:space="preserve"> 2206.2493 </t>
  </si>
  <si>
    <t xml:space="preserve">F:\images\20210518\plaque 1/@06 EE2 170.9/G6_03.tif </t>
  </si>
  <si>
    <t xml:space="preserve"> 65.6759 </t>
  </si>
  <si>
    <t xml:space="preserve">F:\images\20210518\plaque 1/@06 EE2 170.9/H6_01.tif </t>
  </si>
  <si>
    <t xml:space="preserve"> 33591.2264 </t>
  </si>
  <si>
    <t xml:space="preserve"> 69.8042 </t>
  </si>
  <si>
    <t xml:space="preserve">F:\images\20210518\plaque 1/@06 EE2 170.9/H6_02.tif </t>
  </si>
  <si>
    <t xml:space="preserve"> 36662.6714 </t>
  </si>
  <si>
    <t xml:space="preserve"> 70.5251 </t>
  </si>
  <si>
    <t xml:space="preserve">F:\images\20210518\plaque 1/@06 EE2 170.9/H6_03.tif </t>
  </si>
  <si>
    <t xml:space="preserve"> 69.9908 </t>
  </si>
  <si>
    <t xml:space="preserve">F:\images\20210518\plaque 1/@06 EE2 170.9/ </t>
  </si>
  <si>
    <t xml:space="preserve"> 72.8363 </t>
  </si>
  <si>
    <t xml:space="preserve"> 5.2124 </t>
  </si>
  <si>
    <t xml:space="preserve"> 2324154.71 </t>
  </si>
  <si>
    <t xml:space="preserve"> 1133313.25 </t>
  </si>
  <si>
    <t xml:space="preserve">F:\images\20210518\plaque 1/@07 EE2 488/A7_01.tif </t>
  </si>
  <si>
    <t xml:space="preserve"> 38912.1804 </t>
  </si>
  <si>
    <t xml:space="preserve"> 83.2685 </t>
  </si>
  <si>
    <t xml:space="preserve">F:\images\20210518\plaque 1/@07 EE2 488/A7_02.tif </t>
  </si>
  <si>
    <t xml:space="preserve"> 84.2328 </t>
  </si>
  <si>
    <t xml:space="preserve">F:\images\20210518\plaque 1/@07 EE2 488/A7_03.tif </t>
  </si>
  <si>
    <t xml:space="preserve"> 50527.4339 </t>
  </si>
  <si>
    <t xml:space="preserve"> 82.2123 </t>
  </si>
  <si>
    <t xml:space="preserve">F:\images\20210518\plaque 1/@07 EE2 488/B7_01.tif </t>
  </si>
  <si>
    <t xml:space="preserve"> 58054.6372 </t>
  </si>
  <si>
    <t xml:space="preserve"> 86.4691 </t>
  </si>
  <si>
    <t xml:space="preserve">F:\images\20210518\plaque 1/@07 EE2 488/B7_02.tif </t>
  </si>
  <si>
    <t xml:space="preserve"> 64846.4241 </t>
  </si>
  <si>
    <t xml:space="preserve"> 85.7759 </t>
  </si>
  <si>
    <t xml:space="preserve">F:\images\20210518\plaque 1/@07 EE2 488/B7_03.tif </t>
  </si>
  <si>
    <t xml:space="preserve"> 85.6187 </t>
  </si>
  <si>
    <t xml:space="preserve">F:\images\20210518\plaque 1/@07 EE2 488/C7_01.tif </t>
  </si>
  <si>
    <t xml:space="preserve"> 59157.7618 </t>
  </si>
  <si>
    <t xml:space="preserve"> 89.3781 </t>
  </si>
  <si>
    <t xml:space="preserve">F:\images\20210518\plaque 1/@07 EE2 488/C7_02.tif </t>
  </si>
  <si>
    <t xml:space="preserve"> 58227.6763 </t>
  </si>
  <si>
    <t xml:space="preserve"> 89.666 </t>
  </si>
  <si>
    <t xml:space="preserve">F:\images\20210518\plaque 1/@07 EE2 488/C7_03.tif </t>
  </si>
  <si>
    <t xml:space="preserve"> 51673.8183 </t>
  </si>
  <si>
    <t xml:space="preserve"> 94.2445 </t>
  </si>
  <si>
    <t xml:space="preserve">F:\images\20210518\plaque 1/@07 EE2 488/D7_01.tif </t>
  </si>
  <si>
    <t xml:space="preserve"> 79511.4927 </t>
  </si>
  <si>
    <t xml:space="preserve"> 94.7685 </t>
  </si>
  <si>
    <t xml:space="preserve">F:\images\20210518\plaque 1/@07 EE2 488/D7_02.tif </t>
  </si>
  <si>
    <t xml:space="preserve"> 81241.8842 </t>
  </si>
  <si>
    <t xml:space="preserve"> 93.1374 </t>
  </si>
  <si>
    <t xml:space="preserve">F:\images\20210518\plaque 1/@07 EE2 488/D7_03.tif </t>
  </si>
  <si>
    <t xml:space="preserve"> 72005.9192 </t>
  </si>
  <si>
    <t xml:space="preserve"> 96.8285 </t>
  </si>
  <si>
    <t xml:space="preserve">F:\images\20210518\plaque 1/@07 EE2 488/E7_01.tif </t>
  </si>
  <si>
    <t xml:space="preserve"> 19120.8269 </t>
  </si>
  <si>
    <t xml:space="preserve"> 77.2805 </t>
  </si>
  <si>
    <t xml:space="preserve">F:\images\20210518\plaque 1/@07 EE2 488/E7_02.tif </t>
  </si>
  <si>
    <t xml:space="preserve"> 76.685 </t>
  </si>
  <si>
    <t xml:space="preserve">F:\images\20210518\plaque 1/@07 EE2 488/E7_03.tif </t>
  </si>
  <si>
    <t xml:space="preserve"> 16330.5704 </t>
  </si>
  <si>
    <t xml:space="preserve"> 80.9682 </t>
  </si>
  <si>
    <t xml:space="preserve">F:\images\20210518\plaque 1/@07 EE2 488/F7_01.tif </t>
  </si>
  <si>
    <t xml:space="preserve"> 85.5308 </t>
  </si>
  <si>
    <t xml:space="preserve">F:\images\20210518\plaque 1/@07 EE2 488/F7_02.tif </t>
  </si>
  <si>
    <t xml:space="preserve"> 82.9131 </t>
  </si>
  <si>
    <t xml:space="preserve">F:\images\20210518\plaque 1/@07 EE2 488/F7_03.tif </t>
  </si>
  <si>
    <t xml:space="preserve"> 83.6747 </t>
  </si>
  <si>
    <t xml:space="preserve">F:\images\20210518\plaque 1/@07 EE2 488/G7_01.tif </t>
  </si>
  <si>
    <t xml:space="preserve"> 28140.4929 </t>
  </si>
  <si>
    <t xml:space="preserve"> 78.94 </t>
  </si>
  <si>
    <t xml:space="preserve">F:\images\20210518\plaque 1/@07 EE2 488/G7_02.tif </t>
  </si>
  <si>
    <t xml:space="preserve"> 27405.0765 </t>
  </si>
  <si>
    <t xml:space="preserve"> 82.7672 </t>
  </si>
  <si>
    <t xml:space="preserve">F:\images\20210518\plaque 1/@07 EE2 488/G7_03.tif </t>
  </si>
  <si>
    <t xml:space="preserve"> 21327.0761 </t>
  </si>
  <si>
    <t xml:space="preserve">F:\images\20210518\plaque 1/@07 EE2 488/H7_01.tif </t>
  </si>
  <si>
    <t xml:space="preserve"> 54117.9964 </t>
  </si>
  <si>
    <t xml:space="preserve"> 99.2658 </t>
  </si>
  <si>
    <t xml:space="preserve">F:\images\20210518\plaque 1/@07 EE2 488/H7_02.tif </t>
  </si>
  <si>
    <t xml:space="preserve"> 58487.2351 </t>
  </si>
  <si>
    <t xml:space="preserve"> 97.2359 </t>
  </si>
  <si>
    <t xml:space="preserve">F:\images\20210518\plaque 1/@07 EE2 488/H7_03.tif </t>
  </si>
  <si>
    <t xml:space="preserve"> 50851.8823 </t>
  </si>
  <si>
    <t xml:space="preserve"> 97.5717 </t>
  </si>
  <si>
    <t xml:space="preserve">F:\images\20210518\plaque 1/@07 EE2 488/ </t>
  </si>
  <si>
    <t xml:space="preserve"> 87.0936 </t>
  </si>
  <si>
    <t xml:space="preserve"> 6.7623 </t>
  </si>
  <si>
    <t xml:space="preserve"> 4108018.12 </t>
  </si>
  <si>
    <t xml:space="preserve"> 1949621.94 </t>
  </si>
  <si>
    <t xml:space="preserve">F:\images\20210518\plaque 1/@08 Estrone 0.04 µg_L/A8_01.tif </t>
  </si>
  <si>
    <t xml:space="preserve"> 65.0825 </t>
  </si>
  <si>
    <t xml:space="preserve">F:\images\20210518\plaque 1/@08 Estrone 0.04 µg_L/A8_02.tif </t>
  </si>
  <si>
    <t xml:space="preserve"> 65.825 </t>
  </si>
  <si>
    <t xml:space="preserve">F:\images\20210518\plaque 1/@08 Estrone 0.04 µg_L/A8_03.tif </t>
  </si>
  <si>
    <t xml:space="preserve"> 65.5909 </t>
  </si>
  <si>
    <t xml:space="preserve">F:\images\20210518\plaque 1/@08 Estrone 0.04 µg_L/B8_01.tif </t>
  </si>
  <si>
    <t xml:space="preserve"> 66.0625 </t>
  </si>
  <si>
    <t xml:space="preserve">F:\images\20210518\plaque 1/@08 Estrone 0.04 µg_L/B8_02.tif </t>
  </si>
  <si>
    <t xml:space="preserve"> 67.5272 </t>
  </si>
  <si>
    <t xml:space="preserve">F:\images\20210518\plaque 1/@08 Estrone 0.04 µg_L/B8_03.tif </t>
  </si>
  <si>
    <t xml:space="preserve"> 65.4643 </t>
  </si>
  <si>
    <t xml:space="preserve">F:\images\20210518\plaque 1/@08 Estrone 0.04 µg_L/C8_01.tif </t>
  </si>
  <si>
    <t xml:space="preserve"> 67.5789 </t>
  </si>
  <si>
    <t xml:space="preserve">F:\images\20210518\plaque 1/@08 Estrone 0.04 µg_L/C8_02.tif </t>
  </si>
  <si>
    <t xml:space="preserve"> 64.0909 </t>
  </si>
  <si>
    <t xml:space="preserve">F:\images\20210518\plaque 1/@08 Estrone 0.04 µg_L/C8_03.tif </t>
  </si>
  <si>
    <t xml:space="preserve">F:\images\20210518\plaque 1/@08 Estrone 0.04 µg_L/D8_01.tif </t>
  </si>
  <si>
    <t xml:space="preserve"> 64.7458 </t>
  </si>
  <si>
    <t xml:space="preserve">F:\images\20210518\plaque 1/@08 Estrone 0.04 µg_L/D8_02.tif </t>
  </si>
  <si>
    <t xml:space="preserve"> 2595.5874 </t>
  </si>
  <si>
    <t xml:space="preserve"> 65.1167 </t>
  </si>
  <si>
    <t xml:space="preserve">F:\images\20210518\plaque 1/@08 Estrone 0.04 µg_L/D8_03.tif </t>
  </si>
  <si>
    <t xml:space="preserve"> 67.76 </t>
  </si>
  <si>
    <t xml:space="preserve">F:\images\20210518\plaque 1/@08 Estrone 0.04 µg_L/E8_01.tif </t>
  </si>
  <si>
    <t xml:space="preserve"> 66.4286 </t>
  </si>
  <si>
    <t xml:space="preserve">F:\images\20210518\plaque 1/@08 Estrone 0.04 µg_L/E8_02.tif </t>
  </si>
  <si>
    <t xml:space="preserve"> 67.6104 </t>
  </si>
  <si>
    <t xml:space="preserve">F:\images\20210518\plaque 1/@08 Estrone 0.04 µg_L/E8_03.tif </t>
  </si>
  <si>
    <t xml:space="preserve"> 64.5263 </t>
  </si>
  <si>
    <t xml:space="preserve">F:\images\20210518\plaque 1/@08 Estrone 0.04 µg_L/F8_01.tif </t>
  </si>
  <si>
    <t xml:space="preserve"> 63.6515 </t>
  </si>
  <si>
    <t xml:space="preserve">F:\images\20210518\plaque 1/@08 Estrone 0.04 µg_L/F8_02.tif </t>
  </si>
  <si>
    <t xml:space="preserve"> 63.8382 </t>
  </si>
  <si>
    <t xml:space="preserve">F:\images\20210518\plaque 1/@08 Estrone 0.04 µg_L/F8_03.tif </t>
  </si>
  <si>
    <t xml:space="preserve"> 64.375 </t>
  </si>
  <si>
    <t xml:space="preserve">F:\images\20210518\plaque 1/@08 Estrone 0.04 µg_L/G8_01.tif </t>
  </si>
  <si>
    <t xml:space="preserve"> 3331.0038 </t>
  </si>
  <si>
    <t xml:space="preserve"> 64.0065 </t>
  </si>
  <si>
    <t xml:space="preserve">F:\images\20210518\plaque 1/@08 Estrone 0.04 µg_L/G8_02.tif </t>
  </si>
  <si>
    <t xml:space="preserve"> 67.2373 </t>
  </si>
  <si>
    <t xml:space="preserve">F:\images\20210518\plaque 1/@08 Estrone 0.04 µg_L/G8_03.tif </t>
  </si>
  <si>
    <t xml:space="preserve"> 65.4339 </t>
  </si>
  <si>
    <t xml:space="preserve">F:\images\20210518\plaque 1/@08 Estrone 0.04 µg_L/H8_01.tif </t>
  </si>
  <si>
    <t xml:space="preserve"> 66.713 </t>
  </si>
  <si>
    <t xml:space="preserve">F:\images\20210518\plaque 1/@08 Estrone 0.04 µg_L/H8_02.tif </t>
  </si>
  <si>
    <t xml:space="preserve"> 62.9062 </t>
  </si>
  <si>
    <t xml:space="preserve">F:\images\20210518\plaque 1/@08 Estrone 0.04 µg_L/H8_03.tif </t>
  </si>
  <si>
    <t xml:space="preserve"> 64.6744 </t>
  </si>
  <si>
    <t xml:space="preserve">F:\images\20210518\plaque 1/@08 Estrone 0.04 µg_L/ </t>
  </si>
  <si>
    <t xml:space="preserve"> 65.4686 </t>
  </si>
  <si>
    <t xml:space="preserve"> 1.3974 </t>
  </si>
  <si>
    <t xml:space="preserve"> 110858.667 </t>
  </si>
  <si>
    <t xml:space="preserve"> 78688.3458 </t>
  </si>
  <si>
    <t xml:space="preserve">F:\images\20210518\plaque 1/@09 Estrone 0.2 µg_L/A9_01.tif </t>
  </si>
  <si>
    <t xml:space="preserve"> 66.7707 </t>
  </si>
  <si>
    <t xml:space="preserve">F:\images\20210518\plaque 1/@09 Estrone 0.2 µg_L/A9_02.tif </t>
  </si>
  <si>
    <t xml:space="preserve"> 64.75 </t>
  </si>
  <si>
    <t xml:space="preserve">F:\images\20210518\plaque 1/@09 Estrone 0.2 µg_L/A9_03.tif </t>
  </si>
  <si>
    <t xml:space="preserve"> 3504.0429 </t>
  </si>
  <si>
    <t xml:space="preserve"> 66.8765 </t>
  </si>
  <si>
    <t xml:space="preserve">F:\images\20210518\plaque 1/@09 Estrone 0.2 µg_L/B9_01.tif </t>
  </si>
  <si>
    <t xml:space="preserve"> 65.0909 </t>
  </si>
  <si>
    <t xml:space="preserve">F:\images\20210518\plaque 1/@09 Estrone 0.2 µg_L/B9_02.tif </t>
  </si>
  <si>
    <t xml:space="preserve"> 65.6321 </t>
  </si>
  <si>
    <t xml:space="preserve">F:\images\20210518\plaque 1/@09 Estrone 0.2 µg_L/B9_03.tif </t>
  </si>
  <si>
    <t xml:space="preserve"> 63.3553 </t>
  </si>
  <si>
    <t xml:space="preserve">F:\images\20210518\plaque 1/@09 Estrone 0.2 µg_L/C9_01.tif </t>
  </si>
  <si>
    <t xml:space="preserve"> 64.5714 </t>
  </si>
  <si>
    <t xml:space="preserve">F:\images\20210518\plaque 1/@09 Estrone 0.2 µg_L/C9_02.tif </t>
  </si>
  <si>
    <t xml:space="preserve"> 65.0476 </t>
  </si>
  <si>
    <t xml:space="preserve">F:\images\20210518\plaque 1/@09 Estrone 0.2 µg_L/C9_03.tif </t>
  </si>
  <si>
    <t xml:space="preserve">F:\images\20210518\plaque 1/@09 Estrone 0.2 µg_L/D9_01.tif </t>
  </si>
  <si>
    <t xml:space="preserve"> 64.5417 </t>
  </si>
  <si>
    <t xml:space="preserve">F:\images\20210518\plaque 1/@09 Estrone 0.2 µg_L/D9_02.tif </t>
  </si>
  <si>
    <t xml:space="preserve"> 63.1111 </t>
  </si>
  <si>
    <t xml:space="preserve">F:\images\20210518\plaque 1/@09 Estrone 0.2 µg_L/D9_03.tif </t>
  </si>
  <si>
    <t xml:space="preserve"> 63.75 </t>
  </si>
  <si>
    <t xml:space="preserve">F:\images\20210518\plaque 1/@09 Estrone 0.2 µg_L/E9_01.tif </t>
  </si>
  <si>
    <t xml:space="preserve">F:\images\20210518\plaque 1/@09 Estrone 0.2 µg_L/E9_02.tif </t>
  </si>
  <si>
    <t xml:space="preserve"> 63.5556 </t>
  </si>
  <si>
    <t xml:space="preserve">F:\images\20210518\plaque 1/@09 Estrone 0.2 µg_L/E9_03.tif </t>
  </si>
  <si>
    <t xml:space="preserve">F:\images\20210518\plaque 1/@09 Estrone 0.2 µg_L/F9_01.tif </t>
  </si>
  <si>
    <t xml:space="preserve"> 66.4561 </t>
  </si>
  <si>
    <t xml:space="preserve">F:\images\20210518\plaque 1/@09 Estrone 0.2 µg_L/F9_02.tif </t>
  </si>
  <si>
    <t xml:space="preserve"> 62.9118 </t>
  </si>
  <si>
    <t xml:space="preserve">F:\images\20210518\plaque 1/@09 Estrone 0.2 µg_L/F9_03.tif </t>
  </si>
  <si>
    <t xml:space="preserve"> 65.0614 </t>
  </si>
  <si>
    <t xml:space="preserve">F:\images\20210518\plaque 1/@09 Estrone 0.2 µg_L/G9_01.tif </t>
  </si>
  <si>
    <t xml:space="preserve"> 69.0863 </t>
  </si>
  <si>
    <t xml:space="preserve">F:\images\20210518\plaque 1/@09 Estrone 0.2 µg_L/G9_02.tif </t>
  </si>
  <si>
    <t xml:space="preserve"> 4758.5768 </t>
  </si>
  <si>
    <t xml:space="preserve"> 69.6364 </t>
  </si>
  <si>
    <t xml:space="preserve">F:\images\20210518\plaque 1/@09 Estrone 0.2 µg_L/G9_03.tif </t>
  </si>
  <si>
    <t xml:space="preserve">F:\images\20210518\plaque 1/@09 Estrone 0.2 µg_L/H9_01.tif </t>
  </si>
  <si>
    <t xml:space="preserve"> 63.6977 </t>
  </si>
  <si>
    <t xml:space="preserve">F:\images\20210518\plaque 1/@09 Estrone 0.2 µg_L/H9_02.tif </t>
  </si>
  <si>
    <t xml:space="preserve"> 12091.1111 </t>
  </si>
  <si>
    <t xml:space="preserve"> 69.3596 </t>
  </si>
  <si>
    <t xml:space="preserve">F:\images\20210518\plaque 1/@09 Estrone 0.2 µg_L/H9_03.tif </t>
  </si>
  <si>
    <t xml:space="preserve"> 64.2439 </t>
  </si>
  <si>
    <t xml:space="preserve">F:\images\20210518\plaque 1/@09 Estrone 0.2 µg_L/ </t>
  </si>
  <si>
    <t xml:space="preserve"> 65.2115 </t>
  </si>
  <si>
    <t xml:space="preserve"> 1.9223 </t>
  </si>
  <si>
    <t xml:space="preserve"> 118057.625 </t>
  </si>
  <si>
    <t xml:space="preserve"> 176800.147 </t>
  </si>
  <si>
    <t xml:space="preserve">F:\images\20210518\plaque 1/@10 Estrone 1 µg_L/A10_01.tif </t>
  </si>
  <si>
    <t xml:space="preserve"> 65.839 </t>
  </si>
  <si>
    <t xml:space="preserve">F:\images\20210518\plaque 1/@10 Estrone 1 µg_L/A10_02.tif </t>
  </si>
  <si>
    <t xml:space="preserve"> 9235.965 </t>
  </si>
  <si>
    <t xml:space="preserve"> 66.3349 </t>
  </si>
  <si>
    <t xml:space="preserve">F:\images\20210518\plaque 1/@10 Estrone 1 µg_L/A10_03.tif </t>
  </si>
  <si>
    <t xml:space="preserve"> 66.3504 </t>
  </si>
  <si>
    <t xml:space="preserve">F:\images\20210518\plaque 1/@10 Estrone 1 µg_L/B10_01.tif </t>
  </si>
  <si>
    <t xml:space="preserve"> 66.7683 </t>
  </si>
  <si>
    <t xml:space="preserve">F:\images\20210518\plaque 1/@10 Estrone 1 µg_L/B10_02.tif </t>
  </si>
  <si>
    <t xml:space="preserve"> 67.1562 </t>
  </si>
  <si>
    <t xml:space="preserve">F:\images\20210518\plaque 1/@10 Estrone 1 µg_L/B10_03.tif </t>
  </si>
  <si>
    <t xml:space="preserve"> 8262.6197 </t>
  </si>
  <si>
    <t xml:space="preserve"> 75.2356 </t>
  </si>
  <si>
    <t xml:space="preserve">F:\images\20210518\plaque 1/@10 Estrone 1 µg_L/C10_01.tif </t>
  </si>
  <si>
    <t xml:space="preserve"> 62.4286 </t>
  </si>
  <si>
    <t xml:space="preserve">F:\images\20210518\plaque 1/@10 Estrone 1 µg_L/C10_02.tif </t>
  </si>
  <si>
    <t xml:space="preserve">F:\images\20210518\plaque 1/@10 Estrone 1 µg_L/C10_03.tif </t>
  </si>
  <si>
    <t xml:space="preserve"> 63.25 </t>
  </si>
  <si>
    <t xml:space="preserve">F:\images\20210518\plaque 1/@10 Estrone 1 µg_L/D10_01.tif </t>
  </si>
  <si>
    <t xml:space="preserve">F:\images\20210518\plaque 1/@10 Estrone 1 µg_L/D10_02.tif </t>
  </si>
  <si>
    <t xml:space="preserve"> 71.8419 </t>
  </si>
  <si>
    <t xml:space="preserve">F:\images\20210518\plaque 1/@10 Estrone 1 µg_L/D10_03.tif </t>
  </si>
  <si>
    <t xml:space="preserve"> 4434.1284 </t>
  </si>
  <si>
    <t xml:space="preserve"> 65.6976 </t>
  </si>
  <si>
    <t xml:space="preserve">F:\images\20210518\plaque 1/@10 Estrone 1 µg_L/E10_01.tif </t>
  </si>
  <si>
    <t xml:space="preserve"> 22127.3822 </t>
  </si>
  <si>
    <t xml:space="preserve"> 67.5279 </t>
  </si>
  <si>
    <t>F:\images\20210518\plaque 1/@10 Estrone 1 µg_L/E10_02- exclu.tif</t>
  </si>
  <si>
    <t xml:space="preserve">F:\images\20210518\plaque 1/@10 Estrone 1 µg_L/E10_03.tif </t>
  </si>
  <si>
    <t xml:space="preserve"> 22797.9089 </t>
  </si>
  <si>
    <t xml:space="preserve"> 68.9526 </t>
  </si>
  <si>
    <t xml:space="preserve">F:\images\20210518\plaque 1/@10 Estrone 1 µg_L/F10_01.tif </t>
  </si>
  <si>
    <t xml:space="preserve"> 66.5932 </t>
  </si>
  <si>
    <t xml:space="preserve">F:\images\20210518\plaque 1/@10 Estrone 1 µg_L/F10_02.tif </t>
  </si>
  <si>
    <t xml:space="preserve"> 68.6346 </t>
  </si>
  <si>
    <t xml:space="preserve">F:\images\20210518\plaque 1/@10 Estrone 1 µg_L/F10_03.tif </t>
  </si>
  <si>
    <t xml:space="preserve">F:\images\20210518\plaque 1/@10 Estrone 1 µg_L/G10_01.tif </t>
  </si>
  <si>
    <t xml:space="preserve"> 13821.5027 </t>
  </si>
  <si>
    <t xml:space="preserve"> 68.2003 </t>
  </si>
  <si>
    <t xml:space="preserve">F:\images\20210518\plaque 1/@10 Estrone 1 µg_L/G10_02.tif </t>
  </si>
  <si>
    <t xml:space="preserve"> 21240.5565 </t>
  </si>
  <si>
    <t xml:space="preserve"> 66.6996 </t>
  </si>
  <si>
    <t xml:space="preserve">F:\images\20210518\plaque 1/@10 Estrone 1 µg_L/G10_03.tif </t>
  </si>
  <si>
    <t xml:space="preserve"> 17217.3961 </t>
  </si>
  <si>
    <t xml:space="preserve"> 65.7663 </t>
  </si>
  <si>
    <t>F:\images\20210518\plaque 1/@10 Estrone 1 µg_L/H10_01- exclu.tif</t>
  </si>
  <si>
    <t xml:space="preserve">F:\images\20210518\plaque 1/@10 Estrone 1 µg_L/H10_02.tif </t>
  </si>
  <si>
    <t xml:space="preserve">F:\images\20210518\plaque 1/@10 Estrone 1 µg_L/H10_03.tif </t>
  </si>
  <si>
    <t xml:space="preserve"> 65.5294 </t>
  </si>
  <si>
    <t xml:space="preserve">F:\images\20210518\plaque 1/@10 Estrone 1 µg_L/ </t>
  </si>
  <si>
    <t xml:space="preserve"> 66.5341 </t>
  </si>
  <si>
    <t xml:space="preserve"> 2.8331 </t>
  </si>
  <si>
    <t xml:space="preserve"> 460596.833 </t>
  </si>
  <si>
    <t xml:space="preserve"> 507913.763 </t>
  </si>
  <si>
    <t xml:space="preserve">F:\images\20210518\plaque 1/@11 Estrone 5 µg_L/A11_01.tif </t>
  </si>
  <si>
    <t xml:space="preserve"> 48926.8217 </t>
  </si>
  <si>
    <t xml:space="preserve"> 85.9982 </t>
  </si>
  <si>
    <t xml:space="preserve">F:\images\20210518\plaque 1/@11 Estrone 5 µg_L/A11_02.tif </t>
  </si>
  <si>
    <t xml:space="preserve"> 46612.4229 </t>
  </si>
  <si>
    <t xml:space="preserve"> 85.3596 </t>
  </si>
  <si>
    <t xml:space="preserve">F:\images\20210518\plaque 1/@11 Estrone 5 µg_L/A11_03.tif </t>
  </si>
  <si>
    <t xml:space="preserve"> 47975.1063 </t>
  </si>
  <si>
    <t xml:space="preserve"> 83.8539 </t>
  </si>
  <si>
    <t xml:space="preserve">F:\images\20210518\plaque 1/@11 Estrone 5 µg_L/B11_01.tif </t>
  </si>
  <si>
    <t xml:space="preserve"> 57989.7475 </t>
  </si>
  <si>
    <t xml:space="preserve"> 85.6863 </t>
  </si>
  <si>
    <t xml:space="preserve">F:\images\20210518\plaque 1/@11 Estrone 5 µg_L/B11_02.tif </t>
  </si>
  <si>
    <t xml:space="preserve"> 60606.9648 </t>
  </si>
  <si>
    <t xml:space="preserve"> 84.9461 </t>
  </si>
  <si>
    <t xml:space="preserve">F:\images\20210518\plaque 1/@11 Estrone 5 µg_L/B11_03.tif </t>
  </si>
  <si>
    <t xml:space="preserve"> 60044.5875 </t>
  </si>
  <si>
    <t xml:space="preserve"> 83.7403 </t>
  </si>
  <si>
    <t xml:space="preserve">F:\images\20210518\plaque 1/@11 Estrone 5 µg_L/C11_01.tif </t>
  </si>
  <si>
    <t xml:space="preserve"> 26453.3611 </t>
  </si>
  <si>
    <t xml:space="preserve"> 73.7784 </t>
  </si>
  <si>
    <t xml:space="preserve">F:\images\20210518\plaque 1/@11 Estrone 5 µg_L/C11_02.tif </t>
  </si>
  <si>
    <t xml:space="preserve"> 33353.2975 </t>
  </si>
  <si>
    <t xml:space="preserve"> 77.9001 </t>
  </si>
  <si>
    <t xml:space="preserve">F:\images\20210518\plaque 1/@11 Estrone 5 µg_L/C11_03.tif </t>
  </si>
  <si>
    <t xml:space="preserve"> 21089.1473 </t>
  </si>
  <si>
    <t xml:space="preserve"> 83.5036 </t>
  </si>
  <si>
    <t xml:space="preserve">F:\images\20210518\plaque 1/@11 Estrone 5 µg_L/D11_01.tif </t>
  </si>
  <si>
    <t xml:space="preserve"> 42091.7749 </t>
  </si>
  <si>
    <t xml:space="preserve"> 94.7924 </t>
  </si>
  <si>
    <t xml:space="preserve">F:\images\20210518\plaque 1/@11 Estrone 5 µg_L/D11_02.tif </t>
  </si>
  <si>
    <t xml:space="preserve"> 45595.8179 </t>
  </si>
  <si>
    <t xml:space="preserve"> 92.2073 </t>
  </si>
  <si>
    <t xml:space="preserve">F:\images\20210518\plaque 1/@11 Estrone 5 µg_L/D11_03.tif </t>
  </si>
  <si>
    <t xml:space="preserve"> 46698.9425 </t>
  </si>
  <si>
    <t xml:space="preserve"> 94.8698 </t>
  </si>
  <si>
    <t xml:space="preserve">F:\images\20210518\plaque 1/@11 Estrone 5 µg_L/E11_01.tif </t>
  </si>
  <si>
    <t xml:space="preserve"> 47866.9568 </t>
  </si>
  <si>
    <t xml:space="preserve"> 83.15 </t>
  </si>
  <si>
    <t xml:space="preserve">F:\images\20210518\plaque 1/@11 Estrone 5 µg_L/E11_02.tif </t>
  </si>
  <si>
    <t xml:space="preserve"> 42264.8141 </t>
  </si>
  <si>
    <t xml:space="preserve"> 79.6372 </t>
  </si>
  <si>
    <t xml:space="preserve">F:\images\20210518\plaque 1/@11 Estrone 5 µg_L/E11_03.tif </t>
  </si>
  <si>
    <t xml:space="preserve"> 46352.8642 </t>
  </si>
  <si>
    <t xml:space="preserve"> 82.3649 </t>
  </si>
  <si>
    <t>F:\images\20210518\plaque 1/@11 Estrone 5 µg_L/F11_01- exclu.tif</t>
  </si>
  <si>
    <t>F:\images\20210518\plaque 1/@11 Estrone 5 µg_L/F11_02- exclu.tif</t>
  </si>
  <si>
    <t>F:\images\20210518\plaque 1/@11 Estrone 5 µg_L/F11_03- exclu.tif</t>
  </si>
  <si>
    <t xml:space="preserve">F:\images\20210518\plaque 1/@11 Estrone 5 µg_L/G11_01.tif </t>
  </si>
  <si>
    <t xml:space="preserve"> 77.9749 </t>
  </si>
  <si>
    <t xml:space="preserve">F:\images\20210518\plaque 1/@11 Estrone 5 µg_L/G11_02.tif </t>
  </si>
  <si>
    <t xml:space="preserve"> 31514.7565 </t>
  </si>
  <si>
    <t xml:space="preserve"> 81.9506 </t>
  </si>
  <si>
    <t xml:space="preserve">F:\images\20210518\plaque 1/@11 Estrone 5 µg_L/G11_03.tif </t>
  </si>
  <si>
    <t xml:space="preserve"> 29351.767 </t>
  </si>
  <si>
    <t xml:space="preserve"> 82.8762 </t>
  </si>
  <si>
    <t xml:space="preserve">F:\images\20210518\plaque 1/@11 Estrone 5 µg_L/H11_01.tif </t>
  </si>
  <si>
    <t xml:space="preserve"> 70989.3142 </t>
  </si>
  <si>
    <t xml:space="preserve"> 82.4308 </t>
  </si>
  <si>
    <t xml:space="preserve">F:\images\20210518\plaque 1/@11 Estrone 5 µg_L/H11_02.tif </t>
  </si>
  <si>
    <t xml:space="preserve"> 64824.7942 </t>
  </si>
  <si>
    <t xml:space="preserve"> 83.7154 </t>
  </si>
  <si>
    <t xml:space="preserve">F:\images\20210518\plaque 1/@11 Estrone 5 µg_L/H11_03.tif </t>
  </si>
  <si>
    <t xml:space="preserve"> 59027.9824 </t>
  </si>
  <si>
    <t xml:space="preserve"> 83.6266 </t>
  </si>
  <si>
    <t xml:space="preserve">F:\images\20210518\plaque 1/@11 Estrone 5 µg_L/ </t>
  </si>
  <si>
    <t xml:space="preserve"> 81.6649 </t>
  </si>
  <si>
    <t xml:space="preserve"> 7.9428 </t>
  </si>
  <si>
    <t xml:space="preserve"> 3388994.5 </t>
  </si>
  <si>
    <t xml:space="preserve"> 1702803.17 </t>
  </si>
  <si>
    <t xml:space="preserve">F:\images\20210518\plaque 1/@12 Estrone 25 µg_L/A12_01.tif </t>
  </si>
  <si>
    <t xml:space="preserve"> 65971.1786 </t>
  </si>
  <si>
    <t xml:space="preserve"> 90.9203 </t>
  </si>
  <si>
    <t xml:space="preserve">F:\images\20210518\plaque 1/@12 Estrone 25 µg_L/A12_02.tif </t>
  </si>
  <si>
    <t xml:space="preserve"> 66014.4384 </t>
  </si>
  <si>
    <t xml:space="preserve"> 91.4423 </t>
  </si>
  <si>
    <t xml:space="preserve">F:\images\20210518\plaque 1/@12 Estrone 25 µg_L/A12_03.tif </t>
  </si>
  <si>
    <t xml:space="preserve"> 89.4484 </t>
  </si>
  <si>
    <t xml:space="preserve">F:\images\20210518\plaque 1/@12 Estrone 25 µg_L/B12_01.tif </t>
  </si>
  <si>
    <t xml:space="preserve"> 89439.6143 </t>
  </si>
  <si>
    <t xml:space="preserve"> 92.0452 </t>
  </si>
  <si>
    <t xml:space="preserve">F:\images\20210518\plaque 1/@12 Estrone 25 µg_L/B12_02.tif </t>
  </si>
  <si>
    <t xml:space="preserve"> 88314.8598 </t>
  </si>
  <si>
    <t xml:space="preserve"> 93.9907 </t>
  </si>
  <si>
    <t xml:space="preserve">F:\images\20210518\plaque 1/@12 Estrone 25 µg_L/B12_03.tif </t>
  </si>
  <si>
    <t xml:space="preserve"> 78494.8876 </t>
  </si>
  <si>
    <t xml:space="preserve"> 98.9501 </t>
  </si>
  <si>
    <t xml:space="preserve">F:\images\20210518\plaque 1/@12 Estrone 25 µg_L/C12_01.tif </t>
  </si>
  <si>
    <t xml:space="preserve"> 43043.4903 </t>
  </si>
  <si>
    <t xml:space="preserve"> 83.0332 </t>
  </si>
  <si>
    <t xml:space="preserve">F:\images\20210518\plaque 1/@12 Estrone 25 µg_L/C12_02.tif </t>
  </si>
  <si>
    <t xml:space="preserve"> 35018.7994 </t>
  </si>
  <si>
    <t xml:space="preserve"> 73.5009 </t>
  </si>
  <si>
    <t xml:space="preserve">F:\images\20210518\plaque 1/@12 Estrone 25 µg_L/C12_03.tif </t>
  </si>
  <si>
    <t xml:space="preserve"> 40015.3051 </t>
  </si>
  <si>
    <t xml:space="preserve"> 84.7303 </t>
  </si>
  <si>
    <t xml:space="preserve">F:\images\20210518\plaque 1/@12 Estrone 25 µg_L/D12_01.tif </t>
  </si>
  <si>
    <t xml:space="preserve"> 66836.3744 </t>
  </si>
  <si>
    <t xml:space="preserve"> 92.3819 </t>
  </si>
  <si>
    <t xml:space="preserve">F:\images\20210518\plaque 1/@12 Estrone 25 µg_L/D12_02.tif </t>
  </si>
  <si>
    <t xml:space="preserve"> 63462.1108 </t>
  </si>
  <si>
    <t xml:space="preserve"> 97.9192 </t>
  </si>
  <si>
    <t xml:space="preserve">F:\images\20210518\plaque 1/@12 Estrone 25 µg_L/D12_03.tif </t>
  </si>
  <si>
    <t xml:space="preserve"> 62640.1748 </t>
  </si>
  <si>
    <t xml:space="preserve"> 99.9606 </t>
  </si>
  <si>
    <t xml:space="preserve">F:\images\20210518\plaque 1/@12 Estrone 25 µg_L/E12_01.tif </t>
  </si>
  <si>
    <t xml:space="preserve"> 58660.2742 </t>
  </si>
  <si>
    <t xml:space="preserve"> 88.8901 </t>
  </si>
  <si>
    <t xml:space="preserve">F:\images\20210518\plaque 1/@12 Estrone 25 µg_L/E12_02.tif </t>
  </si>
  <si>
    <t xml:space="preserve"> 59092.8721 </t>
  </si>
  <si>
    <t xml:space="preserve"> 88.7456 </t>
  </si>
  <si>
    <t xml:space="preserve">F:\images\20210518\plaque 1/@12 Estrone 25 µg_L/E12_03.tif </t>
  </si>
  <si>
    <t xml:space="preserve"> 56670.3239 </t>
  </si>
  <si>
    <t xml:space="preserve"> 93.7111 </t>
  </si>
  <si>
    <t xml:space="preserve">F:\images\20210518\plaque 1/@12 Estrone 25 µg_L/F12_01.tif </t>
  </si>
  <si>
    <t xml:space="preserve"> 83859.1015 </t>
  </si>
  <si>
    <t xml:space="preserve"> 100.6317 </t>
  </si>
  <si>
    <t xml:space="preserve">F:\images\20210518\plaque 1/@12 Estrone 25 µg_L/F12_02.tif </t>
  </si>
  <si>
    <t xml:space="preserve"> 80982.3255 </t>
  </si>
  <si>
    <t xml:space="preserve"> 99.3109 </t>
  </si>
  <si>
    <t xml:space="preserve">F:\images\20210518\plaque 1/@12 Estrone 25 µg_L/F12_03.tif </t>
  </si>
  <si>
    <t xml:space="preserve"> 66468.6662 </t>
  </si>
  <si>
    <t xml:space="preserve"> 107.7911 </t>
  </si>
  <si>
    <t xml:space="preserve">F:\images\20210518\plaque 1/@12 Estrone 25 µg_L/G12_01.tif </t>
  </si>
  <si>
    <t xml:space="preserve"> 64932.9437 </t>
  </si>
  <si>
    <t xml:space="preserve"> 95.5953 </t>
  </si>
  <si>
    <t xml:space="preserve">F:\images\20210518\plaque 1/@12 Estrone 25 µg_L/G12_02.tif </t>
  </si>
  <si>
    <t xml:space="preserve"> 66295.627 </t>
  </si>
  <si>
    <t xml:space="preserve"> 95.3775 </t>
  </si>
  <si>
    <t xml:space="preserve">F:\images\20210518\plaque 1/@12 Estrone 25 µg_L/G12_03.tif </t>
  </si>
  <si>
    <t xml:space="preserve"> 62207.577 </t>
  </si>
  <si>
    <t xml:space="preserve"> 97.2284 </t>
  </si>
  <si>
    <t xml:space="preserve">F:\images\20210518\plaque 1/@12 Estrone 25 µg_L/H12_01.tif </t>
  </si>
  <si>
    <t xml:space="preserve"> 105.4719 </t>
  </si>
  <si>
    <t xml:space="preserve">F:\images\20210518\plaque 1/@12 Estrone 25 µg_L/H12_02.tif </t>
  </si>
  <si>
    <t xml:space="preserve"> 75380.1828 </t>
  </si>
  <si>
    <t xml:space="preserve"> 104.5082 </t>
  </si>
  <si>
    <t xml:space="preserve">F:\images\20210518\plaque 1/@12 Estrone 25 µg_L/H12_03.tif </t>
  </si>
  <si>
    <t xml:space="preserve"> 76504.9373 </t>
  </si>
  <si>
    <t xml:space="preserve"> 104.8776 </t>
  </si>
  <si>
    <t xml:space="preserve">F:\images\20210518\plaque 1/@12 Estrone 25 µg_L/ </t>
  </si>
  <si>
    <t xml:space="preserve"> 94.6026 </t>
  </si>
  <si>
    <t xml:space="preserve"> 7.8786 </t>
  </si>
  <si>
    <t xml:space="preserve"> 6339044.46 </t>
  </si>
  <si>
    <t xml:space="preserve"> 1620441.01 </t>
  </si>
  <si>
    <t xml:space="preserve">F:\images\20210518\plaque 2/@01 Testo 30/A1_01.tif </t>
  </si>
  <si>
    <t xml:space="preserve"> 17563.4744 </t>
  </si>
  <si>
    <t xml:space="preserve"> 77.867 </t>
  </si>
  <si>
    <t xml:space="preserve">F:\images\20210518\plaque 2/@01 Testo 30/A1_02.tif </t>
  </si>
  <si>
    <t xml:space="preserve"> 17585.1043 </t>
  </si>
  <si>
    <t xml:space="preserve"> 76.7429 </t>
  </si>
  <si>
    <t xml:space="preserve">F:\images\20210518\plaque 2/@01 Testo 30/A1_03.tif </t>
  </si>
  <si>
    <t xml:space="preserve"> 35386.5076 </t>
  </si>
  <si>
    <t xml:space="preserve"> 84.0727 </t>
  </si>
  <si>
    <t xml:space="preserve">F:\images\20210518\plaque 2/@01 Testo 30/B1_01.tif </t>
  </si>
  <si>
    <t xml:space="preserve"> 71.3907 </t>
  </si>
  <si>
    <t xml:space="preserve">F:\images\20210518\plaque 2/@01 Testo 30/B1_02.tif </t>
  </si>
  <si>
    <t xml:space="preserve"> 71.249 </t>
  </si>
  <si>
    <t xml:space="preserve">F:\images\20210518\plaque 2/@01 Testo 30/B1_03.tif </t>
  </si>
  <si>
    <t xml:space="preserve"> 70.8858 </t>
  </si>
  <si>
    <t xml:space="preserve">F:\images\20210518\plaque 2/@01 Testo 30/C1_01.tif </t>
  </si>
  <si>
    <t xml:space="preserve"> 69.5368 </t>
  </si>
  <si>
    <t xml:space="preserve">F:\images\20210518\plaque 2/@01 Testo 30/C1_02.tif </t>
  </si>
  <si>
    <t xml:space="preserve"> 28551.4609 </t>
  </si>
  <si>
    <t xml:space="preserve"> 68.4538 </t>
  </si>
  <si>
    <t xml:space="preserve">F:\images\20210518\plaque 2/@01 Testo 30/C1_03.tif </t>
  </si>
  <si>
    <t xml:space="preserve"> 25025.7881 </t>
  </si>
  <si>
    <t xml:space="preserve"> 68.8116 </t>
  </si>
  <si>
    <t xml:space="preserve">F:\images\20210518\plaque 2/@01 Testo 30/D1_01.tif </t>
  </si>
  <si>
    <t xml:space="preserve"> 24441.7809 </t>
  </si>
  <si>
    <t xml:space="preserve"> 67.4469 </t>
  </si>
  <si>
    <t xml:space="preserve">F:\images\20210518\plaque 2/@01 Testo 30/D1_02.tif </t>
  </si>
  <si>
    <t xml:space="preserve"> 19510.165 </t>
  </si>
  <si>
    <t xml:space="preserve"> 66.3448 </t>
  </si>
  <si>
    <t xml:space="preserve">F:\images\20210518\plaque 2/@01 Testo 30/D1_03.tif </t>
  </si>
  <si>
    <t xml:space="preserve"> 21218.9266 </t>
  </si>
  <si>
    <t xml:space="preserve"> 66.8644 </t>
  </si>
  <si>
    <t xml:space="preserve">F:\images\20210518\plaque 2/@01 Testo 30/E1_01.tif </t>
  </si>
  <si>
    <t xml:space="preserve"> 67.5565 </t>
  </si>
  <si>
    <t xml:space="preserve">F:\images\20210518\plaque 2/@01 Testo 30/E1_02.tif </t>
  </si>
  <si>
    <t xml:space="preserve"> 22149.0121 </t>
  </si>
  <si>
    <t xml:space="preserve"> 68.2373 </t>
  </si>
  <si>
    <t xml:space="preserve">F:\images\20210518\plaque 2/@01 Testo 30/E1_03.tif </t>
  </si>
  <si>
    <t xml:space="preserve"> 26301.9519 </t>
  </si>
  <si>
    <t xml:space="preserve"> 69.2763 </t>
  </si>
  <si>
    <t xml:space="preserve">F:\images\20210518\plaque 2/@01 Testo 30/F1_01.tif </t>
  </si>
  <si>
    <t xml:space="preserve"> 4152.9398 </t>
  </si>
  <si>
    <t xml:space="preserve"> 67.2292 </t>
  </si>
  <si>
    <t xml:space="preserve">F:\images\20210518\plaque 2/@01 Testo 30/F1_02.tif </t>
  </si>
  <si>
    <t xml:space="preserve">F:\images\20210518\plaque 2/@01 Testo 30/F1_03.tif </t>
  </si>
  <si>
    <t xml:space="preserve"> 65.14 </t>
  </si>
  <si>
    <t xml:space="preserve">F:\images\20210518\plaque 2/@01 Testo 30/G1_01.tif </t>
  </si>
  <si>
    <t xml:space="preserve"> 25782.8344 </t>
  </si>
  <si>
    <t xml:space="preserve"> 68.2659 </t>
  </si>
  <si>
    <t xml:space="preserve">F:\images\20210518\plaque 2/@01 Testo 30/G1_02.tif </t>
  </si>
  <si>
    <t xml:space="preserve"> 22365.311 </t>
  </si>
  <si>
    <t xml:space="preserve"> 70.1325 </t>
  </si>
  <si>
    <t xml:space="preserve">F:\images\20210518\plaque 2/@01 Testo 30/G1_03.tif </t>
  </si>
  <si>
    <t xml:space="preserve"> 68.1754 </t>
  </si>
  <si>
    <t xml:space="preserve">F:\images\20210518\plaque 2/@01 Testo 30/H1_01.tif </t>
  </si>
  <si>
    <t xml:space="preserve"> 34521.3118 </t>
  </si>
  <si>
    <t xml:space="preserve"> 72.6115 </t>
  </si>
  <si>
    <t xml:space="preserve">F:\images\20210518\plaque 2/@01 Testo 30/H1_02.tif </t>
  </si>
  <si>
    <t xml:space="preserve"> 29849.2546 </t>
  </si>
  <si>
    <t xml:space="preserve"> 71.9 </t>
  </si>
  <si>
    <t xml:space="preserve">F:\images\20210518\plaque 2/@01 Testo 30/H1_03.tif </t>
  </si>
  <si>
    <t xml:space="preserve"> 31558.0163 </t>
  </si>
  <si>
    <t xml:space="preserve"> 71.477 </t>
  </si>
  <si>
    <t xml:space="preserve">F:\images\20210518\plaque 2/@01 Testo 30/ </t>
  </si>
  <si>
    <t xml:space="preserve"> 70.1112 </t>
  </si>
  <si>
    <t xml:space="preserve"> 4.4329 </t>
  </si>
  <si>
    <t xml:space="preserve"> 1761058.21 </t>
  </si>
  <si>
    <t xml:space="preserve"> 859675.81 </t>
  </si>
  <si>
    <t>F:\images\20210518\plaque 2/@02 Testo 30/A2_01- exclu.tif</t>
  </si>
  <si>
    <t xml:space="preserve">F:\images\20210518\plaque 2/@02 Testo 30/A2_02.tif </t>
  </si>
  <si>
    <t xml:space="preserve"> 63.2878 </t>
  </si>
  <si>
    <t xml:space="preserve">F:\images\20210518\plaque 2/@02 Testo 30/A2_03.tif </t>
  </si>
  <si>
    <t xml:space="preserve"> 19012.6774 </t>
  </si>
  <si>
    <t xml:space="preserve"> 70.4084 </t>
  </si>
  <si>
    <t xml:space="preserve">F:\images\20210518\plaque 2/@02 Testo 30/B2_01.tif </t>
  </si>
  <si>
    <t xml:space="preserve"> 29005.6887 </t>
  </si>
  <si>
    <t xml:space="preserve"> 73.2081 </t>
  </si>
  <si>
    <t xml:space="preserve">F:\images\20210518\plaque 2/@02 Testo 30/B2_02.tif </t>
  </si>
  <si>
    <t xml:space="preserve"> 25566.5355 </t>
  </si>
  <si>
    <t xml:space="preserve"> 74.681 </t>
  </si>
  <si>
    <t xml:space="preserve">F:\images\20210518\plaque 2/@02 Testo 30/B2_03.tif </t>
  </si>
  <si>
    <t xml:space="preserve"> 29027.3186 </t>
  </si>
  <si>
    <t xml:space="preserve"> 71.5931 </t>
  </si>
  <si>
    <t xml:space="preserve">F:\images\20210518\plaque 2/@02 Testo 30/C2_01.tif </t>
  </si>
  <si>
    <t xml:space="preserve"> 63.5455 </t>
  </si>
  <si>
    <t xml:space="preserve">F:\images\20210518\plaque 2/@02 Testo 30/C2_02.tif </t>
  </si>
  <si>
    <t xml:space="preserve"> 63.8696 </t>
  </si>
  <si>
    <t xml:space="preserve">F:\images\20210518\plaque 2/@02 Testo 30/C2_03.tif </t>
  </si>
  <si>
    <t xml:space="preserve"> 63.6522 </t>
  </si>
  <si>
    <t xml:space="preserve">F:\images\20210518\plaque 2/@02 Testo 30/D2_01.tif </t>
  </si>
  <si>
    <t xml:space="preserve"> 70.572 </t>
  </si>
  <si>
    <t xml:space="preserve">F:\images\20210518\plaque 2/@02 Testo 30/D2_02.tif </t>
  </si>
  <si>
    <t xml:space="preserve"> 30390.002 </t>
  </si>
  <si>
    <t xml:space="preserve"> 72.1274 </t>
  </si>
  <si>
    <t xml:space="preserve">F:\images\20210518\plaque 2/@02 Testo 30/D2_03.tif </t>
  </si>
  <si>
    <t xml:space="preserve"> 31276.8276 </t>
  </si>
  <si>
    <t xml:space="preserve"> 72.0934 </t>
  </si>
  <si>
    <t xml:space="preserve">F:\images\20210518\plaque 2/@02 Testo 30/E2_01.tif </t>
  </si>
  <si>
    <t xml:space="preserve"> 72.0325 </t>
  </si>
  <si>
    <t xml:space="preserve">F:\images\20210518\plaque 2/@02 Testo 30/E2_02.tif </t>
  </si>
  <si>
    <t xml:space="preserve"> 41183.3194 </t>
  </si>
  <si>
    <t xml:space="preserve"> 73.6444 </t>
  </si>
  <si>
    <t xml:space="preserve">F:\images\20210518\plaque 2/@02 Testo 30/E2_03.tif </t>
  </si>
  <si>
    <t xml:space="preserve"> 40902.1307 </t>
  </si>
  <si>
    <t xml:space="preserve"> 72.6483 </t>
  </si>
  <si>
    <t xml:space="preserve">F:\images\20210518\plaque 2/@02 Testo 30/F2_01.tif </t>
  </si>
  <si>
    <t xml:space="preserve"> 42156.6646 </t>
  </si>
  <si>
    <t xml:space="preserve"> 71.4377 </t>
  </si>
  <si>
    <t xml:space="preserve">F:\images\20210518\plaque 2/@02 Testo 30/F2_02.tif </t>
  </si>
  <si>
    <t xml:space="preserve"> 44406.1737 </t>
  </si>
  <si>
    <t xml:space="preserve"> 72.4803 </t>
  </si>
  <si>
    <t xml:space="preserve">F:\images\20210518\plaque 2/@02 Testo 30/F2_03.tif </t>
  </si>
  <si>
    <t xml:space="preserve"> 48991.7113 </t>
  </si>
  <si>
    <t xml:space="preserve"> 72.0574 </t>
  </si>
  <si>
    <t xml:space="preserve">F:\images\20210518\plaque 2/@02 Testo 30/G2_01.tif </t>
  </si>
  <si>
    <t xml:space="preserve"> 5277.6943 </t>
  </si>
  <si>
    <t xml:space="preserve"> 64.3156 </t>
  </si>
  <si>
    <t xml:space="preserve">F:\images\20210518\plaque 2/@02 Testo 30/G2_02.tif </t>
  </si>
  <si>
    <t xml:space="preserve"> 63.9176 </t>
  </si>
  <si>
    <t xml:space="preserve">F:\images\20210518\plaque 2/@02 Testo 30/G2_03.tif </t>
  </si>
  <si>
    <t xml:space="preserve"> 63.8397 </t>
  </si>
  <si>
    <t xml:space="preserve">F:\images\20210518\plaque 2/@02 Testo 30/H2_01.tif </t>
  </si>
  <si>
    <t xml:space="preserve"> 49986.6865 </t>
  </si>
  <si>
    <t xml:space="preserve"> 75.212 </t>
  </si>
  <si>
    <t xml:space="preserve">F:\images\20210518\plaque 2/@02 Testo 30/H2_02.tif </t>
  </si>
  <si>
    <t xml:space="preserve"> 44298.0242 </t>
  </si>
  <si>
    <t xml:space="preserve"> 74.2295 </t>
  </si>
  <si>
    <t xml:space="preserve">F:\images\20210518\plaque 2/@02 Testo 30/H2_03.tif </t>
  </si>
  <si>
    <t xml:space="preserve"> 75.7086 </t>
  </si>
  <si>
    <t xml:space="preserve">F:\images\20210518\plaque 2/@02 Testo 30/ </t>
  </si>
  <si>
    <t xml:space="preserve"> 69.8999 </t>
  </si>
  <si>
    <t xml:space="preserve"> 4.3691 </t>
  </si>
  <si>
    <t xml:space="preserve"> 1892463.54 </t>
  </si>
  <si>
    <t xml:space="preserve"> 1313002.67 </t>
  </si>
  <si>
    <t xml:space="preserve">F:\images\20210518\plaque 2/@03 Testo+ EE2 64/A3_01.tif </t>
  </si>
  <si>
    <t xml:space="preserve"> 29762.735 </t>
  </si>
  <si>
    <t xml:space="preserve"> 73.7493 </t>
  </si>
  <si>
    <t xml:space="preserve">F:\images\20210518\plaque 2/@03 Testo+ EE2 64/A3_02.tif </t>
  </si>
  <si>
    <t xml:space="preserve"> 36554.5219 </t>
  </si>
  <si>
    <t xml:space="preserve"> 72.2124 </t>
  </si>
  <si>
    <t xml:space="preserve">F:\images\20210518\plaque 2/@03 Testo+ EE2 64/A3_03.tif </t>
  </si>
  <si>
    <t xml:space="preserve"> 21889.4534 </t>
  </si>
  <si>
    <t xml:space="preserve"> 70.1937 </t>
  </si>
  <si>
    <t xml:space="preserve">F:\images\20210518\plaque 2/@03 Testo+ EE2 64/B3_01.tif </t>
  </si>
  <si>
    <t xml:space="preserve"> 34889.02 </t>
  </si>
  <si>
    <t xml:space="preserve"> 79.1916 </t>
  </si>
  <si>
    <t xml:space="preserve">F:\images\20210518\plaque 2/@03 Testo+ EE2 64/B3_02.tif </t>
  </si>
  <si>
    <t xml:space="preserve"> 78.3333 </t>
  </si>
  <si>
    <t xml:space="preserve">F:\images\20210518\plaque 2/@03 Testo+ EE2 64/B3_03.tif </t>
  </si>
  <si>
    <t xml:space="preserve"> 77.607 </t>
  </si>
  <si>
    <t xml:space="preserve">F:\images\20210518\plaque 2/@03 Testo+ EE2 64/C3_01.tif </t>
  </si>
  <si>
    <t xml:space="preserve"> 45552.5581 </t>
  </si>
  <si>
    <t xml:space="preserve"> 76.1344 </t>
  </si>
  <si>
    <t xml:space="preserve">F:\images\20210518\plaque 2/@03 Testo+ EE2 64/C3_02.tif </t>
  </si>
  <si>
    <t xml:space="preserve"> 76.2815 </t>
  </si>
  <si>
    <t xml:space="preserve">F:\images\20210518\plaque 2/@03 Testo+ EE2 64/C3_03.tif </t>
  </si>
  <si>
    <t xml:space="preserve"> 76.583 </t>
  </si>
  <si>
    <t xml:space="preserve">F:\images\20210518\plaque 2/@03 Testo+ EE2 64/D3_01.tif </t>
  </si>
  <si>
    <t xml:space="preserve"> 73.6096 </t>
  </si>
  <si>
    <t>F:\images\20210518\plaque 2/@03 Testo+ EE2 64/D3_02- exclu.tif</t>
  </si>
  <si>
    <t xml:space="preserve">F:\images\20210518\plaque 2/@03 Testo+ EE2 64/D3_03.tif </t>
  </si>
  <si>
    <t xml:space="preserve"> 29048.9485 </t>
  </si>
  <si>
    <t xml:space="preserve"> 74.5369 </t>
  </si>
  <si>
    <t xml:space="preserve">F:\images\20210518\plaque 2/@03 Testo+ EE2 64/E3_01.tif </t>
  </si>
  <si>
    <t xml:space="preserve"> 60888.1534 </t>
  </si>
  <si>
    <t xml:space="preserve"> 82.319 </t>
  </si>
  <si>
    <t xml:space="preserve">F:\images\20210518\plaque 2/@03 Testo+ EE2 64/E3_02.tif </t>
  </si>
  <si>
    <t xml:space="preserve"> 60390.6658 </t>
  </si>
  <si>
    <t xml:space="preserve"> 82.6916 </t>
  </si>
  <si>
    <t xml:space="preserve">F:\images\20210518\plaque 2/@03 Testo+ EE2 64/E3_03.tif </t>
  </si>
  <si>
    <t xml:space="preserve"> 57297.5909 </t>
  </si>
  <si>
    <t xml:space="preserve">F:\images\20210518\plaque 2/@03 Testo+ EE2 64/F3_01.tif </t>
  </si>
  <si>
    <t xml:space="preserve"> 47239.6899 </t>
  </si>
  <si>
    <t xml:space="preserve"> 69.9515 </t>
  </si>
  <si>
    <t xml:space="preserve">F:\images\20210518\plaque 2/@03 Testo+ EE2 64/F3_02.tif </t>
  </si>
  <si>
    <t xml:space="preserve"> 70.7023 </t>
  </si>
  <si>
    <t xml:space="preserve">F:\images\20210518\plaque 2/@03 Testo+ EE2 64/F3_03.tif </t>
  </si>
  <si>
    <t xml:space="preserve"> 48775.4124 </t>
  </si>
  <si>
    <t xml:space="preserve"> 70.329 </t>
  </si>
  <si>
    <t xml:space="preserve">F:\images\20210518\plaque 2/@03 Testo+ EE2 64/G3_01.tif </t>
  </si>
  <si>
    <t xml:space="preserve"> 71.0877 </t>
  </si>
  <si>
    <t xml:space="preserve">F:\images\20210518\plaque 2/@03 Testo+ EE2 64/G3_02.tif </t>
  </si>
  <si>
    <t xml:space="preserve"> 55026.4519 </t>
  </si>
  <si>
    <t xml:space="preserve"> 77.7889 </t>
  </si>
  <si>
    <t xml:space="preserve">F:\images\20210518\plaque 2/@03 Testo+ EE2 64/G3_03.tif </t>
  </si>
  <si>
    <t xml:space="preserve"> 48645.633 </t>
  </si>
  <si>
    <t xml:space="preserve"> 75.6309 </t>
  </si>
  <si>
    <t xml:space="preserve">F:\images\20210518\plaque 2/@03 Testo+ EE2 64/H3_01.tif </t>
  </si>
  <si>
    <t xml:space="preserve"> 42546.0027 </t>
  </si>
  <si>
    <t xml:space="preserve"> 74.9217 </t>
  </si>
  <si>
    <t xml:space="preserve">F:\images\20210518\plaque 2/@03 Testo+ EE2 64/H3_02.tif </t>
  </si>
  <si>
    <t xml:space="preserve"> 37333.1981 </t>
  </si>
  <si>
    <t xml:space="preserve"> 74.8384 </t>
  </si>
  <si>
    <t xml:space="preserve">F:\images\20210518\plaque 2/@03 Testo+ EE2 64/H3_03.tif </t>
  </si>
  <si>
    <t xml:space="preserve"> 43411.1985 </t>
  </si>
  <si>
    <t xml:space="preserve"> 74.7314 </t>
  </si>
  <si>
    <t xml:space="preserve">F:\images\20210518\plaque 2/@03 Testo+ EE2 64/ </t>
  </si>
  <si>
    <t xml:space="preserve"> 75.3982 </t>
  </si>
  <si>
    <t xml:space="preserve"> 3.8186 </t>
  </si>
  <si>
    <t xml:space="preserve"> 3151484.58 </t>
  </si>
  <si>
    <t xml:space="preserve"> 991540.412 </t>
  </si>
  <si>
    <t xml:space="preserve">F:\images\20210518\plaque 2/@04 Testo+ FAD/A4_01.tif </t>
  </si>
  <si>
    <t xml:space="preserve">F:\images\20210518\plaque 2/@04 Testo+ FAD/A4_02.tif </t>
  </si>
  <si>
    <t xml:space="preserve"> 64.7895 </t>
  </si>
  <si>
    <t xml:space="preserve">F:\images\20210518\plaque 2/@04 Testo+ FAD/A4_03.tif </t>
  </si>
  <si>
    <t xml:space="preserve"> 68.9628 </t>
  </si>
  <si>
    <t xml:space="preserve">F:\images\20210518\plaque 2/@04 Testo+ FAD/B4_01.tif </t>
  </si>
  <si>
    <t xml:space="preserve"> 66.0703 </t>
  </si>
  <si>
    <t xml:space="preserve">F:\images\20210518\plaque 2/@04 Testo+ FAD/B4_02.tif </t>
  </si>
  <si>
    <t xml:space="preserve"> 64.8148 </t>
  </si>
  <si>
    <t xml:space="preserve">F:\images\20210518\plaque 2/@04 Testo+ FAD/B4_03.tif </t>
  </si>
  <si>
    <t xml:space="preserve"> 3828.4913 </t>
  </si>
  <si>
    <t xml:space="preserve"> 67.6554 </t>
  </si>
  <si>
    <t xml:space="preserve">F:\images\20210518\plaque 2/@04 Testo+ FAD/C4_01.tif </t>
  </si>
  <si>
    <t xml:space="preserve">F:\images\20210518\plaque 2/@04 Testo+ FAD/C4_02.tif </t>
  </si>
  <si>
    <t xml:space="preserve"> 63.6923 </t>
  </si>
  <si>
    <t xml:space="preserve">F:\images\20210518\plaque 2/@04 Testo+ FAD/C4_03.tif </t>
  </si>
  <si>
    <t xml:space="preserve"> 64.6439 </t>
  </si>
  <si>
    <t xml:space="preserve">F:\images\20210518\plaque 2/@04 Testo+ FAD/D4_01.tif </t>
  </si>
  <si>
    <t xml:space="preserve"> 63.5319 </t>
  </si>
  <si>
    <t xml:space="preserve">F:\images\20210518\plaque 2/@04 Testo+ FAD/D4_02.tif </t>
  </si>
  <si>
    <t xml:space="preserve"> 65.8125 </t>
  </si>
  <si>
    <t xml:space="preserve">F:\images\20210518\plaque 2/@04 Testo+ FAD/D4_03.tif </t>
  </si>
  <si>
    <t xml:space="preserve"> 65.2667 </t>
  </si>
  <si>
    <t xml:space="preserve">F:\images\20210518\plaque 2/@04 Testo+ FAD/E4_01.tif </t>
  </si>
  <si>
    <t xml:space="preserve"> 64.1905 </t>
  </si>
  <si>
    <t xml:space="preserve">F:\images\20210518\plaque 2/@04 Testo+ FAD/E4_02.tif </t>
  </si>
  <si>
    <t xml:space="preserve"> 2487.4379 </t>
  </si>
  <si>
    <t xml:space="preserve"> 65.7391 </t>
  </si>
  <si>
    <t xml:space="preserve">F:\images\20210518\plaque 2/@04 Testo+ FAD/E4_03.tif </t>
  </si>
  <si>
    <t xml:space="preserve"> 64.5733 </t>
  </si>
  <si>
    <t xml:space="preserve">F:\images\20210518\plaque 2/@04 Testo+ FAD/F4_01.tif </t>
  </si>
  <si>
    <t xml:space="preserve">F:\images\20210518\plaque 2/@04 Testo+ FAD/F4_02.tif </t>
  </si>
  <si>
    <t xml:space="preserve"> 86.5196 </t>
  </si>
  <si>
    <t>F:\images\20210518\plaque 2/@04 Testo+ FAD/F4_03- exclu.tif</t>
  </si>
  <si>
    <t xml:space="preserve">F:\images\20210518\plaque 2/@04 Testo+ FAD/G4_01.tif </t>
  </si>
  <si>
    <t xml:space="preserve"> 65.8675 </t>
  </si>
  <si>
    <t xml:space="preserve">F:\images\20210518\plaque 2/@04 Testo+ FAD/G4_02.tif </t>
  </si>
  <si>
    <t xml:space="preserve"> 63.2727 </t>
  </si>
  <si>
    <t xml:space="preserve">F:\images\20210518\plaque 2/@04 Testo+ FAD/G4_03.tif </t>
  </si>
  <si>
    <t xml:space="preserve"> 64.9318 </t>
  </si>
  <si>
    <t>F:\images\20210518\plaque 2/@04 Testo+ FAD/H4_01- exclu.tif</t>
  </si>
  <si>
    <t>F:\images\20210518\plaque 2/@04 Testo+ FAD/H4_02- exclu.tif</t>
  </si>
  <si>
    <t>F:\images\20210518\plaque 2/@04 Testo+ FAD/H4_03- exclu.tif</t>
  </si>
  <si>
    <t xml:space="preserve">F:\images\20210518\plaque 2/@04 Testo+ FAD/ </t>
  </si>
  <si>
    <t xml:space="preserve"> 64.781 </t>
  </si>
  <si>
    <t xml:space="preserve"> 1.6688 </t>
  </si>
  <si>
    <t xml:space="preserve"> 80560.6667 </t>
  </si>
  <si>
    <t xml:space="preserve"> 82295.6387 </t>
  </si>
  <si>
    <t xml:space="preserve">F:\images\20210518\plaque 2/@05 Estrone 0.04 µg_LL dopé/A5_01.tif </t>
  </si>
  <si>
    <t xml:space="preserve"> 19726.4639 </t>
  </si>
  <si>
    <t xml:space="preserve"> 68.8575 </t>
  </si>
  <si>
    <t xml:space="preserve">F:\images\20210518\plaque 2/@05 Estrone 0.04 µg_LL dopé/A5_02.tif </t>
  </si>
  <si>
    <t xml:space="preserve"> 20526.77 </t>
  </si>
  <si>
    <t xml:space="preserve"> 69.0074 </t>
  </si>
  <si>
    <t xml:space="preserve">F:\images\20210518\plaque 2/@05 Estrone 0.04 µg_LL dopé/A5_03.tif </t>
  </si>
  <si>
    <t xml:space="preserve"> 17909.5528 </t>
  </si>
  <si>
    <t xml:space="preserve"> 68.0676 </t>
  </si>
  <si>
    <t xml:space="preserve">F:\images\20210518\plaque 2/@05 Estrone 0.04 µg_LL dopé/B5_01.tif </t>
  </si>
  <si>
    <t xml:space="preserve"> 8738.4774 </t>
  </si>
  <si>
    <t xml:space="preserve"> 64.453 </t>
  </si>
  <si>
    <t xml:space="preserve">F:\images\20210518\plaque 2/@05 Estrone 0.04 µg_LL dopé/B5_02.tif </t>
  </si>
  <si>
    <t xml:space="preserve"> 7873.2816 </t>
  </si>
  <si>
    <t xml:space="preserve"> 64.1538 </t>
  </si>
  <si>
    <t xml:space="preserve">F:\images\20210518\plaque 2/@05 Estrone 0.04 µg_LL dopé/B5_03.tif </t>
  </si>
  <si>
    <t xml:space="preserve"> 64.1485 </t>
  </si>
  <si>
    <t xml:space="preserve">F:\images\20210518\plaque 2/@05 Estrone 0.04 µg_LL dopé/C5_01.tif </t>
  </si>
  <si>
    <t xml:space="preserve"> 70.1891 </t>
  </si>
  <si>
    <t xml:space="preserve">F:\images\20210518\plaque 2/@05 Estrone 0.04 µg_LL dopé/C5_02.tif </t>
  </si>
  <si>
    <t xml:space="preserve"> 32531.3615 </t>
  </si>
  <si>
    <t xml:space="preserve"> 70.8138 </t>
  </si>
  <si>
    <t xml:space="preserve">F:\images\20210518\plaque 2/@05 Estrone 0.04 µg_LL dopé/C5_03.tif </t>
  </si>
  <si>
    <t xml:space="preserve"> 35473.0272 </t>
  </si>
  <si>
    <t xml:space="preserve"> 73.6061 </t>
  </si>
  <si>
    <t xml:space="preserve">F:\images\20210518\plaque 2/@05 Estrone 0.04 µg_LL dopé/D5_01.tif </t>
  </si>
  <si>
    <t xml:space="preserve"> 70.5011 </t>
  </si>
  <si>
    <t xml:space="preserve">F:\images\20210518\plaque 2/@05 Estrone 0.04 µg_LL dopé/D5_02.tif </t>
  </si>
  <si>
    <t xml:space="preserve"> 21348.706 </t>
  </si>
  <si>
    <t xml:space="preserve"> 70.6282 </t>
  </si>
  <si>
    <t xml:space="preserve">F:\images\20210518\plaque 2/@05 Estrone 0.04 µg_LL dopé/D5_03.tif </t>
  </si>
  <si>
    <t xml:space="preserve"> 17866.293 </t>
  </si>
  <si>
    <t xml:space="preserve"> 70.7893 </t>
  </si>
  <si>
    <t xml:space="preserve">F:\images\20210518\plaque 2/@05 Estrone 0.04 µg_LL dopé/E5_01.tif </t>
  </si>
  <si>
    <t xml:space="preserve"> 24679.7098 </t>
  </si>
  <si>
    <t xml:space="preserve"> 66.0386 </t>
  </si>
  <si>
    <t xml:space="preserve">F:\images\20210518\plaque 2/@05 Estrone 0.04 µg_LL dopé/E5_02.tif </t>
  </si>
  <si>
    <t xml:space="preserve"> 34326.6428 </t>
  </si>
  <si>
    <t xml:space="preserve"> 71.305 </t>
  </si>
  <si>
    <t xml:space="preserve">F:\images\20210518\plaque 2/@05 Estrone 0.04 µg_LL dopé/E5_03.tif </t>
  </si>
  <si>
    <t xml:space="preserve"> 32985.5893 </t>
  </si>
  <si>
    <t xml:space="preserve"> 69.7705 </t>
  </si>
  <si>
    <t xml:space="preserve">F:\images\20210518\plaque 2/@05 Estrone 0.04 µg_LL dopé/F5_01.tif </t>
  </si>
  <si>
    <t xml:space="preserve"> 49316.1598 </t>
  </si>
  <si>
    <t xml:space="preserve"> 72.7566 </t>
  </si>
  <si>
    <t xml:space="preserve">F:\images\20210518\plaque 2/@05 Estrone 0.04 µg_LL dopé/F5_02.tif </t>
  </si>
  <si>
    <t xml:space="preserve"> 47045.0208 </t>
  </si>
  <si>
    <t xml:space="preserve"> 73.2469 </t>
  </si>
  <si>
    <t xml:space="preserve">F:\images\20210518\plaque 2/@05 Estrone 0.04 µg_LL dopé/F5_03.tif </t>
  </si>
  <si>
    <t xml:space="preserve"> 45444.4086 </t>
  </si>
  <si>
    <t xml:space="preserve"> 74.1861 </t>
  </si>
  <si>
    <t xml:space="preserve">F:\images\20210518\plaque 2/@05 Estrone 0.04 µg_LL dopé/G5_01.tif </t>
  </si>
  <si>
    <t xml:space="preserve"> 12112.741 </t>
  </si>
  <si>
    <t xml:space="preserve"> 67.1393 </t>
  </si>
  <si>
    <t xml:space="preserve">F:\images\20210518\plaque 2/@05 Estrone 0.04 µg_LL dopé/G5_02.tif </t>
  </si>
  <si>
    <t xml:space="preserve"> 65.6083 </t>
  </si>
  <si>
    <t xml:space="preserve">F:\images\20210518\plaque 2/@05 Estrone 0.04 µg_LL dopé/G5_03.tif </t>
  </si>
  <si>
    <t xml:space="preserve"> 12047.8513 </t>
  </si>
  <si>
    <t xml:space="preserve"> 68.1939 </t>
  </si>
  <si>
    <t xml:space="preserve">F:\images\20210518\plaque 2/@05 Estrone 0.04 µg_LL dopé/H5_01.tif </t>
  </si>
  <si>
    <t xml:space="preserve"> 23338.6563 </t>
  </si>
  <si>
    <t xml:space="preserve"> 67.5366 </t>
  </si>
  <si>
    <t xml:space="preserve">F:\images\20210518\plaque 2/@05 Estrone 0.04 µg_LL dopé/H5_02.tif </t>
  </si>
  <si>
    <t xml:space="preserve"> 21975.9729 </t>
  </si>
  <si>
    <t xml:space="preserve"> 67.2264 </t>
  </si>
  <si>
    <t xml:space="preserve">F:\images\20210518\plaque 2/@05 Estrone 0.04 µg_LL dopé/H5_03.tif </t>
  </si>
  <si>
    <t xml:space="preserve"> 19034.3073 </t>
  </si>
  <si>
    <t xml:space="preserve"> 66.5523 </t>
  </si>
  <si>
    <t xml:space="preserve">F:\images\20210518\plaque 2/@05 Estrone 0.04 µg_LL dopé/ </t>
  </si>
  <si>
    <t xml:space="preserve"> 68.949 </t>
  </si>
  <si>
    <t xml:space="preserve"> 2.9721 </t>
  </si>
  <si>
    <t xml:space="preserve"> 1673216.62 </t>
  </si>
  <si>
    <t xml:space="preserve"> 914694.551 </t>
  </si>
  <si>
    <t xml:space="preserve">F:\images\20210518\plaque 2/@06 Estrone 0.2 µg_LL dopé/A6_01.tif </t>
  </si>
  <si>
    <t xml:space="preserve"> 22084.1224 </t>
  </si>
  <si>
    <t xml:space="preserve"> 70.7649 </t>
  </si>
  <si>
    <t xml:space="preserve">F:\images\20210518\plaque 2/@06 Estrone 0.2 µg_LL dopé/A6_02.tif </t>
  </si>
  <si>
    <t xml:space="preserve"> 24658.0799 </t>
  </si>
  <si>
    <t xml:space="preserve"> 71.2553 </t>
  </si>
  <si>
    <t xml:space="preserve">F:\images\20210518\plaque 2/@06 Estrone 0.2 µg_LL dopé/A6_03.tif </t>
  </si>
  <si>
    <t xml:space="preserve"> 22019.2327 </t>
  </si>
  <si>
    <t xml:space="preserve"> 70.169 </t>
  </si>
  <si>
    <t xml:space="preserve">F:\images\20210518\plaque 2/@06 Estrone 0.2 µg_LL dopé/B6_01.tif </t>
  </si>
  <si>
    <t xml:space="preserve"> 31666.1657 </t>
  </si>
  <si>
    <t xml:space="preserve"> 73.7637 </t>
  </si>
  <si>
    <t xml:space="preserve">F:\images\20210518\plaque 2/@06 Estrone 0.2 µg_LL dopé/B6_02.tif </t>
  </si>
  <si>
    <t xml:space="preserve"> 73.2279 </t>
  </si>
  <si>
    <t xml:space="preserve">F:\images\20210518\plaque 2/@06 Estrone 0.2 µg_LL dopé/B6_03.tif </t>
  </si>
  <si>
    <t xml:space="preserve"> 33483.0769 </t>
  </si>
  <si>
    <t xml:space="preserve"> 73.2855 </t>
  </si>
  <si>
    <t xml:space="preserve">F:\images\20210518\plaque 2/@06 Estrone 0.2 µg_LL dopé/C6_01.tif </t>
  </si>
  <si>
    <t xml:space="preserve"> 47629.028 </t>
  </si>
  <si>
    <t xml:space="preserve"> 71.1512 </t>
  </si>
  <si>
    <t xml:space="preserve">F:\images\20210518\plaque 2/@06 Estrone 0.2 µg_LL dopé/C6_02.tif </t>
  </si>
  <si>
    <t xml:space="preserve"> 69.6866 </t>
  </si>
  <si>
    <t xml:space="preserve">F:\images\20210518\plaque 2/@06 Estrone 0.2 µg_LL dopé/C6_03.tif </t>
  </si>
  <si>
    <t xml:space="preserve"> 44665.7324 </t>
  </si>
  <si>
    <t xml:space="preserve"> 70.6339 </t>
  </si>
  <si>
    <t xml:space="preserve">F:\images\20210518\plaque 2/@06 Estrone 0.2 µg_LL dopé/D6_01.tif </t>
  </si>
  <si>
    <t xml:space="preserve"> 73.2139 </t>
  </si>
  <si>
    <t xml:space="preserve">F:\images\20210518\plaque 2/@06 Estrone 0.2 µg_LL dopé/D6_02.tif </t>
  </si>
  <si>
    <t xml:space="preserve"> 41031.9101 </t>
  </si>
  <si>
    <t xml:space="preserve"> 71.7317 </t>
  </si>
  <si>
    <t xml:space="preserve">F:\images\20210518\plaque 2/@06 Estrone 0.2 µg_LL dopé/D6_03.tif </t>
  </si>
  <si>
    <t xml:space="preserve"> 37527.8672 </t>
  </si>
  <si>
    <t xml:space="preserve"> 72.1862 </t>
  </si>
  <si>
    <t xml:space="preserve">F:\images\20210518\plaque 2/@06 Estrone 0.2 µg_LL dopé/E6_01.tif </t>
  </si>
  <si>
    <t xml:space="preserve"> 20288.8412 </t>
  </si>
  <si>
    <t xml:space="preserve"> 66.5085 </t>
  </si>
  <si>
    <t xml:space="preserve">F:\images\20210518\plaque 2/@06 Estrone 0.2 µg_LL dopé/E6_02.tif </t>
  </si>
  <si>
    <t xml:space="preserve"> 10468.869 </t>
  </si>
  <si>
    <t xml:space="preserve"> 64.8926 </t>
  </si>
  <si>
    <t xml:space="preserve">F:\images\20210518\plaque 2/@06 Estrone 0.2 µg_LL dopé/E6_03.tif </t>
  </si>
  <si>
    <t xml:space="preserve"> 64.7745 </t>
  </si>
  <si>
    <t xml:space="preserve">F:\images\20210518\plaque 2/@06 Estrone 0.2 µg_LL dopé/F6_01.tif </t>
  </si>
  <si>
    <t xml:space="preserve"> 13107.7161 </t>
  </si>
  <si>
    <t xml:space="preserve"> 68.4274 </t>
  </si>
  <si>
    <t xml:space="preserve">F:\images\20210518\plaque 2/@06 Estrone 0.2 µg_LL dopé/F6_02.tif </t>
  </si>
  <si>
    <t xml:space="preserve"> 68.4825 </t>
  </si>
  <si>
    <t xml:space="preserve">F:\images\20210518\plaque 2/@06 Estrone 0.2 µg_LL dopé/F6_03.tif </t>
  </si>
  <si>
    <t xml:space="preserve"> 13691.7233 </t>
  </si>
  <si>
    <t xml:space="preserve"> 68.5829 </t>
  </si>
  <si>
    <t xml:space="preserve">F:\images\20210518\plaque 2/@06 Estrone 0.2 µg_LL dopé/G6_01.tif </t>
  </si>
  <si>
    <t xml:space="preserve"> 66.3899 </t>
  </si>
  <si>
    <t xml:space="preserve">F:\images\20210518\plaque 2/@06 Estrone 0.2 µg_LL dopé/G6_02.tif </t>
  </si>
  <si>
    <t xml:space="preserve"> 14708.3283 </t>
  </si>
  <si>
    <t xml:space="preserve"> 68.0735 </t>
  </si>
  <si>
    <t xml:space="preserve">F:\images\20210518\plaque 2/@06 Estrone 0.2 µg_LL dopé/G6_03.tif </t>
  </si>
  <si>
    <t xml:space="preserve"> 67.1118 </t>
  </si>
  <si>
    <t xml:space="preserve">F:\images\20210518\plaque 2/@06 Estrone 0.2 µg_LL dopé/H6_01.tif </t>
  </si>
  <si>
    <t xml:space="preserve"> 23965.9232 </t>
  </si>
  <si>
    <t xml:space="preserve"> 67.9486 </t>
  </si>
  <si>
    <t xml:space="preserve">F:\images\20210518\plaque 2/@06 Estrone 0.2 µg_LL dopé/H6_02.tif </t>
  </si>
  <si>
    <t xml:space="preserve"> 23446.8058 </t>
  </si>
  <si>
    <t xml:space="preserve"> 67.167 </t>
  </si>
  <si>
    <t xml:space="preserve">F:\images\20210518\plaque 2/@06 Estrone 0.2 µg_LL dopé/H6_03.tif </t>
  </si>
  <si>
    <t xml:space="preserve"> 22862.7986 </t>
  </si>
  <si>
    <t xml:space="preserve"> 68.0255 </t>
  </si>
  <si>
    <t xml:space="preserve">F:\images\20210518\plaque 2/@06 Estrone 0.2 µg_LL dopé/ </t>
  </si>
  <si>
    <t xml:space="preserve"> 69.4773 </t>
  </si>
  <si>
    <t xml:space="preserve"> 2.6746 </t>
  </si>
  <si>
    <t xml:space="preserve"> 1788651.79 </t>
  </si>
  <si>
    <t xml:space="preserve"> 923004.027 </t>
  </si>
  <si>
    <t xml:space="preserve">F:\images\20210518\plaque 2/@07 Estrone 1 µg_LL dopé/A7_01.tif </t>
  </si>
  <si>
    <t xml:space="preserve"> 64.5174 </t>
  </si>
  <si>
    <t xml:space="preserve">F:\images\20210518\plaque 2/@07 Estrone 1 µg_LL dopé/A7_02.tif </t>
  </si>
  <si>
    <t xml:space="preserve"> 65.2413 </t>
  </si>
  <si>
    <t xml:space="preserve">F:\images\20210518\plaque 2/@07 Estrone 1 µg_LL dopé/A7_03.tif </t>
  </si>
  <si>
    <t xml:space="preserve"> 65.1408 </t>
  </si>
  <si>
    <t xml:space="preserve">F:\images\20210518\plaque 2/@07 Estrone 1 µg_LL dopé/B7_01.tif </t>
  </si>
  <si>
    <t xml:space="preserve"> 34780.8706 </t>
  </si>
  <si>
    <t xml:space="preserve"> 76.5684 </t>
  </si>
  <si>
    <t xml:space="preserve">F:\images\20210518\plaque 2/@07 Estrone 1 µg_LL dopé/B7_02.tif </t>
  </si>
  <si>
    <t xml:space="preserve"> 86.9233 </t>
  </si>
  <si>
    <t xml:space="preserve">F:\images\20210518\plaque 2/@07 Estrone 1 µg_LL dopé/B7_03.tif </t>
  </si>
  <si>
    <t xml:space="preserve"> 29330.1371 </t>
  </si>
  <si>
    <t xml:space="preserve"> 82.2006 </t>
  </si>
  <si>
    <t xml:space="preserve">F:\images\20210518\plaque 2/@07 Estrone 1 µg_LL dopé/C7_01.tif </t>
  </si>
  <si>
    <t xml:space="preserve"> 37203.4188 </t>
  </si>
  <si>
    <t xml:space="preserve"> 71.9099 </t>
  </si>
  <si>
    <t xml:space="preserve">F:\images\20210518\plaque 2/@07 Estrone 1 µg_LL dopé/C7_02.tif </t>
  </si>
  <si>
    <t xml:space="preserve"> 37181.7889 </t>
  </si>
  <si>
    <t xml:space="preserve"> 71.3264 </t>
  </si>
  <si>
    <t xml:space="preserve">F:\images\20210518\plaque 2/@07 Estrone 1 µg_LL dopé/C7_03.tif </t>
  </si>
  <si>
    <t xml:space="preserve"> 72.3398 </t>
  </si>
  <si>
    <t xml:space="preserve">F:\images\20210518\plaque 2/@07 Estrone 1 µg_LL dopé/D7_01.tif </t>
  </si>
  <si>
    <t xml:space="preserve"> 38544.4722 </t>
  </si>
  <si>
    <t xml:space="preserve"> 74.3692 </t>
  </si>
  <si>
    <t xml:space="preserve">F:\images\20210518\plaque 2/@07 Estrone 1 µg_LL dopé/D7_02.tif </t>
  </si>
  <si>
    <t xml:space="preserve"> 77.1033 </t>
  </si>
  <si>
    <t xml:space="preserve">F:\images\20210518\plaque 2/@07 Estrone 1 µg_LL dopé/D7_03.tif </t>
  </si>
  <si>
    <t xml:space="preserve"> 40620.9421 </t>
  </si>
  <si>
    <t xml:space="preserve"> 73.6496 </t>
  </si>
  <si>
    <t xml:space="preserve">F:\images\20210518\plaque 2/@07 Estrone 1 µg_LL dopé/E7_01.tif </t>
  </si>
  <si>
    <t xml:space="preserve"> 68.7383 </t>
  </si>
  <si>
    <t xml:space="preserve">F:\images\20210518\plaque 2/@07 Estrone 1 µg_LL dopé/E7_02.tif </t>
  </si>
  <si>
    <t xml:space="preserve"> 9149.4454 </t>
  </si>
  <si>
    <t xml:space="preserve"> 68.5674 </t>
  </si>
  <si>
    <t xml:space="preserve">F:\images\20210518\plaque 2/@07 Estrone 1 µg_LL dopé/E7_03.tif </t>
  </si>
  <si>
    <t xml:space="preserve"> 9387.3743 </t>
  </si>
  <si>
    <t xml:space="preserve"> 74.2051 </t>
  </si>
  <si>
    <t xml:space="preserve">F:\images\20210518\plaque 2/@07 Estrone 1 µg_LL dopé/F7_01.tif </t>
  </si>
  <si>
    <t xml:space="preserve"> 11766.6627 </t>
  </si>
  <si>
    <t xml:space="preserve"> 80.9118 </t>
  </si>
  <si>
    <t xml:space="preserve">F:\images\20210518\plaque 2/@07 Estrone 1 µg_LL dopé/F7_02.tif </t>
  </si>
  <si>
    <t xml:space="preserve"> 12069.4812 </t>
  </si>
  <si>
    <t xml:space="preserve"> 77.7796 </t>
  </si>
  <si>
    <t xml:space="preserve">F:\images\20210518\plaque 2/@07 Estrone 1 µg_LL dopé/F7_03.tif </t>
  </si>
  <si>
    <t xml:space="preserve"> 77.7505 </t>
  </si>
  <si>
    <t xml:space="preserve">F:\images\20210518\plaque 2/@07 Estrone 1 µg_LL dopé/G7_01.tif </t>
  </si>
  <si>
    <t xml:space="preserve"> 75.8255 </t>
  </si>
  <si>
    <t xml:space="preserve">F:\images\20210518\plaque 2/@07 Estrone 1 µg_LL dopé/G7_02.tif </t>
  </si>
  <si>
    <t xml:space="preserve"> 52452.4945 </t>
  </si>
  <si>
    <t xml:space="preserve"> 79.5823 </t>
  </si>
  <si>
    <t xml:space="preserve">F:\images\20210518\plaque 2/@07 Estrone 1 µg_LL dopé/G7_03.tif </t>
  </si>
  <si>
    <t xml:space="preserve"> 53598.8789 </t>
  </si>
  <si>
    <t xml:space="preserve"> 77.2224 </t>
  </si>
  <si>
    <t xml:space="preserve">F:\images\20210518\plaque 2/@07 Estrone 1 µg_LL dopé/H7_01.tif </t>
  </si>
  <si>
    <t xml:space="preserve"> 43173.2697 </t>
  </si>
  <si>
    <t xml:space="preserve"> 72.4755 </t>
  </si>
  <si>
    <t xml:space="preserve">F:\images\20210518\plaque 2/@07 Estrone 1 µg_LL dopé/H7_02.tif </t>
  </si>
  <si>
    <t xml:space="preserve"> 42113.4048 </t>
  </si>
  <si>
    <t xml:space="preserve"> 72.2039 </t>
  </si>
  <si>
    <t xml:space="preserve">F:\images\20210518\plaque 2/@07 Estrone 1 µg_LL dopé/H7_03.tif </t>
  </si>
  <si>
    <t xml:space="preserve"> 38220.0238 </t>
  </si>
  <si>
    <t xml:space="preserve"> 71.4584 </t>
  </si>
  <si>
    <t xml:space="preserve">F:\images\20210518\plaque 2/@07 Estrone 1 µg_LL dopé/ </t>
  </si>
  <si>
    <t xml:space="preserve"> 74.0838 </t>
  </si>
  <si>
    <t xml:space="preserve"> 5.5177 </t>
  </si>
  <si>
    <t xml:space="preserve"> 2194859.29 </t>
  </si>
  <si>
    <t xml:space="preserve"> 1252368.73 </t>
  </si>
  <si>
    <t xml:space="preserve">F:\images\20210518\plaque 2/@08 Estrone 5 µg_LL dopé/A8_01.tif </t>
  </si>
  <si>
    <t xml:space="preserve"> 51803.5976 </t>
  </si>
  <si>
    <t xml:space="preserve"> 89.6455 </t>
  </si>
  <si>
    <t xml:space="preserve">F:\images\20210518\plaque 2/@08 Estrone 5 µg_LL dopé/A8_02.tif </t>
  </si>
  <si>
    <t xml:space="preserve"> 51630.5585 </t>
  </si>
  <si>
    <t xml:space="preserve"> 91.4269 </t>
  </si>
  <si>
    <t xml:space="preserve">F:\images\20210518\plaque 2/@08 Estrone 5 µg_LL dopé/A8_03.tif </t>
  </si>
  <si>
    <t xml:space="preserve"> 52625.5336 </t>
  </si>
  <si>
    <t xml:space="preserve"> 90.5898 </t>
  </si>
  <si>
    <t xml:space="preserve">F:\images\20210518\plaque 2/@08 Estrone 5 µg_LL dopé/B8_01.tif </t>
  </si>
  <si>
    <t xml:space="preserve"> 53750.2882 </t>
  </si>
  <si>
    <t xml:space="preserve"> 85.9642 </t>
  </si>
  <si>
    <t xml:space="preserve">F:\images\20210518\plaque 2/@08 Estrone 5 µg_LL dopé/B8_02.tif </t>
  </si>
  <si>
    <t xml:space="preserve"> 53079.7614 </t>
  </si>
  <si>
    <t xml:space="preserve"> 84.6597 </t>
  </si>
  <si>
    <t xml:space="preserve">F:\images\20210518\plaque 2/@08 Estrone 5 µg_LL dopé/B8_03.tif </t>
  </si>
  <si>
    <t xml:space="preserve"> 54009.8469 </t>
  </si>
  <si>
    <t xml:space="preserve"> 86.5102 </t>
  </si>
  <si>
    <t xml:space="preserve">F:\images\20210518\plaque 2/@08 Estrone 5 µg_LL dopé/C8_01.tif </t>
  </si>
  <si>
    <t xml:space="preserve"> 68696.5453 </t>
  </si>
  <si>
    <t xml:space="preserve"> 91.3728 </t>
  </si>
  <si>
    <t xml:space="preserve">F:\images\20210518\plaque 2/@08 Estrone 5 µg_LL dopé/C8_02.tif </t>
  </si>
  <si>
    <t xml:space="preserve"> 69799.67 </t>
  </si>
  <si>
    <t xml:space="preserve"> 92.1664 </t>
  </si>
  <si>
    <t xml:space="preserve">F:\images\20210518\plaque 2/@08 Estrone 5 µg_LL dopé/C8_03.tif </t>
  </si>
  <si>
    <t xml:space="preserve"> 71400.2822 </t>
  </si>
  <si>
    <t xml:space="preserve"> 90.4923 </t>
  </si>
  <si>
    <t xml:space="preserve">F:\images\20210518\plaque 2/@08 Estrone 5 µg_LL dopé/D8_01.tif </t>
  </si>
  <si>
    <t xml:space="preserve"> 44795.5118 </t>
  </si>
  <si>
    <t xml:space="preserve"> 88.2071 </t>
  </si>
  <si>
    <t xml:space="preserve">F:\images\20210518\plaque 2/@08 Estrone 5 µg_LL dopé/D8_02.tif </t>
  </si>
  <si>
    <t xml:space="preserve"> 37679.2764 </t>
  </si>
  <si>
    <t xml:space="preserve"> 90.8691 </t>
  </si>
  <si>
    <t xml:space="preserve">F:\images\20210518\plaque 2/@08 Estrone 5 µg_LL dopé/D8_03.tif </t>
  </si>
  <si>
    <t xml:space="preserve"> 84.2181 </t>
  </si>
  <si>
    <t xml:space="preserve">F:\images\20210518\plaque 2/@08 Estrone 5 µg_LL dopé/E8_01.tif </t>
  </si>
  <si>
    <t xml:space="preserve"> 19618.3144 </t>
  </si>
  <si>
    <t xml:space="preserve"> 86.4002 </t>
  </si>
  <si>
    <t xml:space="preserve">F:\images\20210518\plaque 2/@08 Estrone 5 µg_LL dopé/E8_02.tif </t>
  </si>
  <si>
    <t xml:space="preserve"> 85.7969 </t>
  </si>
  <si>
    <t xml:space="preserve">F:\images\20210518\plaque 2/@08 Estrone 5 µg_LL dopé/E8_03.tif </t>
  </si>
  <si>
    <t xml:space="preserve"> 18298.8909 </t>
  </si>
  <si>
    <t xml:space="preserve"> 87.4634 </t>
  </si>
  <si>
    <t xml:space="preserve">F:\images\20210518\plaque 2/@08 Estrone 5 µg_LL dopé/F8_01.tif </t>
  </si>
  <si>
    <t xml:space="preserve"> 46287.9745 </t>
  </si>
  <si>
    <t xml:space="preserve"> 83.9182 </t>
  </si>
  <si>
    <t xml:space="preserve">F:\images\20210518\plaque 2/@08 Estrone 5 µg_LL dopé/F8_02.tif </t>
  </si>
  <si>
    <t xml:space="preserve"> 80.7519 </t>
  </si>
  <si>
    <t xml:space="preserve">F:\images\20210518\plaque 2/@08 Estrone 5 µg_LL dopé/F8_03.tif </t>
  </si>
  <si>
    <t xml:space="preserve"> 44968.5509 </t>
  </si>
  <si>
    <t xml:space="preserve"> 81.0043 </t>
  </si>
  <si>
    <t xml:space="preserve">F:\images\20210518\plaque 2/@08 Estrone 5 µg_LL dopé/G8_01.tif </t>
  </si>
  <si>
    <t xml:space="preserve"> 83.0309 </t>
  </si>
  <si>
    <t xml:space="preserve">F:\images\20210518\plaque 2/@08 Estrone 5 µg_LL dopé/G8_02.tif </t>
  </si>
  <si>
    <t xml:space="preserve"> 84.868 </t>
  </si>
  <si>
    <t xml:space="preserve">F:\images\20210518\plaque 2/@08 Estrone 5 µg_LL dopé/G8_03.tif </t>
  </si>
  <si>
    <t xml:space="preserve"> 83.9141 </t>
  </si>
  <si>
    <t xml:space="preserve">F:\images\20210518\plaque 2/@08 Estrone 5 µg_LL dopé/H8_01.tif </t>
  </si>
  <si>
    <t xml:space="preserve"> 57600.4094 </t>
  </si>
  <si>
    <t xml:space="preserve"> 83.6421 </t>
  </si>
  <si>
    <t xml:space="preserve">F:\images\20210518\plaque 2/@08 Estrone 5 µg_LL dopé/H8_02.tif </t>
  </si>
  <si>
    <t xml:space="preserve"> 60412.2957 </t>
  </si>
  <si>
    <t xml:space="preserve"> 82.5474 </t>
  </si>
  <si>
    <t xml:space="preserve">F:\images\20210518\plaque 2/@08 Estrone 5 µg_LL dopé/H8_03.tif </t>
  </si>
  <si>
    <t xml:space="preserve"> 59395.6907 </t>
  </si>
  <si>
    <t xml:space="preserve"> 83.3594 </t>
  </si>
  <si>
    <t xml:space="preserve">F:\images\20210518\plaque 2/@08 Estrone 5 µg_LL dopé/ </t>
  </si>
  <si>
    <t xml:space="preserve"> 86.3675 </t>
  </si>
  <si>
    <t xml:space="preserve"> 3.4862 </t>
  </si>
  <si>
    <t xml:space="preserve"> 4199345.79 </t>
  </si>
  <si>
    <t xml:space="preserve"> 1288883.54 </t>
  </si>
  <si>
    <t xml:space="preserve">F:\images\20210518\plaque 2/@09 Estrone 25 µg_LL dopé/A9_01.tif </t>
  </si>
  <si>
    <t xml:space="preserve"> 49835.2772 </t>
  </si>
  <si>
    <t xml:space="preserve"> 87.6063 </t>
  </si>
  <si>
    <t xml:space="preserve">F:\images\20210518\plaque 2/@09 Estrone 25 µg_LL dopé/A9_02.tif </t>
  </si>
  <si>
    <t xml:space="preserve"> 47953.4764 </t>
  </si>
  <si>
    <t xml:space="preserve"> 91.6189 </t>
  </si>
  <si>
    <t xml:space="preserve">F:\images\20210518\plaque 2/@09 Estrone 25 µg_LL dopé/A9_03.tif </t>
  </si>
  <si>
    <t xml:space="preserve"> 46331.2343 </t>
  </si>
  <si>
    <t xml:space="preserve"> 92.2442 </t>
  </si>
  <si>
    <t xml:space="preserve">F:\images\20210518\plaque 2/@09 Estrone 25 µg_LL dopé/B9_01.tif </t>
  </si>
  <si>
    <t xml:space="preserve"> 89.6243 </t>
  </si>
  <si>
    <t xml:space="preserve">F:\images\20210518\plaque 2/@09 Estrone 25 µg_LL dopé/B9_02.tif </t>
  </si>
  <si>
    <t xml:space="preserve"> 47585.7682 </t>
  </si>
  <si>
    <t xml:space="preserve"> 96.2832 </t>
  </si>
  <si>
    <t xml:space="preserve">F:\images\20210518\plaque 2/@09 Estrone 25 µg_LL dopé/B9_03.tif </t>
  </si>
  <si>
    <t xml:space="preserve"> 53058.1315 </t>
  </si>
  <si>
    <t xml:space="preserve"> 92.8818 </t>
  </si>
  <si>
    <t xml:space="preserve">F:\images\20210518\plaque 2/@09 Estrone 25 µg_LL dopé/C9_01.tif </t>
  </si>
  <si>
    <t xml:space="preserve"> 62034.5378 </t>
  </si>
  <si>
    <t xml:space="preserve"> 94.8452 </t>
  </si>
  <si>
    <t xml:space="preserve">F:\images\20210518\plaque 2/@09 Estrone 25 µg_LL dopé/C9_02.tif </t>
  </si>
  <si>
    <t xml:space="preserve"> 57211.0713 </t>
  </si>
  <si>
    <t xml:space="preserve"> 95.4548 </t>
  </si>
  <si>
    <t xml:space="preserve">F:\images\20210518\plaque 2/@09 Estrone 25 µg_LL dopé/C9_03.tif </t>
  </si>
  <si>
    <t xml:space="preserve"> 59741.769 </t>
  </si>
  <si>
    <t xml:space="preserve"> 94.6369 </t>
  </si>
  <si>
    <t xml:space="preserve">F:\images\20210518\plaque 2/@09 Estrone 25 µg_LL dopé/D9_01.tif </t>
  </si>
  <si>
    <t xml:space="preserve"> 60066.2174 </t>
  </si>
  <si>
    <t xml:space="preserve"> 91.2668 </t>
  </si>
  <si>
    <t xml:space="preserve">F:\images\20210518\plaque 2/@09 Estrone 25 µg_LL dopé/D9_02.tif </t>
  </si>
  <si>
    <t xml:space="preserve"> 62402.246 </t>
  </si>
  <si>
    <t xml:space="preserve"> 79.2385 </t>
  </si>
  <si>
    <t xml:space="preserve">F:\images\20210518\plaque 2/@09 Estrone 25 µg_LL dopé/D9_03.tif </t>
  </si>
  <si>
    <t xml:space="preserve"> 57340.8507 </t>
  </si>
  <si>
    <t xml:space="preserve"> 92.5952 </t>
  </si>
  <si>
    <t xml:space="preserve">F:\images\20210518\plaque 2/@09 Estrone 25 µg_LL dopé/E9_01.tif </t>
  </si>
  <si>
    <t xml:space="preserve"> 68977.734 </t>
  </si>
  <si>
    <t xml:space="preserve"> 99.365 </t>
  </si>
  <si>
    <t xml:space="preserve">F:\images\20210518\plaque 2/@09 Estrone 25 µg_LL dopé/E9_02.tif </t>
  </si>
  <si>
    <t xml:space="preserve"> 69886.1895 </t>
  </si>
  <si>
    <t xml:space="preserve"> 99.8573 </t>
  </si>
  <si>
    <t xml:space="preserve">F:\images\20210518\plaque 2/@09 Estrone 25 µg_LL dopé/E9_03.tif </t>
  </si>
  <si>
    <t xml:space="preserve"> 70491.8266 </t>
  </si>
  <si>
    <t xml:space="preserve"> 100.2185 </t>
  </si>
  <si>
    <t xml:space="preserve">F:\images\20210518\plaque 2/@09 Estrone 25 µg_LL dopé/F9_01.tif </t>
  </si>
  <si>
    <t xml:space="preserve"> 81393.2935 </t>
  </si>
  <si>
    <t xml:space="preserve"> 88.7709 </t>
  </si>
  <si>
    <t xml:space="preserve">F:\images\20210518\plaque 2/@09 Estrone 25 µg_LL dopé/F9_02.tif </t>
  </si>
  <si>
    <t xml:space="preserve"> 74363.5777 </t>
  </si>
  <si>
    <t xml:space="preserve"> 92.7842 </t>
  </si>
  <si>
    <t xml:space="preserve">F:\images\20210518\plaque 2/@09 Estrone 25 µg_LL dopé/F9_03.tif </t>
  </si>
  <si>
    <t xml:space="preserve"> 79360.0834 </t>
  </si>
  <si>
    <t xml:space="preserve"> 92.1169 </t>
  </si>
  <si>
    <t xml:space="preserve">F:\images\20210518\plaque 2/@09 Estrone 25 µg_LL dopé/G9_01.tif </t>
  </si>
  <si>
    <t xml:space="preserve"> 84486.3684 </t>
  </si>
  <si>
    <t xml:space="preserve"> 99.5548 </t>
  </si>
  <si>
    <t xml:space="preserve">F:\images\20210518\plaque 2/@09 Estrone 25 µg_LL dopé/G9_02.tif </t>
  </si>
  <si>
    <t xml:space="preserve"> 101.2878 </t>
  </si>
  <si>
    <t xml:space="preserve">F:\images\20210518\plaque 2/@09 Estrone 25 µg_LL dopé/G9_03.tif </t>
  </si>
  <si>
    <t xml:space="preserve"> 80441.5781 </t>
  </si>
  <si>
    <t xml:space="preserve"> 99.879 </t>
  </si>
  <si>
    <t xml:space="preserve">F:\images\20210518\plaque 2/@09 Estrone 25 µg_LL dopé/H9_01.tif </t>
  </si>
  <si>
    <t xml:space="preserve"> 24182.2222 </t>
  </si>
  <si>
    <t xml:space="preserve"> 81.0143 </t>
  </si>
  <si>
    <t xml:space="preserve">F:\images\20210518\plaque 2/@09 Estrone 25 µg_LL dopé/H9_02.tif </t>
  </si>
  <si>
    <t xml:space="preserve"> 24138.9624 </t>
  </si>
  <si>
    <t xml:space="preserve"> 81.0789 </t>
  </si>
  <si>
    <t xml:space="preserve">F:\images\20210518\plaque 2/@09 Estrone 25 µg_LL dopé/H9_03.tif </t>
  </si>
  <si>
    <t xml:space="preserve"> 22949.3182 </t>
  </si>
  <si>
    <t xml:space="preserve"> 81.2224 </t>
  </si>
  <si>
    <t xml:space="preserve">F:\images\20210518\plaque 2/@09 Estrone 25 µg_LL dopé/ </t>
  </si>
  <si>
    <t xml:space="preserve"> 92.3103 </t>
  </si>
  <si>
    <t xml:space="preserve"> 6.5568 </t>
  </si>
  <si>
    <t xml:space="preserve"> 5566934.62 </t>
  </si>
  <si>
    <t xml:space="preserve"> 1931526.74 </t>
  </si>
  <si>
    <t>Krustal Wallis</t>
  </si>
  <si>
    <t>Anova</t>
  </si>
  <si>
    <t>&gt;0,9999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</si>
</sst>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3" fillId="14" borderId="46" xfId="0" applyNumberFormat="1" applyFont="1" applyFill="1" applyBorder="1" applyAlignment="1">
      <alignment horizontal="center" vertical="center"/>
    </xf>
    <xf numFmtId="0" fontId="0" fillId="0" borderId="0" xfId="0" applyNumberFormat="1" applyFont="1"/>
    <xf numFmtId="0" fontId="14"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rgbClr val="5F5F5F"/>
              </a:solidFill>
            </c:spPr>
            <c:extLst>
              <c:ext xmlns:c16="http://schemas.microsoft.com/office/drawing/2014/chart" uri="{C3380CC4-5D6E-409C-BE32-E72D297353CC}">
                <c16:uniqueId val="{00000001-D7FD-4636-999E-52CF98D7C06B}"/>
              </c:ext>
            </c:extLst>
          </c:dPt>
          <c:dPt>
            <c:idx val="1"/>
            <c:invertIfNegative val="0"/>
            <c:bubble3D val="0"/>
            <c:spPr>
              <a:solidFill>
                <a:srgbClr val="FF0000"/>
              </a:solidFill>
            </c:spPr>
            <c:extLst>
              <c:ext xmlns:c16="http://schemas.microsoft.com/office/drawing/2014/chart" uri="{C3380CC4-5D6E-409C-BE32-E72D297353CC}">
                <c16:uniqueId val="{00000002-D7FD-4636-999E-52CF98D7C06B}"/>
              </c:ext>
            </c:extLst>
          </c:dPt>
          <c:dPt>
            <c:idx val="2"/>
            <c:invertIfNegative val="0"/>
            <c:bubble3D val="0"/>
            <c:spPr>
              <a:solidFill>
                <a:srgbClr val="FF0000"/>
              </a:solidFill>
            </c:spPr>
            <c:extLst>
              <c:ext xmlns:c16="http://schemas.microsoft.com/office/drawing/2014/chart" uri="{C3380CC4-5D6E-409C-BE32-E72D297353CC}">
                <c16:uniqueId val="{00000003-D7FD-4636-999E-52CF98D7C06B}"/>
              </c:ext>
            </c:extLst>
          </c:dPt>
          <c:dPt>
            <c:idx val="3"/>
            <c:invertIfNegative val="0"/>
            <c:bubble3D val="0"/>
            <c:spPr>
              <a:solidFill>
                <a:srgbClr val="FF0000"/>
              </a:solidFill>
            </c:spPr>
            <c:extLst>
              <c:ext xmlns:c16="http://schemas.microsoft.com/office/drawing/2014/chart" uri="{C3380CC4-5D6E-409C-BE32-E72D297353CC}">
                <c16:uniqueId val="{00000004-D7FD-4636-999E-52CF98D7C06B}"/>
              </c:ext>
            </c:extLst>
          </c:dPt>
          <c:dPt>
            <c:idx val="4"/>
            <c:invertIfNegative val="0"/>
            <c:bubble3D val="0"/>
            <c:spPr>
              <a:solidFill>
                <a:srgbClr val="FF0000"/>
              </a:solidFill>
            </c:spPr>
            <c:extLst>
              <c:ext xmlns:c16="http://schemas.microsoft.com/office/drawing/2014/chart" uri="{C3380CC4-5D6E-409C-BE32-E72D297353CC}">
                <c16:uniqueId val="{00000005-D7FD-4636-999E-52CF98D7C06B}"/>
              </c:ext>
            </c:extLst>
          </c:dPt>
          <c:dPt>
            <c:idx val="5"/>
            <c:invertIfNegative val="0"/>
            <c:bubble3D val="0"/>
            <c:spPr>
              <a:solidFill>
                <a:srgbClr val="FF0000"/>
              </a:solidFill>
            </c:spPr>
            <c:extLst>
              <c:ext xmlns:c16="http://schemas.microsoft.com/office/drawing/2014/chart" uri="{C3380CC4-5D6E-409C-BE32-E72D297353CC}">
                <c16:uniqueId val="{00000006-D7FD-4636-999E-52CF98D7C06B}"/>
              </c:ext>
            </c:extLst>
          </c:dPt>
          <c:dPt>
            <c:idx val="6"/>
            <c:invertIfNegative val="0"/>
            <c:bubble3D val="0"/>
            <c:spPr>
              <a:solidFill>
                <a:srgbClr val="FF0000"/>
              </a:solidFill>
            </c:spPr>
            <c:extLst>
              <c:ext xmlns:c16="http://schemas.microsoft.com/office/drawing/2014/chart" uri="{C3380CC4-5D6E-409C-BE32-E72D297353CC}">
                <c16:uniqueId val="{00000007-D7FD-4636-999E-52CF98D7C06B}"/>
              </c:ext>
            </c:extLst>
          </c:dPt>
          <c:dPt>
            <c:idx val="7"/>
            <c:invertIfNegative val="0"/>
            <c:bubble3D val="0"/>
            <c:spPr>
              <a:solidFill>
                <a:schemeClr val="bg1">
                  <a:lumMod val="65000"/>
                </a:schemeClr>
              </a:solidFill>
            </c:spPr>
            <c:extLst>
              <c:ext xmlns:c16="http://schemas.microsoft.com/office/drawing/2014/chart" uri="{C3380CC4-5D6E-409C-BE32-E72D297353CC}">
                <c16:uniqueId val="{00000008-D7FD-4636-999E-52CF98D7C06B}"/>
              </c:ext>
            </c:extLst>
          </c:dPt>
          <c:dPt>
            <c:idx val="8"/>
            <c:invertIfNegative val="0"/>
            <c:bubble3D val="0"/>
            <c:spPr>
              <a:solidFill>
                <a:schemeClr val="bg1">
                  <a:lumMod val="65000"/>
                </a:schemeClr>
              </a:solidFill>
            </c:spPr>
            <c:extLst>
              <c:ext xmlns:c16="http://schemas.microsoft.com/office/drawing/2014/chart" uri="{C3380CC4-5D6E-409C-BE32-E72D297353CC}">
                <c16:uniqueId val="{00000009-D7FD-4636-999E-52CF98D7C06B}"/>
              </c:ext>
            </c:extLst>
          </c:dPt>
          <c:dPt>
            <c:idx val="9"/>
            <c:invertIfNegative val="0"/>
            <c:bubble3D val="0"/>
            <c:spPr>
              <a:solidFill>
                <a:schemeClr val="bg1">
                  <a:lumMod val="65000"/>
                </a:schemeClr>
              </a:solidFill>
            </c:spPr>
            <c:extLst>
              <c:ext xmlns:c16="http://schemas.microsoft.com/office/drawing/2014/chart" uri="{C3380CC4-5D6E-409C-BE32-E72D297353CC}">
                <c16:uniqueId val="{0000000A-D7FD-4636-999E-52CF98D7C06B}"/>
              </c:ext>
            </c:extLst>
          </c:dPt>
          <c:dPt>
            <c:idx val="10"/>
            <c:invertIfNegative val="0"/>
            <c:bubble3D val="0"/>
            <c:spPr>
              <a:solidFill>
                <a:schemeClr val="bg1">
                  <a:lumMod val="65000"/>
                </a:schemeClr>
              </a:solidFill>
            </c:spPr>
            <c:extLst>
              <c:ext xmlns:c16="http://schemas.microsoft.com/office/drawing/2014/chart" uri="{C3380CC4-5D6E-409C-BE32-E72D297353CC}">
                <c16:uniqueId val="{0000000B-D7FD-4636-999E-52CF98D7C06B}"/>
              </c:ext>
            </c:extLst>
          </c:dPt>
          <c:dPt>
            <c:idx val="11"/>
            <c:invertIfNegative val="0"/>
            <c:bubble3D val="0"/>
            <c:spPr>
              <a:solidFill>
                <a:schemeClr val="bg1">
                  <a:lumMod val="65000"/>
                </a:schemeClr>
              </a:solidFill>
            </c:spPr>
            <c:extLst>
              <c:ext xmlns:c16="http://schemas.microsoft.com/office/drawing/2014/chart" uri="{C3380CC4-5D6E-409C-BE32-E72D297353CC}">
                <c16:uniqueId val="{0000000C-D7FD-4636-999E-52CF98D7C06B}"/>
              </c:ext>
            </c:extLst>
          </c:dPt>
          <c:dPt>
            <c:idx val="14"/>
            <c:invertIfNegative val="0"/>
            <c:bubble3D val="0"/>
            <c:spPr>
              <a:solidFill>
                <a:srgbClr val="92D050"/>
              </a:solidFill>
            </c:spPr>
            <c:extLst>
              <c:ext xmlns:c16="http://schemas.microsoft.com/office/drawing/2014/chart" uri="{C3380CC4-5D6E-409C-BE32-E72D297353CC}">
                <c16:uniqueId val="{0000000D-D7FD-4636-999E-52CF98D7C06B}"/>
              </c:ext>
            </c:extLst>
          </c:dPt>
          <c:dPt>
            <c:idx val="15"/>
            <c:invertIfNegative val="0"/>
            <c:bubble3D val="0"/>
            <c:spPr>
              <a:solidFill>
                <a:srgbClr val="92D050"/>
              </a:solidFill>
            </c:spPr>
            <c:extLst>
              <c:ext xmlns:c16="http://schemas.microsoft.com/office/drawing/2014/chart" uri="{C3380CC4-5D6E-409C-BE32-E72D297353CC}">
                <c16:uniqueId val="{0000000E-D7FD-4636-999E-52CF98D7C06B}"/>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D7FD-4636-999E-52CF98D7C06B}"/>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D7FD-4636-999E-52CF98D7C06B}"/>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D7FD-4636-999E-52CF98D7C06B}"/>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D7FD-4636-999E-52CF98D7C06B}"/>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D7FD-4636-999E-52CF98D7C06B}"/>
              </c:ext>
            </c:extLst>
          </c:dPt>
          <c:dLbls>
            <c:dLbl>
              <c:idx val="0"/>
              <c:tx>
                <c:rich>
                  <a:bodyPr/>
                  <a:lstStyle/>
                  <a:p>
                    <a:fld id="{A1C1C5D5-F3D8-4226-AB64-AF4C06BC78A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7FD-4636-999E-52CF98D7C06B}"/>
                </c:ext>
              </c:extLst>
            </c:dLbl>
            <c:dLbl>
              <c:idx val="1"/>
              <c:tx>
                <c:rich>
                  <a:bodyPr/>
                  <a:lstStyle/>
                  <a:p>
                    <a:fld id="{6883EBAA-4D8E-4221-AEC1-4B86B4CBDAA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7FD-4636-999E-52CF98D7C06B}"/>
                </c:ext>
              </c:extLst>
            </c:dLbl>
            <c:dLbl>
              <c:idx val="2"/>
              <c:tx>
                <c:rich>
                  <a:bodyPr/>
                  <a:lstStyle/>
                  <a:p>
                    <a:fld id="{AA41A195-5836-4215-88E1-D64E543B82F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7FD-4636-999E-52CF98D7C06B}"/>
                </c:ext>
              </c:extLst>
            </c:dLbl>
            <c:dLbl>
              <c:idx val="3"/>
              <c:tx>
                <c:rich>
                  <a:bodyPr/>
                  <a:lstStyle/>
                  <a:p>
                    <a:fld id="{EBA6258F-12A9-4E54-AAF8-DEACB958BC0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7FD-4636-999E-52CF98D7C06B}"/>
                </c:ext>
              </c:extLst>
            </c:dLbl>
            <c:dLbl>
              <c:idx val="4"/>
              <c:tx>
                <c:rich>
                  <a:bodyPr/>
                  <a:lstStyle/>
                  <a:p>
                    <a:fld id="{4D01C395-50A9-468F-B924-112D8754793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7FD-4636-999E-52CF98D7C06B}"/>
                </c:ext>
              </c:extLst>
            </c:dLbl>
            <c:dLbl>
              <c:idx val="5"/>
              <c:tx>
                <c:rich>
                  <a:bodyPr/>
                  <a:lstStyle/>
                  <a:p>
                    <a:fld id="{80C7144A-314D-4A09-85A0-7582600850D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7FD-4636-999E-52CF98D7C06B}"/>
                </c:ext>
              </c:extLst>
            </c:dLbl>
            <c:dLbl>
              <c:idx val="6"/>
              <c:tx>
                <c:rich>
                  <a:bodyPr/>
                  <a:lstStyle/>
                  <a:p>
                    <a:fld id="{07913FDE-5BF2-4A14-B969-6DE4EC99AB5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7FD-4636-999E-52CF98D7C06B}"/>
                </c:ext>
              </c:extLst>
            </c:dLbl>
            <c:dLbl>
              <c:idx val="7"/>
              <c:tx>
                <c:rich>
                  <a:bodyPr/>
                  <a:lstStyle/>
                  <a:p>
                    <a:fld id="{362EB377-1725-4BE5-8D50-46B0BC7EBD4D}"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7FD-4636-999E-52CF98D7C06B}"/>
                </c:ext>
              </c:extLst>
            </c:dLbl>
            <c:dLbl>
              <c:idx val="8"/>
              <c:tx>
                <c:rich>
                  <a:bodyPr/>
                  <a:lstStyle/>
                  <a:p>
                    <a:fld id="{0F43FC0E-F061-48E9-9F27-D070E4F5687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7FD-4636-999E-52CF98D7C06B}"/>
                </c:ext>
              </c:extLst>
            </c:dLbl>
            <c:dLbl>
              <c:idx val="9"/>
              <c:tx>
                <c:rich>
                  <a:bodyPr/>
                  <a:lstStyle/>
                  <a:p>
                    <a:fld id="{312ED40E-C396-4A0F-8E20-F0D3D8EC556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7FD-4636-999E-52CF98D7C06B}"/>
                </c:ext>
              </c:extLst>
            </c:dLbl>
            <c:dLbl>
              <c:idx val="10"/>
              <c:tx>
                <c:rich>
                  <a:bodyPr/>
                  <a:lstStyle/>
                  <a:p>
                    <a:fld id="{A6AC88D7-B5F8-4A09-A008-EA98B6FF8C8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7FD-4636-999E-52CF98D7C06B}"/>
                </c:ext>
              </c:extLst>
            </c:dLbl>
            <c:dLbl>
              <c:idx val="11"/>
              <c:tx>
                <c:rich>
                  <a:bodyPr/>
                  <a:lstStyle/>
                  <a:p>
                    <a:fld id="{1ACE8480-2285-42C5-B1B1-17B0884F75F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7FD-4636-999E-52CF98D7C06B}"/>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D7FD-4636-999E-52CF98D7C06B}"/>
                </c:ext>
              </c:extLst>
            </c:dLbl>
            <c:dLbl>
              <c:idx val="13"/>
              <c:tx>
                <c:rich>
                  <a:bodyPr/>
                  <a:lstStyle/>
                  <a:p>
                    <a:fld id="{8D3CF4AD-8924-4290-9D7C-97416062F5C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D7FD-4636-999E-52CF98D7C06B}"/>
                </c:ext>
              </c:extLst>
            </c:dLbl>
            <c:dLbl>
              <c:idx val="14"/>
              <c:tx>
                <c:rich>
                  <a:bodyPr/>
                  <a:lstStyle/>
                  <a:p>
                    <a:fld id="{832CE2C5-54D5-4901-A050-972C3ABF0495}"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7FD-4636-999E-52CF98D7C06B}"/>
                </c:ext>
              </c:extLst>
            </c:dLbl>
            <c:dLbl>
              <c:idx val="15"/>
              <c:tx>
                <c:rich>
                  <a:bodyPr/>
                  <a:lstStyle/>
                  <a:p>
                    <a:fld id="{7C06900C-C686-4968-9A10-8760CD009F65}"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7FD-4636-999E-52CF98D7C06B}"/>
                </c:ext>
              </c:extLst>
            </c:dLbl>
            <c:dLbl>
              <c:idx val="16"/>
              <c:tx>
                <c:rich>
                  <a:bodyPr/>
                  <a:lstStyle/>
                  <a:p>
                    <a:fld id="{B33E89F9-856D-4619-8738-23B08C6504E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7FD-4636-999E-52CF98D7C06B}"/>
                </c:ext>
              </c:extLst>
            </c:dLbl>
            <c:dLbl>
              <c:idx val="17"/>
              <c:tx>
                <c:rich>
                  <a:bodyPr/>
                  <a:lstStyle/>
                  <a:p>
                    <a:fld id="{B53AC8A7-B8F4-4131-8A07-E990D8D3FBF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7FD-4636-999E-52CF98D7C06B}"/>
                </c:ext>
              </c:extLst>
            </c:dLbl>
            <c:dLbl>
              <c:idx val="18"/>
              <c:tx>
                <c:rich>
                  <a:bodyPr/>
                  <a:lstStyle/>
                  <a:p>
                    <a:fld id="{577EB84A-4675-4863-B196-835AF4615A75}"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7FD-4636-999E-52CF98D7C06B}"/>
                </c:ext>
              </c:extLst>
            </c:dLbl>
            <c:dLbl>
              <c:idx val="19"/>
              <c:tx>
                <c:rich>
                  <a:bodyPr/>
                  <a:lstStyle/>
                  <a:p>
                    <a:fld id="{C63954E1-6645-4CCA-9558-4F4F63781E0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7FD-4636-999E-52CF98D7C06B}"/>
                </c:ext>
              </c:extLst>
            </c:dLbl>
            <c:dLbl>
              <c:idx val="20"/>
              <c:tx>
                <c:rich>
                  <a:bodyPr/>
                  <a:lstStyle/>
                  <a:p>
                    <a:fld id="{68242180-44DA-4C96-BF6A-0F0A3BF9364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D7FD-4636-999E-52CF98D7C06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3.5221477089981738E-2</c:v>
                  </c:pt>
                  <c:pt idx="1">
                    <c:v>8.0439895259103791E-2</c:v>
                  </c:pt>
                  <c:pt idx="2">
                    <c:v>2.2584398421594893E-2</c:v>
                  </c:pt>
                  <c:pt idx="3">
                    <c:v>6.9315863324028684E-2</c:v>
                  </c:pt>
                  <c:pt idx="4">
                    <c:v>6.7733605970079658E-2</c:v>
                  </c:pt>
                  <c:pt idx="5">
                    <c:v>0.24432803091575242</c:v>
                  </c:pt>
                  <c:pt idx="6">
                    <c:v>0.26862540415161024</c:v>
                  </c:pt>
                  <c:pt idx="7">
                    <c:v>1.5270893431852992E-2</c:v>
                  </c:pt>
                  <c:pt idx="8">
                    <c:v>4.823196975062382E-2</c:v>
                  </c:pt>
                  <c:pt idx="9">
                    <c:v>2.8716910869994245E-2</c:v>
                  </c:pt>
                  <c:pt idx="10">
                    <c:v>0.45668336996528863</c:v>
                  </c:pt>
                  <c:pt idx="11">
                    <c:v>0.41870800717285173</c:v>
                  </c:pt>
                  <c:pt idx="13">
                    <c:v>0.20457248502714065</c:v>
                  </c:pt>
                  <c:pt idx="14">
                    <c:v>0.34292174968973638</c:v>
                  </c:pt>
                  <c:pt idx="15">
                    <c:v>2.3321096978679894E-2</c:v>
                  </c:pt>
                  <c:pt idx="16">
                    <c:v>0.21503510353996605</c:v>
                  </c:pt>
                  <c:pt idx="17">
                    <c:v>0.16598641358852786</c:v>
                  </c:pt>
                  <c:pt idx="18">
                    <c:v>0.27927441096054761</c:v>
                  </c:pt>
                  <c:pt idx="19">
                    <c:v>0.35652499068770144</c:v>
                  </c:pt>
                  <c:pt idx="20">
                    <c:v>0.49919133897478657</c:v>
                  </c:pt>
                </c:numCache>
              </c:numRef>
            </c:plus>
            <c:minus>
              <c:numRef>
                <c:f>'R1'!$N$48:$V$48</c:f>
                <c:numCache>
                  <c:formatCode>General</c:formatCode>
                  <c:ptCount val="9"/>
                  <c:pt idx="0">
                    <c:v>0</c:v>
                  </c:pt>
                  <c:pt idx="1">
                    <c:v>0.20457248502714065</c:v>
                  </c:pt>
                  <c:pt idx="2">
                    <c:v>0.34292174968973638</c:v>
                  </c:pt>
                  <c:pt idx="3">
                    <c:v>2.3321096978679894E-2</c:v>
                  </c:pt>
                  <c:pt idx="4">
                    <c:v>0.21503510353996605</c:v>
                  </c:pt>
                  <c:pt idx="5">
                    <c:v>0.16598641358852786</c:v>
                  </c:pt>
                  <c:pt idx="6">
                    <c:v>0.27927441096054761</c:v>
                  </c:pt>
                  <c:pt idx="7">
                    <c:v>0.35652499068770144</c:v>
                  </c:pt>
                  <c:pt idx="8">
                    <c:v>0.49919133897478657</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Estrone-0,04µg/L</c:v>
                </c:pt>
                <c:pt idx="8">
                  <c:v>Estrone-0,2µg/L</c:v>
                </c:pt>
                <c:pt idx="9">
                  <c:v>Estrone-1µg/L</c:v>
                </c:pt>
                <c:pt idx="10">
                  <c:v>Estrone-5µg/L</c:v>
                </c:pt>
                <c:pt idx="11">
                  <c:v>Estrone-25µg/L</c:v>
                </c:pt>
                <c:pt idx="13">
                  <c:v>Testo -30µg/L</c:v>
                </c:pt>
                <c:pt idx="14">
                  <c:v>Testo 30µg/L + EE2 -64ng/L</c:v>
                </c:pt>
                <c:pt idx="15">
                  <c:v>Testo 30µg/L + FAD-10µg/L</c:v>
                </c:pt>
                <c:pt idx="16">
                  <c:v>Estrone-0,04µg/L + Testostérone</c:v>
                </c:pt>
                <c:pt idx="17">
                  <c:v>Estrone-0,2µg/L + Testostérone</c:v>
                </c:pt>
                <c:pt idx="18">
                  <c:v>Estrone-1µg/L + Testostérone</c:v>
                </c:pt>
                <c:pt idx="19">
                  <c:v>Estrone-5µg/L + Testostérone</c:v>
                </c:pt>
                <c:pt idx="20">
                  <c:v>Estrone-25µg/L + Testostérone</c:v>
                </c:pt>
              </c:strCache>
            </c:strRef>
          </c:cat>
          <c:val>
            <c:numRef>
              <c:f>'R1'!$B$53:$V$53</c:f>
              <c:numCache>
                <c:formatCode>0.0000</c:formatCode>
                <c:ptCount val="21"/>
                <c:pt idx="0">
                  <c:v>0.1113424084004897</c:v>
                </c:pt>
                <c:pt idx="1">
                  <c:v>0.15080988006069376</c:v>
                </c:pt>
                <c:pt idx="2">
                  <c:v>0.10145217610080803</c:v>
                </c:pt>
                <c:pt idx="3">
                  <c:v>0.32929165859352222</c:v>
                </c:pt>
                <c:pt idx="4">
                  <c:v>0.54123315456369769</c:v>
                </c:pt>
                <c:pt idx="5">
                  <c:v>1.6779874351469752</c:v>
                </c:pt>
                <c:pt idx="6">
                  <c:v>3.0128978910907414</c:v>
                </c:pt>
                <c:pt idx="7">
                  <c:v>7.0946228519781648E-2</c:v>
                </c:pt>
                <c:pt idx="8">
                  <c:v>0.12482367918721475</c:v>
                </c:pt>
                <c:pt idx="9">
                  <c:v>0.14228830991620914</c:v>
                </c:pt>
                <c:pt idx="10">
                  <c:v>2.4250855660629407</c:v>
                </c:pt>
                <c:pt idx="11">
                  <c:v>2.8668226600245545</c:v>
                </c:pt>
                <c:pt idx="13">
                  <c:v>1.0000000000000002</c:v>
                </c:pt>
                <c:pt idx="14">
                  <c:v>1.5625136946854279</c:v>
                </c:pt>
                <c:pt idx="15">
                  <c:v>9.0567083993551567E-2</c:v>
                </c:pt>
                <c:pt idx="16">
                  <c:v>1.0281737913140161</c:v>
                </c:pt>
                <c:pt idx="17">
                  <c:v>0.81922848396690195</c:v>
                </c:pt>
                <c:pt idx="18">
                  <c:v>2.1863488817462109</c:v>
                </c:pt>
                <c:pt idx="19">
                  <c:v>2.2482476920075536</c:v>
                </c:pt>
                <c:pt idx="20">
                  <c:v>3.1808648345392818</c:v>
                </c:pt>
              </c:numCache>
            </c:numRef>
          </c:val>
          <c:extLst>
            <c:ext xmlns:c15="http://schemas.microsoft.com/office/drawing/2012/chart" uri="{02D57815-91ED-43cb-92C2-25804820EDAC}">
              <c15:datalabelsRange>
                <c15:f>'R1'!$B$61:$V$61</c15:f>
                <c15:dlblRangeCache>
                  <c:ptCount val="21"/>
                  <c:pt idx="1">
                    <c:v>NS</c:v>
                  </c:pt>
                  <c:pt idx="2">
                    <c:v>NS</c:v>
                  </c:pt>
                  <c:pt idx="3">
                    <c:v>NS</c:v>
                  </c:pt>
                  <c:pt idx="4">
                    <c:v>NS</c:v>
                  </c:pt>
                  <c:pt idx="5">
                    <c:v>***</c:v>
                  </c:pt>
                  <c:pt idx="6">
                    <c:v>***</c:v>
                  </c:pt>
                  <c:pt idx="7">
                    <c:v>NS</c:v>
                  </c:pt>
                  <c:pt idx="8">
                    <c:v>NS</c:v>
                  </c:pt>
                  <c:pt idx="9">
                    <c:v>NS</c:v>
                  </c:pt>
                  <c:pt idx="10">
                    <c:v>**</c:v>
                  </c:pt>
                  <c:pt idx="11">
                    <c:v>**</c:v>
                  </c:pt>
                  <c:pt idx="13">
                    <c:v>***</c:v>
                  </c:pt>
                  <c:pt idx="14">
                    <c:v>NS</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3.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D392-4E11-82E7-A7519D5E31CE}"/>
              </c:ext>
            </c:extLst>
          </c:dPt>
          <c:dPt>
            <c:idx val="1"/>
            <c:invertIfNegative val="0"/>
            <c:bubble3D val="0"/>
            <c:spPr>
              <a:solidFill>
                <a:srgbClr val="FF0000"/>
              </a:solidFill>
            </c:spPr>
            <c:extLst>
              <c:ext xmlns:c16="http://schemas.microsoft.com/office/drawing/2014/chart" uri="{C3380CC4-5D6E-409C-BE32-E72D297353CC}">
                <c16:uniqueId val="{00000018-D392-4E11-82E7-A7519D5E31CE}"/>
              </c:ext>
            </c:extLst>
          </c:dPt>
          <c:dPt>
            <c:idx val="2"/>
            <c:invertIfNegative val="0"/>
            <c:bubble3D val="0"/>
            <c:spPr>
              <a:solidFill>
                <a:srgbClr val="FF0000"/>
              </a:solidFill>
            </c:spPr>
            <c:extLst>
              <c:ext xmlns:c16="http://schemas.microsoft.com/office/drawing/2014/chart" uri="{C3380CC4-5D6E-409C-BE32-E72D297353CC}">
                <c16:uniqueId val="{00000019-D392-4E11-82E7-A7519D5E31CE}"/>
              </c:ext>
            </c:extLst>
          </c:dPt>
          <c:dPt>
            <c:idx val="3"/>
            <c:invertIfNegative val="0"/>
            <c:bubble3D val="0"/>
            <c:spPr>
              <a:solidFill>
                <a:srgbClr val="FF0000"/>
              </a:solidFill>
            </c:spPr>
            <c:extLst>
              <c:ext xmlns:c16="http://schemas.microsoft.com/office/drawing/2014/chart" uri="{C3380CC4-5D6E-409C-BE32-E72D297353CC}">
                <c16:uniqueId val="{0000001A-D392-4E11-82E7-A7519D5E31CE}"/>
              </c:ext>
            </c:extLst>
          </c:dPt>
          <c:dPt>
            <c:idx val="4"/>
            <c:invertIfNegative val="0"/>
            <c:bubble3D val="0"/>
            <c:spPr>
              <a:solidFill>
                <a:srgbClr val="FF0000"/>
              </a:solidFill>
            </c:spPr>
            <c:extLst>
              <c:ext xmlns:c16="http://schemas.microsoft.com/office/drawing/2014/chart" uri="{C3380CC4-5D6E-409C-BE32-E72D297353CC}">
                <c16:uniqueId val="{0000001B-D392-4E11-82E7-A7519D5E31CE}"/>
              </c:ext>
            </c:extLst>
          </c:dPt>
          <c:dPt>
            <c:idx val="5"/>
            <c:invertIfNegative val="0"/>
            <c:bubble3D val="0"/>
            <c:spPr>
              <a:solidFill>
                <a:srgbClr val="FF0000"/>
              </a:solidFill>
            </c:spPr>
            <c:extLst>
              <c:ext xmlns:c16="http://schemas.microsoft.com/office/drawing/2014/chart" uri="{C3380CC4-5D6E-409C-BE32-E72D297353CC}">
                <c16:uniqueId val="{0000001C-D392-4E11-82E7-A7519D5E31CE}"/>
              </c:ext>
            </c:extLst>
          </c:dPt>
          <c:dPt>
            <c:idx val="6"/>
            <c:invertIfNegative val="0"/>
            <c:bubble3D val="0"/>
            <c:spPr>
              <a:solidFill>
                <a:srgbClr val="FF0000"/>
              </a:solidFill>
            </c:spPr>
            <c:extLst>
              <c:ext xmlns:c16="http://schemas.microsoft.com/office/drawing/2014/chart" uri="{C3380CC4-5D6E-409C-BE32-E72D297353CC}">
                <c16:uniqueId val="{0000001D-D392-4E11-82E7-A7519D5E31CE}"/>
              </c:ext>
            </c:extLst>
          </c:dPt>
          <c:dPt>
            <c:idx val="7"/>
            <c:invertIfNegative val="0"/>
            <c:bubble3D val="0"/>
            <c:spPr>
              <a:solidFill>
                <a:schemeClr val="bg1">
                  <a:lumMod val="65000"/>
                </a:schemeClr>
              </a:solidFill>
            </c:spPr>
            <c:extLst>
              <c:ext xmlns:c16="http://schemas.microsoft.com/office/drawing/2014/chart" uri="{C3380CC4-5D6E-409C-BE32-E72D297353CC}">
                <c16:uniqueId val="{0000001E-D392-4E11-82E7-A7519D5E31CE}"/>
              </c:ext>
            </c:extLst>
          </c:dPt>
          <c:dPt>
            <c:idx val="8"/>
            <c:invertIfNegative val="0"/>
            <c:bubble3D val="0"/>
            <c:spPr>
              <a:solidFill>
                <a:schemeClr val="bg1">
                  <a:lumMod val="65000"/>
                </a:schemeClr>
              </a:solidFill>
            </c:spPr>
            <c:extLst>
              <c:ext xmlns:c16="http://schemas.microsoft.com/office/drawing/2014/chart" uri="{C3380CC4-5D6E-409C-BE32-E72D297353CC}">
                <c16:uniqueId val="{0000001F-D392-4E11-82E7-A7519D5E31CE}"/>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D392-4E11-82E7-A7519D5E31CE}"/>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D392-4E11-82E7-A7519D5E31CE}"/>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D392-4E11-82E7-A7519D5E31CE}"/>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D392-4E11-82E7-A7519D5E31CE}"/>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D392-4E11-82E7-A7519D5E31CE}"/>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D392-4E11-82E7-A7519D5E31CE}"/>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D392-4E11-82E7-A7519D5E31CE}"/>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ED1ED856-FD7F-4195-B18F-F4E3B4603C9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D392-4E11-82E7-A7519D5E31CE}"/>
                </c:ext>
              </c:extLst>
            </c:dLbl>
            <c:dLbl>
              <c:idx val="1"/>
              <c:tx>
                <c:rich>
                  <a:bodyPr/>
                  <a:lstStyle/>
                  <a:p>
                    <a:fld id="{9062066A-2CA7-47CD-AE8A-CE895BA3B7A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392-4E11-82E7-A7519D5E31CE}"/>
                </c:ext>
              </c:extLst>
            </c:dLbl>
            <c:dLbl>
              <c:idx val="2"/>
              <c:tx>
                <c:rich>
                  <a:bodyPr/>
                  <a:lstStyle/>
                  <a:p>
                    <a:fld id="{CA936D6D-3286-4FD4-8143-6F472983240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392-4E11-82E7-A7519D5E31CE}"/>
                </c:ext>
              </c:extLst>
            </c:dLbl>
            <c:dLbl>
              <c:idx val="3"/>
              <c:tx>
                <c:rich>
                  <a:bodyPr/>
                  <a:lstStyle/>
                  <a:p>
                    <a:fld id="{FCCE783C-6712-415B-9E3E-179689EB99A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392-4E11-82E7-A7519D5E31CE}"/>
                </c:ext>
              </c:extLst>
            </c:dLbl>
            <c:dLbl>
              <c:idx val="4"/>
              <c:tx>
                <c:rich>
                  <a:bodyPr/>
                  <a:lstStyle/>
                  <a:p>
                    <a:fld id="{D981CC65-B014-4FC4-AE36-51156660EAE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392-4E11-82E7-A7519D5E31CE}"/>
                </c:ext>
              </c:extLst>
            </c:dLbl>
            <c:dLbl>
              <c:idx val="5"/>
              <c:tx>
                <c:rich>
                  <a:bodyPr/>
                  <a:lstStyle/>
                  <a:p>
                    <a:fld id="{3C1DF53F-2D54-4FAD-84CD-B1697797879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392-4E11-82E7-A7519D5E31CE}"/>
                </c:ext>
              </c:extLst>
            </c:dLbl>
            <c:dLbl>
              <c:idx val="6"/>
              <c:tx>
                <c:rich>
                  <a:bodyPr/>
                  <a:lstStyle/>
                  <a:p>
                    <a:fld id="{74361B82-5A5D-41F3-90D4-BC775F98197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392-4E11-82E7-A7519D5E31CE}"/>
                </c:ext>
              </c:extLst>
            </c:dLbl>
            <c:dLbl>
              <c:idx val="7"/>
              <c:tx>
                <c:rich>
                  <a:bodyPr/>
                  <a:lstStyle/>
                  <a:p>
                    <a:fld id="{EDE71090-ADBB-49F4-804B-1873AA2CC28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392-4E11-82E7-A7519D5E31CE}"/>
                </c:ext>
              </c:extLst>
            </c:dLbl>
            <c:dLbl>
              <c:idx val="8"/>
              <c:tx>
                <c:rich>
                  <a:bodyPr/>
                  <a:lstStyle/>
                  <a:p>
                    <a:fld id="{3F9CC4F5-0578-403A-A5CA-721636580D5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392-4E11-82E7-A7519D5E31CE}"/>
                </c:ext>
              </c:extLst>
            </c:dLbl>
            <c:dLbl>
              <c:idx val="9"/>
              <c:tx>
                <c:rich>
                  <a:bodyPr/>
                  <a:lstStyle/>
                  <a:p>
                    <a:fld id="{955D6AF9-3CE6-4AF5-8A46-CB196FFF3BB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C9C1D4E2-4B03-4B13-90C0-64363143A97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392-4E11-82E7-A7519D5E31CE}"/>
                </c:ext>
              </c:extLst>
            </c:dLbl>
            <c:dLbl>
              <c:idx val="11"/>
              <c:tx>
                <c:rich>
                  <a:bodyPr/>
                  <a:lstStyle/>
                  <a:p>
                    <a:fld id="{99BDE9F4-65BC-4661-A2EA-C406FFDE4C1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D392-4E11-82E7-A7519D5E31CE}"/>
                </c:ext>
              </c:extLst>
            </c:dLbl>
            <c:dLbl>
              <c:idx val="13"/>
              <c:tx>
                <c:rich>
                  <a:bodyPr/>
                  <a:lstStyle/>
                  <a:p>
                    <a:fld id="{83F92FD7-B69F-49BA-9E8D-AD629AD09DE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BC7EBB7B-51D5-4B66-BBBC-D4C4D66A8B4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392-4E11-82E7-A7519D5E31CE}"/>
                </c:ext>
              </c:extLst>
            </c:dLbl>
            <c:dLbl>
              <c:idx val="15"/>
              <c:tx>
                <c:rich>
                  <a:bodyPr/>
                  <a:lstStyle/>
                  <a:p>
                    <a:fld id="{B0B9CB4F-B283-49ED-94ED-94128CA956C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960EA15F-9E35-4564-B697-936F9B299F9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392-4E11-82E7-A7519D5E31CE}"/>
                </c:ext>
              </c:extLst>
            </c:dLbl>
            <c:dLbl>
              <c:idx val="17"/>
              <c:tx>
                <c:rich>
                  <a:bodyPr/>
                  <a:lstStyle/>
                  <a:p>
                    <a:fld id="{972815A9-430C-45EC-B276-A0801B2249F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D392-4E11-82E7-A7519D5E31CE}"/>
                </c:ext>
              </c:extLst>
            </c:dLbl>
            <c:dLbl>
              <c:idx val="18"/>
              <c:tx>
                <c:rich>
                  <a:bodyPr/>
                  <a:lstStyle/>
                  <a:p>
                    <a:fld id="{13410DEA-5277-4D07-9738-107D0F94129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D392-4E11-82E7-A7519D5E31CE}"/>
                </c:ext>
              </c:extLst>
            </c:dLbl>
            <c:dLbl>
              <c:idx val="19"/>
              <c:tx>
                <c:rich>
                  <a:bodyPr/>
                  <a:lstStyle/>
                  <a:p>
                    <a:fld id="{68F4FEC4-232D-40D1-9634-B03FC36363E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392-4E11-82E7-A7519D5E31CE}"/>
                </c:ext>
              </c:extLst>
            </c:dLbl>
            <c:dLbl>
              <c:idx val="20"/>
              <c:tx>
                <c:rich>
                  <a:bodyPr/>
                  <a:lstStyle/>
                  <a:p>
                    <a:fld id="{EA63655A-2E98-4412-B695-783E13C7300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392-4E11-82E7-A7519D5E31CE}"/>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5.7607858102673916E-2</c:v>
                  </c:pt>
                  <c:pt idx="1">
                    <c:v>7.9858018244174878E-2</c:v>
                  </c:pt>
                  <c:pt idx="2">
                    <c:v>7.6831841282086505E-2</c:v>
                  </c:pt>
                  <c:pt idx="3">
                    <c:v>4.0544907538336318E-2</c:v>
                  </c:pt>
                  <c:pt idx="4">
                    <c:v>0.10729451195642507</c:v>
                  </c:pt>
                  <c:pt idx="5">
                    <c:v>0.27845440860180332</c:v>
                  </c:pt>
                  <c:pt idx="6">
                    <c:v>0.35149287361891718</c:v>
                  </c:pt>
                  <c:pt idx="7">
                    <c:v>2.6304988747836159E-2</c:v>
                  </c:pt>
                  <c:pt idx="8">
                    <c:v>4.621129727371364E-2</c:v>
                  </c:pt>
                  <c:pt idx="9">
                    <c:v>4.687344941971671E-2</c:v>
                  </c:pt>
                  <c:pt idx="10">
                    <c:v>0.42820639558116935</c:v>
                  </c:pt>
                  <c:pt idx="11">
                    <c:v>0.41036408019762377</c:v>
                  </c:pt>
                  <c:pt idx="13">
                    <c:v>0.25367317117702332</c:v>
                  </c:pt>
                  <c:pt idx="14">
                    <c:v>0.17858797784953381</c:v>
                  </c:pt>
                  <c:pt idx="15">
                    <c:v>2.3862072937816694E-2</c:v>
                  </c:pt>
                  <c:pt idx="16">
                    <c:v>0.19097657732310108</c:v>
                  </c:pt>
                  <c:pt idx="17">
                    <c:v>0.3188368964181999</c:v>
                  </c:pt>
                  <c:pt idx="18">
                    <c:v>0.35606794538770692</c:v>
                  </c:pt>
                  <c:pt idx="19">
                    <c:v>0.45072116124768008</c:v>
                  </c:pt>
                  <c:pt idx="20">
                    <c:v>0.5039924086846731</c:v>
                  </c:pt>
                </c:numCache>
              </c:numRef>
            </c:plus>
            <c:minus>
              <c:numLit>
                <c:formatCode>General</c:formatCode>
                <c:ptCount val="1"/>
                <c:pt idx="0">
                  <c:v>1</c:v>
                </c:pt>
              </c:numLit>
            </c:minus>
          </c:errBars>
          <c:cat>
            <c:strRef>
              <c:f>'R2'!$B$52:$V$52</c:f>
              <c:strCache>
                <c:ptCount val="21"/>
                <c:pt idx="0">
                  <c:v>Témoin solvant</c:v>
                </c:pt>
                <c:pt idx="1">
                  <c:v>EE2-33,8ng/L</c:v>
                </c:pt>
                <c:pt idx="2">
                  <c:v>EE2-50,6ng/L</c:v>
                </c:pt>
                <c:pt idx="3">
                  <c:v>EE2-76ng/L</c:v>
                </c:pt>
                <c:pt idx="4">
                  <c:v>EE2-114ng/L</c:v>
                </c:pt>
                <c:pt idx="5">
                  <c:v>EE2-170,9ng/L</c:v>
                </c:pt>
                <c:pt idx="6">
                  <c:v>EE2-488ng/L</c:v>
                </c:pt>
                <c:pt idx="7">
                  <c:v>Estrone-0,04µg/L</c:v>
                </c:pt>
                <c:pt idx="8">
                  <c:v>Estrone-0,2µg/L</c:v>
                </c:pt>
                <c:pt idx="9">
                  <c:v>Estrone-1µg/L</c:v>
                </c:pt>
                <c:pt idx="10">
                  <c:v>Estrone-5µg/L</c:v>
                </c:pt>
                <c:pt idx="11">
                  <c:v>Estrone-25µg/L</c:v>
                </c:pt>
                <c:pt idx="13">
                  <c:v>Testo -30µg/L</c:v>
                </c:pt>
                <c:pt idx="14">
                  <c:v>Testo 30µg/L + EE2 -64ng/L</c:v>
                </c:pt>
                <c:pt idx="15">
                  <c:v>Testo 30µg/L + FAD-10µg/L</c:v>
                </c:pt>
                <c:pt idx="16">
                  <c:v>Estrone-0,04µg/L + Testostérone</c:v>
                </c:pt>
                <c:pt idx="17">
                  <c:v>Estrone-0,2µg/L + Testostérone</c:v>
                </c:pt>
                <c:pt idx="18">
                  <c:v>Estrone-1µg/L + Testostérone</c:v>
                </c:pt>
                <c:pt idx="19">
                  <c:v>Estrone-5µg/L + Testostérone</c:v>
                </c:pt>
                <c:pt idx="20">
                  <c:v>Estrone-25µg/L + Testostérone</c:v>
                </c:pt>
              </c:strCache>
            </c:strRef>
          </c:cat>
          <c:val>
            <c:numRef>
              <c:f>'R2'!$B$53:$V$53</c:f>
              <c:numCache>
                <c:formatCode>0.0000</c:formatCode>
                <c:ptCount val="21"/>
                <c:pt idx="0">
                  <c:v>0.18284142971057266</c:v>
                </c:pt>
                <c:pt idx="1">
                  <c:v>0.24159750629937907</c:v>
                </c:pt>
                <c:pt idx="2">
                  <c:v>0.25611081641401012</c:v>
                </c:pt>
                <c:pt idx="3">
                  <c:v>0.18380077177404247</c:v>
                </c:pt>
                <c:pt idx="4">
                  <c:v>0.71945271956991985</c:v>
                </c:pt>
                <c:pt idx="5">
                  <c:v>2.0817960103335191</c:v>
                </c:pt>
                <c:pt idx="6">
                  <c:v>4.8140990390452885</c:v>
                </c:pt>
                <c:pt idx="7">
                  <c:v>0.18199337177572877</c:v>
                </c:pt>
                <c:pt idx="8">
                  <c:v>0.17055258497789794</c:v>
                </c:pt>
                <c:pt idx="9">
                  <c:v>0.23159174538345997</c:v>
                </c:pt>
                <c:pt idx="10">
                  <c:v>4.2083731771696291</c:v>
                </c:pt>
                <c:pt idx="11">
                  <c:v>6.1163601528335816</c:v>
                </c:pt>
                <c:pt idx="13">
                  <c:v>1</c:v>
                </c:pt>
                <c:pt idx="14">
                  <c:v>2.2468647913692013</c:v>
                </c:pt>
                <c:pt idx="15">
                  <c:v>6.4127141520113867E-2</c:v>
                </c:pt>
                <c:pt idx="16">
                  <c:v>0.87986661910881991</c:v>
                </c:pt>
                <c:pt idx="17">
                  <c:v>2.2000321359204622</c:v>
                </c:pt>
                <c:pt idx="18">
                  <c:v>3.1757798281349903</c:v>
                </c:pt>
                <c:pt idx="19">
                  <c:v>4.1165560108103652</c:v>
                </c:pt>
                <c:pt idx="20">
                  <c:v>5.6218047924940304</c:v>
                </c:pt>
              </c:numCache>
            </c:numRef>
          </c:val>
          <c:extLst>
            <c:ext xmlns:c15="http://schemas.microsoft.com/office/drawing/2012/chart" uri="{02D57815-91ED-43cb-92C2-25804820EDAC}">
              <c15:datalabelsRange>
                <c15:f>'R2'!$B$61:$V$61</c15:f>
                <c15:dlblRangeCache>
                  <c:ptCount val="21"/>
                  <c:pt idx="1">
                    <c:v>NS</c:v>
                  </c:pt>
                  <c:pt idx="2">
                    <c:v>NS</c:v>
                  </c:pt>
                  <c:pt idx="3">
                    <c:v>NS</c:v>
                  </c:pt>
                  <c:pt idx="4">
                    <c:v>NS</c:v>
                  </c:pt>
                  <c:pt idx="5">
                    <c:v>**</c:v>
                  </c:pt>
                  <c:pt idx="6">
                    <c:v>***</c:v>
                  </c:pt>
                  <c:pt idx="7">
                    <c:v>NS</c:v>
                  </c:pt>
                  <c:pt idx="8">
                    <c:v>NS</c:v>
                  </c:pt>
                  <c:pt idx="9">
                    <c:v>NS</c:v>
                  </c:pt>
                  <c:pt idx="10">
                    <c:v>**</c:v>
                  </c:pt>
                  <c:pt idx="11">
                    <c:v>***</c:v>
                  </c:pt>
                  <c:pt idx="13">
                    <c:v>**</c:v>
                  </c:pt>
                  <c:pt idx="14">
                    <c:v>**</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6.6"/>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BBA5-451B-8803-3C184F197B7E}"/>
              </c:ext>
            </c:extLst>
          </c:dPt>
          <c:dPt>
            <c:idx val="1"/>
            <c:invertIfNegative val="0"/>
            <c:bubble3D val="0"/>
            <c:spPr>
              <a:solidFill>
                <a:srgbClr val="FF0000"/>
              </a:solidFill>
            </c:spPr>
            <c:extLst>
              <c:ext xmlns:c16="http://schemas.microsoft.com/office/drawing/2014/chart" uri="{C3380CC4-5D6E-409C-BE32-E72D297353CC}">
                <c16:uniqueId val="{00000018-BBA5-451B-8803-3C184F197B7E}"/>
              </c:ext>
            </c:extLst>
          </c:dPt>
          <c:dPt>
            <c:idx val="2"/>
            <c:invertIfNegative val="0"/>
            <c:bubble3D val="0"/>
            <c:spPr>
              <a:solidFill>
                <a:srgbClr val="FF0000"/>
              </a:solidFill>
            </c:spPr>
            <c:extLst>
              <c:ext xmlns:c16="http://schemas.microsoft.com/office/drawing/2014/chart" uri="{C3380CC4-5D6E-409C-BE32-E72D297353CC}">
                <c16:uniqueId val="{00000019-BBA5-451B-8803-3C184F197B7E}"/>
              </c:ext>
            </c:extLst>
          </c:dPt>
          <c:dPt>
            <c:idx val="3"/>
            <c:invertIfNegative val="0"/>
            <c:bubble3D val="0"/>
            <c:spPr>
              <a:solidFill>
                <a:srgbClr val="FF0000"/>
              </a:solidFill>
            </c:spPr>
            <c:extLst>
              <c:ext xmlns:c16="http://schemas.microsoft.com/office/drawing/2014/chart" uri="{C3380CC4-5D6E-409C-BE32-E72D297353CC}">
                <c16:uniqueId val="{0000001A-BBA5-451B-8803-3C184F197B7E}"/>
              </c:ext>
            </c:extLst>
          </c:dPt>
          <c:dPt>
            <c:idx val="4"/>
            <c:invertIfNegative val="0"/>
            <c:bubble3D val="0"/>
            <c:spPr>
              <a:solidFill>
                <a:srgbClr val="FF0000"/>
              </a:solidFill>
            </c:spPr>
            <c:extLst>
              <c:ext xmlns:c16="http://schemas.microsoft.com/office/drawing/2014/chart" uri="{C3380CC4-5D6E-409C-BE32-E72D297353CC}">
                <c16:uniqueId val="{0000001B-BBA5-451B-8803-3C184F197B7E}"/>
              </c:ext>
            </c:extLst>
          </c:dPt>
          <c:dPt>
            <c:idx val="5"/>
            <c:invertIfNegative val="0"/>
            <c:bubble3D val="0"/>
            <c:spPr>
              <a:solidFill>
                <a:srgbClr val="FF0000"/>
              </a:solidFill>
            </c:spPr>
            <c:extLst>
              <c:ext xmlns:c16="http://schemas.microsoft.com/office/drawing/2014/chart" uri="{C3380CC4-5D6E-409C-BE32-E72D297353CC}">
                <c16:uniqueId val="{0000001C-BBA5-451B-8803-3C184F197B7E}"/>
              </c:ext>
            </c:extLst>
          </c:dPt>
          <c:dPt>
            <c:idx val="6"/>
            <c:invertIfNegative val="0"/>
            <c:bubble3D val="0"/>
            <c:spPr>
              <a:solidFill>
                <a:srgbClr val="FF0000"/>
              </a:solidFill>
            </c:spPr>
            <c:extLst>
              <c:ext xmlns:c16="http://schemas.microsoft.com/office/drawing/2014/chart" uri="{C3380CC4-5D6E-409C-BE32-E72D297353CC}">
                <c16:uniqueId val="{0000001D-BBA5-451B-8803-3C184F197B7E}"/>
              </c:ext>
            </c:extLst>
          </c:dPt>
          <c:dPt>
            <c:idx val="7"/>
            <c:invertIfNegative val="0"/>
            <c:bubble3D val="0"/>
            <c:spPr>
              <a:solidFill>
                <a:schemeClr val="bg1">
                  <a:lumMod val="65000"/>
                </a:schemeClr>
              </a:solidFill>
            </c:spPr>
            <c:extLst>
              <c:ext xmlns:c16="http://schemas.microsoft.com/office/drawing/2014/chart" uri="{C3380CC4-5D6E-409C-BE32-E72D297353CC}">
                <c16:uniqueId val="{00000020-BBA5-451B-8803-3C184F197B7E}"/>
              </c:ext>
            </c:extLst>
          </c:dPt>
          <c:dPt>
            <c:idx val="8"/>
            <c:invertIfNegative val="0"/>
            <c:bubble3D val="0"/>
            <c:spPr>
              <a:solidFill>
                <a:schemeClr val="bg1">
                  <a:lumMod val="65000"/>
                </a:schemeClr>
              </a:solidFill>
            </c:spPr>
            <c:extLst>
              <c:ext xmlns:c16="http://schemas.microsoft.com/office/drawing/2014/chart" uri="{C3380CC4-5D6E-409C-BE32-E72D297353CC}">
                <c16:uniqueId val="{0000001F-BBA5-451B-8803-3C184F197B7E}"/>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1E-BBA5-451B-8803-3C184F197B7E}"/>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BBA5-451B-8803-3C184F197B7E}"/>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BBA5-451B-8803-3C184F197B7E}"/>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BBA5-451B-8803-3C184F197B7E}"/>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BBA5-451B-8803-3C184F197B7E}"/>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BBA5-451B-8803-3C184F197B7E}"/>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BBA5-451B-8803-3C184F197B7E}"/>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6E997F36-6B73-406D-B0F0-38DE90C4A5C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BA5-451B-8803-3C184F197B7E}"/>
                </c:ext>
              </c:extLst>
            </c:dLbl>
            <c:dLbl>
              <c:idx val="1"/>
              <c:tx>
                <c:rich>
                  <a:bodyPr/>
                  <a:lstStyle/>
                  <a:p>
                    <a:fld id="{53FEF183-D970-42DA-A011-F69569770F8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BA5-451B-8803-3C184F197B7E}"/>
                </c:ext>
              </c:extLst>
            </c:dLbl>
            <c:dLbl>
              <c:idx val="2"/>
              <c:tx>
                <c:rich>
                  <a:bodyPr/>
                  <a:lstStyle/>
                  <a:p>
                    <a:fld id="{B2E29BD6-9716-4BC9-92D2-0E6A2D828C0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BA5-451B-8803-3C184F197B7E}"/>
                </c:ext>
              </c:extLst>
            </c:dLbl>
            <c:dLbl>
              <c:idx val="3"/>
              <c:tx>
                <c:rich>
                  <a:bodyPr/>
                  <a:lstStyle/>
                  <a:p>
                    <a:fld id="{0EEB8A62-6916-471D-BEB2-AD3794CA11B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BA5-451B-8803-3C184F197B7E}"/>
                </c:ext>
              </c:extLst>
            </c:dLbl>
            <c:dLbl>
              <c:idx val="4"/>
              <c:tx>
                <c:rich>
                  <a:bodyPr/>
                  <a:lstStyle/>
                  <a:p>
                    <a:fld id="{6D592293-1FBD-4EBC-8479-EFCA49E2A59D}"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BA5-451B-8803-3C184F197B7E}"/>
                </c:ext>
              </c:extLst>
            </c:dLbl>
            <c:dLbl>
              <c:idx val="5"/>
              <c:tx>
                <c:rich>
                  <a:bodyPr/>
                  <a:lstStyle/>
                  <a:p>
                    <a:fld id="{97CBD13D-7F08-4CF1-867C-1E0693B300B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BA5-451B-8803-3C184F197B7E}"/>
                </c:ext>
              </c:extLst>
            </c:dLbl>
            <c:dLbl>
              <c:idx val="6"/>
              <c:tx>
                <c:rich>
                  <a:bodyPr/>
                  <a:lstStyle/>
                  <a:p>
                    <a:fld id="{58A30F69-00FE-4C2C-A809-F6CEFC88EF8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BA5-451B-8803-3C184F197B7E}"/>
                </c:ext>
              </c:extLst>
            </c:dLbl>
            <c:dLbl>
              <c:idx val="7"/>
              <c:tx>
                <c:rich>
                  <a:bodyPr/>
                  <a:lstStyle/>
                  <a:p>
                    <a:fld id="{335C1F84-E27D-4B32-888D-989AABCC5DE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BBA5-451B-8803-3C184F197B7E}"/>
                </c:ext>
              </c:extLst>
            </c:dLbl>
            <c:dLbl>
              <c:idx val="8"/>
              <c:tx>
                <c:rich>
                  <a:bodyPr/>
                  <a:lstStyle/>
                  <a:p>
                    <a:fld id="{6553B6F9-9FD5-4FA2-A997-140B667122C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BA5-451B-8803-3C184F197B7E}"/>
                </c:ext>
              </c:extLst>
            </c:dLbl>
            <c:dLbl>
              <c:idx val="9"/>
              <c:tx>
                <c:rich>
                  <a:bodyPr/>
                  <a:lstStyle/>
                  <a:p>
                    <a:fld id="{6E70FB9A-945B-4BEB-8D33-3E715A96148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399CA8D8-6369-4565-B524-91AF948C054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BA5-451B-8803-3C184F197B7E}"/>
                </c:ext>
              </c:extLst>
            </c:dLbl>
            <c:dLbl>
              <c:idx val="11"/>
              <c:tx>
                <c:rich>
                  <a:bodyPr/>
                  <a:lstStyle/>
                  <a:p>
                    <a:fld id="{0AE8EFEB-90F6-47C8-93E5-68AAF81210FD}"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BBA5-451B-8803-3C184F197B7E}"/>
                </c:ext>
              </c:extLst>
            </c:dLbl>
            <c:dLbl>
              <c:idx val="13"/>
              <c:tx>
                <c:rich>
                  <a:bodyPr/>
                  <a:lstStyle/>
                  <a:p>
                    <a:fld id="{3E4BFE83-5F7A-4259-88A3-6B826D2AC0B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AFCBCDDC-F718-47C5-B605-BDA41DAC2B5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BBA5-451B-8803-3C184F197B7E}"/>
                </c:ext>
              </c:extLst>
            </c:dLbl>
            <c:dLbl>
              <c:idx val="15"/>
              <c:tx>
                <c:rich>
                  <a:bodyPr/>
                  <a:lstStyle/>
                  <a:p>
                    <a:fld id="{A9820FBE-AE2E-4081-8D09-5EDDC70A91C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181CF477-CD87-447A-9757-0EEA54DAC88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BA5-451B-8803-3C184F197B7E}"/>
                </c:ext>
              </c:extLst>
            </c:dLbl>
            <c:dLbl>
              <c:idx val="17"/>
              <c:tx>
                <c:rich>
                  <a:bodyPr/>
                  <a:lstStyle/>
                  <a:p>
                    <a:fld id="{40D0532B-747E-4C6E-814D-8D7A12F2A03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BBA5-451B-8803-3C184F197B7E}"/>
                </c:ext>
              </c:extLst>
            </c:dLbl>
            <c:dLbl>
              <c:idx val="18"/>
              <c:tx>
                <c:rich>
                  <a:bodyPr/>
                  <a:lstStyle/>
                  <a:p>
                    <a:fld id="{041DCB15-A379-4EBB-A80C-CC3B8538789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BA5-451B-8803-3C184F197B7E}"/>
                </c:ext>
              </c:extLst>
            </c:dLbl>
            <c:dLbl>
              <c:idx val="19"/>
              <c:tx>
                <c:rich>
                  <a:bodyPr/>
                  <a:lstStyle/>
                  <a:p>
                    <a:fld id="{3F288147-2019-4AF4-AB9E-DDBD0B51B10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BA5-451B-8803-3C184F197B7E}"/>
                </c:ext>
              </c:extLst>
            </c:dLbl>
            <c:dLbl>
              <c:idx val="20"/>
              <c:tx>
                <c:rich>
                  <a:bodyPr/>
                  <a:lstStyle/>
                  <a:p>
                    <a:fld id="{C379E265-68E4-4D44-907D-377FDF78387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BA5-451B-8803-3C184F197B7E}"/>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1.3406922966637265E-2</c:v>
                  </c:pt>
                  <c:pt idx="1">
                    <c:v>4.4120907274885261E-2</c:v>
                  </c:pt>
                  <c:pt idx="2">
                    <c:v>1.6407015025333781E-2</c:v>
                  </c:pt>
                  <c:pt idx="3">
                    <c:v>4.4018150129684304E-2</c:v>
                  </c:pt>
                  <c:pt idx="4">
                    <c:v>0.14135339588811452</c:v>
                  </c:pt>
                  <c:pt idx="5">
                    <c:v>0.22803110922981218</c:v>
                  </c:pt>
                  <c:pt idx="6">
                    <c:v>0.39222235923657578</c:v>
                  </c:pt>
                  <c:pt idx="7">
                    <c:v>1.1707086864274083E-2</c:v>
                  </c:pt>
                  <c:pt idx="8">
                    <c:v>2.049368321027243E-2</c:v>
                  </c:pt>
                  <c:pt idx="9">
                    <c:v>0.10862253237702506</c:v>
                  </c:pt>
                  <c:pt idx="10">
                    <c:v>0.25095366381034512</c:v>
                  </c:pt>
                  <c:pt idx="11">
                    <c:v>0.32403330683770321</c:v>
                  </c:pt>
                  <c:pt idx="13">
                    <c:v>0.15020856162546453</c:v>
                  </c:pt>
                  <c:pt idx="14">
                    <c:v>0.18343349083777305</c:v>
                  </c:pt>
                  <c:pt idx="15">
                    <c:v>1.2317876592328046E-2</c:v>
                  </c:pt>
                  <c:pt idx="16">
                    <c:v>0.18225409694502703</c:v>
                  </c:pt>
                  <c:pt idx="17">
                    <c:v>0.18436513624039752</c:v>
                  </c:pt>
                  <c:pt idx="18">
                    <c:v>0.25194746370882376</c:v>
                  </c:pt>
                  <c:pt idx="19">
                    <c:v>0.25965923567821431</c:v>
                  </c:pt>
                  <c:pt idx="20">
                    <c:v>0.38992826933125463</c:v>
                  </c:pt>
                </c:numCache>
              </c:numRef>
            </c:plus>
            <c:minus>
              <c:numRef>
                <c:f>'R1'!$N$48:$V$48</c:f>
                <c:numCache>
                  <c:formatCode>General</c:formatCode>
                  <c:ptCount val="9"/>
                  <c:pt idx="0">
                    <c:v>0</c:v>
                  </c:pt>
                  <c:pt idx="1">
                    <c:v>0.20457248502714065</c:v>
                  </c:pt>
                  <c:pt idx="2">
                    <c:v>0.34292174968973638</c:v>
                  </c:pt>
                  <c:pt idx="3">
                    <c:v>2.3321096978679894E-2</c:v>
                  </c:pt>
                  <c:pt idx="4">
                    <c:v>0.21503510353996605</c:v>
                  </c:pt>
                  <c:pt idx="5">
                    <c:v>0.16598641358852786</c:v>
                  </c:pt>
                  <c:pt idx="6">
                    <c:v>0.27927441096054761</c:v>
                  </c:pt>
                  <c:pt idx="7">
                    <c:v>0.35652499068770144</c:v>
                  </c:pt>
                  <c:pt idx="8">
                    <c:v>0.49919133897478657</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Estrone-0,04µg/L</c:v>
                </c:pt>
                <c:pt idx="8">
                  <c:v>Estrone-0,2µg/L</c:v>
                </c:pt>
                <c:pt idx="9">
                  <c:v>Estrone-1µg/L</c:v>
                </c:pt>
                <c:pt idx="10">
                  <c:v>Estrone-5µg/L</c:v>
                </c:pt>
                <c:pt idx="11">
                  <c:v>Estrone-25µg/L</c:v>
                </c:pt>
                <c:pt idx="13">
                  <c:v>Testo -30µg/L</c:v>
                </c:pt>
                <c:pt idx="14">
                  <c:v>Testo 30µg/L + EE2 -64ng/L</c:v>
                </c:pt>
                <c:pt idx="15">
                  <c:v>Testo 30µg/L + FAD-10µg/L</c:v>
                </c:pt>
                <c:pt idx="16">
                  <c:v>Estrone-0,04µg/L + Testostérone</c:v>
                </c:pt>
                <c:pt idx="17">
                  <c:v>Estrone-0,2µg/L + Testostérone</c:v>
                </c:pt>
                <c:pt idx="18">
                  <c:v>Estrone-1µg/L + Testostérone</c:v>
                </c:pt>
                <c:pt idx="19">
                  <c:v>Estrone-5µg/L + Testostérone</c:v>
                </c:pt>
                <c:pt idx="20">
                  <c:v>Estrone-25µg/L + Testostérone</c:v>
                </c:pt>
              </c:strCache>
            </c:strRef>
          </c:cat>
          <c:val>
            <c:numRef>
              <c:f>'R3'!$B$53:$V$53</c:f>
              <c:numCache>
                <c:formatCode>0.0000</c:formatCode>
                <c:ptCount val="21"/>
                <c:pt idx="0">
                  <c:v>7.6900454321238626E-2</c:v>
                </c:pt>
                <c:pt idx="1">
                  <c:v>0.11524886329729811</c:v>
                </c:pt>
                <c:pt idx="2">
                  <c:v>5.7794459906136839E-2</c:v>
                </c:pt>
                <c:pt idx="3">
                  <c:v>0.14555931972987976</c:v>
                </c:pt>
                <c:pt idx="4">
                  <c:v>0.60719800417166681</c:v>
                </c:pt>
                <c:pt idx="5">
                  <c:v>1.274405724880217</c:v>
                </c:pt>
                <c:pt idx="6">
                  <c:v>2.2525530669883631</c:v>
                </c:pt>
                <c:pt idx="7">
                  <c:v>6.0787226833922653E-2</c:v>
                </c:pt>
                <c:pt idx="8">
                  <c:v>6.4734637770156409E-2</c:v>
                </c:pt>
                <c:pt idx="9">
                  <c:v>0.27516104491320298</c:v>
                </c:pt>
                <c:pt idx="10">
                  <c:v>2.1229130940963716</c:v>
                </c:pt>
                <c:pt idx="11">
                  <c:v>3.47589363092071</c:v>
                </c:pt>
                <c:pt idx="13">
                  <c:v>1.0000000000000002</c:v>
                </c:pt>
                <c:pt idx="14">
                  <c:v>1.7479432752421922</c:v>
                </c:pt>
                <c:pt idx="15">
                  <c:v>4.9933801003898645E-2</c:v>
                </c:pt>
                <c:pt idx="16">
                  <c:v>0.91747629287289678</c:v>
                </c:pt>
                <c:pt idx="17">
                  <c:v>0.98077295583815882</c:v>
                </c:pt>
                <c:pt idx="18">
                  <c:v>1.2035090592624045</c:v>
                </c:pt>
                <c:pt idx="19">
                  <c:v>2.3026308440066647</c:v>
                </c:pt>
                <c:pt idx="20">
                  <c:v>3.0525219903374854</c:v>
                </c:pt>
              </c:numCache>
            </c:numRef>
          </c:val>
          <c:extLst>
            <c:ext xmlns:c15="http://schemas.microsoft.com/office/drawing/2012/chart" uri="{02D57815-91ED-43cb-92C2-25804820EDAC}">
              <c15:datalabelsRange>
                <c15:f>'R3'!$B$61:$V$61</c15:f>
                <c15:dlblRangeCache>
                  <c:ptCount val="21"/>
                  <c:pt idx="1">
                    <c:v>NS</c:v>
                  </c:pt>
                  <c:pt idx="2">
                    <c:v>NS</c:v>
                  </c:pt>
                  <c:pt idx="3">
                    <c:v>NS</c:v>
                  </c:pt>
                  <c:pt idx="4">
                    <c:v>NS</c:v>
                  </c:pt>
                  <c:pt idx="5">
                    <c:v>*</c:v>
                  </c:pt>
                  <c:pt idx="6">
                    <c:v>***</c:v>
                  </c:pt>
                  <c:pt idx="7">
                    <c:v>NS</c:v>
                  </c:pt>
                  <c:pt idx="8">
                    <c:v>NS</c:v>
                  </c:pt>
                  <c:pt idx="9">
                    <c:v>NS</c:v>
                  </c:pt>
                  <c:pt idx="10">
                    <c:v>*</c:v>
                  </c:pt>
                  <c:pt idx="11">
                    <c:v>**</c:v>
                  </c:pt>
                  <c:pt idx="13">
                    <c:v>***</c:v>
                  </c:pt>
                  <c:pt idx="14">
                    <c:v>**</c:v>
                  </c:pt>
                  <c:pt idx="15">
                    <c:v>***</c:v>
                  </c:pt>
                  <c:pt idx="16">
                    <c:v>NS</c:v>
                  </c:pt>
                  <c:pt idx="17">
                    <c:v>NS</c:v>
                  </c:pt>
                  <c:pt idx="18">
                    <c:v>NS</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rgbClr val="00B050"/>
              </a:solidFill>
            </c:spPr>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1D159A4E-7350-4753-8690-27589CACD1E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12E00425-2EDA-434D-8203-E3CBC9CCA8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F5729D1D-F50C-4E14-A393-F4AFA24782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DC798ED5-33DA-4B9C-A703-64D579E3DF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9E0056FA-B0D5-4E22-8BF4-932C3A23F8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7E5ED64D-5F1F-4F0E-8D14-75E20F5E32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1B9580C5-7BFD-4578-BA9F-CA786CF09A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E7DEE32E-F0BE-49EE-9D84-4B3D77D9BF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E75F09FB-BA66-4C91-AA60-6CDC13E307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CA019A1B-487F-4649-AD49-A174485360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48B8C0FE-9B24-4C7E-A348-DD7C707862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78375D35-703C-449F-A5AC-05D7AADD93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B181BA76-FF80-47BA-BAF8-96F9B5AD16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8B48085E-8515-422A-BB3E-4F9BAF1AD9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1AF2B533-AD3B-4F51-B8A4-9227E897D6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02E7C47B-A66D-401D-9530-5A26556813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E8EC72E7-4FF2-477D-99EB-A12C53AAC1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7862B5DC-723C-4488-B963-FBDE019E93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0307C7DB-2E4B-400B-8ABD-203CED4DC3D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C6B01742-4240-44EA-9DCA-733E792E13D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2.3778372709440564E-2</c:v>
                  </c:pt>
                  <c:pt idx="1">
                    <c:v>4.0298174793813736E-2</c:v>
                  </c:pt>
                  <c:pt idx="2">
                    <c:v>3.1506811323425449E-2</c:v>
                  </c:pt>
                  <c:pt idx="3">
                    <c:v>3.406438999897738E-2</c:v>
                  </c:pt>
                  <c:pt idx="4">
                    <c:v>6.2415552847875144E-2</c:v>
                  </c:pt>
                  <c:pt idx="5">
                    <c:v>0.15466458158871382</c:v>
                  </c:pt>
                  <c:pt idx="6">
                    <c:v>0.29261784745059927</c:v>
                  </c:pt>
                  <c:pt idx="7">
                    <c:v>1.5132953974691193E-2</c:v>
                  </c:pt>
                  <c:pt idx="8">
                    <c:v>2.4018614026906318E-2</c:v>
                  </c:pt>
                  <c:pt idx="9">
                    <c:v>4.045405948901145E-2</c:v>
                  </c:pt>
                  <c:pt idx="10">
                    <c:v>0.29573101816179476</c:v>
                  </c:pt>
                  <c:pt idx="11">
                    <c:v>0.36332795253411954</c:v>
                  </c:pt>
                  <c:pt idx="13">
                    <c:v>0.11710255648325002</c:v>
                  </c:pt>
                  <c:pt idx="14">
                    <c:v>0.14903095722901605</c:v>
                  </c:pt>
                  <c:pt idx="15">
                    <c:v>1.2188539509450572E-2</c:v>
                  </c:pt>
                  <c:pt idx="16">
                    <c:v>0.10923905089160788</c:v>
                  </c:pt>
                  <c:pt idx="17">
                    <c:v>0.1818648226406282</c:v>
                  </c:pt>
                  <c:pt idx="18">
                    <c:v>0.23537592359283424</c:v>
                  </c:pt>
                  <c:pt idx="19">
                    <c:v>0.27040130868635426</c:v>
                  </c:pt>
                  <c:pt idx="20">
                    <c:v>0.35668905659410133</c:v>
                  </c:pt>
                </c:numCache>
              </c:numRef>
            </c:plus>
            <c:minus>
              <c:numRef>
                <c:f>'pooled normalised values'!$B$76:$V$76</c:f>
                <c:numCache>
                  <c:formatCode>General</c:formatCode>
                  <c:ptCount val="21"/>
                  <c:pt idx="0">
                    <c:v>2.3778372709440564E-2</c:v>
                  </c:pt>
                  <c:pt idx="1">
                    <c:v>4.0298174793813736E-2</c:v>
                  </c:pt>
                  <c:pt idx="2">
                    <c:v>3.1506811323425449E-2</c:v>
                  </c:pt>
                  <c:pt idx="3">
                    <c:v>3.406438999897738E-2</c:v>
                  </c:pt>
                  <c:pt idx="4">
                    <c:v>6.2415552847875144E-2</c:v>
                  </c:pt>
                  <c:pt idx="5">
                    <c:v>0.15466458158871382</c:v>
                  </c:pt>
                  <c:pt idx="6">
                    <c:v>0.29261784745059927</c:v>
                  </c:pt>
                  <c:pt idx="7">
                    <c:v>1.5132953974691193E-2</c:v>
                  </c:pt>
                  <c:pt idx="8">
                    <c:v>2.4018614026906318E-2</c:v>
                  </c:pt>
                  <c:pt idx="9">
                    <c:v>4.045405948901145E-2</c:v>
                  </c:pt>
                  <c:pt idx="10">
                    <c:v>0.29573101816179476</c:v>
                  </c:pt>
                  <c:pt idx="11">
                    <c:v>0.36332795253411954</c:v>
                  </c:pt>
                  <c:pt idx="13">
                    <c:v>0.11710255648325002</c:v>
                  </c:pt>
                  <c:pt idx="14">
                    <c:v>0.14903095722901605</c:v>
                  </c:pt>
                  <c:pt idx="15">
                    <c:v>1.2188539509450572E-2</c:v>
                  </c:pt>
                  <c:pt idx="16">
                    <c:v>0.10923905089160788</c:v>
                  </c:pt>
                  <c:pt idx="17">
                    <c:v>0.1818648226406282</c:v>
                  </c:pt>
                  <c:pt idx="18">
                    <c:v>0.23537592359283424</c:v>
                  </c:pt>
                  <c:pt idx="19">
                    <c:v>0.27040130868635426</c:v>
                  </c:pt>
                  <c:pt idx="20">
                    <c:v>0.35668905659410133</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Estrone-0,04µg/L</c:v>
                </c:pt>
                <c:pt idx="8">
                  <c:v>Estrone-0,2µg/L</c:v>
                </c:pt>
                <c:pt idx="9">
                  <c:v>Estrone-1µg/L</c:v>
                </c:pt>
                <c:pt idx="10">
                  <c:v>Estrone-5µg/L</c:v>
                </c:pt>
                <c:pt idx="11">
                  <c:v>Estrone-25µg/L</c:v>
                </c:pt>
                <c:pt idx="13">
                  <c:v>Testo -30µg/L</c:v>
                </c:pt>
                <c:pt idx="14">
                  <c:v>Testo 30µg/L + EE2 -64ng/L</c:v>
                </c:pt>
                <c:pt idx="15">
                  <c:v>Testo 30µg/L + FAD-10µg/L</c:v>
                </c:pt>
                <c:pt idx="16">
                  <c:v>Estrone-0,04µg/L + Testostérone</c:v>
                </c:pt>
                <c:pt idx="17">
                  <c:v>Estrone-0,2µg/L + Testostérone</c:v>
                </c:pt>
                <c:pt idx="18">
                  <c:v>Estrone-1µg/L + Testostérone</c:v>
                </c:pt>
                <c:pt idx="19">
                  <c:v>Estrone-5µg/L + Testostérone</c:v>
                </c:pt>
                <c:pt idx="20">
                  <c:v>Estrone-25µg/L + Testostérone</c:v>
                </c:pt>
              </c:strCache>
            </c:strRef>
          </c:cat>
          <c:val>
            <c:numRef>
              <c:f>'pooled normalised values'!$B$75:$V$75</c:f>
              <c:numCache>
                <c:formatCode>0.0000</c:formatCode>
                <c:ptCount val="21"/>
                <c:pt idx="0">
                  <c:v>0.12369476414410034</c:v>
                </c:pt>
                <c:pt idx="1">
                  <c:v>0.1692187498857903</c:v>
                </c:pt>
                <c:pt idx="2">
                  <c:v>0.13845248414031833</c:v>
                </c:pt>
                <c:pt idx="3">
                  <c:v>0.22276759482824679</c:v>
                </c:pt>
                <c:pt idx="4">
                  <c:v>0.62262795943509486</c:v>
                </c:pt>
                <c:pt idx="5">
                  <c:v>1.6780630567869037</c:v>
                </c:pt>
                <c:pt idx="6">
                  <c:v>3.3598499990414648</c:v>
                </c:pt>
                <c:pt idx="7">
                  <c:v>0.10120961935911894</c:v>
                </c:pt>
                <c:pt idx="8">
                  <c:v>0.12003696731175635</c:v>
                </c:pt>
                <c:pt idx="9">
                  <c:v>0.21634703340429071</c:v>
                </c:pt>
                <c:pt idx="10">
                  <c:v>2.9533939828058773</c:v>
                </c:pt>
                <c:pt idx="11">
                  <c:v>4.1530254812596148</c:v>
                </c:pt>
                <c:pt idx="13">
                  <c:v>0.99999999999999967</c:v>
                </c:pt>
                <c:pt idx="14">
                  <c:v>1.8524405870989404</c:v>
                </c:pt>
                <c:pt idx="15">
                  <c:v>6.9003930918983214E-2</c:v>
                </c:pt>
                <c:pt idx="16">
                  <c:v>0.94183890109857771</c:v>
                </c:pt>
                <c:pt idx="17">
                  <c:v>1.3333445252418408</c:v>
                </c:pt>
                <c:pt idx="18">
                  <c:v>2.1885459230478688</c:v>
                </c:pt>
                <c:pt idx="19">
                  <c:v>2.8891448489415281</c:v>
                </c:pt>
                <c:pt idx="20">
                  <c:v>3.9517305391235991</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c:v>
                  </c:pt>
                  <c:pt idx="11">
                    <c:v>***</c:v>
                  </c:pt>
                  <c:pt idx="13">
                    <c:v>***</c:v>
                  </c:pt>
                  <c:pt idx="14">
                    <c:v>***</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Estrone-0,04µg/L : 0%</c:v>
                  </c:pt>
                  <c:pt idx="1">
                    <c:v>Estrone-0,2µg/L : 0%</c:v>
                  </c:pt>
                  <c:pt idx="2">
                    <c:v>Estrone-1µg/L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Estrone-0,04µg/L : 0%</c:v>
                  </c:pt>
                  <c:pt idx="1">
                    <c:v>Estrone-0,2µg/L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Estrone-0,04µg/L : 0%</c:v>
                  </c:pt>
                  <c:pt idx="1">
                    <c:v>Estrone-0,2µg/L : 0%</c:v>
                  </c:pt>
                  <c:pt idx="2">
                    <c:v>Estrone-1µg/L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Estrone-0,04µg/L : 0%</c:v>
                  </c:pt>
                  <c:pt idx="1">
                    <c:v>Estrone-0,2µg/L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FAF6E60C-B789-4030-A60D-70C7763A6E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0718FF7-95A5-4013-9A4F-2EC85B435B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1E69DE9F-1645-480A-94E6-850A0B11D0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0A2139FE-8E57-4F36-8FE5-FA026AE03D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2DDB14D9-73BD-42EB-8AFD-E593CB476C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7213C8AF-7970-405E-A412-FFB4A2FD77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199AC029-536F-495C-98B2-841C2DD6C6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5F6539CA-B214-4E41-85D0-6321D9E008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B0CDFCBC-A7CB-45CA-BE9F-450DF66DFD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576F7CA-C95A-4110-BB76-5D3851AC20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5C74916D-F3A1-4829-B317-29D2475583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4CDCD94E-F67B-4285-AB7D-D4D5E95FEC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34253518-2044-4252-8ED7-928C9072DE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69D1ED9D-C2D4-4581-B694-AB1D8C7824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2.4018614026906318E-2</c:v>
                  </c:pt>
                  <c:pt idx="2">
                    <c:v>4.045405948901145E-2</c:v>
                  </c:pt>
                  <c:pt idx="3">
                    <c:v>0.29573101816179476</c:v>
                  </c:pt>
                  <c:pt idx="4">
                    <c:v>0.36332795253411954</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2.4018614026906318E-2</c:v>
                  </c:pt>
                  <c:pt idx="2">
                    <c:v>4.045405948901145E-2</c:v>
                  </c:pt>
                  <c:pt idx="3">
                    <c:v>0.29573101816179476</c:v>
                  </c:pt>
                  <c:pt idx="4">
                    <c:v>0.36332795253411954</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0.12003696731175635</c:v>
                </c:pt>
                <c:pt idx="2">
                  <c:v>0.21634703340429071</c:v>
                </c:pt>
                <c:pt idx="3">
                  <c:v>2.9533939828058773</c:v>
                </c:pt>
                <c:pt idx="4">
                  <c:v>4.1530254812596148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0.12369476414410034</c:v>
                </c:pt>
                <c:pt idx="1">
                  <c:v>0.12369476414410034</c:v>
                </c:pt>
                <c:pt idx="2">
                  <c:v>0.12369476414410034</c:v>
                </c:pt>
                <c:pt idx="3">
                  <c:v>0.12369476414410034</c:v>
                </c:pt>
                <c:pt idx="4">
                  <c:v>0.12369476414410034</c:v>
                </c:pt>
                <c:pt idx="5">
                  <c:v>0.12369476414410034</c:v>
                </c:pt>
                <c:pt idx="6">
                  <c:v>0.12369476414410034</c:v>
                </c:pt>
                <c:pt idx="7">
                  <c:v>0.12369476414410034</c:v>
                </c:pt>
                <c:pt idx="8">
                  <c:v>0.12369476414410034</c:v>
                </c:pt>
                <c:pt idx="9">
                  <c:v>0.12369476414410034</c:v>
                </c:pt>
                <c:pt idx="10">
                  <c:v>0.12369476414410034</c:v>
                </c:pt>
                <c:pt idx="11">
                  <c:v>0.12369476414410034</c:v>
                </c:pt>
                <c:pt idx="12">
                  <c:v>0.12369476414410034</c:v>
                </c:pt>
                <c:pt idx="13">
                  <c:v>0.12369476414410034</c:v>
                </c:pt>
                <c:pt idx="14">
                  <c:v>0.12369476414410034</c:v>
                </c:pt>
                <c:pt idx="15">
                  <c:v>0.12369476414410034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6.9003930918983214E-2</c:v>
                </c:pt>
                <c:pt idx="1">
                  <c:v>6.9003930918983214E-2</c:v>
                </c:pt>
                <c:pt idx="2">
                  <c:v>6.9003930918983214E-2</c:v>
                </c:pt>
                <c:pt idx="3">
                  <c:v>6.9003930918983214E-2</c:v>
                </c:pt>
                <c:pt idx="4">
                  <c:v>6.9003930918983214E-2</c:v>
                </c:pt>
                <c:pt idx="5">
                  <c:v>6.9003930918983214E-2</c:v>
                </c:pt>
                <c:pt idx="6">
                  <c:v>6.9003930918983214E-2</c:v>
                </c:pt>
                <c:pt idx="7">
                  <c:v>6.9003930918983214E-2</c:v>
                </c:pt>
                <c:pt idx="8">
                  <c:v>6.9003930918983214E-2</c:v>
                </c:pt>
                <c:pt idx="9">
                  <c:v>6.9003930918983214E-2</c:v>
                </c:pt>
                <c:pt idx="10">
                  <c:v>6.9003930918983214E-2</c:v>
                </c:pt>
                <c:pt idx="11">
                  <c:v>6.9003930918983214E-2</c:v>
                </c:pt>
                <c:pt idx="12">
                  <c:v>6.9003930918983214E-2</c:v>
                </c:pt>
                <c:pt idx="13">
                  <c:v>6.9003930918983214E-2</c:v>
                </c:pt>
                <c:pt idx="14">
                  <c:v>6.9003930918983214E-2</c:v>
                </c:pt>
                <c:pt idx="15">
                  <c:v>6.9003930918983214E-2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1.7834366561799573</c:v>
                </c:pt>
                <c:pt idx="1">
                  <c:v>1.7834366561799573</c:v>
                </c:pt>
                <c:pt idx="2">
                  <c:v>1.7834366561799573</c:v>
                </c:pt>
                <c:pt idx="3">
                  <c:v>1.7834366561799573</c:v>
                </c:pt>
                <c:pt idx="4">
                  <c:v>1.7834366561799573</c:v>
                </c:pt>
                <c:pt idx="5">
                  <c:v>1.7834366561799573</c:v>
                </c:pt>
                <c:pt idx="6">
                  <c:v>1.7834366561799573</c:v>
                </c:pt>
                <c:pt idx="7">
                  <c:v>1.7834366561799573</c:v>
                </c:pt>
                <c:pt idx="8">
                  <c:v>1.7834366561799573</c:v>
                </c:pt>
                <c:pt idx="9">
                  <c:v>1.7834366561799573</c:v>
                </c:pt>
                <c:pt idx="10">
                  <c:v>1.7834366561799573</c:v>
                </c:pt>
                <c:pt idx="11">
                  <c:v>1.7834366561799573</c:v>
                </c:pt>
                <c:pt idx="12">
                  <c:v>1.7834366561799573</c:v>
                </c:pt>
                <c:pt idx="13">
                  <c:v>1.7834366561799573</c:v>
                </c:pt>
                <c:pt idx="14">
                  <c:v>1.7834366561799573</c:v>
                </c:pt>
                <c:pt idx="15">
                  <c:v>1.7834366561799573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0.71656334382004272</c:v>
                </c:pt>
                <c:pt idx="1">
                  <c:v>0.71656334382004272</c:v>
                </c:pt>
                <c:pt idx="2">
                  <c:v>0.71656334382004272</c:v>
                </c:pt>
                <c:pt idx="3">
                  <c:v>0.71656334382004272</c:v>
                </c:pt>
                <c:pt idx="4">
                  <c:v>0.71656334382004272</c:v>
                </c:pt>
                <c:pt idx="5">
                  <c:v>0.71656334382004272</c:v>
                </c:pt>
                <c:pt idx="6">
                  <c:v>0.71656334382004272</c:v>
                </c:pt>
                <c:pt idx="7">
                  <c:v>0.71656334382004272</c:v>
                </c:pt>
                <c:pt idx="8">
                  <c:v>0.71656334382004272</c:v>
                </c:pt>
                <c:pt idx="9">
                  <c:v>0.71656334382004272</c:v>
                </c:pt>
                <c:pt idx="10">
                  <c:v>0.71656334382004272</c:v>
                </c:pt>
                <c:pt idx="11">
                  <c:v>0.71656334382004272</c:v>
                </c:pt>
                <c:pt idx="12">
                  <c:v>0.71656334382004272</c:v>
                </c:pt>
                <c:pt idx="13">
                  <c:v>0.71656334382004272</c:v>
                </c:pt>
                <c:pt idx="14">
                  <c:v>0.71656334382004272</c:v>
                </c:pt>
                <c:pt idx="15">
                  <c:v>0.71656334382004272</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D2467DF1-62AA-4FBF-B1A0-E9F3963F6F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F87D4BB5-C690-4625-B525-9268C4E4BF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4E50133E-C6B5-4454-8E7A-3DC46E1EB1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3A13C208-D2DA-4C1D-A922-0273A00D76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D351F6AE-2E67-4BFC-9445-091E1C3313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24CA4377-069C-4BA6-B442-48355DEA53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8DA24877-B2A1-4980-9B95-DD804BC6CB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06390EDA-4799-4F60-9630-163284DD68E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5335D55C-8AB6-4032-95CB-D1825B44F4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DB245AC1-8F65-4D0D-9FC7-942495C089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AF6051D1-5BEC-4F62-AEC8-35344D4F5D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F72DF9B9-A74E-4305-B1FE-29917E8B12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2A2A1B93-75ED-44D1-A1FB-7E8A31B46B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B344E76F-A877-444C-8C02-C58E20B300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0.10923905089160788</c:v>
                  </c:pt>
                  <c:pt idx="2">
                    <c:v>0.1818648226406282</c:v>
                  </c:pt>
                  <c:pt idx="3">
                    <c:v>0.23537592359283424</c:v>
                  </c:pt>
                  <c:pt idx="4">
                    <c:v>0.27040130868635426</c:v>
                  </c:pt>
                  <c:pt idx="5">
                    <c:v>0.35668905659410133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0.10923905089160788</c:v>
                  </c:pt>
                  <c:pt idx="2">
                    <c:v>0.1818648226406282</c:v>
                  </c:pt>
                  <c:pt idx="3">
                    <c:v>0.23537592359283424</c:v>
                  </c:pt>
                  <c:pt idx="4">
                    <c:v>0.27040130868635426</c:v>
                  </c:pt>
                  <c:pt idx="5">
                    <c:v>0.35668905659410133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0.94183890109857771</c:v>
                </c:pt>
                <c:pt idx="2">
                  <c:v>1.3333445252418408</c:v>
                </c:pt>
                <c:pt idx="3">
                  <c:v>2.1885459230478688</c:v>
                </c:pt>
                <c:pt idx="4">
                  <c:v>2.8891448489415281</c:v>
                </c:pt>
                <c:pt idx="5">
                  <c:v>3.9517305391235991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E5CFB568-BA09-479F-9FAC-993ED016CB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1B206513-AA85-4D61-9437-F85698E303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31FCBA17-31A6-4574-8FFF-B9409B72559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F9D7FABF-B43A-4D09-9971-A3182BBD27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B962197F-DD1A-44F2-94F9-A8974BD497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026664B8-2BDD-470F-A4DD-C0E12C4925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ED14AEAC-8865-4E65-90CA-2EE13DA132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004147A1-AF83-48A3-8B2B-3E0B1592DC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0BF3AC87-2BB6-4DB0-857E-874E149F1E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98380F5E-843B-49AB-AADF-A1D625A821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89EC7C05-6354-41BA-B4FD-5937578AF5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418F1D00-0C0B-4D2D-8B2D-729FCB6175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854C39F1-85B6-433A-AA7D-B68A3283CC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A76BAF7D-60A4-4D09-8433-6D7ECD4044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2.4018614026906318E-2</c:v>
                  </c:pt>
                  <c:pt idx="2">
                    <c:v>4.045405948901145E-2</c:v>
                  </c:pt>
                  <c:pt idx="3">
                    <c:v>0.29573101816179476</c:v>
                  </c:pt>
                  <c:pt idx="4">
                    <c:v>0.36332795253411954</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2.4018614026906318E-2</c:v>
                  </c:pt>
                  <c:pt idx="2">
                    <c:v>4.045405948901145E-2</c:v>
                  </c:pt>
                  <c:pt idx="3">
                    <c:v>0.29573101816179476</c:v>
                  </c:pt>
                  <c:pt idx="4">
                    <c:v>0.36332795253411954</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Estrone-0,2µg/L</c:v>
                </c:pt>
                <c:pt idx="2">
                  <c:v>Estrone-1µg/L</c:v>
                </c:pt>
                <c:pt idx="3">
                  <c:v>Estrone-5µg/L</c:v>
                </c:pt>
                <c:pt idx="4">
                  <c:v>Estrone-25µg/L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0.12003696731175635</c:v>
                </c:pt>
                <c:pt idx="2">
                  <c:v>0.21634703340429071</c:v>
                </c:pt>
                <c:pt idx="3">
                  <c:v>2.9533939828058773</c:v>
                </c:pt>
                <c:pt idx="4">
                  <c:v>4.1530254812596148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0.12369476414410034</c:v>
                </c:pt>
                <c:pt idx="1">
                  <c:v>0.12369476414410034</c:v>
                </c:pt>
                <c:pt idx="2">
                  <c:v>0.12369476414410034</c:v>
                </c:pt>
                <c:pt idx="3">
                  <c:v>0.12369476414410034</c:v>
                </c:pt>
                <c:pt idx="4">
                  <c:v>0.12369476414410034</c:v>
                </c:pt>
                <c:pt idx="5">
                  <c:v>0.12369476414410034</c:v>
                </c:pt>
                <c:pt idx="6">
                  <c:v>0.12369476414410034</c:v>
                </c:pt>
                <c:pt idx="7">
                  <c:v>0.12369476414410034</c:v>
                </c:pt>
                <c:pt idx="8">
                  <c:v>0.12369476414410034</c:v>
                </c:pt>
                <c:pt idx="9">
                  <c:v>0.12369476414410034</c:v>
                </c:pt>
                <c:pt idx="10">
                  <c:v>0.12369476414410034</c:v>
                </c:pt>
                <c:pt idx="11">
                  <c:v>0.12369476414410034</c:v>
                </c:pt>
                <c:pt idx="12">
                  <c:v>0.12369476414410034</c:v>
                </c:pt>
                <c:pt idx="13">
                  <c:v>0.12369476414410034</c:v>
                </c:pt>
                <c:pt idx="14">
                  <c:v>0.12369476414410034</c:v>
                </c:pt>
                <c:pt idx="15">
                  <c:v>0.12369476414410034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6.9003930918983214E-2</c:v>
                </c:pt>
                <c:pt idx="1">
                  <c:v>6.9003930918983214E-2</c:v>
                </c:pt>
                <c:pt idx="2">
                  <c:v>6.9003930918983214E-2</c:v>
                </c:pt>
                <c:pt idx="3">
                  <c:v>6.9003930918983214E-2</c:v>
                </c:pt>
                <c:pt idx="4">
                  <c:v>6.9003930918983214E-2</c:v>
                </c:pt>
                <c:pt idx="5">
                  <c:v>6.9003930918983214E-2</c:v>
                </c:pt>
                <c:pt idx="6">
                  <c:v>6.9003930918983214E-2</c:v>
                </c:pt>
                <c:pt idx="7">
                  <c:v>6.9003930918983214E-2</c:v>
                </c:pt>
                <c:pt idx="8">
                  <c:v>6.9003930918983214E-2</c:v>
                </c:pt>
                <c:pt idx="9">
                  <c:v>6.9003930918983214E-2</c:v>
                </c:pt>
                <c:pt idx="10">
                  <c:v>6.9003930918983214E-2</c:v>
                </c:pt>
                <c:pt idx="11">
                  <c:v>6.9003930918983214E-2</c:v>
                </c:pt>
                <c:pt idx="12">
                  <c:v>6.9003930918983214E-2</c:v>
                </c:pt>
                <c:pt idx="13">
                  <c:v>6.9003930918983214E-2</c:v>
                </c:pt>
                <c:pt idx="14">
                  <c:v>6.9003930918983214E-2</c:v>
                </c:pt>
                <c:pt idx="15">
                  <c:v>6.9003930918983214E-2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1.7834366561799573</c:v>
                </c:pt>
                <c:pt idx="1">
                  <c:v>1.7834366561799573</c:v>
                </c:pt>
                <c:pt idx="2">
                  <c:v>1.7834366561799573</c:v>
                </c:pt>
                <c:pt idx="3">
                  <c:v>1.7834366561799573</c:v>
                </c:pt>
                <c:pt idx="4">
                  <c:v>1.7834366561799573</c:v>
                </c:pt>
                <c:pt idx="5">
                  <c:v>1.7834366561799573</c:v>
                </c:pt>
                <c:pt idx="6">
                  <c:v>1.7834366561799573</c:v>
                </c:pt>
                <c:pt idx="7">
                  <c:v>1.7834366561799573</c:v>
                </c:pt>
                <c:pt idx="8">
                  <c:v>1.7834366561799573</c:v>
                </c:pt>
                <c:pt idx="9">
                  <c:v>1.7834366561799573</c:v>
                </c:pt>
                <c:pt idx="10">
                  <c:v>1.7834366561799573</c:v>
                </c:pt>
                <c:pt idx="11">
                  <c:v>1.7834366561799573</c:v>
                </c:pt>
                <c:pt idx="12">
                  <c:v>1.7834366561799573</c:v>
                </c:pt>
                <c:pt idx="13">
                  <c:v>1.7834366561799573</c:v>
                </c:pt>
                <c:pt idx="14">
                  <c:v>1.7834366561799573</c:v>
                </c:pt>
                <c:pt idx="15">
                  <c:v>1.7834366561799573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0.71656334382004272</c:v>
                </c:pt>
                <c:pt idx="1">
                  <c:v>0.71656334382004272</c:v>
                </c:pt>
                <c:pt idx="2">
                  <c:v>0.71656334382004272</c:v>
                </c:pt>
                <c:pt idx="3">
                  <c:v>0.71656334382004272</c:v>
                </c:pt>
                <c:pt idx="4">
                  <c:v>0.71656334382004272</c:v>
                </c:pt>
                <c:pt idx="5">
                  <c:v>0.71656334382004272</c:v>
                </c:pt>
                <c:pt idx="6">
                  <c:v>0.71656334382004272</c:v>
                </c:pt>
                <c:pt idx="7">
                  <c:v>0.71656334382004272</c:v>
                </c:pt>
                <c:pt idx="8">
                  <c:v>0.71656334382004272</c:v>
                </c:pt>
                <c:pt idx="9">
                  <c:v>0.71656334382004272</c:v>
                </c:pt>
                <c:pt idx="10">
                  <c:v>0.71656334382004272</c:v>
                </c:pt>
                <c:pt idx="11">
                  <c:v>0.71656334382004272</c:v>
                </c:pt>
                <c:pt idx="12">
                  <c:v>0.71656334382004272</c:v>
                </c:pt>
                <c:pt idx="13">
                  <c:v>0.71656334382004272</c:v>
                </c:pt>
                <c:pt idx="14">
                  <c:v>0.71656334382004272</c:v>
                </c:pt>
                <c:pt idx="15">
                  <c:v>0.71656334382004272</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8DD89BF-6D17-4EA5-81FF-9A39CB8373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86FA74DD-F5C5-4AF5-97AC-875E269848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667334D7-BD8A-4AE7-B48A-201AC0BB2A2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9B63EB42-5AA3-4B9F-B297-75675BEBFC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8AE275B1-26D4-49BC-9B2D-E7CB7189A3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F04DD196-ABF9-4312-BFFC-AA79D94F9D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E5986341-A0A1-40DA-92DE-9FB92DA5CC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7EC60442-C8FC-4FF4-B31D-4F652A7D8E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FC42F295-6A6A-4EC7-A3A7-9C87D6324E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133841D5-03B8-4371-B5D7-BC63795F3D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9FC39171-E328-4B41-9D4E-D03F909AF1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6CD83095-2EC1-4CCC-88FC-840F8E8200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BFBFFB3C-224E-45FE-BA53-962BDAABC5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2813F430-35E4-4B25-B9E4-00F5D592D1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0.10923905089160788</c:v>
                  </c:pt>
                  <c:pt idx="2">
                    <c:v>0.1818648226406282</c:v>
                  </c:pt>
                  <c:pt idx="3">
                    <c:v>0.23537592359283424</c:v>
                  </c:pt>
                  <c:pt idx="4">
                    <c:v>0.27040130868635426</c:v>
                  </c:pt>
                  <c:pt idx="5">
                    <c:v>0.35668905659410133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0.10923905089160788</c:v>
                  </c:pt>
                  <c:pt idx="2">
                    <c:v>0.1818648226406282</c:v>
                  </c:pt>
                  <c:pt idx="3">
                    <c:v>0.23537592359283424</c:v>
                  </c:pt>
                  <c:pt idx="4">
                    <c:v>0.27040130868635426</c:v>
                  </c:pt>
                  <c:pt idx="5">
                    <c:v>0.35668905659410133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0.94183890109857771</c:v>
                </c:pt>
                <c:pt idx="2">
                  <c:v>1.3333445252418408</c:v>
                </c:pt>
                <c:pt idx="3">
                  <c:v>2.1885459230478688</c:v>
                </c:pt>
                <c:pt idx="4">
                  <c:v>2.8891448489415281</c:v>
                </c:pt>
                <c:pt idx="5">
                  <c:v>3.9517305391235991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Estrone-0,04µg/L + Testostérone</c:v>
                </c:pt>
                <c:pt idx="2">
                  <c:v>Estrone-0,2µg/L + Testostérone</c:v>
                </c:pt>
                <c:pt idx="3">
                  <c:v>Estrone-1µg/L + Testostérone</c:v>
                </c:pt>
                <c:pt idx="4">
                  <c:v>Estrone-5µg/L + Testostérone</c:v>
                </c:pt>
                <c:pt idx="5">
                  <c:v>Estrone-25µg/L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Estrone-0,2µg/L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Estrone-0,2µg/L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Estrone-0,2µg/L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06B1C57-7A27-467E-AB53-DA7DD4A49A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EAF896D0-6085-43C2-837C-EB57E2047E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2.4018614026906318E-2</c:v>
                  </c:pt>
                </c:numCache>
              </c:numRef>
            </c:plus>
            <c:minus>
              <c:numRef>
                <c:f>'Graph format rapport CHG 1éch'!$E$4:$G$4</c:f>
                <c:numCache>
                  <c:formatCode>General</c:formatCode>
                  <c:ptCount val="3"/>
                  <c:pt idx="1">
                    <c:v>2.4018614026906318E-2</c:v>
                  </c:pt>
                </c:numCache>
              </c:numRef>
            </c:minus>
          </c:errBars>
          <c:cat>
            <c:strRef>
              <c:f>'Graph format rapport CHG 1éch'!$E$2:$G$2</c:f>
              <c:strCache>
                <c:ptCount val="2"/>
                <c:pt idx="1">
                  <c:v>Estrone-0,2µg/L</c:v>
                </c:pt>
              </c:strCache>
            </c:strRef>
          </c:cat>
          <c:val>
            <c:numRef>
              <c:f>'Graph format rapport CHG 1éch'!$E$3:$G$3</c:f>
              <c:numCache>
                <c:formatCode>General</c:formatCode>
                <c:ptCount val="3"/>
                <c:pt idx="1">
                  <c:v>0.12003696731175635</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0.12369476414410034</c:v>
                </c:pt>
                <c:pt idx="1">
                  <c:v>0.12369476414410034</c:v>
                </c:pt>
                <c:pt idx="2">
                  <c:v>0.12369476414410034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Estrone-0,04µg/L + Testostérone</c:v>
                </c:pt>
              </c:strCache>
            </c:strRef>
          </c:cat>
          <c:val>
            <c:numRef>
              <c:f>'Graph format rapport CHG 1éch'!$H$8:$J$8</c:f>
              <c:numCache>
                <c:formatCode>General</c:formatCode>
                <c:ptCount val="3"/>
                <c:pt idx="0">
                  <c:v>6.9003930918983214E-2</c:v>
                </c:pt>
                <c:pt idx="1">
                  <c:v>6.9003930918983214E-2</c:v>
                </c:pt>
                <c:pt idx="2">
                  <c:v>6.9003930918983214E-2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Estrone-0,04µg/L + Testostérone</c:v>
                </c:pt>
              </c:strCache>
            </c:strRef>
          </c:cat>
          <c:val>
            <c:numRef>
              <c:f>'Graph format rapport CHG 1éch'!$H$9:$J$9</c:f>
              <c:numCache>
                <c:formatCode>General</c:formatCode>
                <c:ptCount val="3"/>
                <c:pt idx="0">
                  <c:v>1.7834366561799573</c:v>
                </c:pt>
                <c:pt idx="1">
                  <c:v>1.7834366561799573</c:v>
                </c:pt>
                <c:pt idx="2">
                  <c:v>1.7834366561799573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Estrone-0,04µg/L + Testostérone</c:v>
                </c:pt>
              </c:strCache>
            </c:strRef>
          </c:cat>
          <c:val>
            <c:numRef>
              <c:f>'Graph format rapport CHG 1éch'!$H$10:$J$10</c:f>
              <c:numCache>
                <c:formatCode>General</c:formatCode>
                <c:ptCount val="3"/>
                <c:pt idx="0">
                  <c:v>0.71656334382004272</c:v>
                </c:pt>
                <c:pt idx="1">
                  <c:v>0.71656334382004272</c:v>
                </c:pt>
                <c:pt idx="2">
                  <c:v>0.71656334382004272</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4CF179C9-9A52-4CB9-BE69-33415B725C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42AC823C-3BBF-4E1F-ABB6-245A10111E2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0.10923905089160788</c:v>
                  </c:pt>
                </c:numCache>
              </c:numRef>
            </c:plus>
            <c:minus>
              <c:numRef>
                <c:f>'Graph format rapport CHG 1éch'!$H$4:$J$4</c:f>
                <c:numCache>
                  <c:formatCode>General</c:formatCode>
                  <c:ptCount val="3"/>
                  <c:pt idx="1">
                    <c:v>0.10923905089160788</c:v>
                  </c:pt>
                </c:numCache>
              </c:numRef>
            </c:minus>
          </c:errBars>
          <c:cat>
            <c:strRef>
              <c:f>'Graph format rapport CHG 1éch'!$H$2:$J$2</c:f>
              <c:strCache>
                <c:ptCount val="2"/>
                <c:pt idx="1">
                  <c:v>Estrone-0,04µg/L + Testostérone</c:v>
                </c:pt>
              </c:strCache>
            </c:strRef>
          </c:cat>
          <c:val>
            <c:numRef>
              <c:f>'Graph format rapport CHG 1éch'!$H$3:$J$3</c:f>
              <c:numCache>
                <c:formatCode>General</c:formatCode>
                <c:ptCount val="3"/>
                <c:pt idx="1">
                  <c:v>0.94183890109857771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Estrone-0,04µg/L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Estrone-0,2µg/L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Estrone-0,2µg/L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Estrone-0,2µg/L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D2EDAD30-8DAD-4F07-9EB4-7E8056B264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1BEAF196-7076-4FBB-93F3-9C5DB7625D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2.4018614026906318E-2</c:v>
                  </c:pt>
                </c:numCache>
              </c:numRef>
            </c:plus>
            <c:minus>
              <c:numRef>
                <c:f>'Graph format rapport CHG 1éch'!$E$4:$G$4</c:f>
                <c:numCache>
                  <c:formatCode>General</c:formatCode>
                  <c:ptCount val="3"/>
                  <c:pt idx="1">
                    <c:v>2.4018614026906318E-2</c:v>
                  </c:pt>
                </c:numCache>
              </c:numRef>
            </c:minus>
          </c:errBars>
          <c:cat>
            <c:strRef>
              <c:f>'Graph format rapport CHG 1éch'!$E$2:$G$2</c:f>
              <c:strCache>
                <c:ptCount val="2"/>
                <c:pt idx="1">
                  <c:v>Estrone-0,2µg/L</c:v>
                </c:pt>
              </c:strCache>
            </c:strRef>
          </c:cat>
          <c:val>
            <c:numRef>
              <c:f>'Graph format rapport CHG 1éch'!$E$3:$G$3</c:f>
              <c:numCache>
                <c:formatCode>General</c:formatCode>
                <c:ptCount val="3"/>
                <c:pt idx="1">
                  <c:v>0.12003696731175635</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0.12369476414410034</c:v>
                </c:pt>
                <c:pt idx="1">
                  <c:v>0.12369476414410034</c:v>
                </c:pt>
                <c:pt idx="2">
                  <c:v>0.12369476414410034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Estrone-0,04µg/L + Testostérone</c:v>
                </c:pt>
              </c:strCache>
            </c:strRef>
          </c:cat>
          <c:val>
            <c:numRef>
              <c:f>'Graph format rapport CHG 1éch'!$H$8:$J$8</c:f>
              <c:numCache>
                <c:formatCode>General</c:formatCode>
                <c:ptCount val="3"/>
                <c:pt idx="0">
                  <c:v>6.9003930918983214E-2</c:v>
                </c:pt>
                <c:pt idx="1">
                  <c:v>6.9003930918983214E-2</c:v>
                </c:pt>
                <c:pt idx="2">
                  <c:v>6.9003930918983214E-2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Estrone-0,04µg/L + Testostérone</c:v>
                </c:pt>
              </c:strCache>
            </c:strRef>
          </c:cat>
          <c:val>
            <c:numRef>
              <c:f>'Graph format rapport CHG 1éch'!$H$9:$J$9</c:f>
              <c:numCache>
                <c:formatCode>General</c:formatCode>
                <c:ptCount val="3"/>
                <c:pt idx="0">
                  <c:v>1.7834366561799573</c:v>
                </c:pt>
                <c:pt idx="1">
                  <c:v>1.7834366561799573</c:v>
                </c:pt>
                <c:pt idx="2">
                  <c:v>1.7834366561799573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Estrone-0,04µg/L + Testostérone</c:v>
                </c:pt>
              </c:strCache>
            </c:strRef>
          </c:cat>
          <c:val>
            <c:numRef>
              <c:f>'Graph format rapport CHG 1éch'!$H$10:$J$10</c:f>
              <c:numCache>
                <c:formatCode>General</c:formatCode>
                <c:ptCount val="3"/>
                <c:pt idx="0">
                  <c:v>0.71656334382004272</c:v>
                </c:pt>
                <c:pt idx="1">
                  <c:v>0.71656334382004272</c:v>
                </c:pt>
                <c:pt idx="2">
                  <c:v>0.71656334382004272</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07BCC93-2188-4CF8-8E24-E9CACEADFF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76CE480B-A59D-4BB3-8E06-5E04B45D29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0.10923905089160788</c:v>
                  </c:pt>
                </c:numCache>
              </c:numRef>
            </c:plus>
            <c:minus>
              <c:numRef>
                <c:f>'Graph format rapport CHG 1éch'!$H$4:$J$4</c:f>
                <c:numCache>
                  <c:formatCode>General</c:formatCode>
                  <c:ptCount val="3"/>
                  <c:pt idx="1">
                    <c:v>0.10923905089160788</c:v>
                  </c:pt>
                </c:numCache>
              </c:numRef>
            </c:minus>
          </c:errBars>
          <c:cat>
            <c:strRef>
              <c:f>'Graph format rapport CHG 1éch'!$H$2:$J$2</c:f>
              <c:strCache>
                <c:ptCount val="2"/>
                <c:pt idx="1">
                  <c:v>Estrone-0,04µg/L + Testostérone</c:v>
                </c:pt>
              </c:strCache>
            </c:strRef>
          </c:cat>
          <c:val>
            <c:numRef>
              <c:f>'Graph format rapport CHG 1éch'!$H$3:$J$3</c:f>
              <c:numCache>
                <c:formatCode>General</c:formatCode>
                <c:ptCount val="3"/>
                <c:pt idx="1">
                  <c:v>0.94183890109857771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Estrone-0,04µg/L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5" workbookViewId="0"/>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5" workbookViewId="0"/>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tabSelected="1" zoomScale="115"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804" cy="6046304"/>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34.48758148148" createdVersion="5" refreshedVersion="7"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Estrone 0.04µg_L"/>
        <s v="09 Estrone 0.2µg_L"/>
        <s v="10 Estrone 1µg_L"/>
        <s v="11 Estrone 5µg_L"/>
        <s v="12 Estrone 25µg_L"/>
        <s v="01 Testo 30"/>
        <s v="02 Testo 30"/>
        <s v="03 Testo+ EE2 64"/>
        <s v="04 Testo+ FAD"/>
        <s v="05 Estrone 0.04 µg_LL dopé"/>
        <s v="06 Estrone 0.2 µg_LL dopé"/>
        <s v="07 Estrone 1 µg_LL dopé"/>
        <s v="08 Estrone 5 µg_LL dopé"/>
        <s v="09 Estrone 25 µg_LL dopé"/>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7"/>
    </cacheField>
    <cacheField name=" " numFmtId="0">
      <sharedItems containsBlank="1" count="24">
        <s v=" "/>
        <m/>
        <s v=" SD mean fluo "/>
        <s v=" 3.3461 "/>
        <s v=" 7.4702 "/>
        <s v=" 2.6684 "/>
        <s v=" 2.4215 "/>
        <s v=" 1.2511 "/>
        <s v=" 4.135 "/>
        <s v=" 4.2361 "/>
        <s v=" 2.9204 "/>
        <s v=" 3.6703 "/>
        <s v=" 2.7734 "/>
        <s v=" 8.0988 "/>
        <s v=" 7.3093 "/>
        <s v=" 4.2407 "/>
        <s v=" 1.3943 "/>
        <s v=" 4.3199 "/>
        <s v=" 3.9583 "/>
        <s v=" 3.1346 "/>
        <s v=" 3.7061 "/>
        <s v=" 6.5664 "/>
        <s v=" 13.0201 "/>
        <s v=" 8.3753 "/>
      </sharedItems>
    </cacheField>
    <cacheField name=" total fluorescence" numFmtId="0">
      <sharedItems containsBlank="1" containsMixedTypes="1" containsNumber="1" containsInteger="1" minValue="6749" maxValue="9474846"/>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34.48758148148" createdVersion="5" refreshedVersion="7"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Estrone 0.04 µg_L"/>
        <s v="09 Estrone 0.2 µg_L"/>
        <s v="10 Estrone 1 µg_L"/>
        <s v="11 Estrone 5 µg_L"/>
        <s v="12 Estrone 25 µg_L"/>
        <s v="01 Testo 30"/>
        <s v="02 Testo 30"/>
        <s v="03 Testo+ EE2 64"/>
        <s v="04 Testo+ FAD"/>
        <s v="05 Estrone 0.04 µg_LL dopé"/>
        <s v="06 Estrone 0.2 µg_LL dopé"/>
        <s v="07 Estrone 1 µg_LL dopé"/>
        <s v="08 Estrone 5 µg_LL dopé"/>
        <s v="09 Estrone 25 µg_L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4"/>
    </cacheField>
    <cacheField name=" " numFmtId="0">
      <sharedItems containsBlank="1" count="24">
        <s v=" "/>
        <m/>
        <s v=" SD mean fluo "/>
        <s v=" 4.6384 "/>
        <s v=" 3.5799 "/>
        <s v=" 4.4081 "/>
        <s v=" 1.6142 "/>
        <s v=" 2.0964 "/>
        <s v=" 2.2312 "/>
        <s v=" 6.6973 "/>
        <s v=" 2.8017 "/>
        <s v=" 3.212 "/>
        <s v=" 4.7099 "/>
        <s v=" 5.8244 "/>
        <s v=" 9.1367 "/>
        <s v=" 2.9807 "/>
        <s v=" 3.7502 "/>
        <s v=" 3.0072 "/>
        <s v=" 2.5984 "/>
        <s v=" 2.7051 "/>
        <s v=" 2.207 "/>
        <s v=" 4.046 "/>
        <s v=" 9.8579 "/>
        <s v=" 6.1917 "/>
      </sharedItems>
    </cacheField>
    <cacheField name=" total fluorescence" numFmtId="0">
      <sharedItems containsBlank="1" containsMixedTypes="1" containsNumber="1" containsInteger="1" minValue="7981" maxValue="9564501"/>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34.48758148148" createdVersion="5" refreshedVersion="7"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Estrone 0.04 µg_L"/>
        <s v="09 Estrone 0.2 µg_L"/>
        <s v="10 Estrone 1 µg_L"/>
        <s v="11 Estrone 5 µg_L"/>
        <s v="12 Estrone 25 µg_L"/>
        <s v="01 Testo 30"/>
        <s v="02 Testo 30"/>
        <s v="03 Testo+ EE2 64"/>
        <s v="04 Testo+ FAD"/>
        <s v="05 Estrone 0.04 µg_LL dopé"/>
        <s v="06 Estrone 0.2 µg_LL dopé"/>
        <s v="07 Estrone 1 µg_LL dopé"/>
        <s v="08 Estrone 5 µg_LL dopé"/>
        <s v="09 Estrone 25 µg_L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s v=" "/>
        <m/>
        <s v=" SD mean fluo "/>
        <s v=" 2.5435 "/>
        <s v=" 5.0821 "/>
        <s v=" 1.9446 "/>
        <s v=" 1.0544 "/>
        <s v=" 1.8589 "/>
        <s v=" 5.2124 "/>
        <s v=" 6.7623 "/>
        <s v=" 1.3974 "/>
        <s v=" 1.9223 "/>
        <s v=" 2.8331 "/>
        <s v=" 7.9428 "/>
        <s v=" 7.8786 "/>
        <s v=" 4.4329 "/>
        <s v=" 4.3691 "/>
        <s v=" 3.8186 "/>
        <s v=" 1.6688 "/>
        <s v=" 2.9721 "/>
        <s v=" 2.6746 "/>
        <s v=" 5.5177 "/>
        <s v=" 3.4862 "/>
        <s v=" 6.5568 "/>
      </sharedItems>
    </cacheField>
    <cacheField name=" total fluorescence" numFmtId="0">
      <sharedItems containsBlank="1" containsMixedTypes="1" containsNumber="1" containsInteger="1" minValue="3980" maxValue="8945216"/>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34.487581712965" createdVersion="6" refreshedVersion="7"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Estrone-0,04µg/L"/>
        <s v="Estrone-0,2µg/L"/>
        <s v="Estrone-1µg/L"/>
        <s v="Estrone-5µg/L"/>
        <s v="Estrone-25µg/L"/>
        <s v=" "/>
        <s v="Testo -30µg/L"/>
        <s v="Testo 30µg/L + EE2 -64ng/L"/>
        <s v="Testo 30µg/L + FAD-10µg/L"/>
        <s v="Estrone-0,04µg/L + Testostérone"/>
        <s v="Estrone-0,2µg/L + Testostérone"/>
        <s v="Estrone-1µg/L + Testostérone"/>
        <s v="Estrone-5µg/L + Testostérone"/>
        <s v="Estrone-25µg/L + Testostérone"/>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CHG-ACH-Estrone 1\plaque 1/@01 Evian + 0.2% DMSO/A1_01.tif "/>
    <s v=" 5775.1819 "/>
    <s v=" 72.2509 "/>
    <x v="0"/>
    <n v="417262"/>
    <m/>
    <m/>
    <m/>
  </r>
  <r>
    <x v="0"/>
    <x v="0"/>
    <s v="F:\images\2021CHG-ACH-Estrone 1\plaque 1/@01 Evian + 0.2% DMSO/A1_02.tif "/>
    <s v=" 1622.2421 "/>
    <s v=" 67.12 "/>
    <x v="0"/>
    <n v="108885"/>
    <m/>
    <m/>
    <m/>
  </r>
  <r>
    <x v="0"/>
    <x v="0"/>
    <s v="F:\images\2021CHG-ACH-Estrone 1\plaque 1/@01 Evian + 0.2% DMSO/A1_03.tif "/>
    <s v=" 129.7794 "/>
    <s v=" 61.6667 "/>
    <x v="0"/>
    <n v="8003"/>
    <m/>
    <m/>
    <m/>
  </r>
  <r>
    <x v="0"/>
    <x v="1"/>
    <s v="F:\images\2021CHG-ACH-Estrone 1\plaque 1/@01 Evian + 0.2% DMSO/B1_01.tif "/>
    <s v=" 4888.3562 "/>
    <s v=" 67.1593 "/>
    <x v="0"/>
    <n v="328299"/>
    <m/>
    <m/>
    <m/>
  </r>
  <r>
    <x v="0"/>
    <x v="1"/>
    <s v="F:\images\2021CHG-ACH-Estrone 1\plaque 1/@01 Evian + 0.2% DMSO/B1_02.tif "/>
    <s v=" 973.3453 "/>
    <s v=" 62.4444 "/>
    <x v="0"/>
    <n v="60780"/>
    <m/>
    <m/>
    <m/>
  </r>
  <r>
    <x v="0"/>
    <x v="1"/>
    <s v="F:\images\2021CHG-ACH-Estrone 1\plaque 1/@01 Evian + 0.2% DMSO/B1_03.tif "/>
    <s v=" 2833.5162 "/>
    <s v=" 64.8855 "/>
    <x v="0"/>
    <n v="183854"/>
    <m/>
    <m/>
    <m/>
  </r>
  <r>
    <x v="0"/>
    <x v="2"/>
    <s v="F:\images\2021CHG-ACH-Estrone 1\plaque 1/@01 Evian + 0.2% DMSO/C1_01.tif "/>
    <s v=" 2292.7688 "/>
    <s v=" 66.4151 "/>
    <x v="0"/>
    <n v="152274"/>
    <m/>
    <m/>
    <m/>
  </r>
  <r>
    <x v="0"/>
    <x v="2"/>
    <s v="F:\images\2021CHG-ACH-Estrone 1\plaque 1/@01 Evian + 0.2% DMSO/C1_02.tif "/>
    <s v=" 843.5659 "/>
    <s v=" 63.6154 "/>
    <x v="0"/>
    <n v="53664"/>
    <m/>
    <m/>
    <m/>
  </r>
  <r>
    <x v="0"/>
    <x v="2"/>
    <s v="F:\images\2021CHG-ACH-Estrone 1\plaque 1/@01 Evian + 0.2% DMSO/C1_03.tif "/>
    <s v=" 259.5587 "/>
    <s v=" 63.1667 "/>
    <x v="0"/>
    <n v="16395"/>
    <m/>
    <m/>
    <m/>
  </r>
  <r>
    <x v="0"/>
    <x v="3"/>
    <s v="F:\images\2021CHG-ACH-Estrone 1\plaque 1/@01 Evian + 0.2% DMSO/D1_01.tif "/>
    <s v=" 2119.7297 "/>
    <s v=" 66.6837 "/>
    <x v="0"/>
    <n v="141351"/>
    <m/>
    <m/>
    <m/>
  </r>
  <r>
    <x v="0"/>
    <x v="3"/>
    <s v="F:\images\2021CHG-ACH-Estrone 1\plaque 1/@01 Evian + 0.2% DMSO/D1_02.tif "/>
    <s v=" 1578.9823 "/>
    <s v=" 65.8219 "/>
    <x v="0"/>
    <n v="103932"/>
    <m/>
    <m/>
    <m/>
  </r>
  <r>
    <x v="0"/>
    <x v="3"/>
    <s v="F:\images\2021CHG-ACH-Estrone 1\plaque 1/@01 Evian + 0.2% DMSO/D1_03.tif "/>
    <s v=" 194.6691 "/>
    <s v=" 64.1111 "/>
    <x v="0"/>
    <n v="12480"/>
    <m/>
    <m/>
    <m/>
  </r>
  <r>
    <x v="0"/>
    <x v="4"/>
    <s v="F:\images\2021CHG-ACH-Estrone 1\plaque 1/@01 Evian + 0.2% DMSO/E1_01.tif "/>
    <s v=" 670.5267 "/>
    <n v="63"/>
    <x v="0"/>
    <n v="42243"/>
    <m/>
    <m/>
    <m/>
  </r>
  <r>
    <x v="0"/>
    <x v="4"/>
    <s v="F:\images\2021CHG-ACH-Estrone 1\plaque 1/@01 Evian + 0.2% DMSO/E1_02.tif "/>
    <s v=" 1276.1638 "/>
    <s v=" 63.8136 "/>
    <x v="0"/>
    <n v="81437"/>
    <m/>
    <m/>
    <m/>
  </r>
  <r>
    <x v="0"/>
    <x v="4"/>
    <s v="F:\images\2021CHG-ACH-Estrone 1\plaque 1/@01 Evian + 0.2% DMSO/E1_03.tif "/>
    <s v=" 302.8185 "/>
    <s v=" 63.1429 "/>
    <x v="0"/>
    <n v="19121"/>
    <m/>
    <m/>
    <m/>
  </r>
  <r>
    <x v="0"/>
    <x v="5"/>
    <s v="F:\images\2021CHG-ACH-Estrone 1\plaque 1/@01 Evian + 0.2% DMSO/F1_01.tif "/>
    <s v=" 1232.904 "/>
    <s v=" 65.5614 "/>
    <x v="0"/>
    <n v="80831"/>
    <m/>
    <m/>
    <m/>
  </r>
  <r>
    <x v="0"/>
    <x v="5"/>
    <s v="F:\images\2021CHG-ACH-Estrone 1\plaque 1/@01 Evian + 0.2% DMSO/F1_02.tif "/>
    <s v=" 1124.7545 "/>
    <s v=" 64.9038 "/>
    <x v="0"/>
    <n v="73001"/>
    <m/>
    <m/>
    <m/>
  </r>
  <r>
    <x v="0"/>
    <x v="5"/>
    <s v="F:\images\2021CHG-ACH-Estrone 1\plaque 1/@01 Evian + 0.2% DMSO/F1_03.tif "/>
    <s v=" 454.2278 "/>
    <s v=" 62.5714 "/>
    <x v="0"/>
    <n v="28422"/>
    <m/>
    <m/>
    <m/>
  </r>
  <r>
    <x v="0"/>
    <x v="6"/>
    <s v="F:\images\2021CHG-ACH-Estrone 1\plaque 1/@01 Evian + 0.2% DMSO/G1_01.tif "/>
    <s v=" 3136.3347 "/>
    <s v=" 67.069 "/>
    <x v="0"/>
    <n v="210351"/>
    <m/>
    <m/>
    <m/>
  </r>
  <r>
    <x v="0"/>
    <x v="6"/>
    <s v="F:\images\2021CHG-ACH-Estrone 1\plaque 1/@01 Evian + 0.2% DMSO/G1_02.tif "/>
    <s v=" 1103.1246 "/>
    <s v=" 63.3529 "/>
    <x v="0"/>
    <n v="69886"/>
    <m/>
    <m/>
    <m/>
  </r>
  <r>
    <x v="0"/>
    <x v="6"/>
    <s v="F:\images\2021CHG-ACH-Estrone 1\plaque 1/@01 Evian + 0.2% DMSO/G1_03.tif "/>
    <s v=" 4412.4985 "/>
    <s v=" 67.6176 "/>
    <x v="0"/>
    <n v="298363"/>
    <m/>
    <m/>
    <m/>
  </r>
  <r>
    <x v="0"/>
    <x v="7"/>
    <s v="F:\images\2021CHG-ACH-Estrone 1\plaque 1/@01 Evian + 0.2% DMSO/H1_01.tif "/>
    <s v=" 7375.7941 "/>
    <s v=" 73.9677 "/>
    <x v="0"/>
    <n v="545571"/>
    <m/>
    <m/>
    <m/>
  </r>
  <r>
    <x v="0"/>
    <x v="7"/>
    <s v="F:\images\2021CHG-ACH-Estrone 1\plaque 1/@01 Evian + 0.2% DMSO/H1_02.tif "/>
    <s v=" 10555.3886 "/>
    <s v=" 73.3217 "/>
    <x v="0"/>
    <n v="773939"/>
    <m/>
    <m/>
    <m/>
  </r>
  <r>
    <x v="0"/>
    <x v="7"/>
    <s v="F:\images\2021CHG-ACH-Estrone 1\plaque 1/@01 Evian + 0.2% DMSO/H1_03.tif "/>
    <s v=" 3028.1852 "/>
    <s v=" 64.0143 "/>
    <x v="0"/>
    <n v="193847"/>
    <m/>
    <m/>
    <m/>
  </r>
  <r>
    <x v="1"/>
    <x v="8"/>
    <s v=" "/>
    <m/>
    <m/>
    <x v="1"/>
    <m/>
    <m/>
    <m/>
    <m/>
  </r>
  <r>
    <x v="1"/>
    <x v="8"/>
    <s v="group "/>
    <s v=" "/>
    <s v=" mean of mean fluo "/>
    <x v="2"/>
    <s v=" mean of total fluo "/>
    <s v=" SD total fluo "/>
    <s v=" n fluorescent "/>
    <s v=" n total"/>
  </r>
  <r>
    <x v="0"/>
    <x v="9"/>
    <s v="F:\images\2021CHG-ACH-Estrone 1\plaque 1/@01 Evian + 0.2% DMSO/ "/>
    <s v=" "/>
    <s v=" 65.7365 "/>
    <x v="3"/>
    <s v=" 166841.292 "/>
    <s v=" 188163.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CHG-ACH-Estrone 1\plaque 1/@02 EE2 33.8/A2_01.tif "/>
    <s v=" 1146.3844 "/>
    <s v=" 63.3019 "/>
    <x v="0"/>
    <n v="72568"/>
    <m/>
    <m/>
    <m/>
  </r>
  <r>
    <x v="2"/>
    <x v="0"/>
    <s v="F:\images\2021CHG-ACH-Estrone 1\plaque 1/@02 EE2 33.8/A2_02.tif "/>
    <s v=" 302.8185 "/>
    <s v=" 61.9286 "/>
    <x v="0"/>
    <n v="18753"/>
    <m/>
    <m/>
    <m/>
  </r>
  <r>
    <x v="2"/>
    <x v="0"/>
    <s v="F:\images\2021CHG-ACH-Estrone 1\plaque 1/@02 EE2 33.8/A2_03.tif "/>
    <s v=" 3806.8615 "/>
    <n v="66"/>
    <x v="0"/>
    <n v="251253"/>
    <m/>
    <m/>
    <m/>
  </r>
  <r>
    <x v="2"/>
    <x v="1"/>
    <s v="F:\images\2021CHG-ACH-Estrone 1\plaque 1/@02 EE2 33.8/B2_01- exclu.tif"/>
    <m/>
    <m/>
    <x v="1"/>
    <m/>
    <m/>
    <m/>
    <m/>
  </r>
  <r>
    <x v="2"/>
    <x v="1"/>
    <s v="F:\images\2021CHG-ACH-Estrone 1\plaque 1/@02 EE2 33.8/B2_02.tif "/>
    <s v=" 367.7082 "/>
    <s v=" 65.8235 "/>
    <x v="0"/>
    <n v="24204"/>
    <m/>
    <m/>
    <m/>
  </r>
  <r>
    <x v="2"/>
    <x v="1"/>
    <s v="F:\images\2021CHG-ACH-Estrone 1\plaque 1/@02 EE2 33.8/B2_03.tif "/>
    <s v=" 475.8577 "/>
    <s v=" 66.2727 "/>
    <x v="0"/>
    <n v="31536"/>
    <m/>
    <m/>
    <m/>
  </r>
  <r>
    <x v="2"/>
    <x v="2"/>
    <s v="F:\images\2021CHG-ACH-Estrone 1\plaque 1/@02 EE2 33.8/C2_01.tif "/>
    <s v=" 10490.4989 "/>
    <s v=" 81.8144 "/>
    <x v="0"/>
    <n v="858274"/>
    <m/>
    <m/>
    <m/>
  </r>
  <r>
    <x v="2"/>
    <x v="2"/>
    <s v="F:\images\2021CHG-ACH-Estrone 1\plaque 1/@02 EE2 33.8/C2_02.tif "/>
    <s v=" 12458.8193 "/>
    <s v=" 89.0035 "/>
    <x v="0"/>
    <n v="1108878"/>
    <m/>
    <m/>
    <m/>
  </r>
  <r>
    <x v="2"/>
    <x v="2"/>
    <s v="F:\images\2021CHG-ACH-Estrone 1\plaque 1/@02 EE2 33.8/C2_03.tif "/>
    <s v=" 12631.8585 "/>
    <s v=" 88.2534 "/>
    <x v="0"/>
    <n v="1114805"/>
    <m/>
    <m/>
    <m/>
  </r>
  <r>
    <x v="2"/>
    <x v="3"/>
    <s v="F:\images\2021CHG-ACH-Estrone 1\plaque 1/@02 EE2 33.8/D2_01.tif "/>
    <s v=" 432.5979 "/>
    <s v=" 63.3 "/>
    <x v="0"/>
    <n v="27383"/>
    <m/>
    <m/>
    <m/>
  </r>
  <r>
    <x v="2"/>
    <x v="3"/>
    <s v="F:\images\2021CHG-ACH-Estrone 1\plaque 1/@02 EE2 33.8/D2_02.tif "/>
    <s v=" 475.8577 "/>
    <s v=" 62.5455 "/>
    <x v="0"/>
    <n v="29763"/>
    <m/>
    <m/>
    <m/>
  </r>
  <r>
    <x v="2"/>
    <x v="3"/>
    <s v="F:\images\2021CHG-ACH-Estrone 1\plaque 1/@02 EE2 33.8/D2_03.tif "/>
    <s v=" 454.2278 "/>
    <s v=" 62.8571 "/>
    <x v="0"/>
    <n v="28551"/>
    <m/>
    <m/>
    <m/>
  </r>
  <r>
    <x v="2"/>
    <x v="4"/>
    <s v="F:\images\2021CHG-ACH-Estrone 1\plaque 1/@02 EE2 33.8/E2_01.tif "/>
    <s v=" 1427.573 "/>
    <s v=" 65.1364 "/>
    <x v="0"/>
    <n v="92987"/>
    <m/>
    <m/>
    <m/>
  </r>
  <r>
    <x v="2"/>
    <x v="4"/>
    <s v="F:\images\2021CHG-ACH-Estrone 1\plaque 1/@02 EE2 33.8/E2_02.tif "/>
    <s v=" 519.1175 "/>
    <s v=" 65.4583 "/>
    <x v="0"/>
    <n v="33981"/>
    <m/>
    <m/>
    <m/>
  </r>
  <r>
    <x v="2"/>
    <x v="4"/>
    <s v="F:\images\2021CHG-ACH-Estrone 1\plaque 1/@02 EE2 33.8/E2_03.tif "/>
    <s v=" 259.5587 "/>
    <s v=" 62.6667 "/>
    <x v="0"/>
    <n v="16266"/>
    <m/>
    <m/>
    <m/>
  </r>
  <r>
    <x v="2"/>
    <x v="5"/>
    <s v="F:\images\2021CHG-ACH-Estrone 1\plaque 1/@02 EE2 33.8/F2_01.tif "/>
    <s v=" 410.968 "/>
    <s v=" 64.6842 "/>
    <x v="0"/>
    <n v="26583"/>
    <m/>
    <m/>
    <m/>
  </r>
  <r>
    <x v="2"/>
    <x v="5"/>
    <s v="F:\images\2021CHG-ACH-Estrone 1\plaque 1/@02 EE2 33.8/F2_02.tif "/>
    <s v=" 389.3381 "/>
    <s v=" 66.2222 "/>
    <x v="0"/>
    <n v="25783"/>
    <m/>
    <m/>
    <m/>
  </r>
  <r>
    <x v="2"/>
    <x v="5"/>
    <s v="F:\images\2021CHG-ACH-Estrone 1\plaque 1/@02 EE2 33.8/F2_03.tif "/>
    <s v=" 281.1886 "/>
    <n v="67"/>
    <x v="0"/>
    <n v="18840"/>
    <m/>
    <m/>
    <m/>
  </r>
  <r>
    <x v="2"/>
    <x v="6"/>
    <s v="F:\images\2021CHG-ACH-Estrone 1\plaque 1/@02 EE2 33.8/G2_01.tif "/>
    <s v=" 3525.6728 "/>
    <s v=" 68.3558 "/>
    <x v="0"/>
    <n v="241000"/>
    <m/>
    <m/>
    <m/>
  </r>
  <r>
    <x v="2"/>
    <x v="6"/>
    <s v="F:\images\2021CHG-ACH-Estrone 1\plaque 1/@02 EE2 33.8/G2_02.tif "/>
    <s v=" 1795.2813 "/>
    <s v=" 65.8554 "/>
    <x v="0"/>
    <n v="118229"/>
    <m/>
    <m/>
    <m/>
  </r>
  <r>
    <x v="2"/>
    <x v="6"/>
    <s v="F:\images\2021CHG-ACH-Estrone 1\plaque 1/@02 EE2 33.8/G2_03.tif "/>
    <s v=" 4390.8686 "/>
    <s v=" 70.2906 "/>
    <x v="0"/>
    <n v="308637"/>
    <m/>
    <m/>
    <m/>
  </r>
  <r>
    <x v="2"/>
    <x v="7"/>
    <s v="F:\images\2021CHG-ACH-Estrone 1\plaque 1/@02 EE2 33.8/H2_01.tif "/>
    <s v=" 5796.8118 "/>
    <s v=" 68.0299 "/>
    <x v="0"/>
    <n v="394356"/>
    <m/>
    <m/>
    <m/>
  </r>
  <r>
    <x v="2"/>
    <x v="7"/>
    <s v="F:\images\2021CHG-ACH-Estrone 1\plaque 1/@02 EE2 33.8/H2_02.tif "/>
    <s v=" 6856.6766 "/>
    <s v=" 70.5363 "/>
    <x v="0"/>
    <n v="483644"/>
    <m/>
    <m/>
    <m/>
  </r>
  <r>
    <x v="2"/>
    <x v="7"/>
    <s v="F:\images\2021CHG-ACH-Estrone 1\plaque 1/@02 EE2 33.8/H2_03.tif "/>
    <s v=" 1081.4947 "/>
    <s v=" 64.18 "/>
    <x v="0"/>
    <n v="69410"/>
    <m/>
    <m/>
    <m/>
  </r>
  <r>
    <x v="1"/>
    <x v="8"/>
    <s v=" "/>
    <m/>
    <m/>
    <x v="1"/>
    <m/>
    <m/>
    <m/>
    <m/>
  </r>
  <r>
    <x v="1"/>
    <x v="8"/>
    <s v="group "/>
    <s v=" "/>
    <s v=" mean of mean fluo "/>
    <x v="2"/>
    <s v=" mean of total fluo "/>
    <s v=" SD total fluo "/>
    <s v=" n fluorescent "/>
    <s v=" n total"/>
  </r>
  <r>
    <x v="2"/>
    <x v="9"/>
    <s v="F:\images\2021CHG-ACH-Estrone 1\plaque 1/@02 EE2 33.8/ "/>
    <s v=" "/>
    <s v=" 68.1503 "/>
    <x v="4"/>
    <s v=" 225475.375 "/>
    <s v=" 338492.42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CHG-ACH-Estrone 1\plaque 1/@03 EE2 50.6/A3_01.tif "/>
    <s v=" 994.9752 "/>
    <s v=" 67.4348 "/>
    <x v="0"/>
    <n v="67096"/>
    <m/>
    <m/>
    <m/>
  </r>
  <r>
    <x v="3"/>
    <x v="0"/>
    <s v="F:\images\2021CHG-ACH-Estrone 1\plaque 1/@03 EE2 50.6/A3_02.tif "/>
    <s v=" 692.1566 "/>
    <s v=" 63.4375 "/>
    <x v="0"/>
    <n v="43909"/>
    <m/>
    <m/>
    <m/>
  </r>
  <r>
    <x v="3"/>
    <x v="0"/>
    <s v="F:\images\2021CHG-ACH-Estrone 1\plaque 1/@03 EE2 50.6/A3_03.tif "/>
    <s v=" 930.0855 "/>
    <s v=" 62.7209 "/>
    <x v="0"/>
    <n v="58336"/>
    <m/>
    <m/>
    <m/>
  </r>
  <r>
    <x v="3"/>
    <x v="1"/>
    <s v="F:\images\2021CHG-ACH-Estrone 1\plaque 1/@03 EE2 50.6/B3_01.tif "/>
    <s v=" 302.8185 "/>
    <s v=" 64.5 "/>
    <x v="0"/>
    <n v="19532"/>
    <m/>
    <m/>
    <m/>
  </r>
  <r>
    <x v="3"/>
    <x v="1"/>
    <s v="F:\images\2021CHG-ACH-Estrone 1\plaque 1/@03 EE2 50.6/B3_02.tif "/>
    <s v=" 4347.6088 "/>
    <s v=" 69.2189 "/>
    <x v="0"/>
    <n v="300937"/>
    <m/>
    <m/>
    <m/>
  </r>
  <r>
    <x v="3"/>
    <x v="1"/>
    <s v="F:\images\2021CHG-ACH-Estrone 1\plaque 1/@03 EE2 50.6/B3_03.tif "/>
    <s v=" 5169.5448 "/>
    <s v=" 68.7741 "/>
    <x v="0"/>
    <n v="355531"/>
    <m/>
    <m/>
    <m/>
  </r>
  <r>
    <x v="3"/>
    <x v="2"/>
    <s v="F:\images\2021CHG-ACH-Estrone 1\plaque 1/@03 EE2 50.6/C3_01.tif "/>
    <s v=" 389.3381 "/>
    <s v=" 62.3333 "/>
    <x v="0"/>
    <n v="24269"/>
    <m/>
    <m/>
    <m/>
  </r>
  <r>
    <x v="3"/>
    <x v="2"/>
    <s v="F:\images\2021CHG-ACH-Estrone 1\plaque 1/@03 EE2 50.6/C3_02.tif "/>
    <s v=" 7094.6054 "/>
    <s v=" 67.0762 "/>
    <x v="0"/>
    <n v="475879"/>
    <m/>
    <m/>
    <m/>
  </r>
  <r>
    <x v="3"/>
    <x v="2"/>
    <s v="F:\images\2021CHG-ACH-Estrone 1\plaque 1/@03 EE2 50.6/C3_03.tif "/>
    <s v=" 1232.904 "/>
    <s v=" 64.2807 "/>
    <x v="0"/>
    <n v="79252"/>
    <m/>
    <m/>
    <m/>
  </r>
  <r>
    <x v="3"/>
    <x v="3"/>
    <s v="F:\images\2021CHG-ACH-Estrone 1\plaque 1/@03 EE2 50.6/D3_01.tif "/>
    <s v=" 4499.0181 "/>
    <s v=" 66.9423 "/>
    <x v="0"/>
    <n v="301175"/>
    <m/>
    <m/>
    <m/>
  </r>
  <r>
    <x v="3"/>
    <x v="3"/>
    <s v="F:\images\2021CHG-ACH-Estrone 1\plaque 1/@03 EE2 50.6/D3_02.tif "/>
    <s v=" 2746.9966 "/>
    <s v=" 67.4882 "/>
    <x v="0"/>
    <n v="185390"/>
    <m/>
    <m/>
    <m/>
  </r>
  <r>
    <x v="3"/>
    <x v="3"/>
    <s v="F:\images\2021CHG-ACH-Estrone 1\plaque 1/@03 EE2 50.6/D3_03.tif "/>
    <s v=" 5623.7726 "/>
    <s v=" 68.2154 "/>
    <x v="0"/>
    <n v="383628"/>
    <m/>
    <m/>
    <m/>
  </r>
  <r>
    <x v="3"/>
    <x v="4"/>
    <s v="F:\images\2021CHG-ACH-Estrone 1\plaque 1/@03 EE2 50.6/E3_01.tif "/>
    <s v=" 2746.9966 "/>
    <s v=" 64.9213 "/>
    <x v="0"/>
    <n v="178338"/>
    <m/>
    <m/>
    <m/>
  </r>
  <r>
    <x v="3"/>
    <x v="4"/>
    <s v="F:\images\2021CHG-ACH-Estrone 1\plaque 1/@03 EE2 50.6/E3_02.tif "/>
    <s v=" 2855.1461 "/>
    <s v=" 67.5909 "/>
    <x v="0"/>
    <n v="192982"/>
    <m/>
    <m/>
    <m/>
  </r>
  <r>
    <x v="3"/>
    <x v="4"/>
    <s v="F:\images\2021CHG-ACH-Estrone 1\plaque 1/@03 EE2 50.6/E3_03.tif "/>
    <s v=" 800.3061 "/>
    <s v=" 63.8378 "/>
    <x v="0"/>
    <n v="51090"/>
    <m/>
    <m/>
    <m/>
  </r>
  <r>
    <x v="3"/>
    <x v="5"/>
    <s v="F:\images\2021CHG-ACH-Estrone 1\plaque 1/@03 EE2 50.6/F3_01.tif "/>
    <s v=" 1297.7937 "/>
    <s v=" 64.2 "/>
    <x v="0"/>
    <n v="83318"/>
    <m/>
    <m/>
    <m/>
  </r>
  <r>
    <x v="3"/>
    <x v="5"/>
    <s v="F:\images\2021CHG-ACH-Estrone 1\plaque 1/@03 EE2 50.6/F3_02.tif "/>
    <s v=" 237.9288 "/>
    <s v=" 62.6364 "/>
    <x v="0"/>
    <n v="14903"/>
    <m/>
    <m/>
    <m/>
  </r>
  <r>
    <x v="3"/>
    <x v="5"/>
    <s v="F:\images\2021CHG-ACH-Estrone 1\plaque 1/@03 EE2 50.6/F3_03.tif "/>
    <s v=" 129.7794 "/>
    <s v=" 62.8333 "/>
    <x v="0"/>
    <n v="8154"/>
    <m/>
    <m/>
    <m/>
  </r>
  <r>
    <x v="3"/>
    <x v="6"/>
    <s v="F:\images\2021CHG-ACH-Estrone 1\plaque 1/@03 EE2 50.6/G3_01.tif "/>
    <s v=" 540.7474 "/>
    <s v=" 63.72 "/>
    <x v="0"/>
    <n v="34456"/>
    <m/>
    <m/>
    <m/>
  </r>
  <r>
    <x v="3"/>
    <x v="6"/>
    <s v="F:\images\2021CHG-ACH-Estrone 1\plaque 1/@03 EE2 50.6/G3_02.tif "/>
    <s v=" 605.637 "/>
    <s v=" 65.5 "/>
    <x v="0"/>
    <n v="39669"/>
    <m/>
    <m/>
    <m/>
  </r>
  <r>
    <x v="3"/>
    <x v="6"/>
    <s v="F:\images\2021CHG-ACH-Estrone 1\plaque 1/@03 EE2 50.6/G3_03.tif "/>
    <s v=" 1276.1638 "/>
    <s v=" 63.2373 "/>
    <x v="0"/>
    <n v="80701"/>
    <m/>
    <m/>
    <m/>
  </r>
  <r>
    <x v="3"/>
    <x v="7"/>
    <s v="F:\images\2021CHG-ACH-Estrone 1\plaque 1/@03 EE2 50.6/H3_01.tif "/>
    <s v=" 4866.7263 "/>
    <s v=" 69.3911 "/>
    <x v="0"/>
    <n v="337708"/>
    <m/>
    <m/>
    <m/>
  </r>
  <r>
    <x v="3"/>
    <x v="7"/>
    <s v="F:\images\2021CHG-ACH-Estrone 1\plaque 1/@03 EE2 50.6/H3_02.tif "/>
    <s v=" 367.7082 "/>
    <s v=" 62.7647 "/>
    <x v="0"/>
    <n v="23079"/>
    <m/>
    <m/>
    <m/>
  </r>
  <r>
    <x v="3"/>
    <x v="7"/>
    <s v="F:\images\2021CHG-ACH-Estrone 1\plaque 1/@03 EE2 50.6/H3_03.tif "/>
    <s v=" 4304.349 "/>
    <s v=" 71.8291 "/>
    <x v="0"/>
    <n v="309178"/>
    <m/>
    <m/>
    <m/>
  </r>
  <r>
    <x v="1"/>
    <x v="8"/>
    <s v=" "/>
    <m/>
    <m/>
    <x v="1"/>
    <m/>
    <m/>
    <m/>
    <m/>
  </r>
  <r>
    <x v="1"/>
    <x v="8"/>
    <s v="group "/>
    <s v=" "/>
    <s v=" mean of mean fluo "/>
    <x v="2"/>
    <s v=" mean of total fluo "/>
    <s v=" SD total fluo "/>
    <s v=" n fluorescent "/>
    <s v=" n total"/>
  </r>
  <r>
    <x v="3"/>
    <x v="9"/>
    <s v="F:\images\2021CHG-ACH-Estrone 1\plaque 1/@03 EE2 50.6/ "/>
    <s v=" "/>
    <s v=" 65.6202 "/>
    <x v="5"/>
    <s v=" 152021.25 "/>
    <s v=" 143925.8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CHG-ACH-Estrone 1\plaque 1/@04 EE2 76/A4_01- exclu.tif"/>
    <m/>
    <m/>
    <x v="1"/>
    <m/>
    <m/>
    <m/>
    <m/>
  </r>
  <r>
    <x v="4"/>
    <x v="0"/>
    <s v="F:\images\2021CHG-ACH-Estrone 1\plaque 1/@04 EE2 76/A4_02.tif "/>
    <s v=" 9062.9258 "/>
    <s v=" 65.8974 "/>
    <x v="0"/>
    <n v="597223"/>
    <m/>
    <m/>
    <m/>
  </r>
  <r>
    <x v="4"/>
    <x v="0"/>
    <s v="F:\images\2021CHG-ACH-Estrone 1\plaque 1/@04 EE2 76/A4_03.tif "/>
    <s v=" 8219.36 "/>
    <s v=" 65.7842 "/>
    <x v="0"/>
    <n v="540704"/>
    <m/>
    <m/>
    <m/>
  </r>
  <r>
    <x v="4"/>
    <x v="1"/>
    <s v="F:\images\2021CHG-ACH-Estrone 1\plaque 1/@04 EE2 76/B4_01.tif "/>
    <s v=" 13864.7625 "/>
    <s v=" 65.1576 "/>
    <x v="0"/>
    <n v="903394"/>
    <m/>
    <m/>
    <m/>
  </r>
  <r>
    <x v="4"/>
    <x v="1"/>
    <s v="F:\images\2021CHG-ACH-Estrone 1\plaque 1/@04 EE2 76/B4_02.tif "/>
    <s v=" 10252.5701 "/>
    <s v=" 66.4937 "/>
    <x v="0"/>
    <n v="681731"/>
    <m/>
    <m/>
    <m/>
  </r>
  <r>
    <x v="4"/>
    <x v="1"/>
    <s v="F:\images\2021CHG-ACH-Estrone 1\plaque 1/@04 EE2 76/B4_03.tif "/>
    <s v=" 12285.7801 "/>
    <s v=" 66.7377 "/>
    <x v="0"/>
    <n v="819924"/>
    <m/>
    <m/>
    <m/>
  </r>
  <r>
    <x v="4"/>
    <x v="2"/>
    <s v="F:\images\2021CHG-ACH-Estrone 1\plaque 1/@04 EE2 76/C4_01.tif "/>
    <s v=" 12502.0791 "/>
    <s v=" 69.8547 "/>
    <x v="0"/>
    <n v="873329"/>
    <m/>
    <m/>
    <m/>
  </r>
  <r>
    <x v="4"/>
    <x v="2"/>
    <s v="F:\images\2021CHG-ACH-Estrone 1\plaque 1/@04 EE2 76/C4_02.tif "/>
    <s v=" 11658.5132 "/>
    <s v=" 69.0816 "/>
    <x v="0"/>
    <n v="805389"/>
    <m/>
    <m/>
    <m/>
  </r>
  <r>
    <x v="4"/>
    <x v="2"/>
    <s v="F:\images\2021CHG-ACH-Estrone 1\plaque 1/@04 EE2 76/C4_03.tif "/>
    <s v=" 11809.9225 "/>
    <s v=" 66.8297 "/>
    <x v="0"/>
    <n v="789253"/>
    <m/>
    <m/>
    <m/>
  </r>
  <r>
    <x v="4"/>
    <x v="3"/>
    <s v="F:\images\2021CHG-ACH-Estrone 1\plaque 1/@04 EE2 76/D4_01.tif "/>
    <s v=" 8046.3208 "/>
    <s v=" 65.0914 "/>
    <x v="0"/>
    <n v="523746"/>
    <m/>
    <m/>
    <m/>
  </r>
  <r>
    <x v="4"/>
    <x v="3"/>
    <s v="F:\images\2021CHG-ACH-Estrone 1\plaque 1/@04 EE2 76/D4_02.tif "/>
    <s v=" 5731.9221 "/>
    <s v=" 65.7623 "/>
    <x v="0"/>
    <n v="376944"/>
    <m/>
    <m/>
    <m/>
  </r>
  <r>
    <x v="4"/>
    <x v="3"/>
    <s v="F:\images\2021CHG-ACH-Estrone 1\plaque 1/@04 EE2 76/D4_03.tif "/>
    <s v=" 5710.2922 "/>
    <s v=" 64.4432 "/>
    <x v="0"/>
    <n v="367989"/>
    <m/>
    <m/>
    <m/>
  </r>
  <r>
    <x v="4"/>
    <x v="4"/>
    <s v="F:\images\2021CHG-ACH-Estrone 1\plaque 1/@04 EE2 76/E4_01.tif "/>
    <s v=" 3979.9006 "/>
    <s v=" 64.9837 "/>
    <x v="0"/>
    <n v="258629"/>
    <m/>
    <m/>
    <m/>
  </r>
  <r>
    <x v="4"/>
    <x v="4"/>
    <s v="F:\images\2021CHG-ACH-Estrone 1\plaque 1/@04 EE2 76/E4_02.tif "/>
    <s v=" 3439.1532 "/>
    <s v=" 65.5849 "/>
    <x v="0"/>
    <n v="225557"/>
    <m/>
    <m/>
    <m/>
  </r>
  <r>
    <x v="4"/>
    <x v="4"/>
    <s v="F:\images\2021CHG-ACH-Estrone 1\plaque 1/@04 EE2 76/E4_03.tif "/>
    <s v=" 3244.4842 "/>
    <s v=" 64.8933 "/>
    <x v="0"/>
    <n v="210545"/>
    <m/>
    <m/>
    <m/>
  </r>
  <r>
    <x v="4"/>
    <x v="5"/>
    <s v="F:\images\2021CHG-ACH-Estrone 1\plaque 1/@04 EE2 76/F4_01.tif "/>
    <s v=" 1189.6442 "/>
    <s v=" 63.0727 "/>
    <x v="0"/>
    <n v="75034"/>
    <m/>
    <m/>
    <m/>
  </r>
  <r>
    <x v="4"/>
    <x v="5"/>
    <s v="F:\images\2021CHG-ACH-Estrone 1\plaque 1/@04 EE2 76/F4_02.tif "/>
    <s v=" 886.8257 "/>
    <s v=" 63.0732 "/>
    <x v="0"/>
    <n v="55935"/>
    <m/>
    <m/>
    <m/>
  </r>
  <r>
    <x v="4"/>
    <x v="5"/>
    <s v="F:\images\2021CHG-ACH-Estrone 1\plaque 1/@04 EE2 76/F4_03.tif "/>
    <s v=" 843.5659 "/>
    <s v=" 63.1282 "/>
    <x v="0"/>
    <n v="53253"/>
    <m/>
    <m/>
    <m/>
  </r>
  <r>
    <x v="4"/>
    <x v="6"/>
    <s v="F:\images\2021CHG-ACH-Estrone 1\plaque 1/@04 EE2 76/G4_01.tif "/>
    <s v=" 12480.4492 "/>
    <s v=" 68.2738 "/>
    <x v="0"/>
    <n v="852088"/>
    <m/>
    <m/>
    <m/>
  </r>
  <r>
    <x v="4"/>
    <x v="6"/>
    <s v="F:\images\2021CHG-ACH-Estrone 1\plaque 1/@04 EE2 76/G4_02.tif "/>
    <s v=" 8846.6269 "/>
    <s v=" 67.5746 "/>
    <x v="0"/>
    <n v="597807"/>
    <m/>
    <m/>
    <m/>
  </r>
  <r>
    <x v="4"/>
    <x v="6"/>
    <s v="F:\images\2021CHG-ACH-Estrone 1\plaque 1/@04 EE2 76/G4_03.tif "/>
    <s v=" 12999.5667 "/>
    <s v=" 67.8952 "/>
    <x v="0"/>
    <n v="882608"/>
    <m/>
    <m/>
    <m/>
  </r>
  <r>
    <x v="4"/>
    <x v="7"/>
    <s v="F:\images\2021CHG-ACH-Estrone 1\plaque 1/@04 EE2 76/H4_01.tif "/>
    <s v=" 6142.8901 "/>
    <s v=" 72.919 "/>
    <x v="0"/>
    <n v="447933"/>
    <m/>
    <m/>
    <m/>
  </r>
  <r>
    <x v="4"/>
    <x v="7"/>
    <s v="F:\images\2021CHG-ACH-Estrone 1\plaque 1/@04 EE2 76/H4_02.tif "/>
    <s v=" 3893.381 "/>
    <s v=" 69.2778 "/>
    <x v="0"/>
    <n v="269725"/>
    <m/>
    <m/>
    <m/>
  </r>
  <r>
    <x v="4"/>
    <x v="7"/>
    <s v="F:\images\2021CHG-ACH-Estrone 1\plaque 1/@04 EE2 76/H4_03.tif "/>
    <s v=" 1016.605 "/>
    <s v=" 63.5106 "/>
    <x v="0"/>
    <n v="64565"/>
    <m/>
    <m/>
    <m/>
  </r>
  <r>
    <x v="1"/>
    <x v="8"/>
    <s v=" "/>
    <m/>
    <m/>
    <x v="1"/>
    <m/>
    <m/>
    <m/>
    <m/>
  </r>
  <r>
    <x v="1"/>
    <x v="8"/>
    <s v="group "/>
    <s v=" "/>
    <s v=" mean of mean fluo "/>
    <x v="2"/>
    <s v=" mean of total fluo "/>
    <s v=" SD total fluo "/>
    <s v=" n fluorescent "/>
    <s v=" n total"/>
  </r>
  <r>
    <x v="4"/>
    <x v="9"/>
    <s v="F:\images\2021CHG-ACH-Estrone 1\plaque 1/@04 EE2 76/ "/>
    <s v=" "/>
    <s v=" 66.2395 "/>
    <x v="6"/>
    <s v=" 484237.417 "/>
    <s v=" 294564.5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CHG-ACH-Estrone 1\plaque 1/@05 EE2 114/A5_01.tif "/>
    <s v=" 5429.1036 "/>
    <s v=" 64.012 "/>
    <x v="0"/>
    <n v="347528"/>
    <m/>
    <m/>
    <m/>
  </r>
  <r>
    <x v="5"/>
    <x v="0"/>
    <s v="F:\images\2021CHG-ACH-Estrone 1\plaque 1/@05 EE2 114/A5_02.tif "/>
    <s v=" 7375.7941 "/>
    <s v=" 63.8182 "/>
    <x v="0"/>
    <n v="470710"/>
    <m/>
    <m/>
    <m/>
  </r>
  <r>
    <x v="5"/>
    <x v="0"/>
    <s v="F:\images\2021CHG-ACH-Estrone 1\plaque 1/@05 EE2 114/A5_03.tif "/>
    <s v=" 9300.8547 "/>
    <s v=" 64.3977 "/>
    <x v="0"/>
    <n v="598953"/>
    <m/>
    <m/>
    <m/>
  </r>
  <r>
    <x v="5"/>
    <x v="1"/>
    <s v="F:\images\2021CHG-ACH-Estrone 1\plaque 1/@05 EE2 114/B5_01.tif "/>
    <s v=" 16092.6416 "/>
    <s v=" 67.293 "/>
    <x v="0"/>
    <n v="1082922"/>
    <m/>
    <m/>
    <m/>
  </r>
  <r>
    <x v="5"/>
    <x v="1"/>
    <s v="F:\images\2021CHG-ACH-Estrone 1\plaque 1/@05 EE2 114/B5_02.tif "/>
    <s v=" 17325.5456 "/>
    <s v=" 67.0911 "/>
    <x v="0"/>
    <n v="1162391"/>
    <m/>
    <m/>
    <m/>
  </r>
  <r>
    <x v="5"/>
    <x v="1"/>
    <s v="F:\images\2021CHG-ACH-Estrone 1\plaque 1/@05 EE2 114/B5_03.tif "/>
    <s v=" 13259.1254 "/>
    <s v=" 65.7488 "/>
    <x v="0"/>
    <n v="871771"/>
    <m/>
    <m/>
    <m/>
  </r>
  <r>
    <x v="5"/>
    <x v="2"/>
    <s v="F:\images\2021CHG-ACH-Estrone 1\plaque 1/@05 EE2 114/C5_01.tif "/>
    <s v=" 15400.485 "/>
    <s v=" 67.1475 "/>
    <x v="0"/>
    <n v="1034104"/>
    <m/>
    <m/>
    <m/>
  </r>
  <r>
    <x v="5"/>
    <x v="2"/>
    <s v="F:\images\2021CHG-ACH-Estrone 1\plaque 1/@05 EE2 114/C5_02.tif "/>
    <s v=" 13259.1254 "/>
    <s v=" 66.2708 "/>
    <x v="0"/>
    <n v="878693"/>
    <m/>
    <m/>
    <m/>
  </r>
  <r>
    <x v="5"/>
    <x v="2"/>
    <s v="F:\images\2021CHG-ACH-Estrone 1\plaque 1/@05 EE2 114/C5_03.tif "/>
    <s v=" 13561.9439 "/>
    <s v=" 66.555 "/>
    <x v="0"/>
    <n v="902616"/>
    <m/>
    <m/>
    <m/>
  </r>
  <r>
    <x v="5"/>
    <x v="3"/>
    <s v="F:\images\2021CHG-ACH-Estrone 1\plaque 1/@05 EE2 114/D5_01.tif "/>
    <s v=" 6856.6766 "/>
    <s v=" 65.5615 "/>
    <x v="0"/>
    <n v="449534"/>
    <m/>
    <m/>
    <m/>
  </r>
  <r>
    <x v="5"/>
    <x v="3"/>
    <s v="F:\images\2021CHG-ACH-Estrone 1\plaque 1/@05 EE2 114/D5_02.tif "/>
    <s v=" 10901.4669 "/>
    <s v=" 66.6746 "/>
    <x v="0"/>
    <n v="726851"/>
    <m/>
    <m/>
    <m/>
  </r>
  <r>
    <x v="5"/>
    <x v="3"/>
    <s v="F:\images\2021CHG-ACH-Estrone 1\plaque 1/@05 EE2 114/D5_03.tif "/>
    <s v=" 12220.8905 "/>
    <s v=" 66.8212 "/>
    <x v="0"/>
    <n v="816615"/>
    <m/>
    <m/>
    <m/>
  </r>
  <r>
    <x v="5"/>
    <x v="4"/>
    <s v="F:\images\2021CHG-ACH-Estrone 1\plaque 1/@05 EE2 114/E5_01.tif "/>
    <s v=" 18904.5279 "/>
    <s v=" 65.4062 "/>
    <x v="0"/>
    <n v="1236473"/>
    <m/>
    <m/>
    <m/>
  </r>
  <r>
    <x v="5"/>
    <x v="4"/>
    <s v="F:\images\2021CHG-ACH-Estrone 1\plaque 1/@05 EE2 114/E5_02.tif "/>
    <s v=" 21478.4854 "/>
    <s v=" 65.1823 "/>
    <x v="0"/>
    <n v="1400017"/>
    <m/>
    <m/>
    <m/>
  </r>
  <r>
    <x v="5"/>
    <x v="4"/>
    <s v="F:\images\2021CHG-ACH-Estrone 1\plaque 1/@05 EE2 114/E5_03.tif "/>
    <s v=" 13150.9759 "/>
    <s v=" 64.8158 "/>
    <x v="0"/>
    <n v="852391"/>
    <m/>
    <m/>
    <m/>
  </r>
  <r>
    <x v="5"/>
    <x v="5"/>
    <s v="F:\images\2021CHG-ACH-Estrone 1\plaque 1/@05 EE2 114/F5_01.tif "/>
    <s v=" 11853.1823 "/>
    <s v=" 67.4288 "/>
    <x v="0"/>
    <n v="799246"/>
    <m/>
    <m/>
    <m/>
  </r>
  <r>
    <x v="5"/>
    <x v="5"/>
    <s v="F:\images\2021CHG-ACH-Estrone 1\plaque 1/@05 EE2 114/F5_02.tif "/>
    <s v=" 7786.7621 "/>
    <s v=" 65.1333 "/>
    <x v="0"/>
    <n v="507178"/>
    <m/>
    <m/>
    <m/>
  </r>
  <r>
    <x v="5"/>
    <x v="5"/>
    <s v="F:\images\2021CHG-ACH-Estrone 1\plaque 1/@05 EE2 114/F5_03.tif "/>
    <s v=" 12156.0008 "/>
    <s v=" 67.3577 "/>
    <x v="0"/>
    <n v="818800"/>
    <m/>
    <m/>
    <m/>
  </r>
  <r>
    <x v="5"/>
    <x v="6"/>
    <s v="F:\images\2021CHG-ACH-Estrone 1\plaque 1/@05 EE2 114/G5_01.tif "/>
    <s v=" 6359.189 "/>
    <s v=" 65.4932 "/>
    <x v="0"/>
    <n v="416484"/>
    <m/>
    <m/>
    <m/>
  </r>
  <r>
    <x v="5"/>
    <x v="6"/>
    <s v="F:\images\2021CHG-ACH-Estrone 1\plaque 1/@05 EE2 114/G5_02.tif "/>
    <s v=" 6099.6303 "/>
    <s v=" 64.2376 "/>
    <x v="0"/>
    <n v="391826"/>
    <m/>
    <m/>
    <m/>
  </r>
  <r>
    <x v="5"/>
    <x v="6"/>
    <s v="F:\images\2021CHG-ACH-Estrone 1\plaque 1/@05 EE2 114/G5_03.tif "/>
    <s v=" 6640.3777 "/>
    <s v=" 64.1596 "/>
    <x v="0"/>
    <n v="426044"/>
    <m/>
    <m/>
    <m/>
  </r>
  <r>
    <x v="5"/>
    <x v="7"/>
    <s v="F:\images\2021CHG-ACH-Estrone 1\plaque 1/@05 EE2 114/H5_01.tif "/>
    <s v=" 18601.7094 "/>
    <s v=" 65.3547 "/>
    <x v="0"/>
    <n v="1215708"/>
    <m/>
    <m/>
    <m/>
  </r>
  <r>
    <x v="5"/>
    <x v="7"/>
    <s v="F:\images\2021CHG-ACH-Estrone 1\plaque 1/@05 EE2 114/H5_02.tif "/>
    <s v=" 15249.0757 "/>
    <s v=" 65.5957 "/>
    <x v="0"/>
    <n v="1000274"/>
    <m/>
    <m/>
    <m/>
  </r>
  <r>
    <x v="5"/>
    <x v="7"/>
    <s v="F:\images\2021CHG-ACH-Estrone 1\plaque 1/@05 EE2 114/H5_03.tif "/>
    <s v=" 15487.0046 "/>
    <s v=" 68.2612 "/>
    <x v="0"/>
    <n v="1057161"/>
    <m/>
    <m/>
    <m/>
  </r>
  <r>
    <x v="1"/>
    <x v="8"/>
    <s v=" "/>
    <m/>
    <m/>
    <x v="1"/>
    <m/>
    <m/>
    <m/>
    <m/>
  </r>
  <r>
    <x v="1"/>
    <x v="8"/>
    <s v="group "/>
    <s v=" "/>
    <s v=" mean of mean fluo "/>
    <x v="2"/>
    <s v=" mean of total fluo "/>
    <s v=" SD total fluo "/>
    <s v=" n fluorescent "/>
    <s v=" n total"/>
  </r>
  <r>
    <x v="5"/>
    <x v="9"/>
    <s v="F:\images\2021CHG-ACH-Estrone 1\plaque 1/@05 EE2 114/ "/>
    <s v=" "/>
    <s v=" 65.8257 "/>
    <x v="7"/>
    <s v=" 811012.083 "/>
    <s v=" 304968.7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CHG-ACH-Estrone 1\plaque 1/@06 EE2 170.9/A6_01.tif "/>
    <s v=" 44860.4015 "/>
    <s v=" 69.5926 "/>
    <x v="0"/>
    <n v="3121951"/>
    <m/>
    <m/>
    <m/>
  </r>
  <r>
    <x v="6"/>
    <x v="0"/>
    <s v="F:\images\2021CHG-ACH-Estrone 1\plaque 1/@06 EE2 170.9/A6_02.tif "/>
    <s v=" 48861.932 "/>
    <s v=" 71.2435 "/>
    <x v="0"/>
    <n v="3481094"/>
    <m/>
    <m/>
    <m/>
  </r>
  <r>
    <x v="6"/>
    <x v="0"/>
    <s v="F:\images\2021CHG-ACH-Estrone 1\plaque 1/@06 EE2 170.9/A6_03.tif "/>
    <s v=" 49121.4907 "/>
    <s v=" 69.9247 "/>
    <x v="0"/>
    <n v="3434806"/>
    <m/>
    <m/>
    <m/>
  </r>
  <r>
    <x v="6"/>
    <x v="1"/>
    <s v="F:\images\2021CHG-ACH-Estrone 1\plaque 1/@06 EE2 170.9/B6_01.tif "/>
    <s v=" 30995.639 "/>
    <s v=" 72.0447 "/>
    <x v="0"/>
    <n v="2233070"/>
    <m/>
    <m/>
    <m/>
  </r>
  <r>
    <x v="6"/>
    <x v="1"/>
    <s v="F:\images\2021CHG-ACH-Estrone 1\plaque 1/@06 EE2 170.9/B6_02.tif "/>
    <s v=" 31233.5678 "/>
    <s v=" 70.8968 "/>
    <x v="0"/>
    <n v="2214360"/>
    <m/>
    <m/>
    <m/>
  </r>
  <r>
    <x v="6"/>
    <x v="1"/>
    <s v="F:\images\2021CHG-ACH-Estrone 1\plaque 1/@06 EE2 170.9/B6_03.tif "/>
    <s v=" 31190.3081 "/>
    <s v=" 73.7503 "/>
    <x v="0"/>
    <n v="2300296"/>
    <m/>
    <m/>
    <m/>
  </r>
  <r>
    <x v="6"/>
    <x v="2"/>
    <s v="F:\images\2021CHG-ACH-Estrone 1\plaque 1/@06 EE2 170.9/C6_01.tif "/>
    <s v=" 25523.2757 "/>
    <s v=" 66.1873 "/>
    <x v="0"/>
    <n v="1689316"/>
    <m/>
    <m/>
    <m/>
  </r>
  <r>
    <x v="6"/>
    <x v="2"/>
    <s v="F:\images\2021CHG-ACH-Estrone 1\plaque 1/@06 EE2 170.9/C6_02.tif "/>
    <s v=" 19423.6454 "/>
    <s v=" 65.8775 "/>
    <x v="0"/>
    <n v="1279581"/>
    <m/>
    <m/>
    <m/>
  </r>
  <r>
    <x v="6"/>
    <x v="2"/>
    <s v="F:\images\2021CHG-ACH-Estrone 1\plaque 1/@06 EE2 170.9/C6_03.tif "/>
    <s v=" 26496.6209 "/>
    <s v=" 66.3322 "/>
    <x v="0"/>
    <n v="1757580"/>
    <m/>
    <m/>
    <m/>
  </r>
  <r>
    <x v="6"/>
    <x v="3"/>
    <s v="F:\images\2021CHG-ACH-Estrone 1\plaque 1/@06 EE2 170.9/D6_01.tif "/>
    <s v=" 41659.1771 "/>
    <s v=" 73.3858 "/>
    <x v="0"/>
    <n v="3057191"/>
    <m/>
    <m/>
    <m/>
  </r>
  <r>
    <x v="6"/>
    <x v="3"/>
    <s v="F:\images\2021CHG-ACH-Estrone 1\plaque 1/@06 EE2 170.9/D6_02.tif "/>
    <s v=" 45682.3375 "/>
    <s v=" 71.8205 "/>
    <x v="0"/>
    <n v="3280931"/>
    <m/>
    <m/>
    <m/>
  </r>
  <r>
    <x v="6"/>
    <x v="3"/>
    <s v="F:\images\2021CHG-ACH-Estrone 1\plaque 1/@06 EE2 170.9/D6_03.tif "/>
    <s v=" 42178.2945 "/>
    <s v=" 71.7051 "/>
    <x v="0"/>
    <n v="3024400"/>
    <m/>
    <m/>
    <m/>
  </r>
  <r>
    <x v="6"/>
    <x v="4"/>
    <s v="F:\images\2021CHG-ACH-Estrone 1\plaque 1/@06 EE2 170.9/E6_01.tif "/>
    <s v=" 20916.1081 "/>
    <s v=" 68.1179 "/>
    <x v="0"/>
    <n v="1424761"/>
    <m/>
    <m/>
    <m/>
  </r>
  <r>
    <x v="6"/>
    <x v="4"/>
    <s v="F:\images\2021CHG-ACH-Estrone 1\plaque 1/@06 EE2 170.9/E6_02.tif "/>
    <s v=" 18147.4816 "/>
    <s v=" 67.2813 "/>
    <x v="0"/>
    <n v="1220986"/>
    <m/>
    <m/>
    <m/>
  </r>
  <r>
    <x v="6"/>
    <x v="4"/>
    <s v="F:\images\2021CHG-ACH-Estrone 1\plaque 1/@06 EE2 170.9/E6_03.tif "/>
    <s v=" 16806.4281 "/>
    <s v=" 66.7452 "/>
    <x v="0"/>
    <n v="1121748"/>
    <m/>
    <m/>
    <m/>
  </r>
  <r>
    <x v="6"/>
    <x v="5"/>
    <s v="F:\images\2021CHG-ACH-Estrone 1\plaque 1/@06 EE2 170.9/F6_01.tif "/>
    <s v=" 21716.4142 "/>
    <s v=" 69.2659 "/>
    <x v="0"/>
    <n v="1504208"/>
    <m/>
    <m/>
    <m/>
  </r>
  <r>
    <x v="6"/>
    <x v="5"/>
    <s v="F:\images\2021CHG-ACH-Estrone 1\plaque 1/@06 EE2 170.9/F6_02.tif "/>
    <s v=" 20656.5494 "/>
    <s v=" 70.4471 "/>
    <x v="0"/>
    <n v="1455194"/>
    <m/>
    <m/>
    <m/>
  </r>
  <r>
    <x v="6"/>
    <x v="5"/>
    <s v="F:\images\2021CHG-ACH-Estrone 1\plaque 1/@06 EE2 170.9/F6_03.tif "/>
    <s v=" 17952.8125 "/>
    <s v=" 70.0012 "/>
    <x v="0"/>
    <n v="1256719"/>
    <m/>
    <m/>
    <m/>
  </r>
  <r>
    <x v="6"/>
    <x v="6"/>
    <s v="F:\images\2021CHG-ACH-Estrone 1\plaque 1/@06 EE2 170.9/G6_01.tif "/>
    <s v=" 51284.4802 "/>
    <s v=" 78.2088 "/>
    <x v="0"/>
    <n v="4010896"/>
    <m/>
    <m/>
    <m/>
  </r>
  <r>
    <x v="6"/>
    <x v="6"/>
    <s v="F:\images\2021CHG-ACH-Estrone 1\plaque 1/@06 EE2 170.9/G6_02.tif "/>
    <s v=" 46850.3518 "/>
    <s v=" 83.4395 "/>
    <x v="0"/>
    <n v="3909171"/>
    <m/>
    <m/>
    <m/>
  </r>
  <r>
    <x v="6"/>
    <x v="6"/>
    <s v="F:\images\2021CHG-ACH-Estrone 1\plaque 1/@06 EE2 170.9/G6_03.tif "/>
    <s v=" 53577.249 "/>
    <s v=" 77.9011 "/>
    <x v="0"/>
    <n v="4173726"/>
    <m/>
    <m/>
    <m/>
  </r>
  <r>
    <x v="6"/>
    <x v="7"/>
    <s v="F:\images\2021CHG-ACH-Estrone 1\plaque 1/@06 EE2 170.9/H6_01.tif "/>
    <s v=" 44038.4655 "/>
    <s v=" 72.8109 "/>
    <x v="0"/>
    <n v="3206480"/>
    <m/>
    <m/>
    <m/>
  </r>
  <r>
    <x v="6"/>
    <x v="7"/>
    <s v="F:\images\2021CHG-ACH-Estrone 1\plaque 1/@06 EE2 170.9/H6_02- exclu.tif"/>
    <m/>
    <m/>
    <x v="1"/>
    <m/>
    <m/>
    <m/>
    <m/>
  </r>
  <r>
    <x v="6"/>
    <x v="7"/>
    <s v="F:\images\2021CHG-ACH-Estrone 1\plaque 1/@06 EE2 170.9/H6_03.tif "/>
    <s v=" 42026.8853 "/>
    <s v=" 72.7077 "/>
    <x v="0"/>
    <n v="3055677"/>
    <m/>
    <m/>
    <m/>
  </r>
  <r>
    <x v="1"/>
    <x v="8"/>
    <s v=" "/>
    <m/>
    <m/>
    <x v="1"/>
    <m/>
    <m/>
    <m/>
    <m/>
  </r>
  <r>
    <x v="1"/>
    <x v="8"/>
    <s v="group "/>
    <s v=" "/>
    <s v=" mean of mean fluo "/>
    <x v="2"/>
    <s v=" mean of total fluo "/>
    <s v=" SD total fluo "/>
    <s v=" n fluorescent "/>
    <s v=" n total"/>
  </r>
  <r>
    <x v="6"/>
    <x v="9"/>
    <s v="F:\images\2021CHG-ACH-Estrone 1\plaque 1/@06 EE2 170.9/ "/>
    <s v=" "/>
    <s v=" 71.3106 "/>
    <x v="8"/>
    <n v="2494783"/>
    <s v=" 989787.4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CHG-ACH-Estrone 1\plaque 1/@07 EE2 488/A7_01.tif "/>
    <s v=" 55459.0498 "/>
    <s v=" 80.6724 "/>
    <x v="0"/>
    <n v="4474014"/>
    <m/>
    <m/>
    <m/>
  </r>
  <r>
    <x v="7"/>
    <x v="0"/>
    <s v="F:\images\2021CHG-ACH-Estrone 1\plaque 1/@07 EE2 488/A7_02.tif "/>
    <s v=" 44535.953 "/>
    <s v=" 80.3754 "/>
    <x v="0"/>
    <n v="3579596"/>
    <m/>
    <m/>
    <m/>
  </r>
  <r>
    <x v="7"/>
    <x v="0"/>
    <s v="F:\images\2021CHG-ACH-Estrone 1\plaque 1/@07 EE2 488/A7_03- exclu.tif"/>
    <m/>
    <m/>
    <x v="1"/>
    <m/>
    <m/>
    <m/>
    <m/>
  </r>
  <r>
    <x v="7"/>
    <x v="1"/>
    <s v="F:\images\2021CHG-ACH-Estrone 1\plaque 1/@07 EE2 488/B7_01.tif "/>
    <s v=" 65906.2889 "/>
    <s v=" 86.6826 "/>
    <x v="0"/>
    <n v="5712931"/>
    <m/>
    <m/>
    <m/>
  </r>
  <r>
    <x v="7"/>
    <x v="1"/>
    <s v="F:\images\2021CHG-ACH-Estrone 1\plaque 1/@07 EE2 488/B7_02.tif "/>
    <s v=" 67031.0435 "/>
    <s v=" 84.7596 "/>
    <x v="0"/>
    <n v="5681524"/>
    <m/>
    <m/>
    <m/>
  </r>
  <r>
    <x v="7"/>
    <x v="1"/>
    <s v="F:\images\2021CHG-ACH-Estrone 1\plaque 1/@07 EE2 488/B7_03.tif "/>
    <s v=" 64543.6056 "/>
    <s v=" 85.9973 "/>
    <x v="0"/>
    <n v="5550577"/>
    <m/>
    <m/>
    <m/>
  </r>
  <r>
    <x v="7"/>
    <x v="2"/>
    <s v="F:\images\2021CHG-ACH-Estrone 1\plaque 1/@07 EE2 488/C7_01.tif "/>
    <s v=" 52236.1955 "/>
    <s v=" 89.1561 "/>
    <x v="0"/>
    <n v="4657176"/>
    <m/>
    <m/>
    <m/>
  </r>
  <r>
    <x v="7"/>
    <x v="2"/>
    <s v="F:\images\2021CHG-ACH-Estrone 1\plaque 1/@07 EE2 488/C7_02.tif "/>
    <s v=" 50116.4659 "/>
    <s v=" 89.8187 "/>
    <x v="0"/>
    <n v="4501397"/>
    <m/>
    <m/>
    <m/>
  </r>
  <r>
    <x v="7"/>
    <x v="2"/>
    <s v="F:\images\2021CHG-ACH-Estrone 1\plaque 1/@07 EE2 488/C7_03.tif "/>
    <s v=" 48840.3021 "/>
    <s v=" 88.9083 "/>
    <x v="0"/>
    <n v="4342309"/>
    <m/>
    <m/>
    <m/>
  </r>
  <r>
    <x v="7"/>
    <x v="3"/>
    <s v="F:\images\2021CHG-ACH-Estrone 1\plaque 1/@07 EE2 488/D7_01.tif "/>
    <s v=" 37873.9455 "/>
    <s v=" 80.6608 "/>
    <x v="0"/>
    <n v="3054941"/>
    <m/>
    <m/>
    <m/>
  </r>
  <r>
    <x v="7"/>
    <x v="3"/>
    <s v="F:\images\2021CHG-ACH-Estrone 1\plaque 1/@07 EE2 488/D7_02.tif "/>
    <s v=" 40231.604 "/>
    <s v=" 76.1833 "/>
    <x v="0"/>
    <n v="3064978"/>
    <m/>
    <m/>
    <m/>
  </r>
  <r>
    <x v="7"/>
    <x v="3"/>
    <s v="F:\images\2021CHG-ACH-Estrone 1\plaque 1/@07 EE2 488/D7_03.tif "/>
    <s v=" 37073.6394 "/>
    <s v=" 79.283 "/>
    <x v="0"/>
    <n v="2939308"/>
    <m/>
    <m/>
    <m/>
  </r>
  <r>
    <x v="7"/>
    <x v="4"/>
    <s v="F:\images\2021CHG-ACH-Estrone 1\plaque 1/@07 EE2 488/E7_01.tif "/>
    <s v=" 58033.0073 "/>
    <s v=" 87.249 "/>
    <x v="0"/>
    <n v="5063320"/>
    <m/>
    <m/>
    <m/>
  </r>
  <r>
    <x v="7"/>
    <x v="4"/>
    <s v="F:\images\2021CHG-ACH-Estrone 1\plaque 1/@07 EE2 488/E7_02.tif "/>
    <s v=" 61342.3812 "/>
    <s v=" 85.7073 "/>
    <x v="0"/>
    <n v="5257492"/>
    <m/>
    <m/>
    <m/>
  </r>
  <r>
    <x v="7"/>
    <x v="4"/>
    <s v="F:\images\2021CHG-ACH-Estrone 1\plaque 1/@07 EE2 488/E7_03.tif "/>
    <s v=" 52603.9037 "/>
    <s v=" 92.8417 "/>
    <x v="0"/>
    <n v="4883836"/>
    <m/>
    <m/>
    <m/>
  </r>
  <r>
    <x v="7"/>
    <x v="5"/>
    <s v="F:\images\2021CHG-ACH-Estrone 1\plaque 1/@07 EE2 488/F7_01.tif "/>
    <s v=" 71594.9512 "/>
    <s v=" 84.9792 "/>
    <x v="0"/>
    <n v="6084078"/>
    <m/>
    <m/>
    <m/>
  </r>
  <r>
    <x v="7"/>
    <x v="5"/>
    <s v="F:\images\2021CHG-ACH-Estrone 1\plaque 1/@07 EE2 488/F7_02.tif "/>
    <s v=" 73520.0118 "/>
    <s v=" 85.01 "/>
    <x v="0"/>
    <n v="6249936"/>
    <m/>
    <m/>
    <m/>
  </r>
  <r>
    <x v="7"/>
    <x v="5"/>
    <s v="F:\images\2021CHG-ACH-Estrone 1\plaque 1/@07 EE2 488/F7_03.tif "/>
    <s v=" 64284.0468 "/>
    <s v=" 85.9115 "/>
    <x v="0"/>
    <n v="5522739"/>
    <m/>
    <m/>
    <m/>
  </r>
  <r>
    <x v="7"/>
    <x v="6"/>
    <s v="F:\images\2021CHG-ACH-Estrone 1\plaque 1/@07 EE2 488/G7_01.tif "/>
    <s v=" 34434.7922 "/>
    <s v=" 82.0289 "/>
    <x v="0"/>
    <n v="2824648"/>
    <m/>
    <m/>
    <m/>
  </r>
  <r>
    <x v="7"/>
    <x v="6"/>
    <s v="F:\images\2021CHG-ACH-Estrone 1\plaque 1/@07 EE2 488/G7_02.tif "/>
    <s v=" 35775.8457 "/>
    <s v=" 80.5145 "/>
    <x v="0"/>
    <n v="2880475"/>
    <m/>
    <m/>
    <m/>
  </r>
  <r>
    <x v="7"/>
    <x v="6"/>
    <s v="F:\images\2021CHG-ACH-Estrone 1\plaque 1/@07 EE2 488/G7_03.tif "/>
    <s v=" 35494.6571 "/>
    <s v=" 82.4345 "/>
    <x v="0"/>
    <n v="2925984"/>
    <m/>
    <m/>
    <m/>
  </r>
  <r>
    <x v="7"/>
    <x v="7"/>
    <s v="F:\images\2021CHG-ACH-Estrone 1\plaque 1/@07 EE2 488/H7_01.tif "/>
    <s v=" 56691.9538 "/>
    <s v=" 88.6929 "/>
    <x v="0"/>
    <n v="5028172"/>
    <m/>
    <m/>
    <m/>
  </r>
  <r>
    <x v="7"/>
    <x v="7"/>
    <s v="F:\images\2021CHG-ACH-Estrone 1\plaque 1/@07 EE2 488/H7_02.tif "/>
    <s v=" 57146.1816 "/>
    <s v=" 89.2411 "/>
    <x v="0"/>
    <n v="5099788"/>
    <m/>
    <m/>
    <m/>
  </r>
  <r>
    <x v="7"/>
    <x v="7"/>
    <s v="F:\images\2021CHG-ACH-Estrone 1\plaque 1/@07 EE2 488/H7_03.tif "/>
    <s v=" 59071.2422 "/>
    <s v=" 83.736 "/>
    <x v="0"/>
    <n v="4946389"/>
    <m/>
    <m/>
    <m/>
  </r>
  <r>
    <x v="1"/>
    <x v="8"/>
    <s v=" "/>
    <m/>
    <m/>
    <x v="1"/>
    <m/>
    <m/>
    <m/>
    <m/>
  </r>
  <r>
    <x v="1"/>
    <x v="8"/>
    <s v="group "/>
    <s v=" "/>
    <s v=" mean of mean fluo "/>
    <x v="2"/>
    <s v=" mean of total fluo "/>
    <s v=" SD total fluo "/>
    <s v=" n fluorescent "/>
    <s v=" n total"/>
  </r>
  <r>
    <x v="7"/>
    <x v="9"/>
    <s v="F:\images\2021CHG-ACH-Estrone 1\plaque 1/@07 EE2 488/ "/>
    <s v=" "/>
    <s v=" 84.5249 "/>
    <x v="9"/>
    <n v="4490275"/>
    <s v=" 1122341.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CHG-ACH-Estrone 1\plaque 1/@08 Estrone 0.04µg_L/A8_01.tif "/>
    <s v=" 194.6691 "/>
    <s v=" 63.3333 "/>
    <x v="0"/>
    <n v="12329"/>
    <m/>
    <m/>
    <m/>
  </r>
  <r>
    <x v="8"/>
    <x v="0"/>
    <s v="F:\images\2021CHG-ACH-Estrone 1\plaque 1/@08 Estrone 0.04µg_L/A8_02.tif "/>
    <s v=" 5061.3953 "/>
    <s v=" 66.8376 "/>
    <x v="0"/>
    <n v="338292"/>
    <m/>
    <m/>
    <m/>
  </r>
  <r>
    <x v="8"/>
    <x v="0"/>
    <s v="F:\images\2021CHG-ACH-Estrone 1\plaque 1/@08 Estrone 0.04µg_L/A8_03.tif "/>
    <s v=" 843.5659 "/>
    <s v=" 63.4615 "/>
    <x v="0"/>
    <n v="53534"/>
    <m/>
    <m/>
    <m/>
  </r>
  <r>
    <x v="8"/>
    <x v="1"/>
    <s v="F:\images\2021CHG-ACH-Estrone 1\plaque 1/@08 Estrone 0.04µg_L/B8_01.tif "/>
    <s v=" 757.0463 "/>
    <s v=" 65.8 "/>
    <x v="0"/>
    <n v="49814"/>
    <m/>
    <m/>
    <m/>
  </r>
  <r>
    <x v="8"/>
    <x v="1"/>
    <s v="F:\images\2021CHG-ACH-Estrone 1\plaque 1/@08 Estrone 0.04µg_L/B8_02.tif "/>
    <s v=" 259.5587 "/>
    <s v=" 63.1667 "/>
    <x v="0"/>
    <n v="16395"/>
    <m/>
    <m/>
    <m/>
  </r>
  <r>
    <x v="8"/>
    <x v="1"/>
    <s v="F:\images\2021CHG-ACH-Estrone 1\plaque 1/@08 Estrone 0.04µg_L/B8_03.tif "/>
    <s v=" 735.4164 "/>
    <s v=" 64.7353 "/>
    <x v="0"/>
    <n v="47607"/>
    <m/>
    <m/>
    <m/>
  </r>
  <r>
    <x v="8"/>
    <x v="2"/>
    <s v="F:\images\2021CHG-ACH-Estrone 1\plaque 1/@08 Estrone 0.04µg_L/C8_01.tif "/>
    <s v=" 3136.3347 "/>
    <s v=" 68.0138 "/>
    <x v="0"/>
    <n v="213314"/>
    <m/>
    <m/>
    <m/>
  </r>
  <r>
    <x v="8"/>
    <x v="2"/>
    <s v="F:\images\2021CHG-ACH-Estrone 1\plaque 1/@08 Estrone 0.04µg_L/C8_02.tif "/>
    <s v=" 4261.0892 "/>
    <s v=" 68.132 "/>
    <x v="0"/>
    <n v="290316"/>
    <m/>
    <m/>
    <m/>
  </r>
  <r>
    <x v="8"/>
    <x v="2"/>
    <s v="F:\images\2021CHG-ACH-Estrone 1\plaque 1/@08 Estrone 0.04µg_L/C8_03.tif "/>
    <s v=" 173.0392 "/>
    <s v=" 61.5 "/>
    <x v="0"/>
    <n v="10642"/>
    <m/>
    <m/>
    <m/>
  </r>
  <r>
    <x v="8"/>
    <x v="3"/>
    <s v="F:\images\2021CHG-ACH-Estrone 1\plaque 1/@08 Estrone 0.04µg_L/D8_01.tif "/>
    <s v=" 346.0783 "/>
    <s v=" 64.4375 "/>
    <x v="0"/>
    <n v="22300"/>
    <m/>
    <m/>
    <m/>
  </r>
  <r>
    <x v="8"/>
    <x v="3"/>
    <s v="F:\images\2021CHG-ACH-Estrone 1\plaque 1/@08 Estrone 0.04µg_L/D8_02.tif "/>
    <s v=" 627.2669 "/>
    <s v=" 62.931 "/>
    <x v="0"/>
    <n v="39475"/>
    <m/>
    <m/>
    <m/>
  </r>
  <r>
    <x v="8"/>
    <x v="3"/>
    <s v="F:\images\2021CHG-ACH-Estrone 1\plaque 1/@08 Estrone 0.04µg_L/D8_03.tif "/>
    <s v=" 6034.7406 "/>
    <s v=" 75.9283 "/>
    <x v="0"/>
    <n v="458208"/>
    <m/>
    <m/>
    <m/>
  </r>
  <r>
    <x v="8"/>
    <x v="4"/>
    <s v="F:\images\2021CHG-ACH-Estrone 1\plaque 1/@08 Estrone 0.04µg_L/E8_01.tif "/>
    <s v=" 1730.3916 "/>
    <s v=" 62.8125 "/>
    <x v="0"/>
    <n v="108690"/>
    <m/>
    <m/>
    <m/>
  </r>
  <r>
    <x v="8"/>
    <x v="4"/>
    <s v="F:\images\2021CHG-ACH-Estrone 1\plaque 1/@08 Estrone 0.04µg_L/E8_02.tif "/>
    <s v=" 346.0783 "/>
    <s v=" 64.125 "/>
    <x v="0"/>
    <n v="22192"/>
    <m/>
    <m/>
    <m/>
  </r>
  <r>
    <x v="8"/>
    <x v="4"/>
    <s v="F:\images\2021CHG-ACH-Estrone 1\plaque 1/@08 Estrone 0.04µg_L/E8_03- exclu.tif"/>
    <m/>
    <m/>
    <x v="1"/>
    <m/>
    <m/>
    <m/>
    <m/>
  </r>
  <r>
    <x v="8"/>
    <x v="5"/>
    <s v="F:\images\2021CHG-ACH-Estrone 1\plaque 1/@08 Estrone 0.04µg_L/F8_01.tif "/>
    <s v=" 519.1175 "/>
    <s v=" 63.2917 "/>
    <x v="0"/>
    <n v="32856"/>
    <m/>
    <m/>
    <m/>
  </r>
  <r>
    <x v="8"/>
    <x v="5"/>
    <s v="F:\images\2021CHG-ACH-Estrone 1\plaque 1/@08 Estrone 0.04µg_L/F8_02.tif "/>
    <s v=" 259.5587 "/>
    <s v=" 62.5 "/>
    <x v="0"/>
    <n v="16222"/>
    <m/>
    <m/>
    <m/>
  </r>
  <r>
    <x v="8"/>
    <x v="5"/>
    <s v="F:\images\2021CHG-ACH-Estrone 1\plaque 1/@08 Estrone 0.04µg_L/F8_03.tif "/>
    <s v=" 2465.808 "/>
    <s v=" 65.9912 "/>
    <x v="0"/>
    <n v="162722"/>
    <m/>
    <m/>
    <m/>
  </r>
  <r>
    <x v="8"/>
    <x v="6"/>
    <s v="F:\images\2021CHG-ACH-Estrone 1\plaque 1/@08 Estrone 0.04µg_L/G8_01.tif "/>
    <s v=" 4347.6088 "/>
    <s v=" 66.801 "/>
    <x v="0"/>
    <n v="290425"/>
    <m/>
    <m/>
    <m/>
  </r>
  <r>
    <x v="8"/>
    <x v="6"/>
    <s v="F:\images\2021CHG-ACH-Estrone 1\plaque 1/@08 Estrone 0.04µg_L/G8_02.tif "/>
    <s v=" 2184.6194 "/>
    <s v=" 64.6337 "/>
    <x v="0"/>
    <n v="141200"/>
    <m/>
    <m/>
    <m/>
  </r>
  <r>
    <x v="8"/>
    <x v="6"/>
    <s v="F:\images\2021CHG-ACH-Estrone 1\plaque 1/@08 Estrone 0.04µg_L/G8_03.tif "/>
    <s v=" 1514.0926 "/>
    <s v=" 63.8714 "/>
    <x v="0"/>
    <n v="96707"/>
    <m/>
    <m/>
    <m/>
  </r>
  <r>
    <x v="8"/>
    <x v="7"/>
    <s v="F:\images\2021CHG-ACH-Estrone 1\plaque 1/@08 Estrone 0.04µg_L/H8_01.tif "/>
    <s v=" 346.0783 "/>
    <s v=" 65.6875 "/>
    <x v="0"/>
    <n v="22733"/>
    <m/>
    <m/>
    <m/>
  </r>
  <r>
    <x v="8"/>
    <x v="7"/>
    <s v="F:\images\2021CHG-ACH-Estrone 1\plaque 1/@08 Estrone 0.04µg_L/H8_02.tif "/>
    <s v=" 281.1886 "/>
    <s v=" 63.7692 "/>
    <x v="0"/>
    <n v="17931"/>
    <m/>
    <m/>
    <m/>
  </r>
  <r>
    <x v="8"/>
    <x v="7"/>
    <s v="F:\images\2021CHG-ACH-Estrone 1\plaque 1/@08 Estrone 0.04µg_L/H8_03.tif "/>
    <s v=" 346.0783 "/>
    <s v=" 63.8125 "/>
    <x v="0"/>
    <n v="22084"/>
    <m/>
    <m/>
    <m/>
  </r>
  <r>
    <x v="1"/>
    <x v="8"/>
    <s v=" "/>
    <m/>
    <m/>
    <x v="1"/>
    <m/>
    <m/>
    <m/>
    <m/>
  </r>
  <r>
    <x v="1"/>
    <x v="8"/>
    <s v="group "/>
    <s v=" "/>
    <s v=" mean of mean fluo "/>
    <x v="2"/>
    <s v=" mean of total fluo "/>
    <s v=" SD total fluo "/>
    <s v=" n fluorescent "/>
    <s v=" n total"/>
  </r>
  <r>
    <x v="8"/>
    <x v="9"/>
    <s v="F:\images\2021CHG-ACH-Estrone 1\plaque 1/@08 Estrone 0.04µg_L/ "/>
    <s v=" "/>
    <s v=" 64.933 "/>
    <x v="10"/>
    <s v=" 104205.583 "/>
    <s v=" 124949.94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CHG-ACH-Estrone 1\plaque 1/@09 Estrone 0.2µg_L/A9_01.tif "/>
    <s v=" 908.4556 "/>
    <s v=" 63.8095 "/>
    <x v="0"/>
    <n v="57968"/>
    <m/>
    <m/>
    <m/>
  </r>
  <r>
    <x v="9"/>
    <x v="0"/>
    <s v="F:\images\2021CHG-ACH-Estrone 1\plaque 1/@09 Estrone 0.2µg_L/A9_02.tif "/>
    <s v=" 454.2278 "/>
    <s v=" 63.7619 "/>
    <x v="0"/>
    <n v="28962"/>
    <m/>
    <m/>
    <m/>
  </r>
  <r>
    <x v="9"/>
    <x v="0"/>
    <s v="F:\images\2021CHG-ACH-Estrone 1\plaque 1/@09 Estrone 0.2µg_L/A9_03.tif "/>
    <s v=" 1470.8328 "/>
    <s v=" 63.7941 "/>
    <x v="0"/>
    <n v="93830"/>
    <m/>
    <m/>
    <m/>
  </r>
  <r>
    <x v="9"/>
    <x v="1"/>
    <s v="F:\images\2021CHG-ACH-Estrone 1\plaque 1/@09 Estrone 0.2µg_L/B9_01.tif "/>
    <s v=" 5493.9932 "/>
    <s v=" 70.2953 "/>
    <x v="0"/>
    <n v="386202"/>
    <m/>
    <m/>
    <m/>
  </r>
  <r>
    <x v="9"/>
    <x v="1"/>
    <s v="F:\images\2021CHG-ACH-Estrone 1\plaque 1/@09 Estrone 0.2µg_L/B9_02.tif "/>
    <s v=" 1881.8008 "/>
    <s v=" 65.2644 "/>
    <x v="0"/>
    <n v="122815"/>
    <m/>
    <m/>
    <m/>
  </r>
  <r>
    <x v="9"/>
    <x v="1"/>
    <s v="F:\images\2021CHG-ACH-Estrone 1\plaque 1/@09 Estrone 0.2µg_L/B9_03.tif "/>
    <s v=" 151.4093 "/>
    <s v=" 64.7143 "/>
    <x v="0"/>
    <n v="9798"/>
    <m/>
    <m/>
    <m/>
  </r>
  <r>
    <x v="9"/>
    <x v="2"/>
    <s v="F:\images\2021CHG-ACH-Estrone 1\plaque 1/@09 Estrone 0.2µg_L/C9_01.tif "/>
    <s v=" 3352.6337 "/>
    <s v=" 66.7226 "/>
    <x v="0"/>
    <n v="223696"/>
    <m/>
    <m/>
    <m/>
  </r>
  <r>
    <x v="9"/>
    <x v="2"/>
    <s v="F:\images\2021CHG-ACH-Estrone 1\plaque 1/@09 Estrone 0.2µg_L/C9_02.tif "/>
    <s v=" 2076.4699 "/>
    <s v=" 66.2708 "/>
    <x v="0"/>
    <n v="137609"/>
    <m/>
    <m/>
    <m/>
  </r>
  <r>
    <x v="9"/>
    <x v="2"/>
    <s v="F:\images\2021CHG-ACH-Estrone 1\plaque 1/@09 Estrone 0.2µg_L/C9_03.tif "/>
    <s v=" 194.6691 "/>
    <s v=" 62.2222 "/>
    <x v="0"/>
    <n v="12113"/>
    <m/>
    <m/>
    <m/>
  </r>
  <r>
    <x v="9"/>
    <x v="3"/>
    <s v="F:\images\2021CHG-ACH-Estrone 1\plaque 1/@09 Estrone 0.2µg_L/D9_01.tif "/>
    <s v=" 432.5979 "/>
    <s v=" 64.35 "/>
    <x v="0"/>
    <n v="27838"/>
    <m/>
    <m/>
    <m/>
  </r>
  <r>
    <x v="9"/>
    <x v="3"/>
    <s v="F:\images\2021CHG-ACH-Estrone 1\plaque 1/@09 Estrone 0.2µg_L/D9_02.tif "/>
    <s v=" 410.968 "/>
    <s v=" 62.7368 "/>
    <x v="0"/>
    <n v="25783"/>
    <m/>
    <m/>
    <m/>
  </r>
  <r>
    <x v="9"/>
    <x v="3"/>
    <s v="F:\images\2021CHG-ACH-Estrone 1\plaque 1/@09 Estrone 0.2µg_L/D9_03.tif "/>
    <s v=" 259.5587 "/>
    <s v=" 63.5833 "/>
    <x v="0"/>
    <n v="16504"/>
    <m/>
    <m/>
    <m/>
  </r>
  <r>
    <x v="9"/>
    <x v="4"/>
    <s v="F:\images\2021CHG-ACH-Estrone 1\plaque 1/@09 Estrone 0.2µg_L/E9_01.tif "/>
    <s v=" 4650.4273 "/>
    <s v=" 67.1535 "/>
    <x v="0"/>
    <n v="312292"/>
    <m/>
    <m/>
    <m/>
  </r>
  <r>
    <x v="9"/>
    <x v="4"/>
    <s v="F:\images\2021CHG-ACH-Estrone 1\plaque 1/@09 Estrone 0.2µg_L/E9_02.tif "/>
    <s v=" 3958.2707 "/>
    <s v=" 68.7158 "/>
    <x v="0"/>
    <n v="271996"/>
    <m/>
    <m/>
    <m/>
  </r>
  <r>
    <x v="9"/>
    <x v="4"/>
    <s v="F:\images\2021CHG-ACH-Estrone 1\plaque 1/@09 Estrone 0.2µg_L/E9_03- exclu.tif"/>
    <m/>
    <m/>
    <x v="1"/>
    <m/>
    <m/>
    <m/>
    <m/>
  </r>
  <r>
    <x v="9"/>
    <x v="5"/>
    <s v="F:\images\2021CHG-ACH-Estrone 1\plaque 1/@09 Estrone 0.2µg_L/F9_01.tif "/>
    <s v=" 8305.8795 "/>
    <s v=" 72.375 "/>
    <x v="0"/>
    <n v="601138"/>
    <m/>
    <m/>
    <m/>
  </r>
  <r>
    <x v="9"/>
    <x v="5"/>
    <s v="F:\images\2021CHG-ACH-Estrone 1\plaque 1/@09 Estrone 0.2µg_L/F9_02.tif "/>
    <s v=" 12264.1503 "/>
    <s v=" 78.4727 "/>
    <x v="0"/>
    <n v="962401"/>
    <m/>
    <m/>
    <m/>
  </r>
  <r>
    <x v="9"/>
    <x v="5"/>
    <s v="F:\images\2021CHG-ACH-Estrone 1\plaque 1/@09 Estrone 0.2µg_L/F9_03.tif "/>
    <s v=" 5602.1427 "/>
    <s v=" 68.9691 "/>
    <x v="0"/>
    <n v="386375"/>
    <m/>
    <m/>
    <m/>
  </r>
  <r>
    <x v="9"/>
    <x v="6"/>
    <s v="F:\images\2021CHG-ACH-Estrone 1\plaque 1/@09 Estrone 0.2µg_L/G9_01.tif "/>
    <s v=" 1752.0215 "/>
    <s v=" 64.7901 "/>
    <x v="0"/>
    <n v="113514"/>
    <m/>
    <m/>
    <m/>
  </r>
  <r>
    <x v="9"/>
    <x v="6"/>
    <s v="F:\images\2021CHG-ACH-Estrone 1\plaque 1/@09 Estrone 0.2µg_L/G9_02.tif "/>
    <s v=" 1276.1638 "/>
    <s v=" 67.1525 "/>
    <x v="0"/>
    <n v="85698"/>
    <m/>
    <m/>
    <m/>
  </r>
  <r>
    <x v="9"/>
    <x v="6"/>
    <s v="F:\images\2021CHG-ACH-Estrone 1\plaque 1/@09 Estrone 0.2µg_L/G9_03.tif "/>
    <s v=" 865.1958 "/>
    <s v=" 64.175 "/>
    <x v="0"/>
    <n v="55524"/>
    <m/>
    <m/>
    <m/>
  </r>
  <r>
    <x v="9"/>
    <x v="7"/>
    <s v="F:\images\2021CHG-ACH-Estrone 1\plaque 1/@09 Estrone 0.2µg_L/H9_01- exclu.tif"/>
    <m/>
    <m/>
    <x v="1"/>
    <m/>
    <m/>
    <m/>
    <m/>
  </r>
  <r>
    <x v="9"/>
    <x v="7"/>
    <s v="F:\images\2021CHG-ACH-Estrone 1\plaque 1/@09 Estrone 0.2µg_L/H9_02.tif "/>
    <s v=" 1622.2421 "/>
    <s v=" 65.2933 "/>
    <x v="0"/>
    <n v="105922"/>
    <m/>
    <m/>
    <m/>
  </r>
  <r>
    <x v="9"/>
    <x v="7"/>
    <s v="F:\images\2021CHG-ACH-Estrone 1\plaque 1/@09 Estrone 0.2µg_L/H9_03.tif "/>
    <s v=" 1103.1246 "/>
    <s v=" 64.0196 "/>
    <x v="0"/>
    <n v="70622"/>
    <m/>
    <m/>
    <m/>
  </r>
  <r>
    <x v="1"/>
    <x v="8"/>
    <s v=" "/>
    <m/>
    <m/>
    <x v="1"/>
    <m/>
    <m/>
    <m/>
    <m/>
  </r>
  <r>
    <x v="1"/>
    <x v="8"/>
    <s v="group "/>
    <s v=" "/>
    <s v=" mean of mean fluo "/>
    <x v="2"/>
    <s v=" mean of total fluo "/>
    <s v=" SD total fluo "/>
    <s v=" n fluorescent "/>
    <s v=" n total"/>
  </r>
  <r>
    <x v="9"/>
    <x v="9"/>
    <s v="F:\images\2021CHG-ACH-Estrone 1\plaque 1/@09 Estrone 0.2µg_L/ "/>
    <s v=" "/>
    <s v=" 66.3872 "/>
    <x v="11"/>
    <s v=" 186164.958 "/>
    <s v=" 224534.1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CHG-ACH-Estrone 1\plaque 1/@10 Estrone 1µg_L/A10_01.tif "/>
    <s v=" 5796.8118 "/>
    <s v=" 72.1903 "/>
    <x v="0"/>
    <n v="418474"/>
    <m/>
    <m/>
    <m/>
  </r>
  <r>
    <x v="10"/>
    <x v="0"/>
    <s v="F:\images\2021CHG-ACH-Estrone 1\plaque 1/@10 Estrone 1µg_L/A10_02.tif "/>
    <s v=" 1946.6905 "/>
    <s v=" 64.3556 "/>
    <x v="0"/>
    <n v="125280"/>
    <m/>
    <m/>
    <m/>
  </r>
  <r>
    <x v="10"/>
    <x v="0"/>
    <s v="F:\images\2021CHG-ACH-Estrone 1\plaque 1/@10 Estrone 1µg_L/A10_03.tif "/>
    <s v=" 5969.8509 "/>
    <s v=" 71.9565 "/>
    <x v="0"/>
    <n v="429570"/>
    <m/>
    <m/>
    <m/>
  </r>
  <r>
    <x v="10"/>
    <x v="1"/>
    <s v="F:\images\2021CHG-ACH-Estrone 1\plaque 1/@10 Estrone 1µg_L/B10_01.tif "/>
    <s v=" 5234.4345 "/>
    <s v=" 66.8595 "/>
    <x v="0"/>
    <n v="349972"/>
    <m/>
    <m/>
    <m/>
  </r>
  <r>
    <x v="10"/>
    <x v="1"/>
    <s v="F:\images\2021CHG-ACH-Estrone 1\plaque 1/@10 Estrone 1µg_L/B10_02.tif "/>
    <s v=" 6294.2993 "/>
    <s v=" 68.1443 "/>
    <x v="0"/>
    <n v="428921"/>
    <m/>
    <m/>
    <m/>
  </r>
  <r>
    <x v="10"/>
    <x v="1"/>
    <s v="F:\images\2021CHG-ACH-Estrone 1\plaque 1/@10 Estrone 1µg_L/B10_03.tif "/>
    <s v=" 6402.4488 "/>
    <s v=" 66.6824 "/>
    <x v="0"/>
    <n v="426931"/>
    <m/>
    <m/>
    <m/>
  </r>
  <r>
    <x v="10"/>
    <x v="2"/>
    <s v="F:\images\2021CHG-ACH-Estrone 1\plaque 1/@10 Estrone 1µg_L/C10_01.tif "/>
    <s v=" 2876.776 "/>
    <s v=" 65.3985 "/>
    <x v="0"/>
    <n v="188137"/>
    <m/>
    <m/>
    <m/>
  </r>
  <r>
    <x v="10"/>
    <x v="2"/>
    <s v="F:\images\2021CHG-ACH-Estrone 1\plaque 1/@10 Estrone 1µg_L/C10_02.tif "/>
    <s v=" 5385.8438 "/>
    <s v=" 68.5984 "/>
    <x v="0"/>
    <n v="369460"/>
    <m/>
    <m/>
    <m/>
  </r>
  <r>
    <x v="10"/>
    <x v="2"/>
    <s v="F:\images\2021CHG-ACH-Estrone 1\plaque 1/@10 Estrone 1µg_L/C10_03.tif "/>
    <s v=" 1189.6442 "/>
    <s v=" 63.0364 "/>
    <x v="0"/>
    <n v="74991"/>
    <m/>
    <m/>
    <m/>
  </r>
  <r>
    <x v="10"/>
    <x v="3"/>
    <s v="F:\images\2021CHG-ACH-Estrone 1\plaque 1/@10 Estrone 1µg_L/D10_01.tif "/>
    <s v=" 1578.9823 "/>
    <s v=" 63.0411 "/>
    <x v="0"/>
    <n v="99541"/>
    <m/>
    <m/>
    <m/>
  </r>
  <r>
    <x v="10"/>
    <x v="3"/>
    <s v="F:\images\2021CHG-ACH-Estrone 1\plaque 1/@10 Estrone 1µg_L/D10_02.tif "/>
    <s v=" 1232.904 "/>
    <s v=" 62.9474 "/>
    <x v="0"/>
    <n v="77608"/>
    <m/>
    <m/>
    <m/>
  </r>
  <r>
    <x v="10"/>
    <x v="3"/>
    <s v="F:\images\2021CHG-ACH-Estrone 1\plaque 1/@10 Estrone 1µg_L/D10_03.tif "/>
    <s v=" 519.1175 "/>
    <s v=" 63.375 "/>
    <x v="0"/>
    <n v="32899"/>
    <m/>
    <m/>
    <m/>
  </r>
  <r>
    <x v="10"/>
    <x v="4"/>
    <s v="F:\images\2021CHG-ACH-Estrone 1\plaque 1/@10 Estrone 1µg_L/E10_01.tif "/>
    <s v=" 2963.2956 "/>
    <s v=" 64.5547 "/>
    <x v="0"/>
    <n v="191295"/>
    <m/>
    <m/>
    <m/>
  </r>
  <r>
    <x v="10"/>
    <x v="4"/>
    <s v="F:\images\2021CHG-ACH-Estrone 1\plaque 1/@10 Estrone 1µg_L/E10_02.tif "/>
    <s v=" 2184.6194 "/>
    <s v=" 64.297 "/>
    <x v="0"/>
    <n v="140465"/>
    <m/>
    <m/>
    <m/>
  </r>
  <r>
    <x v="10"/>
    <x v="4"/>
    <s v="F:\images\2021CHG-ACH-Estrone 1\plaque 1/@10 Estrone 1µg_L/E10_03.tif "/>
    <s v=" 3568.9326 "/>
    <s v=" 65.9091 "/>
    <x v="0"/>
    <n v="235225"/>
    <m/>
    <m/>
    <m/>
  </r>
  <r>
    <x v="10"/>
    <x v="5"/>
    <s v="F:\images\2021CHG-ACH-Estrone 1\plaque 1/@10 Estrone 1µg_L/F10_01.tif "/>
    <s v=" 584.0072 "/>
    <s v=" 63.4074 "/>
    <x v="0"/>
    <n v="37030"/>
    <m/>
    <m/>
    <m/>
  </r>
  <r>
    <x v="10"/>
    <x v="5"/>
    <s v="F:\images\2021CHG-ACH-Estrone 1\plaque 1/@10 Estrone 1µg_L/F10_02.tif "/>
    <s v=" 1038.2349 "/>
    <s v=" 64.2083 "/>
    <x v="0"/>
    <n v="66663"/>
    <m/>
    <m/>
    <m/>
  </r>
  <r>
    <x v="10"/>
    <x v="5"/>
    <s v="F:\images\2021CHG-ACH-Estrone 1\plaque 1/@10 Estrone 1µg_L/F10_03.tif "/>
    <s v=" 281.1886 "/>
    <s v=" 62.3846 "/>
    <x v="0"/>
    <n v="17542"/>
    <m/>
    <m/>
    <m/>
  </r>
  <r>
    <x v="10"/>
    <x v="6"/>
    <s v="F:\images\2021CHG-ACH-Estrone 1\plaque 1/@10 Estrone 1µg_L/G10_01.tif "/>
    <s v=" 2790.2564 "/>
    <s v=" 66.1473 "/>
    <x v="0"/>
    <n v="184568"/>
    <m/>
    <m/>
    <m/>
  </r>
  <r>
    <x v="10"/>
    <x v="6"/>
    <s v="F:\images\2021CHG-ACH-Estrone 1\plaque 1/@10 Estrone 1µg_L/G10_02.tif "/>
    <s v=" 5861.7014 "/>
    <s v=" 70.4502 "/>
    <x v="0"/>
    <n v="412958"/>
    <m/>
    <m/>
    <m/>
  </r>
  <r>
    <x v="10"/>
    <x v="6"/>
    <s v="F:\images\2021CHG-ACH-Estrone 1\plaque 1/@10 Estrone 1µg_L/G10_03.tif "/>
    <s v=" 3568.9326 "/>
    <s v=" 66.5273 "/>
    <x v="0"/>
    <n v="237431"/>
    <m/>
    <m/>
    <m/>
  </r>
  <r>
    <x v="10"/>
    <x v="7"/>
    <s v="F:\images\2021CHG-ACH-Estrone 1\plaque 1/@10 Estrone 1µg_L/H10_01.tif "/>
    <s v=" 1081.4947 "/>
    <s v=" 63.68 "/>
    <x v="0"/>
    <n v="68870"/>
    <m/>
    <m/>
    <m/>
  </r>
  <r>
    <x v="10"/>
    <x v="7"/>
    <s v="F:\images\2021CHG-ACH-Estrone 1\plaque 1/@10 Estrone 1µg_L/H10_02.tif "/>
    <s v=" 2876.776 "/>
    <s v=" 64.9323 "/>
    <x v="0"/>
    <n v="186796"/>
    <m/>
    <m/>
    <m/>
  </r>
  <r>
    <x v="10"/>
    <x v="7"/>
    <s v="F:\images\2021CHG-ACH-Estrone 1\plaque 1/@10 Estrone 1µg_L/H10_03.tif "/>
    <s v=" 4780.2067 "/>
    <s v=" 66.2036 "/>
    <x v="0"/>
    <n v="316467"/>
    <m/>
    <m/>
    <m/>
  </r>
  <r>
    <x v="1"/>
    <x v="8"/>
    <s v=" "/>
    <m/>
    <m/>
    <x v="1"/>
    <m/>
    <m/>
    <m/>
    <m/>
  </r>
  <r>
    <x v="1"/>
    <x v="8"/>
    <s v="group "/>
    <s v=" "/>
    <s v=" mean of mean fluo "/>
    <x v="2"/>
    <s v=" mean of total fluo "/>
    <s v=" SD total fluo "/>
    <s v=" n fluorescent "/>
    <s v=" n total"/>
  </r>
  <r>
    <x v="10"/>
    <x v="9"/>
    <s v="F:\images\2021CHG-ACH-Estrone 1\plaque 1/@10 Estrone 1µg_L/ "/>
    <s v=" "/>
    <s v=" 65.8036 "/>
    <x v="12"/>
    <s v=" 213212.25 "/>
    <s v=" 145380.2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CHG-ACH-Estrone 1\plaque 1/@11 Estrone 5µg_L/A11_01.tif "/>
    <s v=" 40491.1627 "/>
    <s v=" 83.2276 "/>
    <x v="0"/>
    <n v="3369981"/>
    <m/>
    <m/>
    <m/>
  </r>
  <r>
    <x v="11"/>
    <x v="0"/>
    <s v="F:\images\2021CHG-ACH-Estrone 1\plaque 1/@11 Estrone 5µg_L/A11_02.tif "/>
    <s v=" 43454.4583 "/>
    <s v=" 79.9472 "/>
    <x v="0"/>
    <n v="3474064"/>
    <m/>
    <m/>
    <m/>
  </r>
  <r>
    <x v="11"/>
    <x v="0"/>
    <s v="F:\images\2021CHG-ACH-Estrone 1\plaque 1/@11 Estrone 5µg_L/A11_03.tif "/>
    <s v=" 42005.2554 "/>
    <s v=" 82.743 "/>
    <x v="0"/>
    <n v="3475643"/>
    <m/>
    <m/>
    <m/>
  </r>
  <r>
    <x v="11"/>
    <x v="1"/>
    <s v="F:\images\2021CHG-ACH-Estrone 1\plaque 1/@11 Estrone 5µg_L/B11_01.tif "/>
    <s v=" 39085.2196 "/>
    <s v=" 83.7532 "/>
    <x v="0"/>
    <n v="3273512"/>
    <m/>
    <m/>
    <m/>
  </r>
  <r>
    <x v="11"/>
    <x v="1"/>
    <s v="F:\images\2021CHG-ACH-Estrone 1\plaque 1/@11 Estrone 5µg_L/B11_02.tif "/>
    <s v=" 35840.7354 "/>
    <s v=" 87.3416 "/>
    <x v="0"/>
    <n v="3130387"/>
    <m/>
    <m/>
    <m/>
  </r>
  <r>
    <x v="11"/>
    <x v="1"/>
    <s v="F:\images\2021CHG-ACH-Estrone 1\plaque 1/@11 Estrone 5µg_L/B11_03.tif "/>
    <s v=" 37700.9063 "/>
    <s v=" 84.7516 "/>
    <x v="0"/>
    <n v="3195211"/>
    <m/>
    <m/>
    <m/>
  </r>
  <r>
    <x v="11"/>
    <x v="2"/>
    <s v="F:\images\2021CHG-ACH-Estrone 1\plaque 1/@11 Estrone 5µg_L/C11_01.tif "/>
    <s v=" 28227.0125 "/>
    <s v=" 75.2337 "/>
    <x v="0"/>
    <n v="2123623"/>
    <m/>
    <m/>
    <m/>
  </r>
  <r>
    <x v="11"/>
    <x v="2"/>
    <s v="F:\images\2021CHG-ACH-Estrone 1\plaque 1/@11 Estrone 5µg_L/C11_02.tif "/>
    <s v=" 27989.0836 "/>
    <s v=" 74.7133 "/>
    <x v="0"/>
    <n v="2091157"/>
    <m/>
    <m/>
    <m/>
  </r>
  <r>
    <x v="11"/>
    <x v="2"/>
    <s v="F:\images\2021CHG-ACH-Estrone 1\plaque 1/@11 Estrone 5µg_L/C11_03.tif "/>
    <s v=" 25934.2437 "/>
    <s v=" 77.1893 "/>
    <x v="0"/>
    <n v="2001847"/>
    <m/>
    <m/>
    <m/>
  </r>
  <r>
    <x v="11"/>
    <x v="3"/>
    <s v="F:\images\2021CHG-ACH-Estrone 1\plaque 1/@11 Estrone 5µg_L/D11_01.tif "/>
    <s v=" 71962.6594 "/>
    <s v=" 83.2044 "/>
    <x v="0"/>
    <n v="5987609"/>
    <m/>
    <m/>
    <m/>
  </r>
  <r>
    <x v="11"/>
    <x v="3"/>
    <s v="F:\images\2021CHG-ACH-Estrone 1\plaque 1/@11 Estrone 5µg_L/D11_02.tif "/>
    <s v=" 67139.1929 "/>
    <s v=" 84.4381 "/>
    <x v="0"/>
    <n v="5669109"/>
    <m/>
    <m/>
    <m/>
  </r>
  <r>
    <x v="11"/>
    <x v="3"/>
    <s v="F:\images\2021CHG-ACH-Estrone 1\plaque 1/@11 Estrone 5µg_L/D11_03.tif "/>
    <s v=" 77175.464 "/>
    <s v=" 81.4084 "/>
    <x v="0"/>
    <n v="6282727"/>
    <m/>
    <m/>
    <m/>
  </r>
  <r>
    <x v="11"/>
    <x v="4"/>
    <s v="F:\images\2021CHG-ACH-Estrone 1\plaque 1/@11 Estrone 5µg_L/E11_01.tif "/>
    <s v=" 56107.9467 "/>
    <s v=" 87.0089 "/>
    <x v="0"/>
    <n v="4881889"/>
    <m/>
    <m/>
    <m/>
  </r>
  <r>
    <x v="11"/>
    <x v="4"/>
    <s v="F:\images\2021CHG-ACH-Estrone 1\plaque 1/@11 Estrone 5µg_L/E11_02.tif "/>
    <s v=" 50722.1029 "/>
    <s v=" 90.3514 "/>
    <x v="0"/>
    <n v="4582812"/>
    <m/>
    <m/>
    <m/>
  </r>
  <r>
    <x v="11"/>
    <x v="4"/>
    <s v="F:\images\2021CHG-ACH-Estrone 1\plaque 1/@11 Estrone 5µg_L/E11_03.tif "/>
    <s v=" 46893.6116 "/>
    <s v=" 94.3773 "/>
    <x v="0"/>
    <n v="4425693"/>
    <m/>
    <m/>
    <m/>
  </r>
  <r>
    <x v="11"/>
    <x v="5"/>
    <s v="F:\images\2021CHG-ACH-Estrone 1\plaque 1/@11 Estrone 5µg_L/F11_01- exclu.tif"/>
    <m/>
    <m/>
    <x v="1"/>
    <m/>
    <m/>
    <m/>
    <m/>
  </r>
  <r>
    <x v="11"/>
    <x v="5"/>
    <s v="F:\images\2021CHG-ACH-Estrone 1\plaque 1/@11 Estrone 5µg_L/F11_02.tif "/>
    <s v=" 64284.0468 "/>
    <s v=" 94.2019 "/>
    <x v="0"/>
    <n v="6055678"/>
    <m/>
    <m/>
    <m/>
  </r>
  <r>
    <x v="11"/>
    <x v="5"/>
    <s v="F:\images\2021CHG-ACH-Estrone 1\plaque 1/@11 Estrone 5µg_L/F11_03.tif "/>
    <s v=" 67268.9723 "/>
    <s v=" 93.2248 "/>
    <x v="0"/>
    <n v="6271134"/>
    <m/>
    <m/>
    <m/>
  </r>
  <r>
    <x v="11"/>
    <x v="6"/>
    <s v="F:\images\2021CHG-ACH-Estrone 1\plaque 1/@11 Estrone 5µg_L/G11_01.tif "/>
    <s v=" 1016.605 "/>
    <s v=" 63.0213 "/>
    <x v="0"/>
    <n v="64068"/>
    <m/>
    <m/>
    <m/>
  </r>
  <r>
    <x v="11"/>
    <x v="6"/>
    <s v="F:\images\2021CHG-ACH-Estrone 1\plaque 1/@11 Estrone 5µg_L/G11_02.tif "/>
    <s v=" 8695.2176 "/>
    <s v=" 69.1169 "/>
    <x v="0"/>
    <n v="600987"/>
    <m/>
    <m/>
    <m/>
  </r>
  <r>
    <x v="11"/>
    <x v="6"/>
    <s v="F:\images\2021CHG-ACH-Estrone 1\plaque 1/@11 Estrone 5µg_L/G11_03.tif "/>
    <s v=" 7916.5414 "/>
    <s v=" 67.1503 "/>
    <x v="0"/>
    <n v="531598"/>
    <m/>
    <m/>
    <m/>
  </r>
  <r>
    <x v="11"/>
    <x v="7"/>
    <s v="F:\images\2021CHG-ACH-Estrone 1\plaque 1/@11 Estrone 5µg_L/H11_01.tif "/>
    <s v=" 37008.7497 "/>
    <s v=" 81.4325 "/>
    <x v="0"/>
    <n v="3013715"/>
    <m/>
    <m/>
    <m/>
  </r>
  <r>
    <x v="11"/>
    <x v="7"/>
    <s v="F:\images\2021CHG-ACH-Estrone 1\plaque 1/@11 Estrone 5µg_L/H11_02.tif "/>
    <s v=" 41442.8781 "/>
    <s v=" 81.632 "/>
    <x v="0"/>
    <n v="3383067"/>
    <m/>
    <m/>
    <m/>
  </r>
  <r>
    <x v="11"/>
    <x v="7"/>
    <s v="F:\images\2021CHG-ACH-Estrone 1\plaque 1/@11 Estrone 5µg_L/H11_03.tif "/>
    <s v=" 38825.6609 "/>
    <s v=" 81.4947 "/>
    <x v="0"/>
    <n v="3164086"/>
    <m/>
    <m/>
    <m/>
  </r>
  <r>
    <x v="1"/>
    <x v="8"/>
    <s v=" "/>
    <m/>
    <m/>
    <x v="1"/>
    <m/>
    <m/>
    <m/>
    <m/>
  </r>
  <r>
    <x v="1"/>
    <x v="8"/>
    <s v="group "/>
    <s v=" "/>
    <s v=" mean of mean fluo "/>
    <x v="2"/>
    <s v=" mean of total fluo "/>
    <s v=" SD total fluo "/>
    <s v=" n fluorescent "/>
    <s v=" n total"/>
  </r>
  <r>
    <x v="11"/>
    <x v="9"/>
    <s v="F:\images\2021CHG-ACH-Estrone 1\plaque 1/@11 Estrone 5µg_L/ "/>
    <s v=" "/>
    <s v=" 82.122 "/>
    <x v="13"/>
    <s v=" 3569469.88 "/>
    <s v=" 1790395.3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CHG-ACH-Estrone 1\plaque 1/@12 Estrone 25µg_L/A12_01.tif "/>
    <s v=" 88574.4185 "/>
    <s v=" 95.6691 "/>
    <x v="0"/>
    <n v="8473836"/>
    <m/>
    <m/>
    <m/>
  </r>
  <r>
    <x v="12"/>
    <x v="0"/>
    <s v="F:\images\2021CHG-ACH-Estrone 1\plaque 1/@12 Estrone 25µg_L/A12_02.tif "/>
    <s v=" 66576.8157 "/>
    <s v=" 81.7817 "/>
    <x v="0"/>
    <n v="5444764"/>
    <m/>
    <m/>
    <m/>
  </r>
  <r>
    <x v="12"/>
    <x v="0"/>
    <s v="F:\images\2021CHG-ACH-Estrone 1\plaque 1/@12 Estrone 25µg_L/A12_03.tif "/>
    <s v=" 58941.4629 "/>
    <s v=" 94.516 "/>
    <x v="0"/>
    <n v="5570909"/>
    <m/>
    <m/>
    <m/>
  </r>
  <r>
    <x v="12"/>
    <x v="1"/>
    <s v="F:\images\2021CHG-ACH-Estrone 1\plaque 1/@12 Estrone 25µg_L/B12_01.tif "/>
    <s v=" 71616.5811 "/>
    <s v=" 74.8668 "/>
    <x v="0"/>
    <n v="5361705"/>
    <m/>
    <m/>
    <m/>
  </r>
  <r>
    <x v="12"/>
    <x v="1"/>
    <s v="F:\images\2021CHG-ACH-Estrone 1\plaque 1/@12 Estrone 25µg_L/B12_02.tif "/>
    <s v=" 58530.4949 "/>
    <s v=" 93.3969 "/>
    <x v="0"/>
    <n v="5466567"/>
    <m/>
    <m/>
    <m/>
  </r>
  <r>
    <x v="12"/>
    <x v="1"/>
    <s v="F:\images\2021CHG-ACH-Estrone 1\plaque 1/@12 Estrone 25µg_L/B12_03.tif "/>
    <s v=" 57146.1816 "/>
    <s v=" 96.2812 "/>
    <x v="0"/>
    <n v="5502104"/>
    <m/>
    <m/>
    <m/>
  </r>
  <r>
    <x v="12"/>
    <x v="2"/>
    <s v="F:\images\2021CHG-ACH-Estrone 1\plaque 1/@12 Estrone 25µg_L/C12_01.tif "/>
    <s v=" 68523.5062 "/>
    <s v=" 86.6247 "/>
    <x v="0"/>
    <n v="5935827"/>
    <m/>
    <m/>
    <m/>
  </r>
  <r>
    <x v="12"/>
    <x v="2"/>
    <s v="F:\images\2021CHG-ACH-Estrone 1\plaque 1/@12 Estrone 25µg_L/C12_02.tif "/>
    <s v=" 79944.0905 "/>
    <s v=" 86.3474 "/>
    <x v="0"/>
    <n v="6902965"/>
    <m/>
    <m/>
    <m/>
  </r>
  <r>
    <x v="12"/>
    <x v="2"/>
    <s v="F:\images\2021CHG-ACH-Estrone 1\plaque 1/@12 Estrone 25µg_L/C12_03.tif "/>
    <s v=" 57275.961 "/>
    <s v=" 92.0899 "/>
    <x v="0"/>
    <n v="5274536"/>
    <m/>
    <m/>
    <m/>
  </r>
  <r>
    <x v="12"/>
    <x v="3"/>
    <s v="F:\images\2021CHG-ACH-Estrone 1\plaque 1/@12 Estrone 25µg_L/D12_01.tif "/>
    <s v=" 35083.6891 "/>
    <s v=" 85.8693 "/>
    <x v="0"/>
    <n v="3012612"/>
    <m/>
    <m/>
    <m/>
  </r>
  <r>
    <x v="12"/>
    <x v="3"/>
    <s v="F:\images\2021CHG-ACH-Estrone 1\plaque 1/@12 Estrone 25µg_L/D12_02.tif "/>
    <s v=" 19769.7237 "/>
    <s v=" 90.4912 "/>
    <x v="0"/>
    <n v="1788987"/>
    <m/>
    <m/>
    <m/>
  </r>
  <r>
    <x v="12"/>
    <x v="3"/>
    <s v="F:\images\2021CHG-ACH-Estrone 1\plaque 1/@12 Estrone 25µg_L/D12_03.tif "/>
    <s v=" 26128.9127 "/>
    <s v=" 80.8204 "/>
    <x v="0"/>
    <n v="2111748"/>
    <m/>
    <m/>
    <m/>
  </r>
  <r>
    <x v="12"/>
    <x v="4"/>
    <s v="F:\images\2021CHG-ACH-Estrone 1\plaque 1/@12 Estrone 25µg_L/E12_01.tif "/>
    <s v=" 30238.5927 "/>
    <s v=" 85.2597 "/>
    <x v="0"/>
    <n v="2578132"/>
    <m/>
    <m/>
    <m/>
  </r>
  <r>
    <x v="12"/>
    <x v="4"/>
    <s v="F:\images\2021CHG-ACH-Estrone 1\plaque 1/@12 Estrone 25µg_L/E12_02.tif "/>
    <s v=" 31406.607 "/>
    <s v=" 85.1233 "/>
    <x v="0"/>
    <n v="2673433"/>
    <m/>
    <m/>
    <m/>
  </r>
  <r>
    <x v="12"/>
    <x v="4"/>
    <s v="F:\images\2021CHG-ACH-Estrone 1\plaque 1/@12 Estrone 25µg_L/E12_03- exclu.tif"/>
    <m/>
    <m/>
    <x v="1"/>
    <m/>
    <m/>
    <m/>
    <m/>
  </r>
  <r>
    <x v="12"/>
    <x v="5"/>
    <s v="F:\images\2021CHG-ACH-Estrone 1\plaque 1/@12 Estrone 25µg_L/F12_01.tif "/>
    <s v=" 59374.0608 "/>
    <s v=" 92.0514 "/>
    <x v="0"/>
    <n v="5465463"/>
    <m/>
    <m/>
    <m/>
  </r>
  <r>
    <x v="12"/>
    <x v="5"/>
    <s v="F:\images\2021CHG-ACH-Estrone 1\plaque 1/@12 Estrone 25µg_L/F12_02.tif "/>
    <s v=" 64305.6767 "/>
    <s v=" 90.1917 "/>
    <x v="0"/>
    <n v="5799840"/>
    <m/>
    <m/>
    <m/>
  </r>
  <r>
    <x v="12"/>
    <x v="5"/>
    <s v="F:\images\2021CHG-ACH-Estrone 1\plaque 1/@12 Estrone 25µg_L/F12_03.tif "/>
    <s v=" 64911.3138 "/>
    <s v=" 90.7298 "/>
    <x v="0"/>
    <n v="5889388"/>
    <m/>
    <m/>
    <m/>
  </r>
  <r>
    <x v="12"/>
    <x v="6"/>
    <s v="F:\images\2021CHG-ACH-Estrone 1\plaque 1/@12 Estrone 25µg_L/G12_01.tif "/>
    <s v=" 34088.7139 "/>
    <s v=" 78.8623 "/>
    <x v="0"/>
    <n v="2688315"/>
    <m/>
    <m/>
    <m/>
  </r>
  <r>
    <x v="12"/>
    <x v="6"/>
    <s v="F:\images\2021CHG-ACH-Estrone 1\plaque 1/@12 Estrone 25µg_L/G12_02.tif "/>
    <s v=" 32228.543 "/>
    <s v=" 87.8503 "/>
    <x v="0"/>
    <n v="2831288"/>
    <m/>
    <m/>
    <m/>
  </r>
  <r>
    <x v="12"/>
    <x v="6"/>
    <s v="F:\images\2021CHG-ACH-Estrone 1\plaque 1/@12 Estrone 25µg_L/G12_03.tif "/>
    <s v=" 34759.2407 "/>
    <s v=" 83.9732 "/>
    <x v="0"/>
    <n v="2918846"/>
    <m/>
    <m/>
    <m/>
  </r>
  <r>
    <x v="12"/>
    <x v="7"/>
    <s v="F:\images\2021CHG-ACH-Estrone 1\plaque 1/@12 Estrone 25µg_L/H12_01.tif "/>
    <s v=" 30800.97 "/>
    <s v=" 89.8076 "/>
    <x v="0"/>
    <n v="2766161"/>
    <m/>
    <m/>
    <m/>
  </r>
  <r>
    <x v="12"/>
    <x v="7"/>
    <s v="F:\images\2021CHG-ACH-Estrone 1\plaque 1/@12 Estrone 25µg_L/H12_02.tif "/>
    <s v=" 31622.9059 "/>
    <s v=" 90.054 "/>
    <x v="0"/>
    <n v="2847770"/>
    <m/>
    <m/>
    <m/>
  </r>
  <r>
    <x v="12"/>
    <x v="7"/>
    <s v="F:\images\2021CHG-ACH-Estrone 1\plaque 1/@12 Estrone 25µg_L/H12_03.tif "/>
    <s v=" 34824.1304 "/>
    <s v=" 90.9758 "/>
    <x v="0"/>
    <n v="3168152"/>
    <m/>
    <m/>
    <m/>
  </r>
  <r>
    <x v="1"/>
    <x v="8"/>
    <s v=" "/>
    <m/>
    <m/>
    <x v="1"/>
    <m/>
    <m/>
    <m/>
    <m/>
  </r>
  <r>
    <x v="1"/>
    <x v="8"/>
    <s v="group "/>
    <s v=" "/>
    <s v=" mean of mean fluo "/>
    <x v="2"/>
    <s v=" mean of total fluo "/>
    <s v=" SD total fluo "/>
    <s v=" n fluorescent "/>
    <s v=" n total"/>
  </r>
  <r>
    <x v="12"/>
    <x v="9"/>
    <s v="F:\images\2021CHG-ACH-Estrone 1\plaque 1/@12 Estrone 25µg_L/ "/>
    <s v=" "/>
    <s v=" 86.9639 "/>
    <x v="14"/>
    <s v=" 4186732.88 "/>
    <s v=" 1974760.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CHG-ACH-Estrone 1\plaque 2/@01 Testo 30/A1_01.tif "/>
    <s v=" 33288.4078 "/>
    <s v=" 67.8525 "/>
    <x v="0"/>
    <n v="2258702"/>
    <m/>
    <m/>
    <m/>
  </r>
  <r>
    <x v="13"/>
    <x v="0"/>
    <s v="F:\images\2021CHG-ACH-Estrone 1\plaque 2/@01 Testo 30/A1_02.tif "/>
    <s v=" 38868.9206 "/>
    <s v=" 68.4992 "/>
    <x v="0"/>
    <n v="2662489"/>
    <m/>
    <m/>
    <m/>
  </r>
  <r>
    <x v="13"/>
    <x v="0"/>
    <s v="F:\images\2021CHG-ACH-Estrone 1\plaque 2/@01 Testo 30/A1_03.tif "/>
    <s v=" 33136.9986 "/>
    <s v=" 67.9543 "/>
    <x v="0"/>
    <n v="2251802"/>
    <m/>
    <m/>
    <m/>
  </r>
  <r>
    <x v="13"/>
    <x v="1"/>
    <s v="F:\images\2021CHG-ACH-Estrone 1\plaque 2/@01 Testo 30/B1_01.tif "/>
    <s v=" 42308.0739 "/>
    <s v=" 72.0987 "/>
    <x v="0"/>
    <n v="3050356"/>
    <m/>
    <m/>
    <m/>
  </r>
  <r>
    <x v="13"/>
    <x v="1"/>
    <s v="F:\images\2021CHG-ACH-Estrone 1\plaque 2/@01 Testo 30/B1_02.tif "/>
    <s v=" 44427.8036 "/>
    <s v=" 71.1787 "/>
    <x v="0"/>
    <n v="3162312"/>
    <m/>
    <m/>
    <m/>
  </r>
  <r>
    <x v="13"/>
    <x v="1"/>
    <s v="F:\images\2021CHG-ACH-Estrone 1\plaque 2/@01 Testo 30/B1_03.tif "/>
    <s v=" 41918.7358 "/>
    <s v=" 73.2358 "/>
    <x v="0"/>
    <n v="3069953"/>
    <m/>
    <m/>
    <m/>
  </r>
  <r>
    <x v="13"/>
    <x v="2"/>
    <s v="F:\images\2021CHG-ACH-Estrone 1\plaque 2/@01 Testo 30/C1_01.tif "/>
    <s v=" 28421.6815 "/>
    <s v=" 73.9292 "/>
    <x v="0"/>
    <n v="2101193"/>
    <m/>
    <m/>
    <m/>
  </r>
  <r>
    <x v="13"/>
    <x v="2"/>
    <s v="F:\images\2021CHG-ACH-Estrone 1\plaque 2/@01 Testo 30/C1_02.tif "/>
    <s v=" 24095.7026 "/>
    <s v=" 74.0153 "/>
    <x v="0"/>
    <n v="1783450"/>
    <m/>
    <m/>
    <m/>
  </r>
  <r>
    <x v="13"/>
    <x v="2"/>
    <s v="F:\images\2021CHG-ACH-Estrone 1\plaque 2/@01 Testo 30/C1_03.tif "/>
    <s v=" 25804.4643 "/>
    <s v=" 74.4962 "/>
    <x v="0"/>
    <n v="1922335"/>
    <m/>
    <m/>
    <m/>
  </r>
  <r>
    <x v="13"/>
    <x v="3"/>
    <s v="F:\images\2021CHG-ACH-Estrone 1\plaque 2/@01 Testo 30/D1_01.tif "/>
    <s v=" 54269.4056 "/>
    <s v=" 76.9067 "/>
    <x v="0"/>
    <n v="4173683"/>
    <m/>
    <m/>
    <m/>
  </r>
  <r>
    <x v="13"/>
    <x v="3"/>
    <s v="F:\images\2021CHG-ACH-Estrone 1\plaque 2/@01 Testo 30/D1_02.tif "/>
    <s v=" 55242.7509 "/>
    <s v=" 74.3587 "/>
    <x v="0"/>
    <n v="4107777"/>
    <m/>
    <m/>
    <m/>
  </r>
  <r>
    <x v="13"/>
    <x v="3"/>
    <s v="F:\images\2021CHG-ACH-Estrone 1\plaque 2/@01 Testo 30/D1_03.tif "/>
    <s v=" 53836.8077 "/>
    <s v=" 74.7843 "/>
    <x v="0"/>
    <n v="4026145"/>
    <m/>
    <m/>
    <m/>
  </r>
  <r>
    <x v="13"/>
    <x v="4"/>
    <s v="F:\images\2021CHG-ACH-Estrone 1\plaque 2/@01 Testo 30/E1_01.tif "/>
    <s v=" 5580.5128 "/>
    <s v=" 65.2829 "/>
    <x v="0"/>
    <n v="364312"/>
    <m/>
    <m/>
    <m/>
  </r>
  <r>
    <x v="13"/>
    <x v="4"/>
    <s v="F:\images\2021CHG-ACH-Estrone 1\plaque 2/@01 Testo 30/E1_02.tif "/>
    <s v=" 5645.4025 "/>
    <s v=" 65.364 "/>
    <x v="0"/>
    <n v="369006"/>
    <m/>
    <m/>
    <m/>
  </r>
  <r>
    <x v="13"/>
    <x v="4"/>
    <s v="F:\images\2021CHG-ACH-Estrone 1\plaque 2/@01 Testo 30/E1_03.tif "/>
    <s v=" 3785.2316 "/>
    <s v=" 63.8914 "/>
    <x v="0"/>
    <n v="241844"/>
    <m/>
    <m/>
    <m/>
  </r>
  <r>
    <x v="13"/>
    <x v="5"/>
    <s v="F:\images\2021CHG-ACH-Estrone 1\plaque 2/@01 Testo 30/F1_01.tif "/>
    <s v=" 20202.3216 "/>
    <s v=" 68.2141 "/>
    <x v="0"/>
    <n v="1378084"/>
    <m/>
    <m/>
    <m/>
  </r>
  <r>
    <x v="13"/>
    <x v="5"/>
    <s v="F:\images\2021CHG-ACH-Estrone 1\plaque 2/@01 Testo 30/F1_02.tif "/>
    <s v=" 16027.7519 "/>
    <s v=" 67.2672 "/>
    <x v="0"/>
    <n v="1078142"/>
    <m/>
    <m/>
    <m/>
  </r>
  <r>
    <x v="13"/>
    <x v="5"/>
    <s v="F:\images\2021CHG-ACH-Estrone 1\plaque 2/@01 Testo 30/F1_03.tif "/>
    <s v=" 17476.9549 "/>
    <s v=" 66.8738 "/>
    <x v="0"/>
    <n v="1168750"/>
    <m/>
    <m/>
    <m/>
  </r>
  <r>
    <x v="13"/>
    <x v="6"/>
    <s v="F:\images\2021CHG-ACH-Estrone 1\plaque 2/@01 Testo 30/G1_01.tif "/>
    <s v=" 41140.0596 "/>
    <s v=" 71.7766 "/>
    <x v="0"/>
    <n v="2952892"/>
    <m/>
    <m/>
    <m/>
  </r>
  <r>
    <x v="13"/>
    <x v="6"/>
    <s v="F:\images\2021CHG-ACH-Estrone 1\plaque 2/@01 Testo 30/G1_02.tif "/>
    <s v=" 43389.5686 "/>
    <s v=" 70.3749 "/>
    <x v="0"/>
    <n v="3053535"/>
    <m/>
    <m/>
    <m/>
  </r>
  <r>
    <x v="13"/>
    <x v="6"/>
    <s v="F:\images\2021CHG-ACH-Estrone 1\plaque 2/@01 Testo 30/G1_03.tif "/>
    <s v=" 39863.8958 "/>
    <s v=" 71.4281 "/>
    <x v="0"/>
    <n v="2847403"/>
    <m/>
    <m/>
    <m/>
  </r>
  <r>
    <x v="13"/>
    <x v="7"/>
    <s v="F:\images\2021CHG-ACH-Estrone 1\plaque 2/@01 Testo 30/H1_01.tif "/>
    <s v=" 497.4876 "/>
    <s v=" 62.6522 "/>
    <x v="0"/>
    <n v="31169"/>
    <m/>
    <m/>
    <m/>
  </r>
  <r>
    <x v="13"/>
    <x v="7"/>
    <s v="F:\images\2021CHG-ACH-Estrone 1\plaque 2/@01 Testo 30/H1_02.tif "/>
    <s v=" 497.4876 "/>
    <s v=" 62.3913 "/>
    <x v="0"/>
    <n v="31039"/>
    <m/>
    <m/>
    <m/>
  </r>
  <r>
    <x v="13"/>
    <x v="7"/>
    <s v="F:\images\2021CHG-ACH-Estrone 1\plaque 2/@01 Testo 30/H1_03.tif "/>
    <s v=" 151.4093 "/>
    <s v=" 64.4286 "/>
    <x v="0"/>
    <n v="9755"/>
    <m/>
    <m/>
    <m/>
  </r>
  <r>
    <x v="1"/>
    <x v="8"/>
    <s v=" "/>
    <m/>
    <m/>
    <x v="1"/>
    <m/>
    <m/>
    <m/>
    <m/>
  </r>
  <r>
    <x v="1"/>
    <x v="8"/>
    <s v="group "/>
    <s v=" "/>
    <s v=" mean of mean fluo "/>
    <x v="2"/>
    <s v=" mean of total fluo "/>
    <s v=" SD total fluo "/>
    <s v=" n fluorescent "/>
    <s v=" n total"/>
  </r>
  <r>
    <x v="13"/>
    <x v="9"/>
    <s v="F:\images\2021CHG-ACH-Estrone 1\plaque 2/@01 Testo 30/ "/>
    <s v=" "/>
    <s v=" 69.5523 "/>
    <x v="15"/>
    <s v=" 2004005.33 "/>
    <s v=" 1356280.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CHG-ACH-Estrone 1\plaque 2/@02 Testo 30/A2_01.tif "/>
    <s v=" 5775.1819 "/>
    <s v=" 67.3895 "/>
    <x v="0"/>
    <n v="389187"/>
    <m/>
    <m/>
    <m/>
  </r>
  <r>
    <x v="14"/>
    <x v="0"/>
    <s v="F:\images\2021CHG-ACH-Estrone 1\plaque 2/@02 Testo 30/A2_02.tif "/>
    <s v=" 7959.8012 "/>
    <s v=" 65.856 "/>
    <x v="0"/>
    <n v="524200"/>
    <m/>
    <m/>
    <m/>
  </r>
  <r>
    <x v="14"/>
    <x v="0"/>
    <s v="F:\images\2021CHG-ACH-Estrone 1\plaque 2/@02 Testo 30/A2_03.tif "/>
    <s v=" 2465.808 "/>
    <s v=" 64.3596 "/>
    <x v="0"/>
    <n v="158699"/>
    <m/>
    <m/>
    <m/>
  </r>
  <r>
    <x v="14"/>
    <x v="1"/>
    <s v="F:\images\2021CHG-ACH-Estrone 1\plaque 2/@02 Testo 30/B2_01.tif "/>
    <s v=" 13324.0151 "/>
    <s v=" 65.4821 "/>
    <x v="0"/>
    <n v="872485"/>
    <m/>
    <m/>
    <m/>
  </r>
  <r>
    <x v="14"/>
    <x v="1"/>
    <s v="F:\images\2021CHG-ACH-Estrone 1\plaque 2/@02 Testo 30/B2_02.tif "/>
    <s v=" 10382.3494 "/>
    <s v=" 65.7854 "/>
    <x v="0"/>
    <n v="683007"/>
    <m/>
    <m/>
    <m/>
  </r>
  <r>
    <x v="14"/>
    <x v="1"/>
    <s v="F:\images\2021CHG-ACH-Estrone 1\plaque 2/@02 Testo 30/B2_03.tif "/>
    <s v=" 12480.4492 "/>
    <s v=" 65.1404 "/>
    <x v="0"/>
    <n v="812981"/>
    <m/>
    <m/>
    <m/>
  </r>
  <r>
    <x v="14"/>
    <x v="2"/>
    <s v="F:\images\2021CHG-ACH-Estrone 1\plaque 2/@02 Testo 30/C2_01.tif "/>
    <s v=" 14362.25 "/>
    <s v=" 66.512 "/>
    <x v="0"/>
    <n v="955263"/>
    <m/>
    <m/>
    <m/>
  </r>
  <r>
    <x v="14"/>
    <x v="2"/>
    <s v="F:\images\2021CHG-ACH-Estrone 1\plaque 2/@02 Testo 30/C2_02.tif "/>
    <s v=" 11161.0256 "/>
    <s v=" 65.907 "/>
    <x v="0"/>
    <n v="735589"/>
    <m/>
    <m/>
    <m/>
  </r>
  <r>
    <x v="14"/>
    <x v="2"/>
    <s v="F:\images\2021CHG-ACH-Estrone 1\plaque 2/@02 Testo 30/C2_03.tif "/>
    <s v=" 10793.3174 "/>
    <s v=" 64.5892 "/>
    <x v="0"/>
    <n v="697132"/>
    <m/>
    <m/>
    <m/>
  </r>
  <r>
    <x v="14"/>
    <x v="3"/>
    <s v="F:\images\2021CHG-ACH-Estrone 1\plaque 2/@02 Testo 30/D2_01.tif "/>
    <s v=" 30281.8525 "/>
    <s v=" 68.0836 "/>
    <x v="0"/>
    <n v="2061697"/>
    <m/>
    <m/>
    <m/>
  </r>
  <r>
    <x v="14"/>
    <x v="3"/>
    <s v="F:\images\2021CHG-ACH-Estrone 1\plaque 2/@02 Testo 30/D2_02.tif "/>
    <s v=" 14859.7376 "/>
    <s v=" 64.9229 "/>
    <x v="0"/>
    <n v="964737"/>
    <m/>
    <m/>
    <m/>
  </r>
  <r>
    <x v="14"/>
    <x v="3"/>
    <s v="F:\images\2021CHG-ACH-Estrone 1\plaque 2/@02 Testo 30/D2_03.tif "/>
    <s v=" 28097.2331 "/>
    <s v=" 67.8222 "/>
    <x v="0"/>
    <n v="1905615"/>
    <m/>
    <m/>
    <m/>
  </r>
  <r>
    <x v="14"/>
    <x v="4"/>
    <s v="F:\images\2021CHG-ACH-Estrone 1\plaque 2/@02 Testo 30/E2_01.tif "/>
    <s v=" 6878.3065 "/>
    <s v=" 64.6447 "/>
    <x v="0"/>
    <n v="444646"/>
    <m/>
    <m/>
    <m/>
  </r>
  <r>
    <x v="14"/>
    <x v="4"/>
    <s v="F:\images\2021CHG-ACH-Estrone 1\plaque 2/@02 Testo 30/E2_02.tif "/>
    <s v=" 9711.8227 "/>
    <s v=" 65.8218 "/>
    <x v="0"/>
    <n v="639250"/>
    <m/>
    <m/>
    <m/>
  </r>
  <r>
    <x v="14"/>
    <x v="4"/>
    <s v="F:\images\2021CHG-ACH-Estrone 1\plaque 2/@02 Testo 30/E2_03.tif "/>
    <s v=" 10101.1608 "/>
    <s v=" 65.758 "/>
    <x v="0"/>
    <n v="664232"/>
    <m/>
    <m/>
    <m/>
  </r>
  <r>
    <x v="14"/>
    <x v="5"/>
    <s v="F:\images\2021CHG-ACH-Estrone 1\plaque 2/@02 Testo 30/F2_01.tif "/>
    <s v=" 11096.1359 "/>
    <s v=" 64.6043 "/>
    <x v="0"/>
    <n v="716858"/>
    <m/>
    <m/>
    <m/>
  </r>
  <r>
    <x v="14"/>
    <x v="5"/>
    <s v="F:\images\2021CHG-ACH-Estrone 1\plaque 2/@02 Testo 30/F2_02.tif "/>
    <s v=" 14492.0294 "/>
    <s v=" 65.6164 "/>
    <x v="0"/>
    <n v="950915"/>
    <m/>
    <m/>
    <m/>
  </r>
  <r>
    <x v="14"/>
    <x v="5"/>
    <s v="F:\images\2021CHG-ACH-Estrone 1\plaque 2/@02 Testo 30/F2_03.tif "/>
    <s v=" 10360.7195 "/>
    <s v=" 65.3027 "/>
    <x v="0"/>
    <n v="676583"/>
    <m/>
    <m/>
    <m/>
  </r>
  <r>
    <x v="14"/>
    <x v="6"/>
    <s v="F:\images\2021CHG-ACH-Estrone 1\plaque 2/@02 Testo 30/G2_01.tif "/>
    <s v=" 26777.8096 "/>
    <s v=" 67.8013 "/>
    <x v="0"/>
    <n v="1815570"/>
    <m/>
    <m/>
    <m/>
  </r>
  <r>
    <x v="14"/>
    <x v="6"/>
    <s v="F:\images\2021CHG-ACH-Estrone 1\plaque 2/@02 Testo 30/G2_02.tif "/>
    <s v=" 19531.7948 "/>
    <s v=" 66.2004 "/>
    <x v="0"/>
    <n v="1293013"/>
    <m/>
    <m/>
    <m/>
  </r>
  <r>
    <x v="14"/>
    <x v="6"/>
    <s v="F:\images\2021CHG-ACH-Estrone 1\plaque 2/@02 Testo 30/G2_03.tif "/>
    <s v=" 20245.5814 "/>
    <s v=" 67.7959 "/>
    <x v="0"/>
    <n v="1372568"/>
    <m/>
    <m/>
    <m/>
  </r>
  <r>
    <x v="14"/>
    <x v="7"/>
    <s v="F:\images\2021CHG-ACH-Estrone 1\plaque 2/@02 Testo 30/H2_01- exclu.tif"/>
    <m/>
    <m/>
    <x v="1"/>
    <m/>
    <m/>
    <m/>
    <m/>
  </r>
  <r>
    <x v="14"/>
    <x v="7"/>
    <s v="F:\images\2021CHG-ACH-Estrone 1\plaque 2/@02 Testo 30/H2_02- exclu.tif"/>
    <m/>
    <m/>
    <x v="1"/>
    <m/>
    <m/>
    <m/>
    <m/>
  </r>
  <r>
    <x v="14"/>
    <x v="7"/>
    <s v="F:\images\2021CHG-ACH-Estrone 1\plaque 2/@02 Testo 30/H2_03- exclu.tif"/>
    <m/>
    <m/>
    <x v="1"/>
    <m/>
    <m/>
    <m/>
    <m/>
  </r>
  <r>
    <x v="1"/>
    <x v="8"/>
    <s v=" "/>
    <m/>
    <m/>
    <x v="1"/>
    <m/>
    <m/>
    <m/>
    <m/>
  </r>
  <r>
    <x v="1"/>
    <x v="8"/>
    <s v="group "/>
    <s v=" "/>
    <s v=" mean of mean fluo "/>
    <x v="2"/>
    <s v=" mean of total fluo "/>
    <s v=" SD total fluo "/>
    <s v=" n fluorescent "/>
    <s v=" n total"/>
  </r>
  <r>
    <x v="14"/>
    <x v="9"/>
    <s v="F:\images\2021CHG-ACH-Estrone 1\plaque 2/@02 Testo 30/ "/>
    <s v=" "/>
    <s v=" 65.6822 "/>
    <x v="16"/>
    <s v=" 806683.333 "/>
    <s v=" 561461.4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CHG-ACH-Estrone 1\plaque 2/@03 Testo+ EE2 64/A3_01.tif "/>
    <s v=" 45422.7787 "/>
    <s v=" 75.869 "/>
    <x v="0"/>
    <n v="3446183"/>
    <m/>
    <m/>
    <m/>
  </r>
  <r>
    <x v="15"/>
    <x v="0"/>
    <s v="F:\images\2021CHG-ACH-Estrone 1\plaque 2/@03 Testo+ EE2 64/A3_02.tif "/>
    <s v=" 48818.6722 "/>
    <s v=" 71.8414 "/>
    <x v="0"/>
    <n v="3507201"/>
    <m/>
    <m/>
    <m/>
  </r>
  <r>
    <x v="15"/>
    <x v="0"/>
    <s v="F:\images\2021CHG-ACH-Estrone 1\plaque 2/@03 Testo+ EE2 64/A3_03.tif "/>
    <s v=" 50765.3627 "/>
    <s v=" 75.1398 "/>
    <x v="0"/>
    <n v="3814497"/>
    <m/>
    <m/>
    <m/>
  </r>
  <r>
    <x v="15"/>
    <x v="1"/>
    <s v="F:\images\2021CHG-ACH-Estrone 1\plaque 2/@03 Testo+ EE2 64/B3_01.tif "/>
    <s v=" 31925.7245 "/>
    <s v=" 77.4173 "/>
    <x v="0"/>
    <n v="2471605"/>
    <m/>
    <m/>
    <m/>
  </r>
  <r>
    <x v="15"/>
    <x v="1"/>
    <s v="F:\images\2021CHG-ACH-Estrone 1\plaque 2/@03 Testo+ EE2 64/B3_02.tif "/>
    <s v=" 32855.8099 "/>
    <s v=" 78.6201 "/>
    <x v="0"/>
    <n v="2583129"/>
    <m/>
    <m/>
    <m/>
  </r>
  <r>
    <x v="15"/>
    <x v="1"/>
    <s v="F:\images\2021CHG-ACH-Estrone 1\plaque 2/@03 Testo+ EE2 64/B3_03.tif "/>
    <s v=" 41161.6895 "/>
    <s v=" 78.6285 "/>
    <x v="0"/>
    <n v="3236481"/>
    <m/>
    <m/>
    <m/>
  </r>
  <r>
    <x v="15"/>
    <x v="2"/>
    <s v="F:\images\2021CHG-ACH-Estrone 1\plaque 2/@03 Testo+ EE2 64/C3_01.tif "/>
    <s v=" 25263.7169 "/>
    <s v=" 67.1755 "/>
    <x v="0"/>
    <n v="1697103"/>
    <m/>
    <m/>
    <m/>
  </r>
  <r>
    <x v="15"/>
    <x v="2"/>
    <s v="F:\images\2021CHG-ACH-Estrone 1\plaque 2/@03 Testo+ EE2 64/C3_02.tif "/>
    <s v=" 19683.2041 "/>
    <s v=" 66.2967 "/>
    <x v="0"/>
    <n v="1304932"/>
    <m/>
    <m/>
    <m/>
  </r>
  <r>
    <x v="15"/>
    <x v="2"/>
    <s v="F:\images\2021CHG-ACH-Estrone 1\plaque 2/@03 Testo+ EE2 64/C3_03.tif "/>
    <s v=" 25609.7952 "/>
    <s v=" 67.1596 "/>
    <x v="0"/>
    <n v="1719944"/>
    <m/>
    <m/>
    <m/>
  </r>
  <r>
    <x v="15"/>
    <x v="3"/>
    <s v="F:\images\2021CHG-ACH-Estrone 1\plaque 2/@03 Testo+ EE2 64/D3_01.tif "/>
    <s v=" 39799.0061 "/>
    <s v=" 71.7446 "/>
    <x v="0"/>
    <n v="2855362"/>
    <m/>
    <m/>
    <m/>
  </r>
  <r>
    <x v="15"/>
    <x v="3"/>
    <s v="F:\images\2021CHG-ACH-Estrone 1\plaque 2/@03 Testo+ EE2 64/D3_02.tif "/>
    <s v=" 40123.4545 "/>
    <s v=" 74.9677 "/>
    <x v="0"/>
    <n v="3007961"/>
    <m/>
    <m/>
    <m/>
  </r>
  <r>
    <x v="15"/>
    <x v="3"/>
    <s v="F:\images\2021CHG-ACH-Estrone 1\plaque 2/@03 Testo+ EE2 64/D3_03.tif "/>
    <s v=" 36273.3333 "/>
    <s v=" 72.2642 "/>
    <x v="0"/>
    <n v="2621262"/>
    <m/>
    <m/>
    <m/>
  </r>
  <r>
    <x v="15"/>
    <x v="4"/>
    <s v="F:\images\2021CHG-ACH-Estrone 1\plaque 2/@03 Testo+ EE2 64/E3_01.tif "/>
    <s v=" 25912.6138 "/>
    <s v=" 72.4048 "/>
    <x v="0"/>
    <n v="1876199"/>
    <m/>
    <m/>
    <m/>
  </r>
  <r>
    <x v="15"/>
    <x v="4"/>
    <s v="F:\images\2021CHG-ACH-Estrone 1\plaque 2/@03 Testo+ EE2 64/E3_02.tif "/>
    <s v=" 27210.4074 "/>
    <s v=" 74.5135 "/>
    <x v="0"/>
    <n v="2027543"/>
    <m/>
    <m/>
    <m/>
  </r>
  <r>
    <x v="15"/>
    <x v="4"/>
    <s v="F:\images\2021CHG-ACH-Estrone 1\plaque 2/@03 Testo+ EE2 64/E3_03.tif "/>
    <s v=" 26237.0622 "/>
    <s v=" 73.9233 "/>
    <x v="0"/>
    <n v="1939531"/>
    <m/>
    <m/>
    <m/>
  </r>
  <r>
    <x v="15"/>
    <x v="5"/>
    <s v="F:\images\2021CHG-ACH-Estrone 1\plaque 2/@03 Testo+ EE2 64/F3_01.tif "/>
    <s v=" 12393.9296 "/>
    <s v=" 71.6911 "/>
    <x v="0"/>
    <n v="888534"/>
    <m/>
    <m/>
    <m/>
  </r>
  <r>
    <x v="15"/>
    <x v="5"/>
    <s v="F:\images\2021CHG-ACH-Estrone 1\plaque 2/@03 Testo+ EE2 64/F3_02.tif "/>
    <s v=" 12631.8585 "/>
    <s v=" 69.3801 "/>
    <x v="0"/>
    <n v="876400"/>
    <m/>
    <m/>
    <m/>
  </r>
  <r>
    <x v="15"/>
    <x v="5"/>
    <s v="F:\images\2021CHG-ACH-Estrone 1\plaque 2/@03 Testo+ EE2 64/F3_03.tif "/>
    <s v=" 17282.2858 "/>
    <s v=" 67.8223 "/>
    <x v="0"/>
    <n v="1172124"/>
    <m/>
    <m/>
    <m/>
  </r>
  <r>
    <x v="15"/>
    <x v="6"/>
    <s v="F:\images\2021CHG-ACH-Estrone 1\plaque 2/@03 Testo+ EE2 64/G3_01.tif "/>
    <s v=" 3417.5234 "/>
    <s v=" 66.2658 "/>
    <x v="0"/>
    <n v="226465"/>
    <m/>
    <m/>
    <m/>
  </r>
  <r>
    <x v="15"/>
    <x v="6"/>
    <s v="F:\images\2021CHG-ACH-Estrone 1\plaque 2/@03 Testo+ EE2 64/G3_02.tif "/>
    <s v=" 6229.4097 "/>
    <s v=" 67.0729 "/>
    <x v="0"/>
    <n v="417825"/>
    <m/>
    <m/>
    <m/>
  </r>
  <r>
    <x v="15"/>
    <x v="6"/>
    <s v="F:\images\2021CHG-ACH-Estrone 1\plaque 2/@03 Testo+ EE2 64/G3_03.tif "/>
    <s v=" 2573.9575 "/>
    <s v=" 66.6807 "/>
    <x v="0"/>
    <n v="171633"/>
    <m/>
    <m/>
    <m/>
  </r>
  <r>
    <x v="15"/>
    <x v="7"/>
    <s v="F:\images\2021CHG-ACH-Estrone 1\plaque 2/@03 Testo+ EE2 64/H3_01.tif "/>
    <s v=" 62164.3172 "/>
    <s v=" 76.65 "/>
    <x v="0"/>
    <n v="4764893"/>
    <m/>
    <m/>
    <m/>
  </r>
  <r>
    <x v="15"/>
    <x v="7"/>
    <s v="F:\images\2021CHG-ACH-Estrone 1\plaque 2/@03 Testo+ EE2 64/H3_02.tif "/>
    <s v=" 62813.214 "/>
    <s v=" 76.5833 "/>
    <x v="0"/>
    <n v="4810445"/>
    <m/>
    <m/>
    <m/>
  </r>
  <r>
    <x v="15"/>
    <x v="7"/>
    <s v="F:\images\2021CHG-ACH-Estrone 1\plaque 2/@03 Testo+ EE2 64/H3_03.tif "/>
    <s v=" 60650.2245 "/>
    <s v=" 78.4037 "/>
    <x v="0"/>
    <n v="4755203"/>
    <m/>
    <m/>
    <m/>
  </r>
  <r>
    <x v="1"/>
    <x v="8"/>
    <s v=" "/>
    <m/>
    <m/>
    <x v="1"/>
    <m/>
    <m/>
    <m/>
    <m/>
  </r>
  <r>
    <x v="1"/>
    <x v="8"/>
    <s v="group "/>
    <s v=" "/>
    <s v=" mean of mean fluo "/>
    <x v="2"/>
    <s v=" mean of total fluo "/>
    <s v=" SD total fluo "/>
    <s v=" n fluorescent "/>
    <s v=" n total"/>
  </r>
  <r>
    <x v="15"/>
    <x v="9"/>
    <s v="F:\images\2021CHG-ACH-Estrone 1\plaque 2/@03 Testo+ EE2 64/ "/>
    <s v=" "/>
    <s v=" 72.4382 "/>
    <x v="17"/>
    <s v=" 2341352.29 "/>
    <s v=" 1399785.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CHG-ACH-Estrone 1\plaque 2/@04 Testo+ FAD/A4_01.tif "/>
    <s v=" 1211.2741 "/>
    <s v=" 66.6607 "/>
    <x v="0"/>
    <n v="80744"/>
    <m/>
    <m/>
    <m/>
  </r>
  <r>
    <x v="16"/>
    <x v="0"/>
    <s v="F:\images\2021CHG-ACH-Estrone 1\plaque 2/@04 Testo+ FAD/A4_02.tif "/>
    <s v=" 519.1175 "/>
    <s v=" 63.0417 "/>
    <x v="0"/>
    <n v="32726"/>
    <m/>
    <m/>
    <m/>
  </r>
  <r>
    <x v="16"/>
    <x v="0"/>
    <s v="F:\images\2021CHG-ACH-Estrone 1\plaque 2/@04 Testo+ FAD/A4_03.tif "/>
    <s v=" 4044.7903 "/>
    <s v=" 68.3102 "/>
    <x v="0"/>
    <n v="276300"/>
    <m/>
    <m/>
    <m/>
  </r>
  <r>
    <x v="16"/>
    <x v="1"/>
    <s v="F:\images\2021CHG-ACH-Estrone 1\plaque 2/@04 Testo+ FAD/B4_01.tif "/>
    <s v=" 3915.0109 "/>
    <s v=" 66.7072 "/>
    <x v="0"/>
    <n v="261159"/>
    <m/>
    <m/>
    <m/>
  </r>
  <r>
    <x v="16"/>
    <x v="1"/>
    <s v="F:\images\2021CHG-ACH-Estrone 1\plaque 2/@04 Testo+ FAD/B4_02.tif "/>
    <s v=" 2336.0286 "/>
    <s v=" 66.6759 "/>
    <x v="0"/>
    <n v="155757"/>
    <m/>
    <m/>
    <m/>
  </r>
  <r>
    <x v="16"/>
    <x v="1"/>
    <s v="F:\images\2021CHG-ACH-Estrone 1\plaque 2/@04 Testo+ FAD/B4_03.tif "/>
    <s v=" 1514.0926 "/>
    <s v=" 64.3714 "/>
    <x v="0"/>
    <n v="97464"/>
    <m/>
    <m/>
    <m/>
  </r>
  <r>
    <x v="16"/>
    <x v="2"/>
    <s v="F:\images\2021CHG-ACH-Estrone 1\plaque 2/@04 Testo+ FAD/C4_01.tif "/>
    <s v=" 216.2989 "/>
    <s v=" 64.9 "/>
    <x v="0"/>
    <n v="14038"/>
    <m/>
    <m/>
    <m/>
  </r>
  <r>
    <x v="16"/>
    <x v="2"/>
    <s v="F:\images\2021CHG-ACH-Estrone 1\plaque 2/@04 Testo+ FAD/C4_02.tif "/>
    <s v=" 713.7865 "/>
    <s v=" 63.7576 "/>
    <x v="0"/>
    <n v="45509"/>
    <m/>
    <m/>
    <m/>
  </r>
  <r>
    <x v="16"/>
    <x v="2"/>
    <s v="F:\images\2021CHG-ACH-Estrone 1\plaque 2/@04 Testo+ FAD/C4_03.tif "/>
    <s v=" 367.7082 "/>
    <s v=" 65.1765 "/>
    <x v="0"/>
    <n v="23966"/>
    <m/>
    <m/>
    <m/>
  </r>
  <r>
    <x v="16"/>
    <x v="3"/>
    <s v="F:\images\2021CHG-ACH-Estrone 1\plaque 2/@04 Testo+ FAD/D4_01.tif "/>
    <s v=" 346.0783 "/>
    <s v=" 67.5625 "/>
    <x v="0"/>
    <n v="23382"/>
    <m/>
    <m/>
    <m/>
  </r>
  <r>
    <x v="16"/>
    <x v="3"/>
    <s v="F:\images\2021CHG-ACH-Estrone 1\plaque 2/@04 Testo+ FAD/D4_02.tif "/>
    <s v=" 973.3453 "/>
    <s v=" 69.6667 "/>
    <x v="0"/>
    <n v="67810"/>
    <m/>
    <m/>
    <m/>
  </r>
  <r>
    <x v="16"/>
    <x v="3"/>
    <s v="F:\images\2021CHG-ACH-Estrone 1\plaque 2/@04 Testo+ FAD/D4_03.tif "/>
    <s v=" 973.3453 "/>
    <n v="63"/>
    <x v="0"/>
    <n v="61321"/>
    <m/>
    <m/>
    <m/>
  </r>
  <r>
    <x v="16"/>
    <x v="4"/>
    <s v="F:\images\2021CHG-ACH-Estrone 1\plaque 2/@04 Testo+ FAD/E4_01.tif "/>
    <s v=" 2400.9183 "/>
    <s v=" 64.1532 "/>
    <x v="0"/>
    <n v="154026"/>
    <m/>
    <m/>
    <m/>
  </r>
  <r>
    <x v="16"/>
    <x v="4"/>
    <s v="F:\images\2021CHG-ACH-Estrone 1\plaque 2/@04 Testo+ FAD/E4_02.tif "/>
    <s v=" 2811.8863 "/>
    <s v=" 65.2154 "/>
    <x v="0"/>
    <n v="183378"/>
    <m/>
    <m/>
    <m/>
  </r>
  <r>
    <x v="16"/>
    <x v="4"/>
    <s v="F:\images\2021CHG-ACH-Estrone 1\plaque 2/@04 Testo+ FAD/E4_03.tif "/>
    <s v=" 1362.6834 "/>
    <s v=" 63.7619 "/>
    <x v="0"/>
    <n v="86887"/>
    <m/>
    <m/>
    <m/>
  </r>
  <r>
    <x v="16"/>
    <x v="5"/>
    <s v="F:\images\2021CHG-ACH-Estrone 1\plaque 2/@04 Testo+ FAD/F4_01.tif "/>
    <s v=" 5883.3313 "/>
    <s v=" 76.6654 "/>
    <x v="0"/>
    <n v="451048"/>
    <m/>
    <m/>
    <m/>
  </r>
  <r>
    <x v="16"/>
    <x v="5"/>
    <s v="F:\images\2021CHG-ACH-Estrone 1\plaque 2/@04 Testo+ FAD/F4_02.tif "/>
    <s v=" 6964.8261 "/>
    <s v=" 78.4565 "/>
    <x v="0"/>
    <n v="546436"/>
    <m/>
    <m/>
    <m/>
  </r>
  <r>
    <x v="16"/>
    <x v="5"/>
    <s v="F:\images\2021CHG-ACH-Estrone 1\plaque 2/@04 Testo+ FAD/F4_03.tif "/>
    <s v=" 108.1495 "/>
    <s v=" 62.4 "/>
    <x v="0"/>
    <n v="6749"/>
    <m/>
    <m/>
    <m/>
  </r>
  <r>
    <x v="16"/>
    <x v="6"/>
    <s v="F:\images\2021CHG-ACH-Estrone 1\plaque 2/@04 Testo+ FAD/G4_01.tif "/>
    <s v=" 324.4484 "/>
    <s v=" 63.6 "/>
    <x v="0"/>
    <n v="20635"/>
    <m/>
    <m/>
    <m/>
  </r>
  <r>
    <x v="16"/>
    <x v="6"/>
    <s v="F:\images\2021CHG-ACH-Estrone 1\plaque 2/@04 Testo+ FAD/G4_02.tif "/>
    <s v=" 1816.9111 "/>
    <s v=" 64.2976 "/>
    <x v="0"/>
    <n v="116823"/>
    <m/>
    <m/>
    <m/>
  </r>
  <r>
    <x v="16"/>
    <x v="6"/>
    <s v="F:\images\2021CHG-ACH-Estrone 1\plaque 2/@04 Testo+ FAD/G4_03.tif "/>
    <s v=" 324.4484 "/>
    <s v=" 63.1333 "/>
    <x v="0"/>
    <n v="20484"/>
    <m/>
    <m/>
    <m/>
  </r>
  <r>
    <x v="16"/>
    <x v="7"/>
    <s v="F:\images\2021CHG-ACH-Estrone 1\plaque 2/@04 Testo+ FAD/H4_01.tif "/>
    <s v=" 3395.8935 "/>
    <s v=" 66.2611 "/>
    <x v="0"/>
    <n v="225016"/>
    <m/>
    <m/>
    <m/>
  </r>
  <r>
    <x v="16"/>
    <x v="7"/>
    <s v="F:\images\2021CHG-ACH-Estrone 1\plaque 2/@04 Testo+ FAD/H4_02.tif "/>
    <s v=" 1600.6122 "/>
    <s v=" 64.4865 "/>
    <x v="0"/>
    <n v="103218"/>
    <m/>
    <m/>
    <m/>
  </r>
  <r>
    <x v="16"/>
    <x v="7"/>
    <s v="F:\images\2021CHG-ACH-Estrone 1\plaque 2/@04 Testo+ FAD/H4_03.tif "/>
    <s v=" 3006.5554 "/>
    <s v=" 67.2446 "/>
    <x v="0"/>
    <n v="202175"/>
    <m/>
    <m/>
    <m/>
  </r>
  <r>
    <x v="1"/>
    <x v="8"/>
    <s v=" "/>
    <m/>
    <m/>
    <x v="1"/>
    <m/>
    <m/>
    <m/>
    <m/>
  </r>
  <r>
    <x v="1"/>
    <x v="8"/>
    <s v="group "/>
    <s v=" "/>
    <s v=" mean of mean fluo "/>
    <x v="2"/>
    <s v=" mean of total fluo "/>
    <s v=" SD total fluo "/>
    <s v=" n fluorescent "/>
    <s v=" n total"/>
  </r>
  <r>
    <x v="16"/>
    <x v="9"/>
    <s v="F:\images\2021CHG-ACH-Estrone 1\plaque 2/@04 Testo+ FAD/ "/>
    <s v=" "/>
    <s v=" 66.2294 "/>
    <x v="18"/>
    <s v=" 135710.458 "/>
    <s v=" 138197.1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CHG-ACH-Estrone 1\plaque 2/@05 Estrone 0.04 µg_LL dopé/A5_01.tif "/>
    <s v=" 42740.6718 "/>
    <s v=" 71.1321 "/>
    <x v="0"/>
    <n v="3040233"/>
    <m/>
    <m/>
    <m/>
  </r>
  <r>
    <x v="17"/>
    <x v="0"/>
    <s v="F:\images\2021CHG-ACH-Estrone 1\plaque 2/@05 Estrone 0.04 µg_LL dopé/A5_02.tif "/>
    <s v=" 43908.6861 "/>
    <s v=" 69.3527 "/>
    <x v="0"/>
    <n v="3045186"/>
    <m/>
    <m/>
    <m/>
  </r>
  <r>
    <x v="17"/>
    <x v="0"/>
    <s v="F:\images\2021CHG-ACH-Estrone 1\plaque 2/@05 Estrone 0.04 µg_LL dopé/A5_03.tif "/>
    <s v=" 28508.2011 "/>
    <s v=" 67.3331 "/>
    <x v="0"/>
    <n v="1919545"/>
    <m/>
    <m/>
    <m/>
  </r>
  <r>
    <x v="17"/>
    <x v="1"/>
    <s v="F:\images\2021CHG-ACH-Estrone 1\plaque 2/@05 Estrone 0.04 µg_LL dopé/B5_01.tif "/>
    <s v=" 1578.9823 "/>
    <s v=" 64.1096 "/>
    <x v="0"/>
    <n v="101228"/>
    <m/>
    <m/>
    <m/>
  </r>
  <r>
    <x v="17"/>
    <x v="1"/>
    <s v="F:\images\2021CHG-ACH-Estrone 1\plaque 2/@05 Estrone 0.04 µg_LL dopé/B5_02.tif "/>
    <s v=" 1600.6122 "/>
    <s v=" 65.473 "/>
    <x v="0"/>
    <n v="104797"/>
    <m/>
    <m/>
    <m/>
  </r>
  <r>
    <x v="17"/>
    <x v="1"/>
    <s v="F:\images\2021CHG-ACH-Estrone 1\plaque 2/@05 Estrone 0.04 µg_LL dopé/B5_03.tif "/>
    <s v=" 4066.4202 "/>
    <s v=" 68.6277 "/>
    <x v="0"/>
    <n v="279069"/>
    <m/>
    <m/>
    <m/>
  </r>
  <r>
    <x v="17"/>
    <x v="2"/>
    <s v="F:\images\2021CHG-ACH-Estrone 1\plaque 2/@05 Estrone 0.04 µg_LL dopé/C5_01.tif "/>
    <s v=" 30152.0731 "/>
    <s v=" 68.9914 "/>
    <x v="0"/>
    <n v="2080233"/>
    <m/>
    <m/>
    <m/>
  </r>
  <r>
    <x v="17"/>
    <x v="2"/>
    <s v="F:\images\2021CHG-ACH-Estrone 1\plaque 2/@05 Estrone 0.04 µg_LL dopé/C5_02.tif "/>
    <s v=" 34802.5005 "/>
    <s v=" 68.8459 "/>
    <x v="0"/>
    <n v="2396008"/>
    <m/>
    <m/>
    <m/>
  </r>
  <r>
    <x v="17"/>
    <x v="2"/>
    <s v="F:\images\2021CHG-ACH-Estrone 1\plaque 2/@05 Estrone 0.04 µg_LL dopé/C5_03.tif "/>
    <s v=" 30238.5927 "/>
    <s v=" 69.9535 "/>
    <x v="0"/>
    <n v="2115296"/>
    <m/>
    <m/>
    <m/>
  </r>
  <r>
    <x v="17"/>
    <x v="3"/>
    <s v="F:\images\2021CHG-ACH-Estrone 1\plaque 2/@05 Estrone 0.04 µg_LL dopé/D5_01.tif "/>
    <s v=" 11052.8762 "/>
    <s v=" 64.7671 "/>
    <x v="0"/>
    <n v="715863"/>
    <m/>
    <m/>
    <m/>
  </r>
  <r>
    <x v="17"/>
    <x v="3"/>
    <s v="F:\images\2021CHG-ACH-Estrone 1\plaque 2/@05 Estrone 0.04 µg_LL dopé/D5_02.tif "/>
    <s v=" 14989.517 "/>
    <s v=" 65.7778 "/>
    <x v="0"/>
    <n v="985977"/>
    <m/>
    <m/>
    <m/>
  </r>
  <r>
    <x v="17"/>
    <x v="3"/>
    <s v="F:\images\2021CHG-ACH-Estrone 1\plaque 2/@05 Estrone 0.04 µg_LL dopé/D5_03.tif "/>
    <s v=" 10447.2391 "/>
    <s v=" 64.6356 "/>
    <x v="0"/>
    <n v="675264"/>
    <m/>
    <m/>
    <m/>
  </r>
  <r>
    <x v="17"/>
    <x v="4"/>
    <s v="F:\images\2021CHG-ACH-Estrone 1\plaque 2/@05 Estrone 0.04 µg_LL dopé/E5_01.tif "/>
    <s v=" 19466.9052 "/>
    <s v=" 66.8344 "/>
    <x v="0"/>
    <n v="1301060"/>
    <m/>
    <m/>
    <m/>
  </r>
  <r>
    <x v="17"/>
    <x v="4"/>
    <s v="F:\images\2021CHG-ACH-Estrone 1\plaque 2/@05 Estrone 0.04 µg_LL dopé/E5_02.tif "/>
    <s v=" 18450.3001 "/>
    <s v=" 65.381 "/>
    <x v="0"/>
    <n v="1206299"/>
    <m/>
    <m/>
    <m/>
  </r>
  <r>
    <x v="17"/>
    <x v="4"/>
    <s v="F:\images\2021CHG-ACH-Estrone 1\plaque 2/@05 Estrone 0.04 µg_LL dopé/E5_03.tif "/>
    <s v=" 18753.1186 "/>
    <s v=" 66.9354 "/>
    <x v="0"/>
    <n v="1255248"/>
    <m/>
    <m/>
    <m/>
  </r>
  <r>
    <x v="17"/>
    <x v="5"/>
    <s v="F:\images\2021CHG-ACH-Estrone 1\plaque 2/@05 Estrone 0.04 µg_LL dopé/F5_01.tif "/>
    <s v=" 23490.0656 "/>
    <s v=" 68.0331 "/>
    <x v="0"/>
    <n v="1598103"/>
    <m/>
    <m/>
    <m/>
  </r>
  <r>
    <x v="17"/>
    <x v="5"/>
    <s v="F:\images\2021CHG-ACH-Estrone 1\plaque 2/@05 Estrone 0.04 µg_LL dopé/F5_02.tif "/>
    <s v=" 21781.3039 "/>
    <s v=" 70.5859 "/>
    <x v="0"/>
    <n v="1537453"/>
    <m/>
    <m/>
    <m/>
  </r>
  <r>
    <x v="17"/>
    <x v="5"/>
    <s v="F:\images\2021CHG-ACH-Estrone 1\plaque 2/@05 Estrone 0.04 µg_LL dopé/F5_03.tif "/>
    <s v=" 21413.5957 "/>
    <s v=" 69.2889 "/>
    <x v="0"/>
    <n v="1483724"/>
    <m/>
    <m/>
    <m/>
  </r>
  <r>
    <x v="17"/>
    <x v="6"/>
    <s v="F:\images\2021CHG-ACH-Estrone 1\plaque 2/@05 Estrone 0.04 µg_LL dopé/G5_01.tif "/>
    <s v=" 15833.0829 "/>
    <s v=" 67.0929 "/>
    <x v="0"/>
    <n v="1062287"/>
    <m/>
    <m/>
    <m/>
  </r>
  <r>
    <x v="17"/>
    <x v="6"/>
    <s v="F:\images\2021CHG-ACH-Estrone 1\plaque 2/@05 Estrone 0.04 µg_LL dopé/G5_02.tif "/>
    <s v=" 14210.8408 "/>
    <s v=" 66.3881 "/>
    <x v="0"/>
    <n v="943431"/>
    <m/>
    <m/>
    <m/>
  </r>
  <r>
    <x v="17"/>
    <x v="6"/>
    <s v="F:\images\2021CHG-ACH-Estrone 1\plaque 2/@05 Estrone 0.04 µg_LL dopé/G5_03.tif "/>
    <s v=" 16157.5313 "/>
    <s v=" 66.8246 "/>
    <x v="0"/>
    <n v="1079721"/>
    <m/>
    <m/>
    <m/>
  </r>
  <r>
    <x v="17"/>
    <x v="7"/>
    <s v="F:\images\2021CHG-ACH-Estrone 1\plaque 2/@05 Estrone 0.04 µg_LL dopé/H5_01.tif "/>
    <s v=" 33158.6285 "/>
    <s v=" 75.1363 "/>
    <x v="0"/>
    <n v="2491418"/>
    <m/>
    <m/>
    <m/>
  </r>
  <r>
    <x v="17"/>
    <x v="7"/>
    <s v="F:\images\2021CHG-ACH-Estrone 1\plaque 2/@05 Estrone 0.04 µg_LL dopé/H5_02.tif "/>
    <s v=" 35732.5859 "/>
    <s v=" 73.3099 "/>
    <x v="0"/>
    <n v="2619553"/>
    <m/>
    <m/>
    <m/>
  </r>
  <r>
    <x v="17"/>
    <x v="7"/>
    <s v="F:\images\2021CHG-ACH-Estrone 1\plaque 2/@05 Estrone 0.04 µg_LL dopé/H5_03.tif "/>
    <s v=" 38760.7712 "/>
    <s v=" 75.8259 "/>
    <x v="0"/>
    <n v="2939070"/>
    <m/>
    <m/>
    <m/>
  </r>
  <r>
    <x v="1"/>
    <x v="8"/>
    <s v=" "/>
    <m/>
    <m/>
    <x v="1"/>
    <m/>
    <m/>
    <m/>
    <m/>
  </r>
  <r>
    <x v="1"/>
    <x v="8"/>
    <s v="group "/>
    <s v=" "/>
    <s v=" mean of mean fluo "/>
    <x v="2"/>
    <s v=" mean of total fluo "/>
    <s v=" SD total fluo "/>
    <s v=" n fluorescent "/>
    <s v=" n total"/>
  </r>
  <r>
    <x v="17"/>
    <x v="9"/>
    <s v="F:\images\2021CHG-ACH-Estrone 1\plaque 2/@05 Estrone 0.04 µg_LL dopé/ "/>
    <s v=" "/>
    <s v=" 68.3598 "/>
    <x v="19"/>
    <s v=" 1540669.42 "/>
    <s v=" 898058.2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CHG-ACH-Estrone 1\plaque 2/@06 Estrone 0.2 µg_LL dopé/A6_01.tif "/>
    <s v=" 22430.2007 "/>
    <s v=" 77.3067 "/>
    <x v="0"/>
    <n v="1734004"/>
    <m/>
    <m/>
    <m/>
  </r>
  <r>
    <x v="18"/>
    <x v="0"/>
    <s v="F:\images\2021CHG-ACH-Estrone 1\plaque 2/@06 Estrone 0.2 µg_LL dopé/A6_02.tif "/>
    <s v=" 778.6762 "/>
    <s v=" 62.4167 "/>
    <x v="0"/>
    <n v="48602"/>
    <m/>
    <m/>
    <m/>
  </r>
  <r>
    <x v="18"/>
    <x v="0"/>
    <s v="F:\images\2021CHG-ACH-Estrone 1\plaque 2/@06 Estrone 0.2 µg_LL dopé/A6_03.tif "/>
    <s v=" 3157.9646 "/>
    <s v=" 64.6918 "/>
    <x v="0"/>
    <n v="204294"/>
    <m/>
    <m/>
    <m/>
  </r>
  <r>
    <x v="18"/>
    <x v="1"/>
    <s v="F:\images\2021CHG-ACH-Estrone 1\plaque 2/@06 Estrone 0.2 µg_LL dopé/B6_01.tif "/>
    <s v=" 33201.8883 "/>
    <s v=" 72.6788 "/>
    <x v="0"/>
    <n v="2413074"/>
    <m/>
    <m/>
    <m/>
  </r>
  <r>
    <x v="18"/>
    <x v="1"/>
    <s v="F:\images\2021CHG-ACH-Estrone 1\plaque 2/@06 Estrone 0.2 µg_LL dopé/B6_02.tif "/>
    <s v=" 30519.7813 "/>
    <s v=" 71.1361 "/>
    <x v="0"/>
    <n v="2171057"/>
    <m/>
    <m/>
    <m/>
  </r>
  <r>
    <x v="18"/>
    <x v="1"/>
    <s v="F:\images\2021CHG-ACH-Estrone 1\plaque 2/@06 Estrone 0.2 µg_LL dopé/B6_03.tif "/>
    <s v=" 33612.8563 "/>
    <s v=" 71.4286 "/>
    <x v="0"/>
    <n v="2400918"/>
    <m/>
    <m/>
    <m/>
  </r>
  <r>
    <x v="18"/>
    <x v="2"/>
    <s v="F:\images\2021CHG-ACH-Estrone 1\plaque 2/@06 Estrone 0.2 µg_LL dopé/C6_01.tif "/>
    <s v=" 22992.578 "/>
    <s v=" 67.6011 "/>
    <x v="0"/>
    <n v="1554324"/>
    <m/>
    <m/>
    <m/>
  </r>
  <r>
    <x v="18"/>
    <x v="2"/>
    <s v="F:\images\2021CHG-ACH-Estrone 1\plaque 2/@06 Estrone 0.2 µg_LL dopé/C6_02.tif "/>
    <s v=" 19921.133 "/>
    <s v=" 67.0879 "/>
    <x v="0"/>
    <n v="1336468"/>
    <m/>
    <m/>
    <m/>
  </r>
  <r>
    <x v="18"/>
    <x v="2"/>
    <s v="F:\images\2021CHG-ACH-Estrone 1\plaque 2/@06 Estrone 0.2 µg_LL dopé/C6_03.tif "/>
    <s v=" 23814.514 "/>
    <s v=" 66.9419 "/>
    <x v="0"/>
    <n v="1594188"/>
    <m/>
    <m/>
    <m/>
  </r>
  <r>
    <x v="18"/>
    <x v="3"/>
    <s v="F:\images\2021CHG-ACH-Estrone 1\plaque 2/@06 Estrone 0.2 µg_LL dopé/D6_01.tif "/>
    <s v=" 25653.055 "/>
    <s v=" 66.6847 "/>
    <x v="0"/>
    <n v="1710665"/>
    <m/>
    <m/>
    <m/>
  </r>
  <r>
    <x v="18"/>
    <x v="3"/>
    <s v="F:\images\2021CHG-ACH-Estrone 1\plaque 2/@06 Estrone 0.2 µg_LL dopé/D6_02.tif "/>
    <s v=" 19942.7628 "/>
    <s v=" 65.7907 "/>
    <x v="0"/>
    <n v="1312048"/>
    <m/>
    <m/>
    <m/>
  </r>
  <r>
    <x v="18"/>
    <x v="3"/>
    <s v="F:\images\2021CHG-ACH-Estrone 1\plaque 2/@06 Estrone 0.2 µg_LL dopé/D6_03.tif "/>
    <s v=" 22408.5708 "/>
    <s v=" 66.9324 "/>
    <x v="0"/>
    <n v="1499860"/>
    <m/>
    <m/>
    <m/>
  </r>
  <r>
    <x v="18"/>
    <x v="4"/>
    <s v="F:\images\2021CHG-ACH-Estrone 1\plaque 2/@06 Estrone 0.2 µg_LL dopé/E6_01.tif "/>
    <s v=" 26799.4394 "/>
    <s v=" 68.0178 "/>
    <x v="0"/>
    <n v="1822838"/>
    <m/>
    <m/>
    <m/>
  </r>
  <r>
    <x v="18"/>
    <x v="4"/>
    <s v="F:\images\2021CHG-ACH-Estrone 1\plaque 2/@06 Estrone 0.2 µg_LL dopé/E6_02.tif "/>
    <s v=" 28724.5001 "/>
    <s v=" 68.8509 "/>
    <x v="0"/>
    <n v="1977708"/>
    <m/>
    <m/>
    <m/>
  </r>
  <r>
    <x v="18"/>
    <x v="4"/>
    <s v="F:\images\2021CHG-ACH-Estrone 1\plaque 2/@06 Estrone 0.2 µg_LL dopé/E6_03.tif "/>
    <s v=" 27643.0053 "/>
    <s v=" 68.7152 "/>
    <x v="0"/>
    <n v="1899494"/>
    <m/>
    <m/>
    <m/>
  </r>
  <r>
    <x v="18"/>
    <x v="5"/>
    <s v="F:\images\2021CHG-ACH-Estrone 1\plaque 2/@06 Estrone 0.2 µg_LL dopé/F6_01.tif "/>
    <s v=" 9841.6021 "/>
    <s v=" 66.5363 "/>
    <x v="0"/>
    <n v="654823"/>
    <m/>
    <m/>
    <m/>
  </r>
  <r>
    <x v="18"/>
    <x v="5"/>
    <s v="F:\images\2021CHG-ACH-Estrone 1\plaque 2/@06 Estrone 0.2 µg_LL dopé/F6_02.tif "/>
    <s v=" 9473.8938 "/>
    <s v=" 65.3995 "/>
    <x v="0"/>
    <n v="619588"/>
    <m/>
    <m/>
    <m/>
  </r>
  <r>
    <x v="18"/>
    <x v="5"/>
    <s v="F:\images\2021CHG-ACH-Estrone 1\plaque 2/@06 Estrone 0.2 µg_LL dopé/F6_03.tif "/>
    <s v=" 18688.229 "/>
    <s v=" 67.5729 "/>
    <x v="0"/>
    <n v="1262818"/>
    <m/>
    <m/>
    <m/>
  </r>
  <r>
    <x v="18"/>
    <x v="6"/>
    <s v="F:\images\2021CHG-ACH-Estrone 1\plaque 2/@06 Estrone 0.2 µg_LL dopé/G6_01.tif "/>
    <s v=" 3244.4842 "/>
    <s v=" 65.28 "/>
    <x v="0"/>
    <n v="211800"/>
    <m/>
    <m/>
    <m/>
  </r>
  <r>
    <x v="18"/>
    <x v="6"/>
    <s v="F:\images\2021CHG-ACH-Estrone 1\plaque 2/@06 Estrone 0.2 µg_LL dopé/G6_02.tif "/>
    <s v=" 3136.3347 "/>
    <s v=" 63.7517 "/>
    <x v="0"/>
    <n v="199947"/>
    <m/>
    <m/>
    <m/>
  </r>
  <r>
    <x v="18"/>
    <x v="6"/>
    <s v="F:\images\2021CHG-ACH-Estrone 1\plaque 2/@06 Estrone 0.2 µg_LL dopé/G6_03.tif "/>
    <s v=" 2617.2173 "/>
    <s v=" 63.876 "/>
    <x v="0"/>
    <n v="167177"/>
    <m/>
    <m/>
    <m/>
  </r>
  <r>
    <x v="18"/>
    <x v="7"/>
    <s v="F:\images\2021CHG-ACH-Estrone 1\plaque 2/@06 Estrone 0.2 µg_LL dopé/H6_01.tif "/>
    <s v=" 13086.0863 "/>
    <s v=" 73.1983 "/>
    <x v="0"/>
    <n v="957880"/>
    <m/>
    <m/>
    <m/>
  </r>
  <r>
    <x v="18"/>
    <x v="7"/>
    <s v="F:\images\2021CHG-ACH-Estrone 1\plaque 2/@06 Estrone 0.2 µg_LL dopé/H6_02.tif "/>
    <s v=" 11334.0648 "/>
    <s v=" 73.6011 "/>
    <x v="0"/>
    <n v="834200"/>
    <m/>
    <m/>
    <m/>
  </r>
  <r>
    <x v="18"/>
    <x v="7"/>
    <s v="F:\images\2021CHG-ACH-Estrone 1\plaque 2/@06 Estrone 0.2 µg_LL dopé/H6_03.tif "/>
    <s v=" 11982.9616 "/>
    <s v=" 72.9386 "/>
    <x v="0"/>
    <n v="874021"/>
    <m/>
    <m/>
    <m/>
  </r>
  <r>
    <x v="1"/>
    <x v="8"/>
    <s v=" "/>
    <m/>
    <m/>
    <x v="1"/>
    <m/>
    <m/>
    <m/>
    <m/>
  </r>
  <r>
    <x v="1"/>
    <x v="8"/>
    <s v="group "/>
    <s v=" "/>
    <s v=" mean of mean fluo "/>
    <x v="2"/>
    <s v=" mean of total fluo "/>
    <s v=" SD total fluo "/>
    <s v=" n fluorescent "/>
    <s v=" n total"/>
  </r>
  <r>
    <x v="18"/>
    <x v="9"/>
    <s v="F:\images\2021CHG-ACH-Estrone 1\plaque 2/@06 Estrone 0.2 µg_LL dopé/ "/>
    <s v=" "/>
    <s v=" 68.2682 "/>
    <x v="20"/>
    <s v=" 1227574.83 "/>
    <s v=" 739145.2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CHG-ACH-Estrone 1\plaque 2/@07 Estrone 1 µg_LL dopé/A7_01.tif "/>
    <s v=" 46828.7219 "/>
    <s v=" 89.6162 "/>
    <x v="0"/>
    <n v="4196611"/>
    <m/>
    <m/>
    <m/>
  </r>
  <r>
    <x v="19"/>
    <x v="0"/>
    <s v="F:\images\2021CHG-ACH-Estrone 1\plaque 2/@07 Estrone 1 µg_LL dopé/A7_02.tif "/>
    <s v=" 44168.2448 "/>
    <s v=" 89.3134 "/>
    <x v="0"/>
    <n v="3944817"/>
    <m/>
    <m/>
    <m/>
  </r>
  <r>
    <x v="19"/>
    <x v="0"/>
    <s v="F:\images\2021CHG-ACH-Estrone 1\plaque 2/@07 Estrone 1 µg_LL dopé/A7_03.tif "/>
    <s v=" 45703.9674 "/>
    <s v=" 87.6555 "/>
    <x v="0"/>
    <n v="4006203"/>
    <m/>
    <m/>
    <m/>
  </r>
  <r>
    <x v="19"/>
    <x v="1"/>
    <s v="F:\images\2021CHG-ACH-Estrone 1\plaque 2/@07 Estrone 1 µg_LL dopé/B7_01.tif "/>
    <s v=" 53425.8397 "/>
    <s v=" 80.1547 "/>
    <x v="0"/>
    <n v="4282330"/>
    <m/>
    <m/>
    <m/>
  </r>
  <r>
    <x v="19"/>
    <x v="1"/>
    <s v="F:\images\2021CHG-ACH-Estrone 1\plaque 2/@07 Estrone 1 µg_LL dopé/B7_02.tif "/>
    <s v=" 54247.7757 "/>
    <s v=" 80.7843 "/>
    <x v="0"/>
    <n v="4382368"/>
    <m/>
    <m/>
    <m/>
  </r>
  <r>
    <x v="19"/>
    <x v="1"/>
    <s v="F:\images\2021CHG-ACH-Estrone 1\plaque 2/@07 Estrone 1 µg_LL dopé/B7_03.tif "/>
    <s v=" 53274.4305 "/>
    <s v=" 80.0702 "/>
    <x v="0"/>
    <n v="4265696"/>
    <m/>
    <m/>
    <m/>
  </r>
  <r>
    <x v="19"/>
    <x v="2"/>
    <s v="F:\images\2021CHG-ACH-Estrone 1\plaque 2/@07 Estrone 1 µg_LL dopé/C7_01.tif "/>
    <s v=" 40404.6432 "/>
    <s v=" 77.2195 "/>
    <x v="0"/>
    <n v="3120026"/>
    <m/>
    <m/>
    <m/>
  </r>
  <r>
    <x v="19"/>
    <x v="2"/>
    <s v="F:\images\2021CHG-ACH-Estrone 1\plaque 2/@07 Estrone 1 µg_LL dopé/C7_02.tif "/>
    <s v=" 38868.9206 "/>
    <s v=" 76.0568 "/>
    <x v="0"/>
    <n v="2956244"/>
    <m/>
    <m/>
    <m/>
  </r>
  <r>
    <x v="19"/>
    <x v="2"/>
    <s v="F:\images\2021CHG-ACH-Estrone 1\plaque 2/@07 Estrone 1 µg_LL dopé/C7_03.tif "/>
    <s v=" 40729.0916 "/>
    <s v=" 75.8619 "/>
    <x v="0"/>
    <n v="3089787"/>
    <m/>
    <m/>
    <m/>
  </r>
  <r>
    <x v="19"/>
    <x v="3"/>
    <s v="F:\images\2021CHG-ACH-Estrone 1\plaque 2/@07 Estrone 1 µg_LL dopé/D7_01.tif "/>
    <s v=" 12329.0399 "/>
    <s v=" 66.4175 "/>
    <x v="0"/>
    <n v="818865"/>
    <m/>
    <m/>
    <m/>
  </r>
  <r>
    <x v="19"/>
    <x v="3"/>
    <s v="F:\images\2021CHG-ACH-Estrone 1\plaque 2/@07 Estrone 1 µg_LL dopé/D7_02.tif "/>
    <s v=" 11355.6947 "/>
    <s v=" 68.861 "/>
    <x v="0"/>
    <n v="781964"/>
    <m/>
    <m/>
    <m/>
  </r>
  <r>
    <x v="19"/>
    <x v="3"/>
    <s v="F:\images\2021CHG-ACH-Estrone 1\plaque 2/@07 Estrone 1 µg_LL dopé/D7_03.tif "/>
    <s v=" 9668.5629 "/>
    <s v=" 68.7226 "/>
    <x v="0"/>
    <n v="664449"/>
    <m/>
    <m/>
    <m/>
  </r>
  <r>
    <x v="19"/>
    <x v="4"/>
    <s v="F:\images\2021CHG-ACH-Estrone 1\plaque 2/@07 Estrone 1 µg_LL dopé/E7_01.tif "/>
    <s v=" 56410.7652 "/>
    <s v=" 77.7692 "/>
    <x v="0"/>
    <n v="4387018"/>
    <m/>
    <m/>
    <m/>
  </r>
  <r>
    <x v="19"/>
    <x v="4"/>
    <s v="F:\images\2021CHG-ACH-Estrone 1\plaque 2/@07 Estrone 1 µg_LL dopé/E7_02.tif "/>
    <s v=" 44189.8747 "/>
    <s v=" 74.279 "/>
    <x v="0"/>
    <n v="3282380"/>
    <m/>
    <m/>
    <m/>
  </r>
  <r>
    <x v="19"/>
    <x v="4"/>
    <s v="F:\images\2021CHG-ACH-Estrone 1\plaque 2/@07 Estrone 1 µg_LL dopé/E7_03.tif "/>
    <s v=" 59503.8401 "/>
    <s v=" 76.7412 "/>
    <x v="0"/>
    <n v="4566395"/>
    <m/>
    <m/>
    <m/>
  </r>
  <r>
    <x v="19"/>
    <x v="5"/>
    <s v="F:\images\2021CHG-ACH-Estrone 1\plaque 2/@07 Estrone 1 µg_LL dopé/F7_01.tif "/>
    <s v=" 36424.7426 "/>
    <s v=" 71.0594 "/>
    <x v="0"/>
    <n v="2588320"/>
    <m/>
    <m/>
    <m/>
  </r>
  <r>
    <x v="19"/>
    <x v="5"/>
    <s v="F:\images\2021CHG-ACH-Estrone 1\plaque 2/@07 Estrone 1 µg_LL dopé/F7_02.tif "/>
    <s v=" 35646.0663 "/>
    <s v=" 73.6462 "/>
    <x v="0"/>
    <n v="2625199"/>
    <m/>
    <m/>
    <m/>
  </r>
  <r>
    <x v="19"/>
    <x v="5"/>
    <s v="F:\images\2021CHG-ACH-Estrone 1\plaque 2/@07 Estrone 1 µg_LL dopé/F7_03.tif "/>
    <s v=" 30627.9308 "/>
    <s v=" 71.8093 "/>
    <x v="0"/>
    <n v="2199371"/>
    <m/>
    <m/>
    <m/>
  </r>
  <r>
    <x v="19"/>
    <x v="6"/>
    <s v="F:\images\2021CHG-ACH-Estrone 1\plaque 2/@07 Estrone 1 µg_LL dopé/G7_01.tif "/>
    <s v=" 41983.6255 "/>
    <s v=" 83.9335 "/>
    <x v="0"/>
    <n v="3523834"/>
    <m/>
    <m/>
    <m/>
  </r>
  <r>
    <x v="19"/>
    <x v="6"/>
    <s v="F:\images\2021CHG-ACH-Estrone 1\plaque 2/@07 Estrone 1 µg_LL dopé/G7_02.tif "/>
    <s v=" 46893.6116 "/>
    <s v=" 83.5291 "/>
    <x v="0"/>
    <n v="3916979"/>
    <m/>
    <m/>
    <m/>
  </r>
  <r>
    <x v="19"/>
    <x v="6"/>
    <s v="F:\images\2021CHG-ACH-Estrone 1\plaque 2/@07 Estrone 1 µg_LL dopé/G7_03.tif "/>
    <s v=" 42870.4512 "/>
    <s v=" 85.3244 "/>
    <x v="0"/>
    <n v="3657896"/>
    <m/>
    <m/>
    <m/>
  </r>
  <r>
    <x v="19"/>
    <x v="7"/>
    <s v="F:\images\2021CHG-ACH-Estrone 1\plaque 2/@07 Estrone 1 µg_LL dopé/H7_01.tif "/>
    <s v=" 52171.3058 "/>
    <s v=" 72.2782 "/>
    <x v="0"/>
    <n v="3770848"/>
    <m/>
    <m/>
    <m/>
  </r>
  <r>
    <x v="19"/>
    <x v="7"/>
    <s v="F:\images\2021CHG-ACH-Estrone 1\plaque 2/@07 Estrone 1 µg_LL dopé/H7_02.tif "/>
    <s v=" 46547.5332 "/>
    <s v=" 74.4545 "/>
    <x v="0"/>
    <n v="3465671"/>
    <m/>
    <m/>
    <m/>
  </r>
  <r>
    <x v="19"/>
    <x v="7"/>
    <s v="F:\images\2021CHG-ACH-Estrone 1\plaque 2/@07 Estrone 1 µg_LL dopé/H7_03.tif "/>
    <s v=" 56886.6229 "/>
    <s v=" 72.6722 "/>
    <x v="0"/>
    <n v="4134079"/>
    <m/>
    <m/>
    <m/>
  </r>
  <r>
    <x v="1"/>
    <x v="8"/>
    <s v=" "/>
    <m/>
    <m/>
    <x v="1"/>
    <m/>
    <m/>
    <m/>
    <m/>
  </r>
  <r>
    <x v="1"/>
    <x v="8"/>
    <s v="group "/>
    <s v=" "/>
    <s v=" mean of mean fluo "/>
    <x v="2"/>
    <s v=" mean of total fluo "/>
    <s v=" SD total fluo "/>
    <s v=" n fluorescent "/>
    <s v=" n total"/>
  </r>
  <r>
    <x v="19"/>
    <x v="9"/>
    <s v="F:\images\2021CHG-ACH-Estrone 1\plaque 2/@07 Estrone 1 µg_LL dopé/ "/>
    <s v=" "/>
    <s v=" 77.4262 "/>
    <x v="21"/>
    <s v=" 3276139.58 "/>
    <s v=" 1158594.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CHG-ACH-Estrone 1\plaque 2/@08 Estrone 5 µg_LL dopé/A8_01.tif "/>
    <s v=" 50029.9463 "/>
    <s v=" 93.9447 "/>
    <x v="0"/>
    <n v="4700046"/>
    <m/>
    <m/>
    <m/>
  </r>
  <r>
    <x v="20"/>
    <x v="0"/>
    <s v="F:\images\2021CHG-ACH-Estrone 1\plaque 2/@08 Estrone 5 µg_LL dopé/A8_02.tif "/>
    <s v=" 53728.6583 "/>
    <s v=" 91.6763 "/>
    <x v="0"/>
    <n v="4925646"/>
    <m/>
    <m/>
    <m/>
  </r>
  <r>
    <x v="20"/>
    <x v="0"/>
    <s v="F:\images\2021CHG-ACH-Estrone 1\plaque 2/@08 Estrone 5 µg_LL dopé/A8_03- exclu.tif"/>
    <m/>
    <m/>
    <x v="1"/>
    <m/>
    <m/>
    <m/>
    <m/>
  </r>
  <r>
    <x v="20"/>
    <x v="1"/>
    <s v="F:\images\2021CHG-ACH-Estrone 1\plaque 2/@08 Estrone 5 µg_LL dopé/B8_01.tif "/>
    <s v=" 75012.4746 "/>
    <s v=" 85.0499 "/>
    <x v="0"/>
    <n v="6379802"/>
    <m/>
    <m/>
    <m/>
  </r>
  <r>
    <x v="20"/>
    <x v="1"/>
    <s v="F:\images\2021CHG-ACH-Estrone 1\plaque 2/@08 Estrone 5 µg_LL dopé/B8_02.tif "/>
    <s v=" 75012.4746 "/>
    <s v=" 84.5963 "/>
    <x v="0"/>
    <n v="6345778"/>
    <m/>
    <m/>
    <m/>
  </r>
  <r>
    <x v="20"/>
    <x v="1"/>
    <s v="F:\images\2021CHG-ACH-Estrone 1\plaque 2/@08 Estrone 5 µg_LL dopé/B8_03.tif "/>
    <s v=" 74450.0973 "/>
    <s v=" 85.7594 "/>
    <x v="0"/>
    <n v="6384799"/>
    <m/>
    <m/>
    <m/>
  </r>
  <r>
    <x v="20"/>
    <x v="2"/>
    <s v="F:\images\2021CHG-ACH-Estrone 1\plaque 2/@08 Estrone 5 µg_LL dopé/C8_01.tif "/>
    <s v=" 26237.0622 "/>
    <s v=" 80.249 "/>
    <x v="0"/>
    <n v="2105497"/>
    <m/>
    <m/>
    <m/>
  </r>
  <r>
    <x v="20"/>
    <x v="2"/>
    <s v="F:\images\2021CHG-ACH-Estrone 1\plaque 2/@08 Estrone 5 µg_LL dopé/C8_02.tif "/>
    <s v=" 23576.5851 "/>
    <s v=" 77.7615 "/>
    <x v="0"/>
    <n v="1833350"/>
    <m/>
    <m/>
    <m/>
  </r>
  <r>
    <x v="20"/>
    <x v="2"/>
    <s v="F:\images\2021CHG-ACH-Estrone 1\plaque 2/@08 Estrone 5 µg_LL dopé/C8_03.tif "/>
    <s v=" 29373.3969 "/>
    <s v=" 79.687 "/>
    <x v="0"/>
    <n v="2340679"/>
    <m/>
    <m/>
    <m/>
  </r>
  <r>
    <x v="20"/>
    <x v="3"/>
    <s v="F:\images\2021CHG-ACH-Estrone 1\plaque 2/@08 Estrone 5 µg_LL dopé/D8_01.tif "/>
    <s v=" 33180.2584 "/>
    <s v=" 86.1017 "/>
    <x v="0"/>
    <n v="2856876"/>
    <m/>
    <m/>
    <m/>
  </r>
  <r>
    <x v="20"/>
    <x v="3"/>
    <s v="F:\images\2021CHG-ACH-Estrone 1\plaque 2/@08 Estrone 5 µg_LL dopé/D8_02.tif "/>
    <s v=" 38349.8032 "/>
    <s v=" 79.9193 "/>
    <x v="0"/>
    <n v="3064891"/>
    <m/>
    <m/>
    <m/>
  </r>
  <r>
    <x v="20"/>
    <x v="3"/>
    <s v="F:\images\2021CHG-ACH-Estrone 1\plaque 2/@08 Estrone 5 µg_LL dopé/D8_03.tif "/>
    <s v=" 37116.8992 "/>
    <s v=" 83.5938 "/>
    <x v="0"/>
    <n v="3102743"/>
    <m/>
    <m/>
    <m/>
  </r>
  <r>
    <x v="20"/>
    <x v="4"/>
    <s v="F:\images\2021CHG-ACH-Estrone 1\plaque 2/@08 Estrone 5 µg_LL dopé/E8_01.tif "/>
    <s v=" 16179.1612 "/>
    <s v=" 123.9906 "/>
    <x v="0"/>
    <n v="2006065"/>
    <m/>
    <m/>
    <m/>
  </r>
  <r>
    <x v="20"/>
    <x v="4"/>
    <s v="F:\images\2021CHG-ACH-Estrone 1\plaque 2/@08 Estrone 5 µg_LL dopé/E8_02.tif "/>
    <s v=" 15119.2963 "/>
    <s v=" 115.2246 "/>
    <x v="0"/>
    <n v="1742115"/>
    <m/>
    <m/>
    <m/>
  </r>
  <r>
    <x v="20"/>
    <x v="4"/>
    <s v="F:\images\2021CHG-ACH-Estrone 1\plaque 2/@08 Estrone 5 µg_LL dopé/E8_03.tif "/>
    <s v=" 14967.8871 "/>
    <s v=" 116.5809 "/>
    <x v="0"/>
    <n v="1744970"/>
    <m/>
    <m/>
    <m/>
  </r>
  <r>
    <x v="20"/>
    <x v="5"/>
    <s v="F:\images\2021CHG-ACH-Estrone 1\plaque 2/@08 Estrone 5 µg_LL dopé/F8_01.tif "/>
    <s v=" 29092.2083 "/>
    <s v=" 83.6387 "/>
    <x v="0"/>
    <n v="2433233"/>
    <m/>
    <m/>
    <m/>
  </r>
  <r>
    <x v="20"/>
    <x v="5"/>
    <s v="F:\images\2021CHG-ACH-Estrone 1\plaque 2/@08 Estrone 5 µg_LL dopé/F8_02.tif "/>
    <s v=" 31774.3152 "/>
    <s v=" 84.4472 "/>
    <x v="0"/>
    <n v="2683253"/>
    <m/>
    <m/>
    <m/>
  </r>
  <r>
    <x v="20"/>
    <x v="5"/>
    <s v="F:\images\2021CHG-ACH-Estrone 1\plaque 2/@08 Estrone 5 µg_LL dopé/F8_03.tif "/>
    <s v=" 31428.2369 "/>
    <s v=" 85.4838 "/>
    <x v="0"/>
    <n v="2686606"/>
    <m/>
    <m/>
    <m/>
  </r>
  <r>
    <x v="20"/>
    <x v="6"/>
    <s v="F:\images\2021CHG-ACH-Estrone 1\plaque 2/@08 Estrone 5 µg_LL dopé/G8_01.tif "/>
    <s v=" 39431.2979 "/>
    <s v=" 73.2457 "/>
    <x v="0"/>
    <n v="2888175"/>
    <m/>
    <m/>
    <m/>
  </r>
  <r>
    <x v="20"/>
    <x v="6"/>
    <s v="F:\images\2021CHG-ACH-Estrone 1\plaque 2/@08 Estrone 5 µg_LL dopé/G8_02.tif "/>
    <s v=" 41377.9884 "/>
    <s v=" 82.0915 "/>
    <x v="0"/>
    <n v="3396780"/>
    <m/>
    <m/>
    <m/>
  </r>
  <r>
    <x v="20"/>
    <x v="6"/>
    <s v="F:\images\2021CHG-ACH-Estrone 1\plaque 2/@08 Estrone 5 µg_LL dopé/G8_03.tif "/>
    <s v=" 44276.3943 "/>
    <s v=" 80.1724 "/>
    <x v="0"/>
    <n v="3549747"/>
    <m/>
    <m/>
    <m/>
  </r>
  <r>
    <x v="20"/>
    <x v="7"/>
    <s v="F:\images\2021CHG-ACH-Estrone 1\plaque 2/@08 Estrone 5 µg_LL dopé/H8_01.tif "/>
    <s v=" 35970.5148 "/>
    <s v=" 79.6849 "/>
    <x v="0"/>
    <n v="2866307"/>
    <m/>
    <m/>
    <m/>
  </r>
  <r>
    <x v="20"/>
    <x v="7"/>
    <s v="F:\images\2021CHG-ACH-Estrone 1\plaque 2/@08 Estrone 5 µg_LL dopé/H8_02.tif "/>
    <s v=" 37614.3868 "/>
    <s v=" 77.778 "/>
    <x v="0"/>
    <n v="2925573"/>
    <m/>
    <m/>
    <m/>
  </r>
  <r>
    <x v="20"/>
    <x v="7"/>
    <s v="F:\images\2021CHG-ACH-Estrone 1\plaque 2/@08 Estrone 5 µg_LL dopé/H8_03.tif "/>
    <s v=" 39323.1484 "/>
    <s v=" 78.2651 "/>
    <x v="0"/>
    <n v="3077631"/>
    <m/>
    <m/>
    <m/>
  </r>
  <r>
    <x v="1"/>
    <x v="8"/>
    <s v=" "/>
    <m/>
    <m/>
    <x v="1"/>
    <m/>
    <m/>
    <m/>
    <m/>
  </r>
  <r>
    <x v="1"/>
    <x v="8"/>
    <s v="group "/>
    <s v=" "/>
    <s v=" mean of mean fluo "/>
    <x v="2"/>
    <s v=" mean of total fluo "/>
    <s v=" SD total fluo "/>
    <s v=" n fluorescent "/>
    <s v=" n total"/>
  </r>
  <r>
    <x v="20"/>
    <x v="9"/>
    <s v="F:\images\2021CHG-ACH-Estrone 1\plaque 2/@08 Estrone 5 µg_LL dopé/ "/>
    <s v=" "/>
    <s v=" 87.0803 "/>
    <x v="22"/>
    <s v=" 3349584.62 "/>
    <s v=" 1434941.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CHG-ACH-Estrone 1\plaque 2/@09 Estrone 25 µg_LL dopé/A9_01.tif "/>
    <s v=" 34218.4933 "/>
    <s v=" 87.5714 "/>
    <x v="0"/>
    <n v="2996562"/>
    <m/>
    <m/>
    <m/>
  </r>
  <r>
    <x v="21"/>
    <x v="0"/>
    <s v="F:\images\2021CHG-ACH-Estrone 1\plaque 2/@09 Estrone 25 µg_LL dopé/A9_02.tif "/>
    <s v=" 37700.9063 "/>
    <s v=" 85.5777 "/>
    <x v="0"/>
    <n v="3226358"/>
    <m/>
    <m/>
    <m/>
  </r>
  <r>
    <x v="21"/>
    <x v="0"/>
    <s v="F:\images\2021CHG-ACH-Estrone 1\plaque 2/@09 Estrone 25 µg_LL dopé/A9_03.tif "/>
    <s v=" 41204.9493 "/>
    <s v=" 84.1176 "/>
    <x v="0"/>
    <n v="3466061"/>
    <m/>
    <m/>
    <m/>
  </r>
  <r>
    <x v="21"/>
    <x v="1"/>
    <s v="F:\images\2021CHG-ACH-Estrone 1\plaque 2/@09 Estrone 25 µg_LL dopé/B9_01.tif "/>
    <s v=" 89612.6534 "/>
    <s v=" 100.504 "/>
    <x v="0"/>
    <n v="9006429"/>
    <m/>
    <m/>
    <m/>
  </r>
  <r>
    <x v="21"/>
    <x v="1"/>
    <s v="F:\images\2021CHG-ACH-Estrone 1\plaque 2/@09 Estrone 25 µg_LL dopé/B9_02.tif "/>
    <s v=" 91191.6358 "/>
    <s v=" 103.9004 "/>
    <x v="0"/>
    <n v="9474846"/>
    <m/>
    <m/>
    <m/>
  </r>
  <r>
    <x v="21"/>
    <x v="1"/>
    <s v="F:\images\2021CHG-ACH-Estrone 1\plaque 2/@09 Estrone 25 µg_LL dopé/B9_03.tif "/>
    <s v=" 79165.4143 "/>
    <s v=" 108.7642 "/>
    <x v="0"/>
    <n v="8610364"/>
    <m/>
    <m/>
    <m/>
  </r>
  <r>
    <x v="21"/>
    <x v="2"/>
    <s v="F:\images\2021CHG-ACH-Estrone 1\plaque 2/@09 Estrone 25 µg_LL dopé/C9_01.tif "/>
    <s v=" 68372.0969 "/>
    <s v=" 82.9048 "/>
    <x v="0"/>
    <n v="5668373"/>
    <m/>
    <m/>
    <m/>
  </r>
  <r>
    <x v="21"/>
    <x v="2"/>
    <s v="F:\images\2021CHG-ACH-Estrone 1\plaque 2/@09 Estrone 25 µg_LL dopé/C9_02.tif "/>
    <s v=" 72957.6346 "/>
    <s v=" 86.1251 "/>
    <x v="0"/>
    <n v="6283484"/>
    <m/>
    <m/>
    <m/>
  </r>
  <r>
    <x v="21"/>
    <x v="2"/>
    <s v="F:\images\2021CHG-ACH-Estrone 1\plaque 2/@09 Estrone 25 µg_LL dopé/C9_03.tif "/>
    <s v=" 71227.243 "/>
    <s v=" 86.6915 "/>
    <x v="0"/>
    <n v="6174794"/>
    <m/>
    <m/>
    <m/>
  </r>
  <r>
    <x v="21"/>
    <x v="3"/>
    <s v="F:\images\2021CHG-ACH-Estrone 1\plaque 2/@09 Estrone 25 µg_LL dopé/D9_01.tif "/>
    <s v=" 54334.2953 "/>
    <s v=" 87.2512 "/>
    <x v="0"/>
    <n v="4740732"/>
    <m/>
    <m/>
    <m/>
  </r>
  <r>
    <x v="21"/>
    <x v="3"/>
    <s v="F:\images\2021CHG-ACH-Estrone 1\plaque 2/@09 Estrone 25 µg_LL dopé/D9_02.tif "/>
    <s v=" 55653.7189 "/>
    <s v=" 86.0016 "/>
    <x v="0"/>
    <n v="4786306"/>
    <m/>
    <m/>
    <m/>
  </r>
  <r>
    <x v="21"/>
    <x v="3"/>
    <s v="F:\images\2021CHG-ACH-Estrone 1\plaque 2/@09 Estrone 25 µg_LL dopé/D9_03.tif "/>
    <s v=" 54312.6654 "/>
    <s v=" 86.6898 "/>
    <x v="0"/>
    <n v="4708352"/>
    <m/>
    <m/>
    <m/>
  </r>
  <r>
    <x v="21"/>
    <x v="4"/>
    <s v="F:\images\2021CHG-ACH-Estrone 1\plaque 2/@09 Estrone 25 µg_LL dopé/E9_01.tif "/>
    <s v=" 25242.087 "/>
    <s v=" 81.4207 "/>
    <x v="0"/>
    <n v="2055229"/>
    <m/>
    <m/>
    <m/>
  </r>
  <r>
    <x v="21"/>
    <x v="4"/>
    <s v="F:\images\2021CHG-ACH-Estrone 1\plaque 2/@09 Estrone 25 µg_LL dopé/E9_02.tif "/>
    <s v=" 25523.2757 "/>
    <s v=" 80.2754 "/>
    <x v="0"/>
    <n v="2048892"/>
    <m/>
    <m/>
    <m/>
  </r>
  <r>
    <x v="21"/>
    <x v="4"/>
    <s v="F:\images\2021CHG-ACH-Estrone 1\plaque 2/@09 Estrone 25 µg_LL dopé/E9_03.tif "/>
    <s v=" 24117.3325 "/>
    <s v=" 79.3399 "/>
    <x v="0"/>
    <n v="1913467"/>
    <m/>
    <m/>
    <m/>
  </r>
  <r>
    <x v="21"/>
    <x v="5"/>
    <s v="F:\images\2021CHG-ACH-Estrone 1\plaque 2/@09 Estrone 25 µg_LL dopé/F9_01.tif "/>
    <s v=" 50397.6545 "/>
    <s v=" 85.9601 "/>
    <x v="0"/>
    <n v="4332187"/>
    <m/>
    <m/>
    <m/>
  </r>
  <r>
    <x v="21"/>
    <x v="5"/>
    <s v="F:\images\2021CHG-ACH-Estrone 1\plaque 2/@09 Estrone 25 µg_LL dopé/F9_02.tif "/>
    <s v=" 48840.3021 "/>
    <s v=" 85.3096 "/>
    <x v="0"/>
    <n v="4166545"/>
    <m/>
    <m/>
    <m/>
  </r>
  <r>
    <x v="21"/>
    <x v="5"/>
    <s v="F:\images\2021CHG-ACH-Estrone 1\plaque 2/@09 Estrone 25 µg_LL dopé/F9_03.tif "/>
    <s v=" 52041.5265 "/>
    <s v=" 87.3096 "/>
    <x v="0"/>
    <n v="4543727"/>
    <m/>
    <m/>
    <m/>
  </r>
  <r>
    <x v="21"/>
    <x v="6"/>
    <s v="F:\images\2021CHG-ACH-Estrone 1\plaque 2/@09 Estrone 25 µg_LL dopé/G9_01.tif "/>
    <s v=" 44492.6933 "/>
    <s v=" 84.1512 "/>
    <x v="0"/>
    <n v="3744113"/>
    <m/>
    <m/>
    <m/>
  </r>
  <r>
    <x v="21"/>
    <x v="6"/>
    <s v="F:\images\2021CHG-ACH-Estrone 1\plaque 2/@09 Estrone 25 µg_LL dopé/G9_02.tif "/>
    <s v=" 43714.017 "/>
    <s v=" 81.8194 "/>
    <x v="0"/>
    <n v="3576654"/>
    <m/>
    <m/>
    <m/>
  </r>
  <r>
    <x v="21"/>
    <x v="6"/>
    <s v="F:\images\2021CHG-ACH-Estrone 1\plaque 2/@09 Estrone 25 µg_LL dopé/G9_03.tif "/>
    <s v=" 43887.0562 "/>
    <s v=" 82.2203 "/>
    <x v="0"/>
    <n v="3608407"/>
    <m/>
    <m/>
    <m/>
  </r>
  <r>
    <x v="21"/>
    <x v="7"/>
    <s v="F:\images\2021CHG-ACH-Estrone 1\plaque 2/@09 Estrone 25 µg_LL dopé/H9_01.tif "/>
    <s v=" 50332.7648 "/>
    <s v=" 97.9557 "/>
    <x v="0"/>
    <n v="4930383"/>
    <m/>
    <m/>
    <m/>
  </r>
  <r>
    <x v="21"/>
    <x v="7"/>
    <s v="F:\images\2021CHG-ACH-Estrone 1\plaque 2/@09 Estrone 25 µg_LL dopé/H9_02.tif "/>
    <s v=" 51695.4482 "/>
    <s v=" 101.8887 "/>
    <x v="0"/>
    <n v="5267182"/>
    <m/>
    <m/>
    <m/>
  </r>
  <r>
    <x v="21"/>
    <x v="7"/>
    <s v="F:\images\2021CHG-ACH-Estrone 1\plaque 2/@09 Estrone 25 µg_LL dopé/H9_03.tif "/>
    <s v=" 50159.7256 "/>
    <s v=" 100.9483 "/>
    <x v="0"/>
    <n v="5063537"/>
    <m/>
    <m/>
    <m/>
  </r>
  <r>
    <x v="1"/>
    <x v="8"/>
    <s v=" "/>
    <m/>
    <m/>
    <x v="1"/>
    <m/>
    <m/>
    <m/>
    <m/>
  </r>
  <r>
    <x v="1"/>
    <x v="8"/>
    <s v="group "/>
    <s v=" "/>
    <s v=" mean of mean fluo "/>
    <x v="2"/>
    <s v=" mean of total fluo "/>
    <s v=" SD total fluo "/>
    <s v=" n fluorescent "/>
    <s v=" n total"/>
  </r>
  <r>
    <x v="21"/>
    <x v="9"/>
    <s v="F:\images\2021CHG-ACH-Estrone 1\plaque 2/@09 Estrone 25 µg_LL dopé/ "/>
    <s v=" "/>
    <s v=" 88.9458 "/>
    <x v="23"/>
    <s v=" 4766374.33 "/>
    <s v=" 2030863.56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512\plaque 1/@01 Evian + 0.2% DMSO/A1_01.tif "/>
    <s v=" 1276.1638 "/>
    <s v=" 64.4407 "/>
    <x v="0"/>
    <n v="82237"/>
    <m/>
    <m/>
    <m/>
  </r>
  <r>
    <x v="0"/>
    <x v="0"/>
    <s v="F:\images\20210512\plaque 1/@01 Evian + 0.2% DMSO/A1_02.tif "/>
    <s v=" 1059.8648 "/>
    <s v=" 64.2041 "/>
    <x v="0"/>
    <n v="68048"/>
    <m/>
    <m/>
    <m/>
  </r>
  <r>
    <x v="0"/>
    <x v="0"/>
    <s v="F:\images\20210512\plaque 1/@01 Evian + 0.2% DMSO/A1_03.tif "/>
    <s v=" 2465.808 "/>
    <s v=" 66.3596 "/>
    <x v="0"/>
    <n v="163630"/>
    <m/>
    <m/>
    <m/>
  </r>
  <r>
    <x v="0"/>
    <x v="1"/>
    <s v="F:\images\20210512\plaque 1/@01 Evian + 0.2% DMSO/B1_01.tif "/>
    <s v=" 2098.0998 "/>
    <s v=" 63.9278 "/>
    <x v="0"/>
    <n v="134127"/>
    <m/>
    <m/>
    <m/>
  </r>
  <r>
    <x v="0"/>
    <x v="1"/>
    <s v="F:\images\20210512\plaque 1/@01 Evian + 0.2% DMSO/B1_02.tif "/>
    <s v=" 1254.5339 "/>
    <s v=" 63.6897 "/>
    <x v="0"/>
    <n v="79901"/>
    <m/>
    <m/>
    <m/>
  </r>
  <r>
    <x v="0"/>
    <x v="1"/>
    <s v="F:\images\20210512\plaque 1/@01 Evian + 0.2% DMSO/B1_03- exclu.tif"/>
    <m/>
    <m/>
    <x v="1"/>
    <m/>
    <m/>
    <m/>
    <m/>
  </r>
  <r>
    <x v="0"/>
    <x v="2"/>
    <s v="F:\images\20210512\plaque 1/@01 Evian + 0.2% DMSO/C1_01.tif "/>
    <s v=" 14513.6593 "/>
    <s v=" 84.6706 "/>
    <x v="0"/>
    <n v="1228881"/>
    <m/>
    <m/>
    <m/>
  </r>
  <r>
    <x v="0"/>
    <x v="2"/>
    <s v="F:\images\20210512\plaque 1/@01 Evian + 0.2% DMSO/C1_02.tif "/>
    <s v=" 1168.0143 "/>
    <s v=" 63.5 "/>
    <x v="0"/>
    <n v="74169"/>
    <m/>
    <m/>
    <m/>
  </r>
  <r>
    <x v="0"/>
    <x v="2"/>
    <s v="F:\images\20210512\plaque 1/@01 Evian + 0.2% DMSO/C1_03.tif "/>
    <s v=" 5818.4417 "/>
    <s v=" 67.4684 "/>
    <x v="0"/>
    <n v="392561"/>
    <m/>
    <m/>
    <m/>
  </r>
  <r>
    <x v="0"/>
    <x v="3"/>
    <s v="F:\images\20210512\plaque 1/@01 Evian + 0.2% DMSO/D1_01.tif "/>
    <s v=" 4542.2779 "/>
    <s v=" 68.8476 "/>
    <x v="0"/>
    <n v="312725"/>
    <m/>
    <m/>
    <m/>
  </r>
  <r>
    <x v="0"/>
    <x v="3"/>
    <s v="F:\images\20210512\plaque 1/@01 Evian + 0.2% DMSO/D1_02.tif "/>
    <s v=" 5126.285 "/>
    <s v=" 68.0844 "/>
    <x v="0"/>
    <n v="349020"/>
    <m/>
    <m/>
    <m/>
  </r>
  <r>
    <x v="0"/>
    <x v="3"/>
    <s v="F:\images\20210512\plaque 1/@01 Evian + 0.2% DMSO/D1_03.tif "/>
    <s v=" 9084.5557 "/>
    <s v=" 72.8357 "/>
    <x v="0"/>
    <n v="661680"/>
    <m/>
    <m/>
    <m/>
  </r>
  <r>
    <x v="0"/>
    <x v="4"/>
    <s v="F:\images\20210512\plaque 1/@01 Evian + 0.2% DMSO/E1_01.tif "/>
    <s v=" 2552.3276 "/>
    <s v=" 66.2966 "/>
    <x v="0"/>
    <n v="169211"/>
    <m/>
    <m/>
    <m/>
  </r>
  <r>
    <x v="0"/>
    <x v="4"/>
    <s v="F:\images\20210512\plaque 1/@01 Evian + 0.2% DMSO/E1_02.tif "/>
    <s v=" 994.9752 "/>
    <s v=" 63.6957 "/>
    <x v="0"/>
    <n v="63376"/>
    <m/>
    <m/>
    <m/>
  </r>
  <r>
    <x v="0"/>
    <x v="4"/>
    <s v="F:\images\20210512\plaque 1/@01 Evian + 0.2% DMSO/E1_03.tif "/>
    <s v=" 648.8968 "/>
    <s v=" 63.9333 "/>
    <x v="0"/>
    <n v="41486"/>
    <m/>
    <m/>
    <m/>
  </r>
  <r>
    <x v="0"/>
    <x v="5"/>
    <s v="F:\images\20210512\plaque 1/@01 Evian + 0.2% DMSO/F1_01.tif "/>
    <s v=" 2617.2173 "/>
    <s v=" 63.7934 "/>
    <x v="0"/>
    <n v="166961"/>
    <m/>
    <m/>
    <m/>
  </r>
  <r>
    <x v="0"/>
    <x v="5"/>
    <s v="F:\images\20210512\plaque 1/@01 Evian + 0.2% DMSO/F1_02.tif "/>
    <s v=" 2768.6265 "/>
    <s v=" 65.6094 "/>
    <x v="0"/>
    <n v="181648"/>
    <m/>
    <m/>
    <m/>
  </r>
  <r>
    <x v="0"/>
    <x v="5"/>
    <s v="F:\images\20210512\plaque 1/@01 Evian + 0.2% DMSO/F1_03.tif "/>
    <s v=" 908.4556 "/>
    <s v=" 64.0714 "/>
    <x v="0"/>
    <n v="58206"/>
    <m/>
    <m/>
    <m/>
  </r>
  <r>
    <x v="0"/>
    <x v="6"/>
    <s v="F:\images\20210512\plaque 1/@01 Evian + 0.2% DMSO/G1_01.tif "/>
    <s v=" 2790.2564 "/>
    <s v=" 65.2481 "/>
    <x v="0"/>
    <n v="182059"/>
    <m/>
    <m/>
    <m/>
  </r>
  <r>
    <x v="0"/>
    <x v="6"/>
    <s v="F:\images\20210512\plaque 1/@01 Evian + 0.2% DMSO/G1_02.tif "/>
    <s v=" 129.7794 "/>
    <s v=" 62.3333 "/>
    <x v="0"/>
    <n v="8090"/>
    <m/>
    <m/>
    <m/>
  </r>
  <r>
    <x v="0"/>
    <x v="6"/>
    <s v="F:\images\20210512\plaque 1/@01 Evian + 0.2% DMSO/G1_03.tif "/>
    <s v=" 1319.4236 "/>
    <s v=" 64.377 "/>
    <x v="0"/>
    <n v="84941"/>
    <m/>
    <m/>
    <m/>
  </r>
  <r>
    <x v="0"/>
    <x v="7"/>
    <s v="F:\images\20210512\plaque 1/@01 Evian + 0.2% DMSO/H1_01.tif "/>
    <s v=" 410.968 "/>
    <s v=" 63.8947 "/>
    <x v="0"/>
    <n v="26259"/>
    <m/>
    <m/>
    <m/>
  </r>
  <r>
    <x v="0"/>
    <x v="7"/>
    <s v="F:\images\20210512\plaque 1/@01 Evian + 0.2% DMSO/H1_02.tif "/>
    <s v=" 4131.3099 "/>
    <s v=" 64.2408 "/>
    <x v="0"/>
    <n v="265399"/>
    <m/>
    <m/>
    <m/>
  </r>
  <r>
    <x v="0"/>
    <x v="7"/>
    <s v="F:\images\20210512\plaque 1/@01 Evian + 0.2% DMSO/H1_03.tif "/>
    <s v=" 1557.3524 "/>
    <s v=" 63.1944 "/>
    <x v="0"/>
    <n v="98416"/>
    <m/>
    <m/>
    <m/>
  </r>
  <r>
    <x v="1"/>
    <x v="8"/>
    <s v=" "/>
    <m/>
    <m/>
    <x v="1"/>
    <m/>
    <m/>
    <m/>
    <m/>
  </r>
  <r>
    <x v="1"/>
    <x v="8"/>
    <s v="group "/>
    <s v=" "/>
    <s v=" mean of mean fluo "/>
    <x v="2"/>
    <s v=" mean of total fluo "/>
    <s v=" SD total fluo "/>
    <s v=" n fluorescent "/>
    <s v=" n total"/>
  </r>
  <r>
    <x v="0"/>
    <x v="9"/>
    <s v="F:\images\20210512\plaque 1/@01 Evian + 0.2% DMSO/ "/>
    <s v=" "/>
    <s v=" 65.8788 "/>
    <x v="3"/>
    <s v=" 204775.75 "/>
    <s v=" 264054.3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512\plaque 1/@02 EE2 33.8/A2_01.tif "/>
    <s v=" 2076.4699 "/>
    <s v=" 66.6354 "/>
    <x v="0"/>
    <n v="138366"/>
    <m/>
    <m/>
    <m/>
  </r>
  <r>
    <x v="2"/>
    <x v="0"/>
    <s v="F:\images\20210512\plaque 1/@02 EE2 33.8/A2_02.tif "/>
    <s v=" 3806.8615 "/>
    <s v=" 68.5057 "/>
    <x v="0"/>
    <n v="260792"/>
    <m/>
    <m/>
    <m/>
  </r>
  <r>
    <x v="2"/>
    <x v="0"/>
    <s v="F:\images\20210512\plaque 1/@02 EE2 33.8/A2_03.tif "/>
    <s v=" 5861.7014 "/>
    <s v=" 69.0517 "/>
    <x v="0"/>
    <n v="404760"/>
    <m/>
    <m/>
    <m/>
  </r>
  <r>
    <x v="2"/>
    <x v="1"/>
    <s v="F:\images\20210512\plaque 1/@02 EE2 33.8/B2_01.tif "/>
    <s v=" 2444.1781 "/>
    <s v=" 66.7522 "/>
    <x v="0"/>
    <n v="163154"/>
    <m/>
    <m/>
    <m/>
  </r>
  <r>
    <x v="2"/>
    <x v="1"/>
    <s v="F:\images\20210512\plaque 1/@02 EE2 33.8/B2_02.tif "/>
    <s v=" 3439.1532 "/>
    <s v=" 68.5975 "/>
    <x v="0"/>
    <n v="235917"/>
    <m/>
    <m/>
    <m/>
  </r>
  <r>
    <x v="2"/>
    <x v="1"/>
    <s v="F:\images\20210512\plaque 1/@02 EE2 33.8/B2_03.tif "/>
    <s v=" 237.9288 "/>
    <s v=" 63.3636 "/>
    <x v="0"/>
    <n v="15076"/>
    <m/>
    <m/>
    <m/>
  </r>
  <r>
    <x v="2"/>
    <x v="2"/>
    <s v="F:\images\20210512\plaque 1/@02 EE2 33.8/C2_01.tif "/>
    <s v=" 3936.6408 "/>
    <s v=" 64.7308 "/>
    <x v="0"/>
    <n v="254822"/>
    <m/>
    <m/>
    <m/>
  </r>
  <r>
    <x v="2"/>
    <x v="2"/>
    <s v="F:\images\20210512\plaque 1/@02 EE2 33.8/C2_02.tif "/>
    <s v=" 908.4556 "/>
    <s v=" 67.119 "/>
    <x v="0"/>
    <n v="60975"/>
    <m/>
    <m/>
    <m/>
  </r>
  <r>
    <x v="2"/>
    <x v="2"/>
    <s v="F:\images\20210512\plaque 1/@02 EE2 33.8/C2_03.tif "/>
    <s v=" 4499.0181 "/>
    <s v=" 66.3846 "/>
    <x v="0"/>
    <n v="298666"/>
    <m/>
    <m/>
    <m/>
  </r>
  <r>
    <x v="2"/>
    <x v="3"/>
    <s v="F:\images\20210512\plaque 1/@02 EE2 33.8/D2_01.tif "/>
    <s v=" 584.0072 "/>
    <s v=" 63.037 "/>
    <x v="0"/>
    <n v="36814"/>
    <m/>
    <m/>
    <m/>
  </r>
  <r>
    <x v="2"/>
    <x v="3"/>
    <s v="F:\images\20210512\plaque 1/@02 EE2 33.8/D2_02.tif "/>
    <s v=" 1578.9823 "/>
    <s v=" 65.3151 "/>
    <x v="0"/>
    <n v="103131"/>
    <m/>
    <m/>
    <m/>
  </r>
  <r>
    <x v="2"/>
    <x v="3"/>
    <s v="F:\images\20210512\plaque 1/@02 EE2 33.8/D2_03.tif "/>
    <s v=" 367.7082 "/>
    <s v=" 62.2941 "/>
    <x v="0"/>
    <n v="22906"/>
    <m/>
    <m/>
    <m/>
  </r>
  <r>
    <x v="2"/>
    <x v="4"/>
    <s v="F:\images\20210512\plaque 1/@02 EE2 33.8/E2_01.tif "/>
    <s v=" 3915.0109 "/>
    <s v=" 66.3149 "/>
    <x v="0"/>
    <n v="259624"/>
    <m/>
    <m/>
    <m/>
  </r>
  <r>
    <x v="2"/>
    <x v="4"/>
    <s v="F:\images\20210512\plaque 1/@02 EE2 33.8/E2_02.tif "/>
    <s v=" 2682.1069 "/>
    <s v=" 65.3952 "/>
    <x v="0"/>
    <n v="175397"/>
    <m/>
    <m/>
    <m/>
  </r>
  <r>
    <x v="2"/>
    <x v="4"/>
    <s v="F:\images\20210512\plaque 1/@02 EE2 33.8/E2_03.tif "/>
    <s v=" 994.9752 "/>
    <s v=" 64.0217 "/>
    <x v="0"/>
    <n v="63700"/>
    <m/>
    <m/>
    <m/>
  </r>
  <r>
    <x v="2"/>
    <x v="5"/>
    <s v="F:\images\20210512\plaque 1/@02 EE2 33.8/F2_01.tif "/>
    <s v=" 5645.4025 "/>
    <s v=" 72.1379 "/>
    <x v="0"/>
    <n v="407248"/>
    <m/>
    <m/>
    <m/>
  </r>
  <r>
    <x v="2"/>
    <x v="5"/>
    <s v="F:\images\20210512\plaque 1/@02 EE2 33.8/F2_02.tif "/>
    <s v=" 4974.8758 "/>
    <s v=" 68.9261 "/>
    <x v="0"/>
    <n v="342899"/>
    <m/>
    <m/>
    <m/>
  </r>
  <r>
    <x v="2"/>
    <x v="5"/>
    <s v="F:\images\20210512\plaque 1/@02 EE2 33.8/F2_03.tif "/>
    <s v=" 5429.1036 "/>
    <s v=" 70.4741 "/>
    <x v="0"/>
    <n v="382611"/>
    <m/>
    <m/>
    <m/>
  </r>
  <r>
    <x v="2"/>
    <x v="6"/>
    <s v="F:\images\20210512\plaque 1/@02 EE2 33.8/G2_01.tif "/>
    <s v=" 2119.7297 "/>
    <s v=" 64.5 "/>
    <x v="0"/>
    <n v="136723"/>
    <m/>
    <m/>
    <m/>
  </r>
  <r>
    <x v="2"/>
    <x v="6"/>
    <s v="F:\images\20210512\plaque 1/@02 EE2 33.8/G2_02.tif "/>
    <s v=" 3525.6728 "/>
    <s v=" 67.362 "/>
    <x v="0"/>
    <n v="237496"/>
    <m/>
    <m/>
    <m/>
  </r>
  <r>
    <x v="2"/>
    <x v="6"/>
    <s v="F:\images\20210512\plaque 1/@02 EE2 33.8/G2_03.tif "/>
    <s v=" 194.6691 "/>
    <n v="63"/>
    <x v="0"/>
    <n v="12264"/>
    <m/>
    <m/>
    <m/>
  </r>
  <r>
    <x v="2"/>
    <x v="7"/>
    <s v="F:\images\20210512\plaque 1/@02 EE2 33.8/H2_01.tif "/>
    <s v=" 13042.8265 "/>
    <s v=" 75.1559 "/>
    <x v="0"/>
    <n v="980245"/>
    <m/>
    <m/>
    <m/>
  </r>
  <r>
    <x v="2"/>
    <x v="7"/>
    <s v="F:\images\20210512\plaque 1/@02 EE2 33.8/H2_02.tif "/>
    <s v=" 9949.7515 "/>
    <s v=" 71.2043 "/>
    <x v="0"/>
    <n v="708466"/>
    <m/>
    <m/>
    <m/>
  </r>
  <r>
    <x v="2"/>
    <x v="7"/>
    <s v="F:\images\20210512\plaque 1/@02 EE2 33.8/H2_03.tif "/>
    <s v=" 12026.2214 "/>
    <s v=" 75.232 "/>
    <x v="0"/>
    <n v="904757"/>
    <m/>
    <m/>
    <m/>
  </r>
  <r>
    <x v="1"/>
    <x v="8"/>
    <s v=" "/>
    <m/>
    <m/>
    <x v="1"/>
    <m/>
    <m/>
    <m/>
    <m/>
  </r>
  <r>
    <x v="1"/>
    <x v="8"/>
    <s v="group "/>
    <s v=" "/>
    <s v=" mean of mean fluo "/>
    <x v="2"/>
    <s v=" mean of total fluo "/>
    <s v=" SD total fluo "/>
    <s v=" n fluorescent "/>
    <s v=" n total"/>
  </r>
  <r>
    <x v="2"/>
    <x v="9"/>
    <s v="F:\images\20210512\plaque 1/@02 EE2 33.8/ "/>
    <s v=" "/>
    <s v=" 67.313 "/>
    <x v="4"/>
    <s v=" 275283.708 "/>
    <s v=" 261583.8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512\plaque 1/@03 EE2 50.6/A3_01.tif "/>
    <s v=" 2941.6657 "/>
    <s v=" 64.3309 "/>
    <x v="0"/>
    <n v="189240"/>
    <m/>
    <m/>
    <m/>
  </r>
  <r>
    <x v="3"/>
    <x v="0"/>
    <s v="F:\images\20210512\plaque 1/@03 EE2 50.6/A3_02.tif "/>
    <s v=" 973.3453 "/>
    <s v=" 65.6889 "/>
    <x v="0"/>
    <n v="63938"/>
    <m/>
    <m/>
    <m/>
  </r>
  <r>
    <x v="3"/>
    <x v="0"/>
    <s v="F:\images\20210512\plaque 1/@03 EE2 50.6/A3_03.tif "/>
    <s v=" 2119.7297 "/>
    <s v=" 65.7551 "/>
    <x v="0"/>
    <n v="139383"/>
    <m/>
    <m/>
    <m/>
  </r>
  <r>
    <x v="3"/>
    <x v="1"/>
    <s v="F:\images\20210512\plaque 1/@03 EE2 50.6/B3_01.tif "/>
    <s v=" 1016.605 "/>
    <n v="64"/>
    <x v="0"/>
    <n v="65063"/>
    <m/>
    <m/>
    <m/>
  </r>
  <r>
    <x v="3"/>
    <x v="1"/>
    <s v="F:\images\20210512\plaque 1/@03 EE2 50.6/B3_02.tif "/>
    <s v=" 1146.3844 "/>
    <s v=" 64.0943 "/>
    <x v="0"/>
    <n v="73477"/>
    <m/>
    <m/>
    <m/>
  </r>
  <r>
    <x v="3"/>
    <x v="1"/>
    <s v="F:\images\20210512\plaque 1/@03 EE2 50.6/B3_03.tif "/>
    <s v=" 3482.413 "/>
    <s v=" 65.7702 "/>
    <x v="0"/>
    <n v="229039"/>
    <m/>
    <m/>
    <m/>
  </r>
  <r>
    <x v="3"/>
    <x v="2"/>
    <s v="F:\images\20210512\plaque 1/@03 EE2 50.6/C3_01.tif "/>
    <s v=" 4325.9789 "/>
    <s v=" 66.04 "/>
    <x v="0"/>
    <n v="285688"/>
    <m/>
    <m/>
    <m/>
  </r>
  <r>
    <x v="3"/>
    <x v="2"/>
    <s v="F:\images\20210512\plaque 1/@03 EE2 50.6/C3_02.tif "/>
    <s v=" 3741.9718 "/>
    <s v=" 66.104 "/>
    <x v="0"/>
    <n v="247359"/>
    <m/>
    <m/>
    <m/>
  </r>
  <r>
    <x v="3"/>
    <x v="2"/>
    <s v="F:\images\20210512\plaque 1/@03 EE2 50.6/C3_03.tif "/>
    <s v=" 7072.9755 "/>
    <s v=" 73.8991 "/>
    <x v="0"/>
    <n v="522686"/>
    <m/>
    <m/>
    <m/>
  </r>
  <r>
    <x v="3"/>
    <x v="3"/>
    <s v="F:\images\20210512\plaque 1/@03 EE2 50.6/D3_01.tif "/>
    <s v=" 2249.509 "/>
    <s v=" 66.1731 "/>
    <x v="0"/>
    <n v="148857"/>
    <m/>
    <m/>
    <m/>
  </r>
  <r>
    <x v="3"/>
    <x v="3"/>
    <s v="F:\images\20210512\plaque 1/@03 EE2 50.6/D3_02.tif "/>
    <s v=" 4628.7975 "/>
    <s v=" 64.3738 "/>
    <x v="0"/>
    <n v="297973"/>
    <m/>
    <m/>
    <m/>
  </r>
  <r>
    <x v="3"/>
    <x v="3"/>
    <s v="F:\images\20210512\plaque 1/@03 EE2 50.6/D3_03.tif "/>
    <s v=" 4931.616 "/>
    <s v=" 68.0833 "/>
    <x v="0"/>
    <n v="335761"/>
    <m/>
    <m/>
    <m/>
  </r>
  <r>
    <x v="3"/>
    <x v="4"/>
    <s v="F:\images\20210512\plaque 1/@03 EE2 50.6/E3_01.tif "/>
    <s v=" 2855.1461 "/>
    <s v=" 66.2955 "/>
    <x v="0"/>
    <n v="189283"/>
    <m/>
    <m/>
    <m/>
  </r>
  <r>
    <x v="3"/>
    <x v="4"/>
    <s v="F:\images\20210512\plaque 1/@03 EE2 50.6/E3_02.tif "/>
    <s v=" 216.2989 "/>
    <n v="63"/>
    <x v="0"/>
    <n v="13627"/>
    <m/>
    <m/>
    <m/>
  </r>
  <r>
    <x v="3"/>
    <x v="4"/>
    <s v="F:\images\20210512\plaque 1/@03 EE2 50.6/E3_03.tif "/>
    <s v=" 4088.0501 "/>
    <s v=" 66.8413 "/>
    <x v="0"/>
    <n v="273250"/>
    <m/>
    <m/>
    <m/>
  </r>
  <r>
    <x v="3"/>
    <x v="5"/>
    <s v="F:\images\20210512\plaque 1/@03 EE2 50.6/F3_01.tif "/>
    <s v=" 2400.9183 "/>
    <s v=" 65.9009 "/>
    <x v="0"/>
    <n v="158223"/>
    <m/>
    <m/>
    <m/>
  </r>
  <r>
    <x v="3"/>
    <x v="5"/>
    <s v="F:\images\20210512\plaque 1/@03 EE2 50.6/F3_02.tif "/>
    <s v=" 4174.5697 "/>
    <s v=" 66.1399 "/>
    <x v="0"/>
    <n v="276106"/>
    <m/>
    <m/>
    <m/>
  </r>
  <r>
    <x v="3"/>
    <x v="5"/>
    <s v="F:\images\20210512\plaque 1/@03 EE2 50.6/F3_03.tif "/>
    <s v=" 7700.2425 "/>
    <s v=" 68.8848 "/>
    <x v="0"/>
    <n v="530430"/>
    <m/>
    <m/>
    <m/>
  </r>
  <r>
    <x v="3"/>
    <x v="6"/>
    <s v="F:\images\20210512\plaque 1/@03 EE2 50.6/G3_01.tif "/>
    <s v=" 302.8185 "/>
    <s v=" 62.2857 "/>
    <x v="0"/>
    <n v="18861"/>
    <m/>
    <m/>
    <m/>
  </r>
  <r>
    <x v="3"/>
    <x v="6"/>
    <s v="F:\images\20210512\plaque 1/@03 EE2 50.6/G3_02.tif "/>
    <s v=" 4261.0892 "/>
    <s v=" 67.3756 "/>
    <x v="0"/>
    <n v="287094"/>
    <m/>
    <m/>
    <m/>
  </r>
  <r>
    <x v="3"/>
    <x v="6"/>
    <s v="F:\images\20210512\plaque 1/@03 EE2 50.6/G3_03.tif "/>
    <s v=" 1146.3844 "/>
    <s v=" 65.1132 "/>
    <x v="0"/>
    <n v="74645"/>
    <m/>
    <m/>
    <m/>
  </r>
  <r>
    <x v="3"/>
    <x v="7"/>
    <s v="F:\images\20210512\plaque 1/@03 EE2 50.6/H3_01.tif "/>
    <s v=" 11745.0328 "/>
    <s v=" 77.9761 "/>
    <x v="0"/>
    <n v="915831"/>
    <m/>
    <m/>
    <m/>
  </r>
  <r>
    <x v="3"/>
    <x v="7"/>
    <s v="F:\images\20210512\plaque 1/@03 EE2 50.6/H3_02.tif "/>
    <s v=" 11074.506 "/>
    <s v=" 77.1738 "/>
    <x v="0"/>
    <n v="854662"/>
    <m/>
    <m/>
    <m/>
  </r>
  <r>
    <x v="3"/>
    <x v="7"/>
    <s v="F:\images\20210512\plaque 1/@03 EE2 50.6/H3_03.tif "/>
    <s v=" 10620.2783 "/>
    <s v=" 76.5723 "/>
    <x v="0"/>
    <n v="813219"/>
    <m/>
    <m/>
    <m/>
  </r>
  <r>
    <x v="1"/>
    <x v="8"/>
    <s v=" "/>
    <m/>
    <m/>
    <x v="1"/>
    <m/>
    <m/>
    <m/>
    <m/>
  </r>
  <r>
    <x v="1"/>
    <x v="8"/>
    <s v="group "/>
    <s v=" "/>
    <s v=" mean of mean fluo "/>
    <x v="2"/>
    <s v=" mean of total fluo "/>
    <s v=" SD total fluo "/>
    <s v=" n fluorescent "/>
    <s v=" n total"/>
  </r>
  <r>
    <x v="3"/>
    <x v="9"/>
    <s v="F:\images\20210512\plaque 1/@03 EE2 50.6/ "/>
    <s v=" "/>
    <s v=" 67.4113 "/>
    <x v="5"/>
    <s v=" 291820.625 "/>
    <s v=" 257872.2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512\plaque 1/@04 EE2 76/A4_01.tif "/>
    <s v=" 3006.5554 "/>
    <s v=" 66.8273 "/>
    <x v="0"/>
    <n v="200920"/>
    <m/>
    <m/>
    <m/>
  </r>
  <r>
    <x v="4"/>
    <x v="0"/>
    <s v="F:\images\20210512\plaque 1/@04 EE2 76/A4_02.tif "/>
    <s v=" 2811.8863 "/>
    <s v=" 64.8538 "/>
    <x v="0"/>
    <n v="182362"/>
    <m/>
    <m/>
    <m/>
  </r>
  <r>
    <x v="4"/>
    <x v="0"/>
    <s v="F:\images\20210512\plaque 1/@04 EE2 76/A4_03.tif "/>
    <s v=" 1687.1318 "/>
    <s v=" 64.2436 "/>
    <x v="0"/>
    <n v="108387"/>
    <m/>
    <m/>
    <m/>
  </r>
  <r>
    <x v="4"/>
    <x v="1"/>
    <s v="F:\images\20210512\plaque 1/@04 EE2 76/B4_01- exclu.tif"/>
    <m/>
    <m/>
    <x v="1"/>
    <m/>
    <m/>
    <m/>
    <m/>
  </r>
  <r>
    <x v="4"/>
    <x v="1"/>
    <s v="F:\images\20210512\plaque 1/@04 EE2 76/B4_02.tif "/>
    <s v=" 5537.253 "/>
    <s v=" 70.8281 "/>
    <x v="0"/>
    <n v="392193"/>
    <m/>
    <m/>
    <m/>
  </r>
  <r>
    <x v="4"/>
    <x v="1"/>
    <s v="F:\images\20210512\plaque 1/@04 EE2 76/B4_03.tif "/>
    <s v=" 4628.7975 "/>
    <s v=" 65.1449 "/>
    <x v="0"/>
    <n v="301542"/>
    <m/>
    <m/>
    <m/>
  </r>
  <r>
    <x v="4"/>
    <x v="2"/>
    <s v="F:\images\20210512\plaque 1/@04 EE2 76/C4_01.tif "/>
    <s v=" 259.5587 "/>
    <s v=" 65.1667 "/>
    <x v="0"/>
    <n v="16915"/>
    <m/>
    <m/>
    <m/>
  </r>
  <r>
    <x v="4"/>
    <x v="2"/>
    <s v="F:\images\20210512\plaque 1/@04 EE2 76/C4_02.tif "/>
    <s v=" 562.3773 "/>
    <s v=" 63.5 "/>
    <x v="0"/>
    <n v="35711"/>
    <m/>
    <m/>
    <m/>
  </r>
  <r>
    <x v="4"/>
    <x v="2"/>
    <s v="F:\images\20210512\plaque 1/@04 EE2 76/C4_03.tif "/>
    <s v=" 757.0463 "/>
    <s v=" 64.9429 "/>
    <x v="0"/>
    <n v="49165"/>
    <m/>
    <m/>
    <m/>
  </r>
  <r>
    <x v="4"/>
    <x v="3"/>
    <s v="F:\images\20210512\plaque 1/@04 EE2 76/D4_01.tif "/>
    <s v=" 8392.3991 "/>
    <s v=" 64.9613 "/>
    <x v="0"/>
    <n v="545181"/>
    <m/>
    <m/>
    <m/>
  </r>
  <r>
    <x v="4"/>
    <x v="3"/>
    <s v="F:\images\20210512\plaque 1/@04 EE2 76/D4_02.tif "/>
    <s v=" 5840.0715 "/>
    <s v=" 63.9185 "/>
    <x v="0"/>
    <n v="373289"/>
    <m/>
    <m/>
    <m/>
  </r>
  <r>
    <x v="4"/>
    <x v="3"/>
    <s v="F:\images\20210512\plaque 1/@04 EE2 76/D4_03.tif "/>
    <s v=" 5299.3242 "/>
    <s v=" 63.8408 "/>
    <x v="0"/>
    <n v="338313"/>
    <m/>
    <m/>
    <m/>
  </r>
  <r>
    <x v="4"/>
    <x v="4"/>
    <s v="F:\images\20210512\plaque 1/@04 EE2 76/E4_01.tif "/>
    <s v=" 1795.2813 "/>
    <s v=" 63.9518 "/>
    <x v="0"/>
    <n v="114811"/>
    <m/>
    <m/>
    <m/>
  </r>
  <r>
    <x v="4"/>
    <x v="4"/>
    <s v="F:\images\20210512\plaque 1/@04 EE2 76/E4_02.tif "/>
    <s v=" 2833.5162 "/>
    <s v=" 64.7481 "/>
    <x v="0"/>
    <n v="183465"/>
    <m/>
    <m/>
    <m/>
  </r>
  <r>
    <x v="4"/>
    <x v="4"/>
    <s v="F:\images\20210512\plaque 1/@04 EE2 76/E4_03.tif "/>
    <s v=" 1514.0926 "/>
    <s v=" 63.5714 "/>
    <x v="0"/>
    <n v="96253"/>
    <m/>
    <m/>
    <m/>
  </r>
  <r>
    <x v="4"/>
    <x v="5"/>
    <s v="F:\images\20210512\plaque 1/@04 EE2 76/F4_01.tif "/>
    <s v=" 2790.2564 "/>
    <s v=" 64.6202 "/>
    <x v="0"/>
    <n v="180307"/>
    <m/>
    <m/>
    <m/>
  </r>
  <r>
    <x v="4"/>
    <x v="5"/>
    <s v="F:\images\20210512\plaque 1/@04 EE2 76/F4_02.tif "/>
    <s v=" 2098.0998 "/>
    <s v=" 65.6598 "/>
    <x v="0"/>
    <n v="137761"/>
    <m/>
    <m/>
    <m/>
  </r>
  <r>
    <x v="4"/>
    <x v="5"/>
    <s v="F:\images\20210512\plaque 1/@04 EE2 76/F4_03.tif "/>
    <s v=" 4066.4202 "/>
    <s v=" 65.1968 "/>
    <x v="0"/>
    <n v="265118"/>
    <m/>
    <m/>
    <m/>
  </r>
  <r>
    <x v="4"/>
    <x v="6"/>
    <s v="F:\images\20210512\plaque 1/@04 EE2 76/G4_01.tif "/>
    <s v=" 6186.1499 "/>
    <s v=" 64.8776 "/>
    <x v="0"/>
    <n v="401343"/>
    <m/>
    <m/>
    <m/>
  </r>
  <r>
    <x v="4"/>
    <x v="6"/>
    <s v="F:\images\20210512\plaque 1/@04 EE2 76/G4_02.tif "/>
    <s v=" 3179.5945 "/>
    <s v=" 63.2041 "/>
    <x v="0"/>
    <n v="200963"/>
    <m/>
    <m/>
    <m/>
  </r>
  <r>
    <x v="4"/>
    <x v="6"/>
    <s v="F:\images\20210512\plaque 1/@04 EE2 76/G4_03.tif "/>
    <s v=" 3958.2707 "/>
    <s v=" 64.0055 "/>
    <x v="0"/>
    <n v="253351"/>
    <m/>
    <m/>
    <m/>
  </r>
  <r>
    <x v="4"/>
    <x v="7"/>
    <s v="F:\images\20210512\plaque 1/@04 EE2 76/H4_01.tif "/>
    <s v=" 1449.2029 "/>
    <s v=" 64.4925 "/>
    <x v="0"/>
    <n v="93463"/>
    <m/>
    <m/>
    <m/>
  </r>
  <r>
    <x v="4"/>
    <x v="7"/>
    <s v="F:\images\20210512\plaque 1/@04 EE2 76/H4_02.tif "/>
    <s v=" 2400.9183 "/>
    <s v=" 64.027 "/>
    <x v="0"/>
    <n v="153724"/>
    <m/>
    <m/>
    <m/>
  </r>
  <r>
    <x v="4"/>
    <x v="7"/>
    <s v="F:\images\20210512\plaque 1/@04 EE2 76/H4_03.tif "/>
    <s v=" 865.1958 "/>
    <s v=" 63.425 "/>
    <x v="0"/>
    <n v="54875"/>
    <m/>
    <m/>
    <m/>
  </r>
  <r>
    <x v="1"/>
    <x v="8"/>
    <s v=" "/>
    <m/>
    <m/>
    <x v="1"/>
    <m/>
    <m/>
    <m/>
    <m/>
  </r>
  <r>
    <x v="1"/>
    <x v="8"/>
    <s v="group "/>
    <s v=" "/>
    <s v=" mean of mean fluo "/>
    <x v="2"/>
    <s v=" mean of total fluo "/>
    <s v=" SD total fluo "/>
    <s v=" n fluorescent "/>
    <s v=" n total"/>
  </r>
  <r>
    <x v="4"/>
    <x v="9"/>
    <s v="F:\images\20210512\plaque 1/@04 EE2 76/ "/>
    <s v=" "/>
    <s v=" 64.6739 "/>
    <x v="6"/>
    <n v="195984"/>
    <s v=" 138748.7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512\plaque 1/@05 EE2 114/A5_01.tif "/>
    <s v=" 10685.1679 "/>
    <s v=" 65.2409 "/>
    <x v="0"/>
    <n v="697110"/>
    <m/>
    <m/>
    <m/>
  </r>
  <r>
    <x v="5"/>
    <x v="0"/>
    <s v="F:\images\20210512\plaque 1/@05 EE2 114/A5_02.tif "/>
    <s v=" 14189.2109 "/>
    <s v=" 65.7363 "/>
    <x v="0"/>
    <n v="932746"/>
    <m/>
    <m/>
    <m/>
  </r>
  <r>
    <x v="5"/>
    <x v="0"/>
    <s v="F:\images\20210512\plaque 1/@05 EE2 114/A5_03.tif "/>
    <s v=" 8889.8867 "/>
    <s v=" 66.0097 "/>
    <x v="0"/>
    <n v="586819"/>
    <m/>
    <m/>
    <m/>
  </r>
  <r>
    <x v="5"/>
    <x v="1"/>
    <s v="F:\images\20210512\plaque 1/@05 EE2 114/B5_01.tif "/>
    <s v=" 9776.7124 "/>
    <s v=" 66.4204 "/>
    <x v="0"/>
    <n v="649373"/>
    <m/>
    <m/>
    <m/>
  </r>
  <r>
    <x v="5"/>
    <x v="1"/>
    <s v="F:\images\20210512\plaque 1/@05 EE2 114/B5_02.tif "/>
    <s v=" 9646.933 "/>
    <s v=" 66.1749 "/>
    <x v="0"/>
    <n v="638385"/>
    <m/>
    <m/>
    <m/>
  </r>
  <r>
    <x v="5"/>
    <x v="1"/>
    <s v="F:\images\20210512\plaque 1/@05 EE2 114/B5_03.tif "/>
    <s v=" 11485.474 "/>
    <s v=" 65.565 "/>
    <x v="0"/>
    <n v="753045"/>
    <m/>
    <m/>
    <m/>
  </r>
  <r>
    <x v="5"/>
    <x v="2"/>
    <s v="F:\images\20210512\plaque 1/@05 EE2 114/C5_01.tif "/>
    <s v=" 4066.4202 "/>
    <s v=" 66.234 "/>
    <x v="0"/>
    <n v="269335"/>
    <m/>
    <m/>
    <m/>
  </r>
  <r>
    <x v="5"/>
    <x v="2"/>
    <s v="F:\images\20210512\plaque 1/@05 EE2 114/C5_02.tif "/>
    <s v=" 4001.5305 "/>
    <s v=" 64.4216 "/>
    <x v="0"/>
    <n v="257785"/>
    <m/>
    <m/>
    <m/>
  </r>
  <r>
    <x v="5"/>
    <x v="2"/>
    <s v="F:\images\20210512\plaque 1/@05 EE2 114/C5_03.tif "/>
    <s v=" 4585.5377 "/>
    <s v=" 65.8443 "/>
    <x v="0"/>
    <n v="301932"/>
    <m/>
    <m/>
    <m/>
  </r>
  <r>
    <x v="5"/>
    <x v="3"/>
    <s v="F:\images\20210512\plaque 1/@05 EE2 114/D5_01.tif "/>
    <s v=" 11723.4029 "/>
    <s v=" 69.2066 "/>
    <x v="0"/>
    <n v="811337"/>
    <m/>
    <m/>
    <m/>
  </r>
  <r>
    <x v="5"/>
    <x v="3"/>
    <s v="F:\images\20210512\plaque 1/@05 EE2 114/D5_02.tif "/>
    <s v=" 14556.9191 "/>
    <s v=" 71.1813 "/>
    <x v="0"/>
    <n v="1036180"/>
    <m/>
    <m/>
    <m/>
  </r>
  <r>
    <x v="5"/>
    <x v="3"/>
    <s v="F:\images\20210512\plaque 1/@05 EE2 114/D5_03.tif "/>
    <s v=" 21478.4854 "/>
    <s v=" 72.71 "/>
    <x v="0"/>
    <n v="1561700"/>
    <m/>
    <m/>
    <m/>
  </r>
  <r>
    <x v="5"/>
    <x v="4"/>
    <s v="F:\images\20210512\plaque 1/@05 EE2 114/E5_01.tif "/>
    <s v=" 20202.3216 "/>
    <s v=" 66.2527 "/>
    <x v="0"/>
    <n v="1338458"/>
    <m/>
    <m/>
    <m/>
  </r>
  <r>
    <x v="5"/>
    <x v="4"/>
    <s v="F:\images\20210512\plaque 1/@05 EE2 114/E5_02.tif "/>
    <s v=" 17239.026 "/>
    <s v=" 65.2334 "/>
    <x v="0"/>
    <n v="1124560"/>
    <m/>
    <m/>
    <m/>
  </r>
  <r>
    <x v="5"/>
    <x v="4"/>
    <s v="F:\images\20210512\plaque 1/@05 EE2 114/E5_03.tif "/>
    <s v=" 18947.7877 "/>
    <s v=" 65.0422 "/>
    <x v="0"/>
    <n v="1232407"/>
    <m/>
    <m/>
    <m/>
  </r>
  <r>
    <x v="5"/>
    <x v="5"/>
    <s v="F:\images\20210512\plaque 1/@05 EE2 114/F5_01- exclu.tif"/>
    <m/>
    <m/>
    <x v="1"/>
    <m/>
    <m/>
    <m/>
    <m/>
  </r>
  <r>
    <x v="5"/>
    <x v="5"/>
    <s v="F:\images\20210512\plaque 1/@05 EE2 114/F5_02- exclu.tif"/>
    <m/>
    <m/>
    <x v="1"/>
    <m/>
    <m/>
    <m/>
    <m/>
  </r>
  <r>
    <x v="5"/>
    <x v="5"/>
    <s v="F:\images\20210512\plaque 1/@05 EE2 114/F5_03.tif "/>
    <s v=" 7072.9755 "/>
    <s v=" 67.7401 "/>
    <x v="0"/>
    <n v="479124"/>
    <m/>
    <m/>
    <m/>
  </r>
  <r>
    <x v="5"/>
    <x v="6"/>
    <s v="F:\images\20210512\plaque 1/@05 EE2 114/G5_01.tif "/>
    <s v=" 17844.6631 "/>
    <s v=" 64.6279 "/>
    <x v="0"/>
    <n v="1153263"/>
    <m/>
    <m/>
    <m/>
  </r>
  <r>
    <x v="5"/>
    <x v="6"/>
    <s v="F:\images\20210512\plaque 1/@05 EE2 114/G5_02.tif "/>
    <s v=" 18039.3321 "/>
    <s v=" 65.5456 "/>
    <x v="0"/>
    <n v="1182398"/>
    <m/>
    <m/>
    <m/>
  </r>
  <r>
    <x v="5"/>
    <x v="6"/>
    <s v="F:\images\20210512\plaque 1/@05 EE2 114/G5_03.tif "/>
    <s v=" 18385.4104 "/>
    <s v=" 65.4106 "/>
    <x v="0"/>
    <n v="1202601"/>
    <m/>
    <m/>
    <m/>
  </r>
  <r>
    <x v="5"/>
    <x v="7"/>
    <s v="F:\images\20210512\plaque 1/@05 EE2 114/H5_01.tif "/>
    <s v=" 13042.8265 "/>
    <s v=" 66.2869 "/>
    <x v="0"/>
    <n v="864569"/>
    <m/>
    <m/>
    <m/>
  </r>
  <r>
    <x v="5"/>
    <x v="7"/>
    <s v="F:\images\20210512\plaque 1/@05 EE2 114/H5_02.tif "/>
    <s v=" 13864.7625 "/>
    <s v=" 66.131 "/>
    <x v="0"/>
    <n v="916891"/>
    <m/>
    <m/>
    <m/>
  </r>
  <r>
    <x v="5"/>
    <x v="7"/>
    <s v="F:\images\20210512\plaque 1/@05 EE2 114/H5_03.tif "/>
    <s v=" 11052.8762 "/>
    <s v=" 65.6967 "/>
    <x v="0"/>
    <n v="726137"/>
    <m/>
    <m/>
    <m/>
  </r>
  <r>
    <x v="1"/>
    <x v="8"/>
    <s v=" "/>
    <m/>
    <m/>
    <x v="1"/>
    <m/>
    <m/>
    <m/>
    <m/>
  </r>
  <r>
    <x v="1"/>
    <x v="8"/>
    <s v="group "/>
    <s v=" "/>
    <s v=" mean of mean fluo "/>
    <x v="2"/>
    <s v=" mean of total fluo "/>
    <s v=" SD total fluo "/>
    <s v=" n fluorescent "/>
    <s v=" n total"/>
  </r>
  <r>
    <x v="5"/>
    <x v="9"/>
    <s v="F:\images\20210512\plaque 1/@05 EE2 114/ "/>
    <s v=" "/>
    <s v=" 66.2852 "/>
    <x v="7"/>
    <s v=" 780984.375 "/>
    <s v=" 414618.00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512\plaque 1/@06 EE2 170.9/A6_01.tif "/>
    <s v=" 52712.0532 "/>
    <s v=" 75.5375 "/>
    <x v="0"/>
    <n v="3981739"/>
    <m/>
    <m/>
    <m/>
  </r>
  <r>
    <x v="6"/>
    <x v="0"/>
    <s v="F:\images\20210512\plaque 1/@06 EE2 170.9/A6_02.tif "/>
    <s v=" 45336.2591 "/>
    <s v=" 70.0052 "/>
    <x v="0"/>
    <n v="3173776"/>
    <m/>
    <m/>
    <m/>
  </r>
  <r>
    <x v="6"/>
    <x v="0"/>
    <s v="F:\images\20210512\plaque 1/@06 EE2 170.9/A6_03.tif "/>
    <s v=" 55502.3096 "/>
    <s v=" 71.2564 "/>
    <x v="0"/>
    <n v="3954896"/>
    <m/>
    <m/>
    <m/>
  </r>
  <r>
    <x v="6"/>
    <x v="1"/>
    <s v="F:\images\20210512\plaque 1/@06 EE2 170.9/B6_01.tif "/>
    <s v=" 8132.8404 "/>
    <s v=" 64.4814 "/>
    <x v="0"/>
    <n v="524417"/>
    <m/>
    <m/>
    <m/>
  </r>
  <r>
    <x v="6"/>
    <x v="1"/>
    <s v="F:\images\20210512\plaque 1/@06 EE2 170.9/B6_02.tif "/>
    <s v=" 12350.6698 "/>
    <s v=" 65.2032 "/>
    <x v="0"/>
    <n v="805303"/>
    <m/>
    <m/>
    <m/>
  </r>
  <r>
    <x v="6"/>
    <x v="1"/>
    <s v="F:\images\20210512\plaque 1/@06 EE2 170.9/B6_03.tif "/>
    <s v=" 12134.3709 "/>
    <s v=" 66.5597 "/>
    <x v="0"/>
    <n v="807660"/>
    <m/>
    <m/>
    <m/>
  </r>
  <r>
    <x v="6"/>
    <x v="2"/>
    <s v="F:\images\20210512\plaque 1/@06 EE2 170.9/C6_01.tif "/>
    <s v=" 32488.1017 "/>
    <s v=" 69.7057 "/>
    <x v="0"/>
    <n v="2264607"/>
    <m/>
    <m/>
    <m/>
  </r>
  <r>
    <x v="6"/>
    <x v="2"/>
    <s v="F:\images\20210512\plaque 1/@06 EE2 170.9/C6_02.tif "/>
    <s v=" 23706.3645 "/>
    <s v=" 68.0356 "/>
    <x v="0"/>
    <n v="1612876"/>
    <m/>
    <m/>
    <m/>
  </r>
  <r>
    <x v="6"/>
    <x v="2"/>
    <s v="F:\images\20210512\plaque 1/@06 EE2 170.9/C6_03.tif "/>
    <s v=" 34975.5396 "/>
    <s v=" 69.5015 "/>
    <x v="0"/>
    <n v="2430854"/>
    <m/>
    <m/>
    <m/>
  </r>
  <r>
    <x v="6"/>
    <x v="3"/>
    <s v="F:\images\20210512\plaque 1/@06 EE2 170.9/D6_01.tif "/>
    <s v=" 33569.5965 "/>
    <s v=" 68.5825 "/>
    <x v="0"/>
    <n v="2302286"/>
    <m/>
    <m/>
    <m/>
  </r>
  <r>
    <x v="6"/>
    <x v="3"/>
    <s v="F:\images\20210512\plaque 1/@06 EE2 170.9/D6_02.tif "/>
    <s v=" 44730.6221 "/>
    <s v=" 69.4415 "/>
    <x v="0"/>
    <n v="3106161"/>
    <m/>
    <m/>
    <m/>
  </r>
  <r>
    <x v="6"/>
    <x v="3"/>
    <s v="F:\images\20210512\plaque 1/@06 EE2 170.9/D6_03.tif "/>
    <s v=" 39496.1876 "/>
    <s v=" 70.2453 "/>
    <x v="0"/>
    <n v="2774423"/>
    <m/>
    <m/>
    <m/>
  </r>
  <r>
    <x v="6"/>
    <x v="4"/>
    <s v="F:\images\20210512\plaque 1/@06 EE2 170.9/E6_01.tif "/>
    <s v=" 44838.7716 "/>
    <s v=" 70.1235 "/>
    <x v="0"/>
    <n v="3144251"/>
    <m/>
    <m/>
    <m/>
  </r>
  <r>
    <x v="6"/>
    <x v="4"/>
    <s v="F:\images\20210512\plaque 1/@06 EE2 170.9/E6_02.tif "/>
    <s v=" 43670.7573 "/>
    <s v=" 69.8752 "/>
    <x v="0"/>
    <n v="3051502"/>
    <m/>
    <m/>
    <m/>
  </r>
  <r>
    <x v="6"/>
    <x v="4"/>
    <s v="F:\images\20210512\plaque 1/@06 EE2 170.9/E6_03.tif "/>
    <s v=" 41248.2091 "/>
    <s v=" 69.2722 "/>
    <x v="0"/>
    <n v="2857352"/>
    <m/>
    <m/>
    <m/>
  </r>
  <r>
    <x v="6"/>
    <x v="5"/>
    <s v="F:\images\20210512\plaque 1/@06 EE2 170.9/F6_01.tif "/>
    <s v=" 34240.1232 "/>
    <s v=" 68.4315 "/>
    <x v="0"/>
    <n v="2343102"/>
    <m/>
    <m/>
    <m/>
  </r>
  <r>
    <x v="6"/>
    <x v="5"/>
    <s v="F:\images\20210512\plaque 1/@06 EE2 170.9/F6_02.tif "/>
    <s v=" 36943.86 "/>
    <s v=" 69.4251 "/>
    <x v="0"/>
    <n v="2564830"/>
    <m/>
    <m/>
    <m/>
  </r>
  <r>
    <x v="6"/>
    <x v="5"/>
    <s v="F:\images\20210512\plaque 1/@06 EE2 170.9/F6_03.tif "/>
    <s v=" 36684.3013 "/>
    <s v=" 70.0991 "/>
    <x v="0"/>
    <n v="2571535"/>
    <m/>
    <m/>
    <m/>
  </r>
  <r>
    <x v="6"/>
    <x v="6"/>
    <s v="F:\images\20210512\plaque 1/@06 EE2 170.9/G6_01.tif "/>
    <s v=" 22408.5708 "/>
    <s v=" 66.3658 "/>
    <x v="0"/>
    <n v="1487163"/>
    <m/>
    <m/>
    <m/>
  </r>
  <r>
    <x v="6"/>
    <x v="6"/>
    <s v="F:\images\20210512\plaque 1/@06 EE2 170.9/G6_02.tif "/>
    <s v=" 26799.4394 "/>
    <s v=" 66.7127 "/>
    <x v="0"/>
    <n v="1787862"/>
    <m/>
    <m/>
    <m/>
  </r>
  <r>
    <x v="6"/>
    <x v="6"/>
    <s v="F:\images\20210512\plaque 1/@06 EE2 170.9/G6_03.tif "/>
    <s v=" 27037.3683 "/>
    <s v=" 67.0544 "/>
    <x v="0"/>
    <n v="1812975"/>
    <m/>
    <m/>
    <m/>
  </r>
  <r>
    <x v="6"/>
    <x v="7"/>
    <s v="F:\images\20210512\plaque 1/@06 EE2 170.9/H6_01.tif "/>
    <s v=" 43367.9387 "/>
    <s v=" 68.3975 "/>
    <x v="0"/>
    <n v="2966259"/>
    <m/>
    <m/>
    <m/>
  </r>
  <r>
    <x v="6"/>
    <x v="7"/>
    <s v="F:\images\20210512\plaque 1/@06 EE2 170.9/H6_02.tif "/>
    <s v=" 35126.9489 "/>
    <s v=" 67.4797 "/>
    <x v="0"/>
    <n v="2370355"/>
    <m/>
    <m/>
    <m/>
  </r>
  <r>
    <x v="6"/>
    <x v="7"/>
    <s v="F:\images\20210512\plaque 1/@06 EE2 170.9/H6_03.tif "/>
    <s v=" 32488.1017 "/>
    <s v=" 68.743 "/>
    <x v="0"/>
    <n v="2233330"/>
    <m/>
    <m/>
    <m/>
  </r>
  <r>
    <x v="1"/>
    <x v="8"/>
    <s v=" "/>
    <m/>
    <m/>
    <x v="1"/>
    <m/>
    <m/>
    <m/>
    <m/>
  </r>
  <r>
    <x v="1"/>
    <x v="8"/>
    <s v="group "/>
    <s v=" "/>
    <s v=" mean of mean fluo "/>
    <x v="2"/>
    <s v=" mean of total fluo "/>
    <s v=" SD total fluo "/>
    <s v=" n fluorescent "/>
    <s v=" n total"/>
  </r>
  <r>
    <x v="6"/>
    <x v="9"/>
    <s v="F:\images\20210512\plaque 1/@06 EE2 170.9/ "/>
    <s v=" "/>
    <s v=" 68.7723 "/>
    <x v="8"/>
    <s v=" 2372063.08 "/>
    <s v=" 897642.3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512\plaque 1/@07 EE2 488/A7_01.tif "/>
    <s v=" 50462.5442 "/>
    <s v=" 93.003 "/>
    <x v="0"/>
    <n v="4693168"/>
    <m/>
    <m/>
    <m/>
  </r>
  <r>
    <x v="7"/>
    <x v="0"/>
    <s v="F:\images\20210512\plaque 1/@07 EE2 488/A7_02.tif "/>
    <s v=" 49965.0566 "/>
    <s v=" 91.4113 "/>
    <x v="0"/>
    <n v="4567369"/>
    <m/>
    <m/>
    <m/>
  </r>
  <r>
    <x v="7"/>
    <x v="0"/>
    <s v="F:\images\20210512\plaque 1/@07 EE2 488/A7_03.tif "/>
    <s v=" 48602.3732 "/>
    <s v=" 90.4259 "/>
    <x v="0"/>
    <n v="4394913"/>
    <m/>
    <m/>
    <m/>
  </r>
  <r>
    <x v="7"/>
    <x v="1"/>
    <s v="F:\images\20210512\plaque 1/@07 EE2 488/B7_01.tif "/>
    <s v=" 71335.3925 "/>
    <s v=" 90.2159 "/>
    <x v="0"/>
    <n v="6435586"/>
    <m/>
    <m/>
    <m/>
  </r>
  <r>
    <x v="7"/>
    <x v="1"/>
    <s v="F:\images\20210512\plaque 1/@07 EE2 488/B7_02.tif "/>
    <s v=" 63894.7087 "/>
    <s v=" 87.8913 "/>
    <x v="0"/>
    <n v="5615791"/>
    <m/>
    <m/>
    <m/>
  </r>
  <r>
    <x v="7"/>
    <x v="1"/>
    <s v="F:\images\20210512\plaque 1/@07 EE2 488/B7_03.tif "/>
    <s v=" 69129.1432 "/>
    <s v=" 85.5304 "/>
    <x v="0"/>
    <n v="5912640"/>
    <m/>
    <m/>
    <m/>
  </r>
  <r>
    <x v="7"/>
    <x v="2"/>
    <s v="F:\images\20210512\plaque 1/@07 EE2 488/C7_01.tif "/>
    <s v=" 69194.0329 "/>
    <s v=" 97.8209 "/>
    <x v="0"/>
    <n v="6768621"/>
    <m/>
    <m/>
    <m/>
  </r>
  <r>
    <x v="7"/>
    <x v="2"/>
    <s v="F:\images\20210512\plaque 1/@07 EE2 488/C7_02.tif "/>
    <s v=" 69648.2607 "/>
    <s v=" 97.736 "/>
    <x v="0"/>
    <n v="6807144"/>
    <m/>
    <m/>
    <m/>
  </r>
  <r>
    <x v="7"/>
    <x v="2"/>
    <s v="F:\images\20210512\plaque 1/@07 EE2 488/C7_03.tif "/>
    <s v=" 68501.8763 "/>
    <s v=" 97.2371 "/>
    <x v="0"/>
    <n v="6660926"/>
    <m/>
    <m/>
    <m/>
  </r>
  <r>
    <x v="7"/>
    <x v="3"/>
    <s v="F:\images\20210512\plaque 1/@07 EE2 488/D7_01.tif "/>
    <s v=" 53707.0284 "/>
    <s v=" 84.0624 "/>
    <x v="0"/>
    <n v="4514743"/>
    <m/>
    <m/>
    <m/>
  </r>
  <r>
    <x v="7"/>
    <x v="3"/>
    <s v="F:\images\20210512\plaque 1/@07 EE2 488/D7_02.tif "/>
    <s v=" 54961.5623 "/>
    <s v=" 83.8229 "/>
    <x v="0"/>
    <n v="4607038"/>
    <m/>
    <m/>
    <m/>
  </r>
  <r>
    <x v="7"/>
    <x v="3"/>
    <s v="F:\images\20210512\plaque 1/@07 EE2 488/D7_03.tif "/>
    <s v=" 59568.7298 "/>
    <s v=" 84.0741 "/>
    <x v="0"/>
    <n v="5008186"/>
    <m/>
    <m/>
    <m/>
  </r>
  <r>
    <x v="7"/>
    <x v="4"/>
    <s v="F:\images\20210512\plaque 1/@07 EE2 488/E7_01.tif "/>
    <s v=" 64651.755 "/>
    <s v=" 78.4935 "/>
    <x v="0"/>
    <n v="5074741"/>
    <m/>
    <m/>
    <m/>
  </r>
  <r>
    <x v="7"/>
    <x v="4"/>
    <s v="F:\images\20210512\plaque 1/@07 EE2 488/E7_02.tif "/>
    <s v=" 65019.4633 "/>
    <s v=" 78.5739 "/>
    <x v="0"/>
    <n v="5108830"/>
    <m/>
    <m/>
    <m/>
  </r>
  <r>
    <x v="7"/>
    <x v="4"/>
    <s v="F:\images\20210512\plaque 1/@07 EE2 488/E7_03.tif "/>
    <s v=" 67463.6413 "/>
    <s v=" 78.8144 "/>
    <x v="0"/>
    <n v="5317104"/>
    <m/>
    <m/>
    <m/>
  </r>
  <r>
    <x v="7"/>
    <x v="5"/>
    <s v="F:\images\20210512\plaque 1/@07 EE2 488/F7_01.tif "/>
    <s v=" 67009.4136 "/>
    <s v=" 87.491 "/>
    <x v="0"/>
    <n v="5862718"/>
    <m/>
    <m/>
    <m/>
  </r>
  <r>
    <x v="7"/>
    <x v="5"/>
    <s v="F:\images\20210512\plaque 1/@07 EE2 488/F7_02.tif "/>
    <s v=" 73584.9015 "/>
    <s v=" 87.5397 "/>
    <x v="0"/>
    <n v="6441599"/>
    <m/>
    <m/>
    <m/>
  </r>
  <r>
    <x v="7"/>
    <x v="5"/>
    <s v="F:\images\20210512\plaque 1/@07 EE2 488/F7_03.tif "/>
    <s v=" 65192.5024 "/>
    <s v=" 88.2717 "/>
    <x v="0"/>
    <n v="5754655"/>
    <m/>
    <m/>
    <m/>
  </r>
  <r>
    <x v="7"/>
    <x v="6"/>
    <s v="F:\images\20210512\plaque 1/@07 EE2 488/G7_01.tif "/>
    <s v=" 47023.3909 "/>
    <s v=" 80.3316 "/>
    <x v="0"/>
    <n v="3777466"/>
    <m/>
    <m/>
    <m/>
  </r>
  <r>
    <x v="7"/>
    <x v="6"/>
    <s v="F:\images\20210512\plaque 1/@07 EE2 488/G7_02.tif "/>
    <s v=" 45855.3766 "/>
    <s v=" 78.3807 "/>
    <x v="0"/>
    <n v="3594175"/>
    <m/>
    <m/>
    <m/>
  </r>
  <r>
    <x v="7"/>
    <x v="6"/>
    <s v="F:\images\20210512\plaque 1/@07 EE2 488/G7_03.tif "/>
    <s v=" 47304.5796 "/>
    <s v=" 80.7727 "/>
    <x v="0"/>
    <n v="3820921"/>
    <m/>
    <m/>
    <m/>
  </r>
  <r>
    <x v="7"/>
    <x v="7"/>
    <s v="F:\images\20210512\plaque 1/@07 EE2 488/H7_01.tif "/>
    <s v=" 73866.0902 "/>
    <s v=" 94.9092 "/>
    <x v="0"/>
    <n v="7010573"/>
    <m/>
    <m/>
    <m/>
  </r>
  <r>
    <x v="7"/>
    <x v="7"/>
    <s v="F:\images\20210512\plaque 1/@07 EE2 488/H7_02.tif "/>
    <s v=" 76223.7487 "/>
    <s v=" 95.5911 "/>
    <x v="0"/>
    <n v="7286311"/>
    <m/>
    <m/>
    <m/>
  </r>
  <r>
    <x v="7"/>
    <x v="7"/>
    <s v="F:\images\20210512\plaque 1/@07 EE2 488/H7_03.tif "/>
    <s v=" 68199.0578 "/>
    <s v=" 96.9632 "/>
    <x v="0"/>
    <n v="6612800"/>
    <m/>
    <m/>
    <m/>
  </r>
  <r>
    <x v="1"/>
    <x v="8"/>
    <s v=" "/>
    <m/>
    <m/>
    <x v="1"/>
    <m/>
    <m/>
    <m/>
    <m/>
  </r>
  <r>
    <x v="1"/>
    <x v="8"/>
    <s v="group "/>
    <s v=" "/>
    <s v=" mean of mean fluo "/>
    <x v="2"/>
    <s v=" mean of total fluo "/>
    <s v=" SD total fluo "/>
    <s v=" n fluorescent "/>
    <s v=" n total"/>
  </r>
  <r>
    <x v="7"/>
    <x v="9"/>
    <s v="F:\images\20210512\plaque 1/@07 EE2 488/ "/>
    <s v=" "/>
    <s v=" 87.8902 "/>
    <x v="9"/>
    <s v=" 5485334.08 "/>
    <s v=" 1104370.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512\plaque 1/@08 Estrone 0.04 µg_L/A8_01.tif "/>
    <s v=" 4217.8295 "/>
    <s v=" 68.6821 "/>
    <x v="0"/>
    <n v="289689"/>
    <m/>
    <m/>
    <m/>
  </r>
  <r>
    <x v="8"/>
    <x v="0"/>
    <s v="F:\images\20210512\plaque 1/@08 Estrone 0.04 µg_L/A8_02.tif "/>
    <s v=" 4607.1676 "/>
    <s v=" 68.0845 "/>
    <x v="0"/>
    <n v="313677"/>
    <m/>
    <m/>
    <m/>
  </r>
  <r>
    <x v="8"/>
    <x v="0"/>
    <s v="F:\images\20210512\plaque 1/@08 Estrone 0.04 µg_L/A8_03.tif "/>
    <s v=" 2833.5162 "/>
    <s v=" 64.855 "/>
    <x v="0"/>
    <n v="183768"/>
    <m/>
    <m/>
    <m/>
  </r>
  <r>
    <x v="8"/>
    <x v="1"/>
    <s v="F:\images\20210512\plaque 1/@08 Estrone 0.04 µg_L/B8_01.tif "/>
    <s v=" 6142.8901 "/>
    <s v=" 72.1338 "/>
    <x v="0"/>
    <n v="443110"/>
    <m/>
    <m/>
    <m/>
  </r>
  <r>
    <x v="8"/>
    <x v="1"/>
    <s v="F:\images\20210512\plaque 1/@08 Estrone 0.04 µg_L/B8_02.tif "/>
    <s v=" 3720.3419 "/>
    <s v=" 67.8547 "/>
    <x v="0"/>
    <n v="252443"/>
    <m/>
    <m/>
    <m/>
  </r>
  <r>
    <x v="8"/>
    <x v="1"/>
    <s v="F:\images\20210512\plaque 1/@08 Estrone 0.04 µg_L/B8_03.tif "/>
    <s v=" 3958.2707 "/>
    <s v=" 65.3333 "/>
    <x v="0"/>
    <n v="258607"/>
    <m/>
    <m/>
    <m/>
  </r>
  <r>
    <x v="8"/>
    <x v="2"/>
    <s v="F:\images\20210512\plaque 1/@08 Estrone 0.04 µg_L/C8_01.tif "/>
    <s v=" 800.3061 "/>
    <s v=" 66.027 "/>
    <x v="0"/>
    <n v="52842"/>
    <m/>
    <m/>
    <m/>
  </r>
  <r>
    <x v="8"/>
    <x v="2"/>
    <s v="F:\images\20210512\plaque 1/@08 Estrone 0.04 µg_L/C8_02.tif "/>
    <s v=" 670.5267 "/>
    <s v=" 65.0323 "/>
    <x v="0"/>
    <n v="43606"/>
    <m/>
    <m/>
    <m/>
  </r>
  <r>
    <x v="8"/>
    <x v="2"/>
    <s v="F:\images\20210512\plaque 1/@08 Estrone 0.04 µg_L/C8_03.tif "/>
    <s v=" 3850.1212 "/>
    <s v=" 67.4045 "/>
    <x v="0"/>
    <n v="259515"/>
    <m/>
    <m/>
    <m/>
  </r>
  <r>
    <x v="8"/>
    <x v="3"/>
    <s v="F:\images\20210512\plaque 1/@08 Estrone 0.04 µg_L/D8_01.tif "/>
    <s v=" 3136.3347 "/>
    <s v=" 68.0345 "/>
    <x v="0"/>
    <n v="213379"/>
    <m/>
    <m/>
    <m/>
  </r>
  <r>
    <x v="8"/>
    <x v="3"/>
    <s v="F:\images\20210512\plaque 1/@08 Estrone 0.04 µg_L/D8_02.tif "/>
    <s v=" 951.7154 "/>
    <s v=" 64.4545 "/>
    <x v="0"/>
    <n v="61342"/>
    <m/>
    <m/>
    <m/>
  </r>
  <r>
    <x v="8"/>
    <x v="3"/>
    <s v="F:\images\20210512\plaque 1/@08 Estrone 0.04 µg_L/D8_03.tif "/>
    <s v=" 432.5979 "/>
    <s v=" 63.3 "/>
    <x v="0"/>
    <n v="27383"/>
    <m/>
    <m/>
    <m/>
  </r>
  <r>
    <x v="8"/>
    <x v="4"/>
    <s v="F:\images\20210512\plaque 1/@08 Estrone 0.04 µg_L/E8_01.tif "/>
    <s v=" 7959.8012 "/>
    <s v=" 73.9266 "/>
    <x v="0"/>
    <n v="588441"/>
    <m/>
    <m/>
    <m/>
  </r>
  <r>
    <x v="8"/>
    <x v="4"/>
    <s v="F:\images\20210512\plaque 1/@08 Estrone 0.04 µg_L/E8_02.tif "/>
    <s v=" 519.1175 "/>
    <s v=" 65.1667 "/>
    <x v="0"/>
    <n v="33829"/>
    <m/>
    <m/>
    <m/>
  </r>
  <r>
    <x v="8"/>
    <x v="4"/>
    <s v="F:\images\20210512\plaque 1/@08 Estrone 0.04 µg_L/E8_03.tif "/>
    <s v=" 1708.7617 "/>
    <s v=" 65.7089 "/>
    <x v="0"/>
    <n v="112281"/>
    <m/>
    <m/>
    <m/>
  </r>
  <r>
    <x v="8"/>
    <x v="5"/>
    <s v="F:\images\20210512\plaque 1/@08 Estrone 0.04 µg_L/F8_01- exclu.tif"/>
    <m/>
    <m/>
    <x v="1"/>
    <m/>
    <m/>
    <m/>
    <m/>
  </r>
  <r>
    <x v="8"/>
    <x v="5"/>
    <s v="F:\images\20210512\plaque 1/@08 Estrone 0.04 µg_L/F8_02- exclu.tif"/>
    <m/>
    <m/>
    <x v="1"/>
    <m/>
    <m/>
    <m/>
    <m/>
  </r>
  <r>
    <x v="8"/>
    <x v="5"/>
    <s v="F:\images\20210512\plaque 1/@08 Estrone 0.04 µg_L/F8_03- exclu.tif"/>
    <m/>
    <m/>
    <x v="1"/>
    <m/>
    <m/>
    <m/>
    <m/>
  </r>
  <r>
    <x v="8"/>
    <x v="6"/>
    <s v="F:\images\20210512\plaque 1/@08 Estrone 0.04 µg_L/G8_01.tif "/>
    <s v=" 2098.0998 "/>
    <s v=" 64.0412 "/>
    <x v="0"/>
    <n v="134365"/>
    <m/>
    <m/>
    <m/>
  </r>
  <r>
    <x v="8"/>
    <x v="6"/>
    <s v="F:\images\20210512\plaque 1/@08 Estrone 0.04 µg_L/G8_02.tif "/>
    <s v=" 3482.413 "/>
    <s v=" 63.8882 "/>
    <x v="0"/>
    <n v="222485"/>
    <m/>
    <m/>
    <m/>
  </r>
  <r>
    <x v="8"/>
    <x v="6"/>
    <s v="F:\images\20210512\plaque 1/@08 Estrone 0.04 µg_L/G8_03.tif "/>
    <s v=" 2573.9575 "/>
    <s v=" 63.8319 "/>
    <x v="0"/>
    <n v="164301"/>
    <m/>
    <m/>
    <m/>
  </r>
  <r>
    <x v="8"/>
    <x v="7"/>
    <s v="F:\images\20210512\plaque 1/@08 Estrone 0.04 µg_L/H8_01.tif "/>
    <s v=" 4607.1676 "/>
    <s v=" 68.2394 "/>
    <x v="0"/>
    <n v="314391"/>
    <m/>
    <m/>
    <m/>
  </r>
  <r>
    <x v="8"/>
    <x v="7"/>
    <s v="F:\images\20210512\plaque 1/@08 Estrone 0.04 µg_L/H8_02.tif "/>
    <s v=" 3655.4522 "/>
    <s v=" 67.3669 "/>
    <x v="0"/>
    <n v="246256"/>
    <m/>
    <m/>
    <m/>
  </r>
  <r>
    <x v="8"/>
    <x v="7"/>
    <s v="F:\images\20210512\plaque 1/@08 Estrone 0.04 µg_L/H8_03.tif "/>
    <s v=" 2141.3596 "/>
    <s v=" 64.9293 "/>
    <x v="0"/>
    <n v="139037"/>
    <m/>
    <m/>
    <m/>
  </r>
  <r>
    <x v="1"/>
    <x v="8"/>
    <s v=" "/>
    <m/>
    <m/>
    <x v="1"/>
    <m/>
    <m/>
    <m/>
    <m/>
  </r>
  <r>
    <x v="1"/>
    <x v="8"/>
    <s v="group "/>
    <s v=" "/>
    <s v=" mean of mean fluo "/>
    <x v="2"/>
    <s v=" mean of total fluo "/>
    <s v=" SD total fluo "/>
    <s v=" n fluorescent "/>
    <s v=" n total"/>
  </r>
  <r>
    <x v="8"/>
    <x v="9"/>
    <s v="F:\images\20210512\plaque 1/@08 Estrone 0.04 µg_L/ "/>
    <s v=" "/>
    <s v=" 66.1525 "/>
    <x v="10"/>
    <s v=" 183666.625 "/>
    <s v=" 145973.8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512\plaque 1/@09 Estrone 0.2 µg_L/A9_01.tif "/>
    <s v=" 2660.477 "/>
    <s v=" 65.2358 "/>
    <x v="0"/>
    <n v="173558"/>
    <m/>
    <m/>
    <m/>
  </r>
  <r>
    <x v="9"/>
    <x v="0"/>
    <s v="F:\images\20210512\plaque 1/@09 Estrone 0.2 µg_L/A9_02.tif "/>
    <s v=" 670.5267 "/>
    <s v=" 62.5484 "/>
    <x v="0"/>
    <n v="41940"/>
    <m/>
    <m/>
    <m/>
  </r>
  <r>
    <x v="9"/>
    <x v="0"/>
    <s v="F:\images\20210512\plaque 1/@09 Estrone 0.2 µg_L/A9_03.tif "/>
    <s v=" 1514.0926 "/>
    <s v=" 65.7714 "/>
    <x v="0"/>
    <n v="99584"/>
    <m/>
    <m/>
    <m/>
  </r>
  <r>
    <x v="9"/>
    <x v="1"/>
    <s v="F:\images\20210512\plaque 1/@09 Estrone 0.2 µg_L/B9_01.tif "/>
    <s v=" 5169.5448 "/>
    <s v=" 69.7197 "/>
    <x v="0"/>
    <n v="360419"/>
    <m/>
    <m/>
    <m/>
  </r>
  <r>
    <x v="9"/>
    <x v="1"/>
    <s v="F:\images\20210512\plaque 1/@09 Estrone 0.2 µg_L/B9_02.tif "/>
    <s v=" 2573.9575 "/>
    <s v=" 64.4118 "/>
    <x v="0"/>
    <n v="165793"/>
    <m/>
    <m/>
    <m/>
  </r>
  <r>
    <x v="9"/>
    <x v="1"/>
    <s v="F:\images\20210512\plaque 1/@09 Estrone 0.2 µg_L/B9_03.tif "/>
    <s v=" 1297.7937 "/>
    <s v=" 64.6333 "/>
    <x v="0"/>
    <n v="83881"/>
    <m/>
    <m/>
    <m/>
  </r>
  <r>
    <x v="9"/>
    <x v="2"/>
    <s v="F:\images\20210512\plaque 1/@09 Estrone 0.2 µg_L/C9_01.tif "/>
    <s v=" 4023.1604 "/>
    <s v=" 66.5484 "/>
    <x v="0"/>
    <n v="267735"/>
    <m/>
    <m/>
    <m/>
  </r>
  <r>
    <x v="9"/>
    <x v="2"/>
    <s v="F:\images\20210512\plaque 1/@09 Estrone 0.2 µg_L/C9_02.tif "/>
    <s v=" 778.6762 "/>
    <s v=" 63.8889 "/>
    <x v="0"/>
    <n v="49749"/>
    <m/>
    <m/>
    <m/>
  </r>
  <r>
    <x v="9"/>
    <x v="2"/>
    <s v="F:\images\20210512\plaque 1/@09 Estrone 0.2 µg_L/C9_03.tif "/>
    <s v=" 2400.9183 "/>
    <s v=" 66.6126 "/>
    <x v="0"/>
    <n v="159931"/>
    <m/>
    <m/>
    <m/>
  </r>
  <r>
    <x v="9"/>
    <x v="3"/>
    <s v="F:\images\20210512\plaque 1/@09 Estrone 0.2 µg_L/D9_01.tif "/>
    <s v=" 692.1566 "/>
    <s v=" 64.2812 "/>
    <x v="0"/>
    <n v="44493"/>
    <m/>
    <m/>
    <m/>
  </r>
  <r>
    <x v="9"/>
    <x v="3"/>
    <s v="F:\images\20210512\plaque 1/@09 Estrone 0.2 µg_L/D9_02.tif "/>
    <s v=" 1232.904 "/>
    <s v=" 63.9123 "/>
    <x v="0"/>
    <n v="78798"/>
    <m/>
    <m/>
    <m/>
  </r>
  <r>
    <x v="9"/>
    <x v="3"/>
    <s v="F:\images\20210512\plaque 1/@09 Estrone 0.2 µg_L/D9_03.tif "/>
    <s v=" 3136.3347 "/>
    <s v=" 65.669 "/>
    <x v="0"/>
    <n v="205960"/>
    <m/>
    <m/>
    <m/>
  </r>
  <r>
    <x v="9"/>
    <x v="4"/>
    <s v="F:\images\20210512\plaque 1/@09 Estrone 0.2 µg_L/E9_01.tif "/>
    <s v=" 8132.8404 "/>
    <s v=" 78.0851 "/>
    <x v="0"/>
    <n v="635054"/>
    <m/>
    <m/>
    <m/>
  </r>
  <r>
    <x v="9"/>
    <x v="4"/>
    <s v="F:\images\20210512\plaque 1/@09 Estrone 0.2 µg_L/E9_02.tif "/>
    <s v=" 8630.328 "/>
    <s v=" 68.3885 "/>
    <x v="0"/>
    <n v="590215"/>
    <m/>
    <m/>
    <m/>
  </r>
  <r>
    <x v="9"/>
    <x v="4"/>
    <s v="F:\images\20210512\plaque 1/@09 Estrone 0.2 µg_L/E9_03.tif "/>
    <s v=" 4131.3099 "/>
    <s v=" 66.8063 "/>
    <x v="0"/>
    <n v="275997"/>
    <m/>
    <m/>
    <m/>
  </r>
  <r>
    <x v="9"/>
    <x v="5"/>
    <s v="F:\images\20210512\plaque 1/@09 Estrone 0.2 µg_L/F9_01.tif "/>
    <s v=" 735.4164 "/>
    <s v=" 63.2647 "/>
    <x v="0"/>
    <n v="46526"/>
    <m/>
    <m/>
    <m/>
  </r>
  <r>
    <x v="9"/>
    <x v="5"/>
    <s v="F:\images\20210512\plaque 1/@09 Estrone 0.2 µg_L/F9_02.tif "/>
    <s v=" 4693.6871 "/>
    <s v=" 69.9862 "/>
    <x v="0"/>
    <n v="328493"/>
    <m/>
    <m/>
    <m/>
  </r>
  <r>
    <x v="9"/>
    <x v="5"/>
    <s v="F:\images\20210512\plaque 1/@09 Estrone 0.2 µg_L/F9_03.tif "/>
    <s v=" 778.6762 "/>
    <s v=" 63.1389 "/>
    <x v="0"/>
    <n v="49165"/>
    <m/>
    <m/>
    <m/>
  </r>
  <r>
    <x v="9"/>
    <x v="6"/>
    <s v="F:\images\20210512\plaque 1/@09 Estrone 0.2 µg_L/G9_01.tif "/>
    <s v=" 5256.0644 "/>
    <s v=" 68.2181 "/>
    <x v="0"/>
    <n v="358559"/>
    <m/>
    <m/>
    <m/>
  </r>
  <r>
    <x v="9"/>
    <x v="6"/>
    <s v="F:\images\20210512\plaque 1/@09 Estrone 0.2 µg_L/G9_02.tif "/>
    <s v=" 4996.5057 "/>
    <s v=" 66.684 "/>
    <x v="0"/>
    <n v="333187"/>
    <m/>
    <m/>
    <m/>
  </r>
  <r>
    <x v="9"/>
    <x v="6"/>
    <s v="F:\images\20210512\plaque 1/@09 Estrone 0.2 µg_L/G9_03.tif "/>
    <s v=" 3568.9326 "/>
    <s v=" 67.4303 "/>
    <x v="0"/>
    <n v="240654"/>
    <m/>
    <m/>
    <m/>
  </r>
  <r>
    <x v="9"/>
    <x v="7"/>
    <s v="F:\images\20210512\plaque 1/@09 Estrone 0.2 µg_L/H9_01.tif "/>
    <s v=" 151.4093 "/>
    <s v=" 63.8571 "/>
    <x v="0"/>
    <n v="9669"/>
    <m/>
    <m/>
    <m/>
  </r>
  <r>
    <x v="9"/>
    <x v="7"/>
    <s v="F:\images\20210512\plaque 1/@09 Estrone 0.2 µg_L/H9_02.tif "/>
    <s v=" 843.5659 "/>
    <s v=" 66.4872 "/>
    <x v="0"/>
    <n v="56086"/>
    <m/>
    <m/>
    <m/>
  </r>
  <r>
    <x v="9"/>
    <x v="7"/>
    <s v="F:\images\20210512\plaque 1/@09 Estrone 0.2 µg_L/H9_03.tif "/>
    <s v=" 129.7794 "/>
    <s v=" 65.8333 "/>
    <x v="0"/>
    <n v="8544"/>
    <m/>
    <m/>
    <m/>
  </r>
  <r>
    <x v="1"/>
    <x v="8"/>
    <s v=" "/>
    <m/>
    <m/>
    <x v="1"/>
    <m/>
    <m/>
    <m/>
    <m/>
  </r>
  <r>
    <x v="1"/>
    <x v="8"/>
    <s v="group "/>
    <s v=" "/>
    <s v=" mean of mean fluo "/>
    <x v="2"/>
    <s v=" mean of total fluo "/>
    <s v=" SD total fluo "/>
    <s v=" n fluorescent "/>
    <s v=" n total"/>
  </r>
  <r>
    <x v="9"/>
    <x v="9"/>
    <s v="F:\images\20210512\plaque 1/@09 Estrone 0.2 µg_L/ "/>
    <s v=" "/>
    <s v=" 66.3089 "/>
    <x v="11"/>
    <s v=" 194332.917 "/>
    <s v=" 173370.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512\plaque 1/@10 Estrone 1 µg_L/A10_01.tif "/>
    <s v=" 7505.5734 "/>
    <s v=" 68.6282 "/>
    <x v="0"/>
    <n v="515094"/>
    <m/>
    <m/>
    <m/>
  </r>
  <r>
    <x v="10"/>
    <x v="0"/>
    <s v="F:\images\20210512\plaque 1/@10 Estrone 1 µg_L/A10_02.tif "/>
    <s v=" 237.9288 "/>
    <s v=" 61.9091 "/>
    <x v="0"/>
    <n v="14730"/>
    <m/>
    <m/>
    <m/>
  </r>
  <r>
    <x v="10"/>
    <x v="0"/>
    <s v="F:\images\20210512\plaque 1/@10 Estrone 1 µg_L/A10_03.tif "/>
    <s v=" 2790.2564 "/>
    <s v=" 64.6124 "/>
    <x v="0"/>
    <n v="180285"/>
    <m/>
    <m/>
    <m/>
  </r>
  <r>
    <x v="10"/>
    <x v="1"/>
    <s v="F:\images\20210512\plaque 1/@10 Estrone 1 µg_L/B10_01.tif "/>
    <s v=" 7094.6054 "/>
    <s v=" 73.4146 "/>
    <x v="0"/>
    <n v="520848"/>
    <m/>
    <m/>
    <m/>
  </r>
  <r>
    <x v="10"/>
    <x v="1"/>
    <s v="F:\images\20210512\plaque 1/@10 Estrone 1 µg_L/B10_02.tif "/>
    <s v=" 5256.0644 "/>
    <s v=" 72.7531 "/>
    <x v="0"/>
    <n v="382395"/>
    <m/>
    <m/>
    <m/>
  </r>
  <r>
    <x v="10"/>
    <x v="1"/>
    <s v="F:\images\20210512\plaque 1/@10 Estrone 1 µg_L/B10_03.tif "/>
    <s v=" 3850.1212 "/>
    <s v=" 70.5 "/>
    <x v="0"/>
    <n v="271434"/>
    <m/>
    <m/>
    <m/>
  </r>
  <r>
    <x v="10"/>
    <x v="2"/>
    <s v="F:\images\20210512\plaque 1/@10 Estrone 1 µg_L/C10_01.tif "/>
    <s v=" 7137.8652 "/>
    <s v=" 71.8424 "/>
    <x v="0"/>
    <n v="512802"/>
    <m/>
    <m/>
    <m/>
  </r>
  <r>
    <x v="10"/>
    <x v="2"/>
    <s v="F:\images\20210512\plaque 1/@10 Estrone 1 µg_L/C10_02.tif "/>
    <s v=" 6856.6766 "/>
    <s v=" 80.7161 "/>
    <x v="0"/>
    <n v="553444"/>
    <m/>
    <m/>
    <m/>
  </r>
  <r>
    <x v="10"/>
    <x v="2"/>
    <s v="F:\images\20210512\plaque 1/@10 Estrone 1 µg_L/C10_03.tif "/>
    <s v=" 6640.3777 "/>
    <s v=" 76.1629 "/>
    <x v="0"/>
    <n v="505750"/>
    <m/>
    <m/>
    <m/>
  </r>
  <r>
    <x v="10"/>
    <x v="3"/>
    <s v="F:\images\20210512\plaque 1/@10 Estrone 1 µg_L/D10_01.tif "/>
    <s v=" 2530.6977 "/>
    <s v=" 65.1453 "/>
    <x v="0"/>
    <n v="164863"/>
    <m/>
    <m/>
    <m/>
  </r>
  <r>
    <x v="10"/>
    <x v="3"/>
    <s v="F:\images\20210512\plaque 1/@10 Estrone 1 µg_L/D10_02.tif "/>
    <s v=" 3806.8615 "/>
    <s v=" 64.1591 "/>
    <x v="0"/>
    <n v="244245"/>
    <m/>
    <m/>
    <m/>
  </r>
  <r>
    <x v="10"/>
    <x v="3"/>
    <s v="F:\images\20210512\plaque 1/@10 Estrone 1 µg_L/D10_03.tif "/>
    <s v=" 2011.5802 "/>
    <s v=" 62.828 "/>
    <x v="0"/>
    <n v="126383"/>
    <m/>
    <m/>
    <m/>
  </r>
  <r>
    <x v="10"/>
    <x v="4"/>
    <s v="F:\images\20210512\plaque 1/@10 Estrone 1 µg_L/E10_01.tif "/>
    <s v=" 1643.872 "/>
    <s v=" 64.4079 "/>
    <x v="0"/>
    <n v="105878"/>
    <m/>
    <m/>
    <m/>
  </r>
  <r>
    <x v="10"/>
    <x v="4"/>
    <s v="F:\images\20210512\plaque 1/@10 Estrone 1 µg_L/E10_02.tif "/>
    <s v=" 3698.712 "/>
    <s v=" 66.9474 "/>
    <x v="0"/>
    <n v="247619"/>
    <m/>
    <m/>
    <m/>
  </r>
  <r>
    <x v="10"/>
    <x v="4"/>
    <s v="F:\images\20210512\plaque 1/@10 Estrone 1 µg_L/E10_03.tif "/>
    <s v=" 1384.3133 "/>
    <s v=" 67.125 "/>
    <x v="0"/>
    <n v="92922"/>
    <m/>
    <m/>
    <m/>
  </r>
  <r>
    <x v="10"/>
    <x v="5"/>
    <s v="F:\images\20210512\plaque 1/@10 Estrone 1 µg_L/F10_01- exclu.tif"/>
    <m/>
    <m/>
    <x v="1"/>
    <m/>
    <m/>
    <m/>
    <m/>
  </r>
  <r>
    <x v="10"/>
    <x v="5"/>
    <s v="F:\images\20210512\plaque 1/@10 Estrone 1 µg_L/F10_02.tif "/>
    <s v=" 778.6762 "/>
    <s v=" 64.6111 "/>
    <x v="0"/>
    <n v="50311"/>
    <m/>
    <m/>
    <m/>
  </r>
  <r>
    <x v="10"/>
    <x v="5"/>
    <s v="F:\images\20210512\plaque 1/@10 Estrone 1 µg_L/F10_03.tif "/>
    <s v=" 821.936 "/>
    <s v=" 63.8947 "/>
    <x v="0"/>
    <n v="52517"/>
    <m/>
    <m/>
    <m/>
  </r>
  <r>
    <x v="10"/>
    <x v="6"/>
    <s v="F:\images\20210512\plaque 1/@10 Estrone 1 µg_L/G10_01.tif "/>
    <s v=" 7224.3848 "/>
    <s v=" 66.1317 "/>
    <x v="0"/>
    <n v="477761"/>
    <m/>
    <m/>
    <m/>
  </r>
  <r>
    <x v="10"/>
    <x v="6"/>
    <s v="F:\images\20210512\plaque 1/@10 Estrone 1 µg_L/G10_02.tif "/>
    <s v=" 6553.8581 "/>
    <s v=" 67.9736 "/>
    <x v="0"/>
    <n v="445489"/>
    <m/>
    <m/>
    <m/>
  </r>
  <r>
    <x v="10"/>
    <x v="6"/>
    <s v="F:\images\20210512\plaque 1/@10 Estrone 1 µg_L/G10_03.tif "/>
    <s v=" 2098.0998 "/>
    <s v=" 65.0928 "/>
    <x v="0"/>
    <n v="136571"/>
    <m/>
    <m/>
    <m/>
  </r>
  <r>
    <x v="10"/>
    <x v="7"/>
    <s v="F:\images\20210512\plaque 1/@10 Estrone 1 µg_L/H10_01.tif "/>
    <s v=" 4628.7975 "/>
    <s v=" 66.2103 "/>
    <x v="0"/>
    <n v="306474"/>
    <m/>
    <m/>
    <m/>
  </r>
  <r>
    <x v="10"/>
    <x v="7"/>
    <s v="F:\images\20210512\plaque 1/@10 Estrone 1 µg_L/H10_02.tif "/>
    <s v=" 2898.4059 "/>
    <s v=" 63.6269 "/>
    <x v="0"/>
    <n v="184416"/>
    <m/>
    <m/>
    <m/>
  </r>
  <r>
    <x v="10"/>
    <x v="7"/>
    <s v="F:\images\20210512\plaque 1/@10 Estrone 1 µg_L/H10_03.tif "/>
    <s v=" 2963.2956 "/>
    <s v=" 63.9635 "/>
    <x v="0"/>
    <n v="189543"/>
    <m/>
    <m/>
    <m/>
  </r>
  <r>
    <x v="1"/>
    <x v="8"/>
    <s v=" "/>
    <m/>
    <m/>
    <x v="1"/>
    <m/>
    <m/>
    <m/>
    <m/>
  </r>
  <r>
    <x v="1"/>
    <x v="8"/>
    <s v="group "/>
    <s v=" "/>
    <s v=" mean of mean fluo "/>
    <x v="2"/>
    <s v=" mean of total fluo "/>
    <s v=" SD total fluo "/>
    <s v=" n fluorescent "/>
    <s v=" n total"/>
  </r>
  <r>
    <x v="10"/>
    <x v="9"/>
    <s v="F:\images\20210512\plaque 1/@10 Estrone 1 µg_L/ "/>
    <s v=" "/>
    <s v=" 67.306 "/>
    <x v="12"/>
    <s v=" 262644.542 "/>
    <s v=" 181498.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512\plaque 1/@11 Estrone 5 µg_L/A11_01.tif "/>
    <s v=" 65257.3921 "/>
    <s v=" 89.5973 "/>
    <x v="0"/>
    <n v="5846885"/>
    <m/>
    <m/>
    <m/>
  </r>
  <r>
    <x v="11"/>
    <x v="0"/>
    <s v="F:\images\20210512\plaque 1/@11 Estrone 5 µg_L/A11_02.tif "/>
    <s v=" 64521.9757 "/>
    <s v=" 87.3426 "/>
    <x v="0"/>
    <n v="5635518"/>
    <m/>
    <m/>
    <m/>
  </r>
  <r>
    <x v="11"/>
    <x v="0"/>
    <s v="F:\images\20210512\plaque 1/@11 Estrone 5 µg_L/A11_03.tif "/>
    <s v=" 57102.9218 "/>
    <s v=" 88.8178 "/>
    <x v="0"/>
    <n v="5071756"/>
    <m/>
    <m/>
    <m/>
  </r>
  <r>
    <x v="11"/>
    <x v="1"/>
    <s v="F:\images\20210512\plaque 1/@11 Estrone 5 µg_L/B11_01.tif "/>
    <s v=" 67204.0826 "/>
    <s v=" 85.2288 "/>
    <x v="0"/>
    <n v="5727726"/>
    <m/>
    <m/>
    <m/>
  </r>
  <r>
    <x v="11"/>
    <x v="1"/>
    <s v="F:\images\20210512\plaque 1/@11 Estrone 5 µg_L/B11_02.tif "/>
    <s v=" 63483.7407 "/>
    <s v=" 84.4078 "/>
    <x v="0"/>
    <n v="5358525"/>
    <m/>
    <m/>
    <m/>
  </r>
  <r>
    <x v="11"/>
    <x v="1"/>
    <s v="F:\images\20210512\plaque 1/@11 Estrone 5 µg_L/B11_03.tif "/>
    <s v=" 65603.4704 "/>
    <s v=" 85.4636 "/>
    <x v="0"/>
    <n v="5606707"/>
    <m/>
    <m/>
    <m/>
  </r>
  <r>
    <x v="11"/>
    <x v="2"/>
    <s v="F:\images\20210512\plaque 1/@11 Estrone 5 µg_L/C11_01.tif "/>
    <s v=" 44557.5829 "/>
    <s v=" 88.1 "/>
    <x v="0"/>
    <n v="3925523"/>
    <m/>
    <m/>
    <m/>
  </r>
  <r>
    <x v="11"/>
    <x v="2"/>
    <s v="F:\images\20210512\plaque 1/@11 Estrone 5 µg_L/C11_02.tif "/>
    <s v=" 45703.9674 "/>
    <s v=" 83.7743 "/>
    <x v="0"/>
    <n v="3828816"/>
    <m/>
    <m/>
    <m/>
  </r>
  <r>
    <x v="11"/>
    <x v="2"/>
    <s v="F:\images\20210512\plaque 1/@11 Estrone 5 µg_L/C11_03.tif "/>
    <s v=" 42654.1522 "/>
    <s v=" 87.7039 "/>
    <x v="0"/>
    <n v="3740934"/>
    <m/>
    <m/>
    <m/>
  </r>
  <r>
    <x v="11"/>
    <x v="3"/>
    <s v="F:\images\20210512\plaque 1/@11 Estrone 5 µg_L/D11_01.tif "/>
    <s v=" 37982.095 "/>
    <s v=" 83.988 "/>
    <x v="0"/>
    <n v="3190042"/>
    <m/>
    <m/>
    <m/>
  </r>
  <r>
    <x v="11"/>
    <x v="3"/>
    <s v="F:\images\20210512\plaque 1/@11 Estrone 5 µg_L/D11_02.tif "/>
    <s v=" 34002.1944 "/>
    <s v=" 81.1622 "/>
    <x v="0"/>
    <n v="2759693"/>
    <m/>
    <m/>
    <m/>
  </r>
  <r>
    <x v="11"/>
    <x v="3"/>
    <s v="F:\images\20210512\plaque 1/@11 Estrone 5 µg_L/D11_03.tif "/>
    <s v=" 4217.8295 "/>
    <s v=" 65.7179 "/>
    <x v="0"/>
    <n v="277187"/>
    <m/>
    <m/>
    <m/>
  </r>
  <r>
    <x v="11"/>
    <x v="4"/>
    <s v="F:\images\20210512\plaque 1/@11 Estrone 5 µg_L/E11_01.tif "/>
    <s v=" 59547.0999 "/>
    <s v=" 85.433 "/>
    <x v="0"/>
    <n v="5087286"/>
    <m/>
    <m/>
    <m/>
  </r>
  <r>
    <x v="11"/>
    <x v="4"/>
    <s v="F:\images\20210512\plaque 1/@11 Estrone 5 µg_L/E11_02.tif "/>
    <s v=" 64759.9045 "/>
    <s v=" 83.2792 "/>
    <x v="0"/>
    <n v="5393155"/>
    <m/>
    <m/>
    <m/>
  </r>
  <r>
    <x v="11"/>
    <x v="4"/>
    <s v="F:\images\20210512\plaque 1/@11 Estrone 5 µg_L/E11_03.tif "/>
    <s v=" 67442.0115 "/>
    <s v=" 85.2486 "/>
    <x v="0"/>
    <n v="5749334"/>
    <m/>
    <m/>
    <m/>
  </r>
  <r>
    <x v="11"/>
    <x v="5"/>
    <s v="F:\images\20210512\plaque 1/@11 Estrone 5 µg_L/F11_01.tif "/>
    <s v=" 46136.5652 "/>
    <s v=" 84.9114 "/>
    <x v="0"/>
    <n v="3917520"/>
    <m/>
    <m/>
    <m/>
  </r>
  <r>
    <x v="11"/>
    <x v="5"/>
    <s v="F:\images\20210512\plaque 1/@11 Estrone 5 µg_L/F11_02.tif "/>
    <s v=" 44687.3623 "/>
    <s v=" 90.4637 "/>
    <x v="0"/>
    <n v="4042584"/>
    <m/>
    <m/>
    <m/>
  </r>
  <r>
    <x v="11"/>
    <x v="5"/>
    <s v="F:\images\20210512\plaque 1/@11 Estrone 5 µg_L/F11_03.tif "/>
    <s v=" 45163.22 "/>
    <s v=" 89.0144 "/>
    <x v="0"/>
    <n v="4020175"/>
    <m/>
    <m/>
    <m/>
  </r>
  <r>
    <x v="11"/>
    <x v="6"/>
    <s v="F:\images\20210512\plaque 1/@11 Estrone 5 µg_L/G11_01.tif "/>
    <s v=" 64392.1963 "/>
    <s v=" 91.0917 "/>
    <x v="0"/>
    <n v="5865595"/>
    <m/>
    <m/>
    <m/>
  </r>
  <r>
    <x v="11"/>
    <x v="6"/>
    <s v="F:\images\20210512\plaque 1/@11 Estrone 5 µg_L/G11_02.tif "/>
    <s v=" 64348.9365 "/>
    <s v=" 94.9509 "/>
    <x v="0"/>
    <n v="6109991"/>
    <m/>
    <m/>
    <m/>
  </r>
  <r>
    <x v="11"/>
    <x v="6"/>
    <s v="F:\images\20210512\plaque 1/@11 Estrone 5 µg_L/G11_03.tif "/>
    <s v=" 66901.2641 "/>
    <s v=" 96.0993 "/>
    <x v="0"/>
    <n v="6429162"/>
    <m/>
    <m/>
    <m/>
  </r>
  <r>
    <x v="11"/>
    <x v="7"/>
    <s v="F:\images\20210512\plaque 1/@11 Estrone 5 µg_L/H11_01.tif "/>
    <s v=" 66944.5239 "/>
    <s v=" 82.0704 "/>
    <x v="0"/>
    <n v="5494166"/>
    <m/>
    <m/>
    <m/>
  </r>
  <r>
    <x v="11"/>
    <x v="7"/>
    <s v="F:\images\20210512\plaque 1/@11 Estrone 5 µg_L/H11_02.tif "/>
    <s v=" 75293.6632 "/>
    <s v=" 82.206 "/>
    <x v="0"/>
    <n v="6189589"/>
    <m/>
    <m/>
    <m/>
  </r>
  <r>
    <x v="11"/>
    <x v="7"/>
    <s v="F:\images\20210512\plaque 1/@11 Estrone 5 µg_L/H11_03.tif "/>
    <s v=" 72135.6986 "/>
    <s v=" 80.6225 "/>
    <x v="0"/>
    <n v="5815760"/>
    <m/>
    <m/>
    <m/>
  </r>
  <r>
    <x v="1"/>
    <x v="8"/>
    <s v=" "/>
    <m/>
    <m/>
    <x v="1"/>
    <m/>
    <m/>
    <m/>
    <m/>
  </r>
  <r>
    <x v="1"/>
    <x v="8"/>
    <s v="group "/>
    <s v=" "/>
    <s v=" mean of mean fluo "/>
    <x v="2"/>
    <s v=" mean of total fluo "/>
    <s v=" SD total fluo "/>
    <s v=" n fluorescent "/>
    <s v=" n total"/>
  </r>
  <r>
    <x v="11"/>
    <x v="9"/>
    <s v="F:\images\20210512\plaque 1/@11 Estrone 5 µg_L/ "/>
    <s v=" "/>
    <s v=" 85.6956 "/>
    <x v="13"/>
    <s v=" 4795151.21 "/>
    <s v=" 1413866.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512\plaque 1/@12 Estrone 25 µg_L/A12_01.tif "/>
    <s v=" 77651.3217 "/>
    <s v=" 99.5967 "/>
    <x v="0"/>
    <n v="7733812"/>
    <m/>
    <m/>
    <m/>
  </r>
  <r>
    <x v="12"/>
    <x v="0"/>
    <s v="F:\images\20210512\plaque 1/@12 Estrone 25 µg_L/A12_02.tif "/>
    <s v=" 75747.891 "/>
    <s v=" 100.9218 "/>
    <x v="0"/>
    <n v="7644610"/>
    <m/>
    <m/>
    <m/>
  </r>
  <r>
    <x v="12"/>
    <x v="0"/>
    <s v="F:\images\20210512\plaque 1/@12 Estrone 25 µg_L/A12_03.tif "/>
    <s v=" 76591.4569 "/>
    <s v=" 100.2917 "/>
    <x v="0"/>
    <n v="7681489"/>
    <m/>
    <m/>
    <m/>
  </r>
  <r>
    <x v="12"/>
    <x v="1"/>
    <s v="F:\images\20210512\plaque 1/@12 Estrone 25 µg_L/B12_01.tif "/>
    <s v=" 64543.6056 "/>
    <s v=" 92.9219 "/>
    <x v="0"/>
    <n v="5997516"/>
    <m/>
    <m/>
    <m/>
  </r>
  <r>
    <x v="12"/>
    <x v="1"/>
    <s v="F:\images\20210512\plaque 1/@12 Estrone 25 µg_L/B12_02.tif "/>
    <s v=" 65884.659 "/>
    <s v=" 87.6185 "/>
    <x v="0"/>
    <n v="5772716"/>
    <m/>
    <m/>
    <m/>
  </r>
  <r>
    <x v="12"/>
    <x v="1"/>
    <s v="F:\images\20210512\plaque 1/@12 Estrone 25 µg_L/B12_03.tif "/>
    <s v=" 62726.6944 "/>
    <s v=" 90.4155 "/>
    <x v="0"/>
    <n v="5671467"/>
    <m/>
    <m/>
    <m/>
  </r>
  <r>
    <x v="12"/>
    <x v="2"/>
    <s v="F:\images\20210512\plaque 1/@12 Estrone 25 µg_L/C12_01.tif "/>
    <s v=" 69626.6308 "/>
    <s v=" 90.2349 "/>
    <x v="0"/>
    <n v="6282749"/>
    <m/>
    <m/>
    <m/>
  </r>
  <r>
    <x v="12"/>
    <x v="2"/>
    <s v="F:\images\20210512\plaque 1/@12 Estrone 25 µg_L/C12_02.tif "/>
    <s v=" 63613.5201 "/>
    <s v=" 90.9113 "/>
    <x v="0"/>
    <n v="5783185"/>
    <m/>
    <m/>
    <m/>
  </r>
  <r>
    <x v="12"/>
    <x v="2"/>
    <s v="F:\images\20210512\plaque 1/@12 Estrone 25 µg_L/C12_03.tif "/>
    <s v=" 63137.6624 "/>
    <s v=" 89.7698 "/>
    <x v="0"/>
    <n v="5667854"/>
    <m/>
    <m/>
    <m/>
  </r>
  <r>
    <x v="12"/>
    <x v="3"/>
    <s v="F:\images\20210512\plaque 1/@12 Estrone 25 µg_L/D12_01.tif "/>
    <s v=" 56843.3631 "/>
    <s v=" 99.4817 "/>
    <x v="0"/>
    <n v="5654876"/>
    <m/>
    <m/>
    <m/>
  </r>
  <r>
    <x v="12"/>
    <x v="3"/>
    <s v="F:\images\20210512\plaque 1/@12 Estrone 25 µg_L/D12_02.tif "/>
    <s v=" 52841.8326 "/>
    <s v=" 98.4871 "/>
    <x v="0"/>
    <n v="5204239"/>
    <m/>
    <m/>
    <m/>
  </r>
  <r>
    <x v="12"/>
    <x v="3"/>
    <s v="F:\images\20210512\plaque 1/@12 Estrone 25 µg_L/D12_03.tif "/>
    <s v=" 56605.4342 "/>
    <s v=" 98.9771 "/>
    <x v="0"/>
    <n v="5602640"/>
    <m/>
    <m/>
    <m/>
  </r>
  <r>
    <x v="12"/>
    <x v="4"/>
    <s v="F:\images\20210512\plaque 1/@12 Estrone 25 µg_L/E12_01.tif "/>
    <s v=" 73974.2396 "/>
    <s v=" 94.1851 "/>
    <x v="0"/>
    <n v="6967270"/>
    <m/>
    <m/>
    <m/>
  </r>
  <r>
    <x v="12"/>
    <x v="4"/>
    <s v="F:\images\20210512\plaque 1/@12 Estrone 25 µg_L/E12_02.tif "/>
    <s v=" 79598.0122 "/>
    <s v=" 91.1535 "/>
    <x v="0"/>
    <n v="7255640"/>
    <m/>
    <m/>
    <m/>
  </r>
  <r>
    <x v="12"/>
    <x v="4"/>
    <s v="F:\images\20210512\plaque 1/@12 Estrone 25 µg_L/E12_03.tif "/>
    <s v=" 67009.4136 "/>
    <s v=" 96.6888 "/>
    <x v="0"/>
    <n v="6479062"/>
    <m/>
    <m/>
    <m/>
  </r>
  <r>
    <x v="12"/>
    <x v="5"/>
    <s v="F:\images\20210512\plaque 1/@12 Estrone 25 µg_L/F12_01.tif "/>
    <s v=" 78127.1794 "/>
    <s v=" 103.3261 "/>
    <x v="0"/>
    <n v="8072579"/>
    <m/>
    <m/>
    <m/>
  </r>
  <r>
    <x v="12"/>
    <x v="5"/>
    <s v="F:\images\20210512\plaque 1/@12 Estrone 25 µg_L/F12_02.tif "/>
    <s v=" 72308.7377 "/>
    <s v=" 107.3978 "/>
    <x v="0"/>
    <n v="7765803"/>
    <m/>
    <m/>
    <m/>
  </r>
  <r>
    <x v="12"/>
    <x v="5"/>
    <s v="F:\images\20210512\plaque 1/@12 Estrone 25 µg_L/F12_03.tif "/>
    <s v=" 72438.5171 "/>
    <s v=" 105.5351 "/>
    <x v="0"/>
    <n v="7644805"/>
    <m/>
    <m/>
    <m/>
  </r>
  <r>
    <x v="12"/>
    <x v="6"/>
    <s v="F:\images\20210512\plaque 1/@12 Estrone 25 µg_L/G12_01.tif "/>
    <s v=" 93462.7747 "/>
    <s v=" 100.8836 "/>
    <x v="0"/>
    <n v="9428860"/>
    <m/>
    <m/>
    <m/>
  </r>
  <r>
    <x v="12"/>
    <x v="6"/>
    <s v="F:\images\20210512\plaque 1/@12 Estrone 25 µg_L/G12_02.tif "/>
    <s v=" 90802.2977 "/>
    <s v=" 103.6148 "/>
    <x v="0"/>
    <n v="9408463"/>
    <m/>
    <m/>
    <m/>
  </r>
  <r>
    <x v="12"/>
    <x v="6"/>
    <s v="F:\images\20210512\plaque 1/@12 Estrone 25 µg_L/G12_03.tif "/>
    <s v=" 93700.7035 "/>
    <s v=" 102.075 "/>
    <x v="0"/>
    <n v="9564501"/>
    <m/>
    <m/>
    <m/>
  </r>
  <r>
    <x v="12"/>
    <x v="7"/>
    <s v="F:\images\20210512\plaque 1/@12 Estrone 25 µg_L/H12_01.tif "/>
    <s v=" 73866.0902 "/>
    <s v=" 90.1449 "/>
    <x v="0"/>
    <n v="6658655"/>
    <m/>
    <m/>
    <m/>
  </r>
  <r>
    <x v="12"/>
    <x v="7"/>
    <s v="F:\images\20210512\plaque 1/@12 Estrone 25 µg_L/H12_02- exclu.tif"/>
    <m/>
    <m/>
    <x v="1"/>
    <m/>
    <m/>
    <m/>
    <m/>
  </r>
  <r>
    <x v="12"/>
    <x v="7"/>
    <s v="F:\images\20210512\plaque 1/@12 Estrone 25 µg_L/H12_03- exclu.tif"/>
    <m/>
    <m/>
    <x v="1"/>
    <m/>
    <m/>
    <m/>
    <m/>
  </r>
  <r>
    <x v="1"/>
    <x v="8"/>
    <s v=" "/>
    <m/>
    <m/>
    <x v="1"/>
    <m/>
    <m/>
    <m/>
    <m/>
  </r>
  <r>
    <x v="1"/>
    <x v="8"/>
    <s v="group "/>
    <s v=" "/>
    <s v=" mean of mean fluo "/>
    <x v="2"/>
    <s v=" mean of total fluo "/>
    <s v=" SD total fluo "/>
    <s v=" n fluorescent "/>
    <s v=" n total"/>
  </r>
  <r>
    <x v="12"/>
    <x v="9"/>
    <s v="F:\images\20210512\plaque 1/@12 Estrone 25 µg_L/ "/>
    <s v=" "/>
    <s v=" 94.9281 "/>
    <x v="14"/>
    <s v=" 6484456.62 "/>
    <s v=" 2156316.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512\plaque 2/@01 Testo 30/A1_01- exclu.tif"/>
    <m/>
    <m/>
    <x v="1"/>
    <m/>
    <m/>
    <m/>
    <m/>
  </r>
  <r>
    <x v="13"/>
    <x v="0"/>
    <s v="F:\images\20210512\plaque 2/@01 Testo 30/A1_02- exclu.tif"/>
    <m/>
    <m/>
    <x v="1"/>
    <m/>
    <m/>
    <m/>
    <m/>
  </r>
  <r>
    <x v="13"/>
    <x v="0"/>
    <s v="F:\images\20210512\plaque 2/@01 Testo 30/A1_03.tif "/>
    <s v=" 10144.4206 "/>
    <s v=" 65.3412 "/>
    <x v="0"/>
    <n v="662848"/>
    <m/>
    <m/>
    <m/>
  </r>
  <r>
    <x v="13"/>
    <x v="1"/>
    <s v="F:\images\20210512\plaque 2/@01 Testo 30/B1_01.tif "/>
    <s v=" 18666.5991 "/>
    <s v=" 65.5435 "/>
    <x v="0"/>
    <n v="1223473"/>
    <m/>
    <m/>
    <m/>
  </r>
  <r>
    <x v="13"/>
    <x v="1"/>
    <s v="F:\images\20210512\plaque 2/@01 Testo 30/B1_02.tif "/>
    <s v=" 18493.5599 "/>
    <s v=" 65.0047 "/>
    <x v="0"/>
    <n v="1202168"/>
    <m/>
    <m/>
    <m/>
  </r>
  <r>
    <x v="13"/>
    <x v="1"/>
    <s v="F:\images\20210512\plaque 2/@01 Testo 30/B1_03.tif "/>
    <s v=" 22451.8306 "/>
    <s v=" 66.4441 "/>
    <x v="0"/>
    <n v="1491792"/>
    <m/>
    <m/>
    <m/>
  </r>
  <r>
    <x v="13"/>
    <x v="2"/>
    <s v="F:\images\20210512\plaque 2/@01 Testo 30/C1_01.tif "/>
    <s v=" 5191.1747 "/>
    <s v=" 63.5167 "/>
    <x v="0"/>
    <n v="329726"/>
    <m/>
    <m/>
    <m/>
  </r>
  <r>
    <x v="13"/>
    <x v="2"/>
    <s v="F:\images\20210512\plaque 2/@01 Testo 30/C1_02.tif "/>
    <s v=" 7419.0539 "/>
    <s v=" 64.3615 "/>
    <x v="0"/>
    <n v="477502"/>
    <m/>
    <m/>
    <m/>
  </r>
  <r>
    <x v="13"/>
    <x v="2"/>
    <s v="F:\images\20210512\plaque 2/@01 Testo 30/C1_03.tif "/>
    <s v=" 15422.1149 "/>
    <s v=" 65.7349 "/>
    <x v="0"/>
    <n v="1013772"/>
    <m/>
    <m/>
    <m/>
  </r>
  <r>
    <x v="13"/>
    <x v="3"/>
    <s v="F:\images\20210512\plaque 2/@01 Testo 30/D1_01.tif "/>
    <s v=" 15422.1149 "/>
    <s v=" 65.0042 "/>
    <x v="0"/>
    <n v="1002502"/>
    <m/>
    <m/>
    <m/>
  </r>
  <r>
    <x v="13"/>
    <x v="3"/>
    <s v="F:\images\20210512\plaque 2/@01 Testo 30/D1_02.tif "/>
    <s v=" 14383.8799 "/>
    <s v=" 64.2256 "/>
    <x v="0"/>
    <n v="923813"/>
    <m/>
    <m/>
    <m/>
  </r>
  <r>
    <x v="13"/>
    <x v="3"/>
    <s v="F:\images\20210512\plaque 2/@01 Testo 30/D1_03.tif "/>
    <s v=" 19077.5671 "/>
    <s v=" 65.8243 "/>
    <x v="0"/>
    <n v="1255767"/>
    <m/>
    <m/>
    <m/>
  </r>
  <r>
    <x v="13"/>
    <x v="4"/>
    <s v="F:\images\20210512\plaque 2/@01 Testo 30/E1_01- exclu.tif"/>
    <m/>
    <m/>
    <x v="1"/>
    <m/>
    <m/>
    <m/>
    <m/>
  </r>
  <r>
    <x v="13"/>
    <x v="4"/>
    <s v="F:\images\20210512\plaque 2/@01 Testo 30/E1_02- exclu.tif"/>
    <m/>
    <m/>
    <x v="1"/>
    <m/>
    <m/>
    <m/>
    <m/>
  </r>
  <r>
    <x v="13"/>
    <x v="4"/>
    <s v="F:\images\20210512\plaque 2/@01 Testo 30/E1_03.tif "/>
    <s v=" 1708.7617 "/>
    <s v=" 65.1899 "/>
    <x v="0"/>
    <n v="111394"/>
    <m/>
    <m/>
    <m/>
  </r>
  <r>
    <x v="13"/>
    <x v="5"/>
    <s v="F:\images\20210512\plaque 2/@01 Testo 30/F1_01.tif "/>
    <s v=" 11593.6235 "/>
    <s v=" 65.0485 "/>
    <x v="0"/>
    <n v="754148"/>
    <m/>
    <m/>
    <m/>
  </r>
  <r>
    <x v="13"/>
    <x v="5"/>
    <s v="F:\images\20210512\plaque 2/@01 Testo 30/F1_02.tif "/>
    <s v=" 13540.314 "/>
    <s v=" 65.5288 "/>
    <x v="0"/>
    <n v="887280"/>
    <m/>
    <m/>
    <m/>
  </r>
  <r>
    <x v="13"/>
    <x v="5"/>
    <s v="F:\images\20210512\plaque 2/@01 Testo 30/F1_03.tif "/>
    <s v=" 15011.1469 "/>
    <s v=" 66.513 "/>
    <x v="0"/>
    <n v="998436"/>
    <m/>
    <m/>
    <m/>
  </r>
  <r>
    <x v="13"/>
    <x v="6"/>
    <s v="F:\images\20210512\plaque 2/@01 Testo 30/G1_01.tif "/>
    <s v=" 54334.2953 "/>
    <s v=" 73.1222 "/>
    <x v="0"/>
    <n v="3973044"/>
    <m/>
    <m/>
    <m/>
  </r>
  <r>
    <x v="13"/>
    <x v="6"/>
    <s v="F:\images\20210512\plaque 2/@01 Testo 30/G1_02.tif "/>
    <s v=" 47823.697 "/>
    <s v=" 72.957 "/>
    <x v="0"/>
    <n v="3489075"/>
    <m/>
    <m/>
    <m/>
  </r>
  <r>
    <x v="13"/>
    <x v="6"/>
    <s v="F:\images\20210512\plaque 2/@01 Testo 30/G1_03.tif "/>
    <s v=" 55675.3488 "/>
    <s v=" 74.392 "/>
    <x v="0"/>
    <n v="4141800"/>
    <m/>
    <m/>
    <m/>
  </r>
  <r>
    <x v="13"/>
    <x v="7"/>
    <s v="F:\images\20210512\plaque 2/@01 Testo 30/H1_01- exclu.tif"/>
    <m/>
    <m/>
    <x v="1"/>
    <m/>
    <m/>
    <m/>
    <m/>
  </r>
  <r>
    <x v="13"/>
    <x v="7"/>
    <s v="F:\images\20210512\plaque 2/@01 Testo 30/H1_02.tif "/>
    <s v=" 4023.1604 "/>
    <s v=" 65.7581 "/>
    <x v="0"/>
    <n v="264555"/>
    <m/>
    <m/>
    <m/>
  </r>
  <r>
    <x v="13"/>
    <x v="7"/>
    <s v="F:\images\20210512\plaque 2/@01 Testo 30/H1_03.tif "/>
    <s v=" 3633.8223 "/>
    <s v=" 67.3631 "/>
    <x v="0"/>
    <n v="244786"/>
    <m/>
    <m/>
    <m/>
  </r>
  <r>
    <x v="1"/>
    <x v="8"/>
    <s v=" "/>
    <m/>
    <m/>
    <x v="1"/>
    <m/>
    <m/>
    <m/>
    <m/>
  </r>
  <r>
    <x v="1"/>
    <x v="8"/>
    <s v="group "/>
    <s v=" "/>
    <s v=" mean of mean fluo "/>
    <x v="2"/>
    <s v=" mean of total fluo "/>
    <s v=" SD total fluo "/>
    <s v=" n fluorescent "/>
    <s v=" n total"/>
  </r>
  <r>
    <x v="13"/>
    <x v="9"/>
    <s v="F:\images\20210512\plaque 2/@01 Testo 30/ "/>
    <s v=" "/>
    <s v=" 66.2624 "/>
    <x v="15"/>
    <s v=" 1041686.71 "/>
    <s v=" 1181076.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512\plaque 2/@02 Testo 30/A2_01.tif "/>
    <s v=" 3633.8223 "/>
    <s v=" 63.5952 "/>
    <x v="0"/>
    <n v="231094"/>
    <m/>
    <m/>
    <m/>
  </r>
  <r>
    <x v="14"/>
    <x v="0"/>
    <s v="F:\images\20210512\plaque 2/@02 Testo 30/A2_02.tif "/>
    <s v=" 2963.2956 "/>
    <s v=" 63.3723 "/>
    <x v="0"/>
    <n v="187791"/>
    <m/>
    <m/>
    <m/>
  </r>
  <r>
    <x v="14"/>
    <x v="0"/>
    <s v="F:\images\20210512\plaque 2/@02 Testo 30/A2_03- exclu.tif"/>
    <m/>
    <m/>
    <x v="1"/>
    <m/>
    <m/>
    <m/>
    <m/>
  </r>
  <r>
    <x v="14"/>
    <x v="1"/>
    <s v="F:\images\20210512\plaque 2/@02 Testo 30/B2_01.tif "/>
    <s v=" 951.7154 "/>
    <s v=" 63.8182 "/>
    <x v="0"/>
    <n v="60737"/>
    <m/>
    <m/>
    <m/>
  </r>
  <r>
    <x v="14"/>
    <x v="1"/>
    <s v="F:\images\20210512\plaque 2/@02 Testo 30/B2_02- exclu.tif"/>
    <m/>
    <m/>
    <x v="1"/>
    <m/>
    <m/>
    <m/>
    <m/>
  </r>
  <r>
    <x v="14"/>
    <x v="1"/>
    <s v="F:\images\20210512\plaque 2/@02 Testo 30/B2_03.tif "/>
    <s v=" 2292.7688 "/>
    <s v=" 63.7736 "/>
    <x v="0"/>
    <n v="146218"/>
    <m/>
    <m/>
    <m/>
  </r>
  <r>
    <x v="14"/>
    <x v="2"/>
    <s v="F:\images\20210512\plaque 2/@02 Testo 30/C2_01.tif "/>
    <s v=" 2898.4059 "/>
    <s v=" 63.5746 "/>
    <x v="0"/>
    <n v="184265"/>
    <m/>
    <m/>
    <m/>
  </r>
  <r>
    <x v="14"/>
    <x v="2"/>
    <s v="F:\images\20210512\plaque 2/@02 Testo 30/C2_02.tif "/>
    <s v=" 4282.7191 "/>
    <s v=" 63.7626 "/>
    <x v="0"/>
    <n v="273077"/>
    <m/>
    <m/>
    <m/>
  </r>
  <r>
    <x v="14"/>
    <x v="2"/>
    <s v="F:\images\20210512\plaque 2/@02 Testo 30/C2_03.tif "/>
    <s v=" 9798.3423 "/>
    <s v=" 64.7461 "/>
    <x v="0"/>
    <n v="634405"/>
    <m/>
    <m/>
    <m/>
  </r>
  <r>
    <x v="14"/>
    <x v="3"/>
    <s v="F:\images\20210512\plaque 2/@02 Testo 30/D2_01.tif "/>
    <s v=" 5407.4737 "/>
    <s v=" 64.392 "/>
    <x v="0"/>
    <n v="348198"/>
    <m/>
    <m/>
    <m/>
  </r>
  <r>
    <x v="14"/>
    <x v="3"/>
    <s v="F:\images\20210512\plaque 2/@02 Testo 30/D2_02.tif "/>
    <s v=" 10728.4277 "/>
    <s v=" 66.9093 "/>
    <x v="0"/>
    <n v="717831"/>
    <m/>
    <m/>
    <m/>
  </r>
  <r>
    <x v="14"/>
    <x v="3"/>
    <s v="F:\images\20210512\plaque 2/@02 Testo 30/D2_03- exclu.tif"/>
    <m/>
    <m/>
    <x v="1"/>
    <m/>
    <m/>
    <m/>
    <m/>
  </r>
  <r>
    <x v="14"/>
    <x v="4"/>
    <s v="F:\images\20210512\plaque 2/@02 Testo 30/E2_01.tif "/>
    <s v=" 15854.7128 "/>
    <s v=" 65.693 "/>
    <x v="0"/>
    <n v="1041544"/>
    <m/>
    <m/>
    <m/>
  </r>
  <r>
    <x v="14"/>
    <x v="4"/>
    <s v="F:\images\20210512\plaque 2/@02 Testo 30/E2_02.tif "/>
    <s v=" 18255.6311 "/>
    <s v=" 66.7062 "/>
    <x v="0"/>
    <n v="1217763"/>
    <m/>
    <m/>
    <m/>
  </r>
  <r>
    <x v="14"/>
    <x v="4"/>
    <s v="F:\images\20210512\plaque 2/@02 Testo 30/E2_03.tif "/>
    <s v=" 19337.1258 "/>
    <s v=" 66.8949 "/>
    <x v="0"/>
    <n v="1293554"/>
    <m/>
    <m/>
    <m/>
  </r>
  <r>
    <x v="14"/>
    <x v="5"/>
    <s v="F:\images\20210512\plaque 2/@02 Testo 30/F2_01.tif "/>
    <s v=" 29438.2866 "/>
    <s v=" 70.0279 "/>
    <x v="0"/>
    <n v="2061502"/>
    <m/>
    <m/>
    <m/>
  </r>
  <r>
    <x v="14"/>
    <x v="5"/>
    <s v="F:\images\20210512\plaque 2/@02 Testo 30/F2_02.tif "/>
    <s v=" 29611.3257 "/>
    <s v=" 70.225 "/>
    <x v="0"/>
    <n v="2079455"/>
    <m/>
    <m/>
    <m/>
  </r>
  <r>
    <x v="14"/>
    <x v="5"/>
    <s v="F:\images\20210512\plaque 2/@02 Testo 30/F2_03.tif "/>
    <s v=" 30000.6639 "/>
    <s v=" 71.9683 "/>
    <x v="0"/>
    <n v="2159096"/>
    <m/>
    <m/>
    <m/>
  </r>
  <r>
    <x v="14"/>
    <x v="6"/>
    <s v="F:\images\20210512\plaque 2/@02 Testo 30/G2_01.tif "/>
    <s v=" 52474.1244 "/>
    <s v=" 74.3021 "/>
    <x v="0"/>
    <n v="3898940"/>
    <m/>
    <m/>
    <m/>
  </r>
  <r>
    <x v="14"/>
    <x v="6"/>
    <s v="F:\images\20210512\plaque 2/@02 Testo 30/G2_02.tif "/>
    <s v=" 46050.0457 "/>
    <s v=" 74.2969 "/>
    <x v="0"/>
    <n v="3421373"/>
    <m/>
    <m/>
    <m/>
  </r>
  <r>
    <x v="14"/>
    <x v="6"/>
    <s v="F:\images\20210512\plaque 2/@02 Testo 30/G2_03.tif "/>
    <s v=" 48559.1134 "/>
    <s v=" 74.4918 "/>
    <x v="0"/>
    <n v="3617254"/>
    <m/>
    <m/>
    <m/>
  </r>
  <r>
    <x v="14"/>
    <x v="7"/>
    <s v="F:\images\20210512\plaque 2/@02 Testo 30/H2_01.tif "/>
    <s v=" 21521.7452 "/>
    <s v=" 67.5698 "/>
    <x v="0"/>
    <n v="1454221"/>
    <m/>
    <m/>
    <m/>
  </r>
  <r>
    <x v="14"/>
    <x v="7"/>
    <s v="F:\images\20210512\plaque 2/@02 Testo 30/H2_02.tif "/>
    <s v=" 18320.5208 "/>
    <s v=" 66.5218 "/>
    <x v="0"/>
    <n v="1218715"/>
    <m/>
    <m/>
    <m/>
  </r>
  <r>
    <x v="14"/>
    <x v="7"/>
    <s v="F:\images\20210512\plaque 2/@02 Testo 30/H2_03.tif "/>
    <s v=" 19899.5031 "/>
    <s v=" 67.775 "/>
    <x v="0"/>
    <n v="1348689"/>
    <m/>
    <m/>
    <m/>
  </r>
  <r>
    <x v="1"/>
    <x v="8"/>
    <s v=" "/>
    <m/>
    <m/>
    <x v="1"/>
    <m/>
    <m/>
    <m/>
    <m/>
  </r>
  <r>
    <x v="1"/>
    <x v="8"/>
    <s v="group "/>
    <s v=" "/>
    <s v=" mean of mean fluo "/>
    <x v="2"/>
    <s v=" mean of total fluo "/>
    <s v=" SD total fluo "/>
    <s v=" n fluorescent "/>
    <s v=" n total"/>
  </r>
  <r>
    <x v="14"/>
    <x v="9"/>
    <s v="F:\images\20210512\plaque 2/@02 Testo 30/ "/>
    <s v=" "/>
    <s v=" 66.9546 "/>
    <x v="16"/>
    <s v=" 1172574.58 "/>
    <s v=" 1167776.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512\plaque 2/@03 Testo+ EE2 64/A3_01.tif "/>
    <s v=" 42632.5223 "/>
    <s v=" 70.9762 "/>
    <x v="0"/>
    <n v="3025892"/>
    <m/>
    <m/>
    <m/>
  </r>
  <r>
    <x v="15"/>
    <x v="0"/>
    <s v="F:\images\20210512\plaque 2/@03 Testo+ EE2 64/A3_02.tif "/>
    <s v=" 41551.0276 "/>
    <s v=" 70.1546 "/>
    <x v="0"/>
    <n v="2914996"/>
    <m/>
    <m/>
    <m/>
  </r>
  <r>
    <x v="15"/>
    <x v="0"/>
    <s v="F:\images\20210512\plaque 2/@03 Testo+ EE2 64/A3_03.tif "/>
    <s v=" 50743.7328 "/>
    <s v=" 74.3167 "/>
    <x v="0"/>
    <n v="3771107"/>
    <m/>
    <m/>
    <m/>
  </r>
  <r>
    <x v="15"/>
    <x v="1"/>
    <s v="F:\images\20210512\plaque 2/@03 Testo+ EE2 64/B3_01.tif "/>
    <s v=" 18882.898 "/>
    <s v=" 67.3585 "/>
    <x v="0"/>
    <n v="1271924"/>
    <m/>
    <m/>
    <m/>
  </r>
  <r>
    <x v="15"/>
    <x v="1"/>
    <s v="F:\images\20210512\plaque 2/@03 Testo+ EE2 64/B3_02.tif "/>
    <s v=" 28811.0196 "/>
    <s v=" 70.7005 "/>
    <x v="0"/>
    <n v="2036952"/>
    <m/>
    <m/>
    <m/>
  </r>
  <r>
    <x v="15"/>
    <x v="1"/>
    <s v="F:\images\20210512\plaque 2/@03 Testo+ EE2 64/B3_03.tif "/>
    <s v=" 33115.3687 "/>
    <s v=" 78.1332 "/>
    <x v="0"/>
    <n v="2587411"/>
    <m/>
    <m/>
    <m/>
  </r>
  <r>
    <x v="15"/>
    <x v="2"/>
    <s v="F:\images\20210512\plaque 2/@03 Testo+ EE2 64/C3_01.tif "/>
    <s v=" 22451.8306 "/>
    <s v=" 68.8738 "/>
    <x v="0"/>
    <n v="1546343"/>
    <m/>
    <m/>
    <m/>
  </r>
  <r>
    <x v="15"/>
    <x v="2"/>
    <s v="F:\images\20210512\plaque 2/@03 Testo+ EE2 64/C3_02.tif "/>
    <s v=" 24593.1902 "/>
    <s v=" 68.1337 "/>
    <x v="0"/>
    <n v="1675625"/>
    <m/>
    <m/>
    <m/>
  </r>
  <r>
    <x v="15"/>
    <x v="2"/>
    <s v="F:\images\20210512\plaque 2/@03 Testo+ EE2 64/C3_03.tif "/>
    <s v=" 20159.0618 "/>
    <s v=" 72.265 "/>
    <x v="0"/>
    <n v="1456795"/>
    <m/>
    <m/>
    <m/>
  </r>
  <r>
    <x v="15"/>
    <x v="3"/>
    <s v="F:\images\20210512\plaque 2/@03 Testo+ EE2 64/D3_01.tif "/>
    <s v=" 24939.2685 "/>
    <s v=" 64.7034 "/>
    <x v="0"/>
    <n v="1613655"/>
    <m/>
    <m/>
    <m/>
  </r>
  <r>
    <x v="15"/>
    <x v="3"/>
    <s v="F:\images\20210512\plaque 2/@03 Testo+ EE2 64/D3_02.tif "/>
    <s v=" 42481.1131 "/>
    <s v=" 76.5677 "/>
    <x v="0"/>
    <n v="3252682"/>
    <m/>
    <m/>
    <m/>
  </r>
  <r>
    <x v="15"/>
    <x v="3"/>
    <s v="F:\images\20210512\plaque 2/@03 Testo+ EE2 64/D3_03.tif "/>
    <s v=" 48970.0814 "/>
    <s v=" 76.6166 "/>
    <x v="0"/>
    <n v="3751922"/>
    <m/>
    <m/>
    <m/>
  </r>
  <r>
    <x v="15"/>
    <x v="4"/>
    <s v="F:\images\20210512\plaque 2/@03 Testo+ EE2 64/E3_01.tif "/>
    <s v=" 36511.2621 "/>
    <s v=" 70.4111 "/>
    <x v="0"/>
    <n v="2570799"/>
    <m/>
    <m/>
    <m/>
  </r>
  <r>
    <x v="15"/>
    <x v="4"/>
    <s v="F:\images\20210512\plaque 2/@03 Testo+ EE2 64/E3_02.tif "/>
    <s v=" 39669.2267 "/>
    <s v=" 72.3888 "/>
    <x v="0"/>
    <n v="2871606"/>
    <m/>
    <m/>
    <m/>
  </r>
  <r>
    <x v="15"/>
    <x v="4"/>
    <s v="F:\images\20210512\plaque 2/@03 Testo+ EE2 64/E3_03.tif "/>
    <s v=" 39863.8958 "/>
    <s v=" 72.3087 "/>
    <x v="0"/>
    <n v="2882508"/>
    <m/>
    <m/>
    <m/>
  </r>
  <r>
    <x v="15"/>
    <x v="5"/>
    <s v="F:\images\20210512\plaque 2/@03 Testo+ EE2 64/F3_01.tif "/>
    <s v=" 44730.6221 "/>
    <s v=" 69.3095 "/>
    <x v="0"/>
    <n v="3100256"/>
    <m/>
    <m/>
    <m/>
  </r>
  <r>
    <x v="15"/>
    <x v="5"/>
    <s v="F:\images\20210512\plaque 2/@03 Testo+ EE2 64/F3_02.tif "/>
    <s v=" 41788.9564 "/>
    <s v=" 70.7987 "/>
    <x v="0"/>
    <n v="2958602"/>
    <m/>
    <m/>
    <m/>
  </r>
  <r>
    <x v="15"/>
    <x v="5"/>
    <s v="F:\images\20210512\plaque 2/@03 Testo+ EE2 64/F3_03.tif "/>
    <s v=" 46266.3446 "/>
    <s v=" 69.7952 "/>
    <x v="0"/>
    <n v="3229170"/>
    <m/>
    <m/>
    <m/>
  </r>
  <r>
    <x v="15"/>
    <x v="6"/>
    <s v="F:\images\20210512\plaque 2/@03 Testo+ EE2 64/G3_01.tif "/>
    <s v=" 25220.4571 "/>
    <s v=" 69.9391 "/>
    <x v="0"/>
    <n v="1763896"/>
    <m/>
    <m/>
    <m/>
  </r>
  <r>
    <x v="15"/>
    <x v="6"/>
    <s v="F:\images\20210512\plaque 2/@03 Testo+ EE2 64/G3_02.tif "/>
    <s v=" 36576.1518 "/>
    <s v=" 72.33 "/>
    <x v="0"/>
    <n v="2645552"/>
    <m/>
    <m/>
    <m/>
  </r>
  <r>
    <x v="15"/>
    <x v="6"/>
    <s v="F:\images\20210512\plaque 2/@03 Testo+ EE2 64/G3_03.tif "/>
    <s v=" 35343.2478 "/>
    <s v=" 71.2173 "/>
    <x v="0"/>
    <n v="2517049"/>
    <m/>
    <m/>
    <m/>
  </r>
  <r>
    <x v="15"/>
    <x v="7"/>
    <s v="F:\images\20210512\plaque 2/@03 Testo+ EE2 64/H3_01.tif "/>
    <s v=" 38825.6609 "/>
    <s v=" 70.5794 "/>
    <x v="0"/>
    <n v="2740291"/>
    <m/>
    <m/>
    <m/>
  </r>
  <r>
    <x v="15"/>
    <x v="7"/>
    <s v="F:\images\20210512\plaque 2/@03 Testo+ EE2 64/H3_02.tif "/>
    <s v=" 36035.4045 "/>
    <s v=" 69.3055 "/>
    <x v="0"/>
    <n v="2497453"/>
    <m/>
    <m/>
    <m/>
  </r>
  <r>
    <x v="15"/>
    <x v="7"/>
    <s v="F:\images\20210512\plaque 2/@03 Testo+ EE2 64/H3_03.tif "/>
    <s v=" 39582.7072 "/>
    <s v=" 69.7541 "/>
    <x v="0"/>
    <n v="2761056"/>
    <m/>
    <m/>
    <m/>
  </r>
  <r>
    <x v="1"/>
    <x v="8"/>
    <s v=" "/>
    <m/>
    <m/>
    <x v="1"/>
    <m/>
    <m/>
    <m/>
    <m/>
  </r>
  <r>
    <x v="1"/>
    <x v="8"/>
    <s v="group "/>
    <s v=" "/>
    <s v=" mean of mean fluo "/>
    <x v="2"/>
    <s v=" mean of total fluo "/>
    <s v=" SD total fluo "/>
    <s v=" n fluorescent "/>
    <s v=" n total"/>
  </r>
  <r>
    <x v="15"/>
    <x v="9"/>
    <s v="F:\images\20210512\plaque 2/@03 Testo+ EE2 64/ "/>
    <s v=" "/>
    <s v=" 71.1224 "/>
    <x v="17"/>
    <s v=" 2560147.58 "/>
    <s v=" 703581.6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512\plaque 2/@04 Testo+ FAD/A4_01.tif "/>
    <s v=" 237.9288 "/>
    <s v=" 63.1818 "/>
    <x v="0"/>
    <n v="15033"/>
    <m/>
    <m/>
    <m/>
  </r>
  <r>
    <x v="16"/>
    <x v="0"/>
    <s v="F:\images\20210512\plaque 2/@04 Testo+ FAD/A4_02.tif "/>
    <s v=" 259.5587 "/>
    <s v=" 62.75 "/>
    <x v="0"/>
    <n v="16287"/>
    <m/>
    <m/>
    <m/>
  </r>
  <r>
    <x v="16"/>
    <x v="0"/>
    <s v="F:\images\20210512\plaque 2/@04 Testo+ FAD/A4_03.tif "/>
    <s v=" 3871.7511 "/>
    <s v=" 67.6257 "/>
    <x v="0"/>
    <n v="261830"/>
    <m/>
    <m/>
    <m/>
  </r>
  <r>
    <x v="16"/>
    <x v="1"/>
    <s v="F:\images\20210512\plaque 2/@04 Testo+ FAD/B4_01.tif "/>
    <s v=" 670.5267 "/>
    <s v=" 64.1935 "/>
    <x v="0"/>
    <n v="43043"/>
    <m/>
    <m/>
    <m/>
  </r>
  <r>
    <x v="16"/>
    <x v="1"/>
    <s v="F:\images\20210512\plaque 2/@04 Testo+ FAD/B4_02.tif "/>
    <s v=" 173.0392 "/>
    <s v=" 64.25 "/>
    <x v="0"/>
    <n v="11118"/>
    <m/>
    <m/>
    <m/>
  </r>
  <r>
    <x v="16"/>
    <x v="1"/>
    <s v="F:\images\20210512\plaque 2/@04 Testo+ FAD/B4_03.tif "/>
    <s v=" 1514.0926 "/>
    <s v=" 63.9429 "/>
    <x v="0"/>
    <n v="96815"/>
    <m/>
    <m/>
    <m/>
  </r>
  <r>
    <x v="16"/>
    <x v="2"/>
    <s v="F:\images\20210512\plaque 2/@04 Testo+ FAD/C4_01.tif "/>
    <s v=" 908.4556 "/>
    <s v=" 62.8571 "/>
    <x v="0"/>
    <n v="57103"/>
    <m/>
    <m/>
    <m/>
  </r>
  <r>
    <x v="16"/>
    <x v="2"/>
    <s v="F:\images\20210512\plaque 2/@04 Testo+ FAD/C4_02.tif "/>
    <s v=" 346.0783 "/>
    <s v=" 64.25 "/>
    <x v="0"/>
    <n v="22236"/>
    <m/>
    <m/>
    <m/>
  </r>
  <r>
    <x v="16"/>
    <x v="2"/>
    <s v="F:\images\20210512\plaque 2/@04 Testo+ FAD/C4_03.tif "/>
    <s v=" 194.6691 "/>
    <s v=" 63.6667 "/>
    <x v="0"/>
    <n v="12394"/>
    <m/>
    <m/>
    <m/>
  </r>
  <r>
    <x v="16"/>
    <x v="3"/>
    <s v="F:\images\20210512\plaque 2/@04 Testo+ FAD/D4_01.tif "/>
    <s v=" 151.4093 "/>
    <s v=" 62.2857 "/>
    <x v="0"/>
    <n v="9431"/>
    <m/>
    <m/>
    <m/>
  </r>
  <r>
    <x v="16"/>
    <x v="3"/>
    <s v="F:\images\20210512\plaque 2/@04 Testo+ FAD/D4_02.tif "/>
    <s v=" 129.7794 "/>
    <s v=" 62.3333 "/>
    <x v="0"/>
    <n v="8090"/>
    <m/>
    <m/>
    <m/>
  </r>
  <r>
    <x v="16"/>
    <x v="3"/>
    <s v="F:\images\20210512\plaque 2/@04 Testo+ FAD/D4_03.tif "/>
    <s v=" 367.7082 "/>
    <s v=" 64.0588 "/>
    <x v="0"/>
    <n v="23555"/>
    <m/>
    <m/>
    <m/>
  </r>
  <r>
    <x v="16"/>
    <x v="4"/>
    <s v="F:\images\20210512\plaque 2/@04 Testo+ FAD/E4_01.tif "/>
    <s v=" 129.7794 "/>
    <s v=" 61.5 "/>
    <x v="0"/>
    <n v="7981"/>
    <m/>
    <m/>
    <m/>
  </r>
  <r>
    <x v="16"/>
    <x v="4"/>
    <s v="F:\images\20210512\plaque 2/@04 Testo+ FAD/E4_02.tif "/>
    <s v=" 259.5587 "/>
    <s v=" 62.5 "/>
    <x v="0"/>
    <n v="16222"/>
    <m/>
    <m/>
    <m/>
  </r>
  <r>
    <x v="16"/>
    <x v="4"/>
    <s v="F:\images\20210512\plaque 2/@04 Testo+ FAD/E4_03.tif "/>
    <s v=" 1168.0143 "/>
    <s v=" 64.7963 "/>
    <x v="0"/>
    <n v="75683"/>
    <m/>
    <m/>
    <m/>
  </r>
  <r>
    <x v="16"/>
    <x v="5"/>
    <s v="F:\images\20210512\plaque 2/@04 Testo+ FAD/F4_01.tif "/>
    <s v=" 886.8257 "/>
    <s v=" 64.1707 "/>
    <x v="0"/>
    <n v="56908"/>
    <m/>
    <m/>
    <m/>
  </r>
  <r>
    <x v="16"/>
    <x v="5"/>
    <s v="F:\images\20210512\plaque 2/@04 Testo+ FAD/F4_02.tif "/>
    <s v=" 432.5979 "/>
    <s v=" 64.25 "/>
    <x v="0"/>
    <n v="27794"/>
    <m/>
    <m/>
    <m/>
  </r>
  <r>
    <x v="16"/>
    <x v="5"/>
    <s v="F:\images\20210512\plaque 2/@04 Testo+ FAD/F4_03.tif "/>
    <s v=" 1038.2349 "/>
    <s v=" 63.4375 "/>
    <x v="0"/>
    <n v="65863"/>
    <m/>
    <m/>
    <m/>
  </r>
  <r>
    <x v="16"/>
    <x v="6"/>
    <s v="F:\images\20210512\plaque 2/@04 Testo+ FAD/G4_01.tif "/>
    <s v=" 281.1886 "/>
    <s v=" 62.9231 "/>
    <x v="0"/>
    <n v="17693"/>
    <m/>
    <m/>
    <m/>
  </r>
  <r>
    <x v="16"/>
    <x v="6"/>
    <s v="F:\images\20210512\plaque 2/@04 Testo+ FAD/G4_02.tif "/>
    <s v=" 692.1566 "/>
    <s v=" 63.7188 "/>
    <x v="0"/>
    <n v="44103"/>
    <m/>
    <m/>
    <m/>
  </r>
  <r>
    <x v="16"/>
    <x v="6"/>
    <s v="F:\images\20210512\plaque 2/@04 Testo+ FAD/G4_03.tif "/>
    <s v=" 1622.2421 "/>
    <s v=" 64.2533 "/>
    <x v="0"/>
    <n v="104234"/>
    <m/>
    <m/>
    <m/>
  </r>
  <r>
    <x v="16"/>
    <x v="7"/>
    <s v="F:\images\20210512\plaque 2/@04 Testo+ FAD/H4_01.tif "/>
    <s v=" 6575.488 "/>
    <s v=" 74.875 "/>
    <x v="0"/>
    <n v="492340"/>
    <m/>
    <m/>
    <m/>
  </r>
  <r>
    <x v="16"/>
    <x v="7"/>
    <s v="F:\images\20210512\plaque 2/@04 Testo+ FAD/H4_02.tif "/>
    <s v=" 346.0783 "/>
    <s v=" 62.5625 "/>
    <x v="0"/>
    <n v="21652"/>
    <m/>
    <m/>
    <m/>
  </r>
  <r>
    <x v="16"/>
    <x v="7"/>
    <s v="F:\images\20210512\plaque 2/@04 Testo+ FAD/H4_03.tif "/>
    <s v=" 3763.6017 "/>
    <s v=" 65.4253 "/>
    <x v="0"/>
    <n v="246235"/>
    <m/>
    <m/>
    <m/>
  </r>
  <r>
    <x v="1"/>
    <x v="8"/>
    <s v=" "/>
    <m/>
    <m/>
    <x v="1"/>
    <m/>
    <m/>
    <m/>
    <m/>
  </r>
  <r>
    <x v="1"/>
    <x v="8"/>
    <s v="group "/>
    <s v=" "/>
    <s v=" mean of mean fluo "/>
    <x v="2"/>
    <s v=" mean of total fluo "/>
    <s v=" SD total fluo "/>
    <s v=" n fluorescent "/>
    <s v=" n total"/>
  </r>
  <r>
    <x v="16"/>
    <x v="9"/>
    <s v="F:\images\20210512\plaque 2/@04 Testo+ FAD/ "/>
    <s v=" "/>
    <s v=" 64.1587 "/>
    <x v="18"/>
    <s v=" 73068.4583 "/>
    <s v=" 111881.8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512\plaque 2/@05 Estrone 0.04 µg_LL dopé/A5_01.tif "/>
    <s v=" 2768.6265 "/>
    <s v=" 62.9688 "/>
    <x v="0"/>
    <n v="174337"/>
    <m/>
    <m/>
    <m/>
  </r>
  <r>
    <x v="17"/>
    <x v="0"/>
    <s v="F:\images\20210512\plaque 2/@05 Estrone 0.04 µg_LL dopé/A5_02.tif "/>
    <s v=" 2898.4059 "/>
    <s v=" 63.791 "/>
    <x v="0"/>
    <n v="184892"/>
    <m/>
    <m/>
    <m/>
  </r>
  <r>
    <x v="17"/>
    <x v="0"/>
    <s v="F:\images\20210512\plaque 2/@05 Estrone 0.04 µg_LL dopé/A5_03.tif "/>
    <s v=" 11225.9153 "/>
    <s v=" 65.9268 "/>
    <x v="0"/>
    <n v="740088"/>
    <m/>
    <m/>
    <m/>
  </r>
  <r>
    <x v="17"/>
    <x v="1"/>
    <s v="F:\images\20210512\plaque 2/@05 Estrone 0.04 µg_LL dopé/B5_01.tif "/>
    <s v=" 14210.8408 "/>
    <s v=" 66.6591 "/>
    <x v="0"/>
    <n v="947281"/>
    <m/>
    <m/>
    <m/>
  </r>
  <r>
    <x v="17"/>
    <x v="1"/>
    <s v="F:\images\20210512\plaque 2/@05 Estrone 0.04 µg_LL dopé/B5_02.tif "/>
    <s v=" 15616.7839 "/>
    <s v=" 70.7867 "/>
    <x v="0"/>
    <n v="1105461"/>
    <m/>
    <m/>
    <m/>
  </r>
  <r>
    <x v="17"/>
    <x v="1"/>
    <s v="F:\images\20210512\plaque 2/@05 Estrone 0.04 µg_LL dopé/B5_03.tif "/>
    <s v=" 39063.5897 "/>
    <s v=" 73.6938 "/>
    <x v="0"/>
    <n v="2878744"/>
    <m/>
    <m/>
    <m/>
  </r>
  <r>
    <x v="17"/>
    <x v="2"/>
    <s v="F:\images\20210512\plaque 2/@05 Estrone 0.04 µg_LL dopé/C5_01.tif "/>
    <s v=" 12264.1503 "/>
    <s v=" 65.8836 "/>
    <x v="0"/>
    <n v="808006"/>
    <m/>
    <m/>
    <m/>
  </r>
  <r>
    <x v="17"/>
    <x v="2"/>
    <s v="F:\images\20210512\plaque 2/@05 Estrone 0.04 µg_LL dopé/C5_02.tif "/>
    <s v=" 9041.296 "/>
    <s v=" 64.677 "/>
    <x v="0"/>
    <n v="584764"/>
    <m/>
    <m/>
    <m/>
  </r>
  <r>
    <x v="17"/>
    <x v="2"/>
    <s v="F:\images\20210512\plaque 2/@05 Estrone 0.04 µg_LL dopé/C5_03.tif "/>
    <s v=" 12913.0471 "/>
    <s v=" 65.9079 "/>
    <x v="0"/>
    <n v="851071"/>
    <m/>
    <m/>
    <m/>
  </r>
  <r>
    <x v="17"/>
    <x v="3"/>
    <s v="F:\images\20210512\plaque 2/@05 Estrone 0.04 µg_LL dopé/D5_01.tif "/>
    <s v=" 6359.189 "/>
    <s v=" 63.5238 "/>
    <x v="0"/>
    <n v="403960"/>
    <m/>
    <m/>
    <m/>
  </r>
  <r>
    <x v="17"/>
    <x v="3"/>
    <s v="F:\images\20210512\plaque 2/@05 Estrone 0.04 µg_LL dopé/D5_02.tif "/>
    <s v=" 5234.4345 "/>
    <s v=" 63.8182 "/>
    <x v="0"/>
    <n v="334052"/>
    <m/>
    <m/>
    <m/>
  </r>
  <r>
    <x v="17"/>
    <x v="3"/>
    <s v="F:\images\20210512\plaque 2/@05 Estrone 0.04 µg_LL dopé/D5_03.tif "/>
    <s v=" 6402.4488 "/>
    <s v=" 64.6824 "/>
    <x v="0"/>
    <n v="414126"/>
    <m/>
    <m/>
    <m/>
  </r>
  <r>
    <x v="17"/>
    <x v="4"/>
    <s v="F:\images\20210512\plaque 2/@05 Estrone 0.04 µg_LL dopé/E5_01.tif "/>
    <s v=" 18753.1186 "/>
    <s v=" 68.609 "/>
    <x v="0"/>
    <n v="1286633"/>
    <m/>
    <m/>
    <m/>
  </r>
  <r>
    <x v="17"/>
    <x v="4"/>
    <s v="F:\images\20210512\plaque 2/@05 Estrone 0.04 µg_LL dopé/E5_02.tif "/>
    <s v=" 18017.7022 "/>
    <s v=" 67.5738 "/>
    <x v="0"/>
    <n v="1217525"/>
    <m/>
    <m/>
    <m/>
  </r>
  <r>
    <x v="17"/>
    <x v="4"/>
    <s v="F:\images\20210512\plaque 2/@05 Estrone 0.04 µg_LL dopé/E5_03.tif "/>
    <s v=" 20634.9195 "/>
    <s v=" 69.001 "/>
    <x v="0"/>
    <n v="1423831"/>
    <m/>
    <m/>
    <m/>
  </r>
  <r>
    <x v="17"/>
    <x v="5"/>
    <s v="F:\images\20210512\plaque 2/@05 Estrone 0.04 µg_LL dopé/F5_01.tif "/>
    <s v=" 10793.3174 "/>
    <s v=" 70.0461 "/>
    <x v="0"/>
    <n v="756030"/>
    <m/>
    <m/>
    <m/>
  </r>
  <r>
    <x v="17"/>
    <x v="5"/>
    <s v="F:\images\20210512\plaque 2/@05 Estrone 0.04 µg_LL dopé/F5_02.tif "/>
    <s v=" 9344.1145 "/>
    <s v=" 68.5046 "/>
    <x v="0"/>
    <n v="640115"/>
    <m/>
    <m/>
    <m/>
  </r>
  <r>
    <x v="17"/>
    <x v="5"/>
    <s v="F:\images\20210512\plaque 2/@05 Estrone 0.04 µg_LL dopé/F5_03.tif "/>
    <s v=" 10987.9865 "/>
    <s v=" 70.878 "/>
    <x v="0"/>
    <n v="778806"/>
    <m/>
    <m/>
    <m/>
  </r>
  <r>
    <x v="17"/>
    <x v="6"/>
    <s v="F:\images\20210512\plaque 2/@05 Estrone 0.04 µg_LL dopé/G5_01.tif "/>
    <s v=" 32574.6213 "/>
    <s v=" 68.2145 "/>
    <x v="0"/>
    <n v="2222061"/>
    <m/>
    <m/>
    <m/>
  </r>
  <r>
    <x v="17"/>
    <x v="6"/>
    <s v="F:\images\20210512\plaque 2/@05 Estrone 0.04 µg_LL dopé/G5_02.tif "/>
    <s v=" 26907.5889 "/>
    <s v=" 66.5619 "/>
    <x v="0"/>
    <n v="1791020"/>
    <m/>
    <m/>
    <m/>
  </r>
  <r>
    <x v="17"/>
    <x v="6"/>
    <s v="F:\images\20210512\plaque 2/@05 Estrone 0.04 µg_LL dopé/G5_03.tif "/>
    <s v=" 32704.4007 "/>
    <s v=" 68.0714 "/>
    <x v="0"/>
    <n v="2226235"/>
    <m/>
    <m/>
    <m/>
  </r>
  <r>
    <x v="17"/>
    <x v="7"/>
    <s v="F:\images\20210512\plaque 2/@05 Estrone 0.04 µg_LL dopé/H5_01.tif "/>
    <s v=" 11658.5132 "/>
    <s v=" 69.5176 "/>
    <x v="0"/>
    <n v="810472"/>
    <m/>
    <m/>
    <m/>
  </r>
  <r>
    <x v="17"/>
    <x v="7"/>
    <s v="F:\images\20210512\plaque 2/@05 Estrone 0.04 µg_LL dopé/H5_02.tif "/>
    <s v=" 11269.1751 "/>
    <s v=" 68.5048 "/>
    <x v="0"/>
    <n v="771993"/>
    <m/>
    <m/>
    <m/>
  </r>
  <r>
    <x v="17"/>
    <x v="7"/>
    <s v="F:\images\20210512\plaque 2/@05 Estrone 0.04 µg_LL dopé/H5_03.tif "/>
    <s v=" 10274.1999 "/>
    <s v=" 69.0695 "/>
    <x v="0"/>
    <n v="709634"/>
    <m/>
    <m/>
    <m/>
  </r>
  <r>
    <x v="1"/>
    <x v="8"/>
    <s v=" "/>
    <m/>
    <m/>
    <x v="1"/>
    <m/>
    <m/>
    <m/>
    <m/>
  </r>
  <r>
    <x v="1"/>
    <x v="8"/>
    <s v="group "/>
    <s v=" "/>
    <s v=" mean of mean fluo "/>
    <x v="2"/>
    <s v=" mean of total fluo "/>
    <s v=" SD total fluo "/>
    <s v=" n fluorescent "/>
    <s v=" n total"/>
  </r>
  <r>
    <x v="17"/>
    <x v="9"/>
    <s v="F:\images\20210512\plaque 2/@05 Estrone 0.04 µg_LL dopé/ "/>
    <s v=" "/>
    <s v=" 67.3696 "/>
    <x v="19"/>
    <s v=" 1002547.38 "/>
    <s v=" 681196.2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512\plaque 2/@06 Estrone 0.2 µg_LL dopé/A6_01.tif "/>
    <s v=" 29827.6247 "/>
    <s v=" 68.5482 "/>
    <x v="0"/>
    <n v="2044631"/>
    <m/>
    <m/>
    <m/>
  </r>
  <r>
    <x v="18"/>
    <x v="0"/>
    <s v="F:\images\20210512\plaque 2/@06 Estrone 0.2 µg_LL dopé/A6_02.tif "/>
    <s v=" 29805.9948 "/>
    <s v=" 69.9702 "/>
    <x v="0"/>
    <n v="2085533"/>
    <m/>
    <m/>
    <m/>
  </r>
  <r>
    <x v="18"/>
    <x v="0"/>
    <s v="F:\images\20210512\plaque 2/@06 Estrone 0.2 µg_LL dopé/A6_03.tif "/>
    <s v=" 41875.476 "/>
    <s v=" 71.1307 "/>
    <x v="0"/>
    <n v="2978631"/>
    <m/>
    <m/>
    <m/>
  </r>
  <r>
    <x v="18"/>
    <x v="1"/>
    <s v="F:\images\20210512\plaque 2/@06 Estrone 0.2 µg_LL dopé/B6_01.tif "/>
    <s v=" 27816.0445 "/>
    <s v=" 68.811 "/>
    <x v="0"/>
    <n v="1914051"/>
    <m/>
    <m/>
    <m/>
  </r>
  <r>
    <x v="18"/>
    <x v="1"/>
    <s v="F:\images\20210512\plaque 2/@06 Estrone 0.2 µg_LL dopé/B6_02.tif "/>
    <s v=" 31233.5678 "/>
    <s v=" 71.0471 "/>
    <x v="0"/>
    <n v="2219054"/>
    <m/>
    <m/>
    <m/>
  </r>
  <r>
    <x v="18"/>
    <x v="1"/>
    <s v="F:\images\20210512\plaque 2/@06 Estrone 0.2 µg_LL dopé/B6_03.tif "/>
    <s v=" 37160.159 "/>
    <s v=" 72.7095 "/>
    <x v="0"/>
    <n v="2701898"/>
    <m/>
    <m/>
    <m/>
  </r>
  <r>
    <x v="18"/>
    <x v="2"/>
    <s v="F:\images\20210512\plaque 2/@06 Estrone 0.2 µg_LL dopé/C6_01.tif "/>
    <s v=" 19791.3536 "/>
    <s v=" 67.5224 "/>
    <x v="0"/>
    <n v="1336360"/>
    <m/>
    <m/>
    <m/>
  </r>
  <r>
    <x v="18"/>
    <x v="2"/>
    <s v="F:\images\20210512\plaque 2/@06 Estrone 0.2 µg_LL dopé/C6_02.tif "/>
    <s v=" 22884.4285 "/>
    <s v=" 67.1418 "/>
    <x v="0"/>
    <n v="1536501"/>
    <m/>
    <m/>
    <m/>
  </r>
  <r>
    <x v="18"/>
    <x v="2"/>
    <s v="F:\images\20210512\plaque 2/@06 Estrone 0.2 µg_LL dopé/C6_03.tif "/>
    <s v=" 25371.8664 "/>
    <s v=" 67.5345 "/>
    <x v="0"/>
    <n v="1713477"/>
    <m/>
    <m/>
    <m/>
  </r>
  <r>
    <x v="18"/>
    <x v="3"/>
    <s v="F:\images\20210512\plaque 2/@06 Estrone 0.2 µg_LL dopé/D6_01.tif "/>
    <s v=" 40534.4225 "/>
    <s v=" 71.6297 "/>
    <x v="0"/>
    <n v="2903467"/>
    <m/>
    <m/>
    <m/>
  </r>
  <r>
    <x v="18"/>
    <x v="3"/>
    <s v="F:\images\20210512\plaque 2/@06 Estrone 0.2 µg_LL dopé/D6_02.tif "/>
    <s v=" 41724.0667 "/>
    <s v=" 72.1498 "/>
    <x v="0"/>
    <n v="3010384"/>
    <m/>
    <m/>
    <m/>
  </r>
  <r>
    <x v="18"/>
    <x v="3"/>
    <s v="F:\images\20210512\plaque 2/@06 Estrone 0.2 µg_LL dopé/D6_03.tif "/>
    <s v=" 35819.1055 "/>
    <s v=" 68.0755 "/>
    <x v="0"/>
    <n v="2438403"/>
    <m/>
    <m/>
    <m/>
  </r>
  <r>
    <x v="18"/>
    <x v="4"/>
    <s v="F:\images\20210512\plaque 2/@06 Estrone 0.2 µg_LL dopé/E6_01.tif "/>
    <s v=" 62056.1677 "/>
    <s v=" 74.7877 "/>
    <x v="0"/>
    <n v="4641040"/>
    <m/>
    <m/>
    <m/>
  </r>
  <r>
    <x v="18"/>
    <x v="4"/>
    <s v="F:\images\20210512\plaque 2/@06 Estrone 0.2 µg_LL dopé/E6_02.tif "/>
    <s v=" 59309.1711 "/>
    <s v=" 73.8246 "/>
    <x v="0"/>
    <n v="4378475"/>
    <m/>
    <m/>
    <m/>
  </r>
  <r>
    <x v="18"/>
    <x v="4"/>
    <s v="F:\images\20210512\plaque 2/@06 Estrone 0.2 µg_LL dopé/E6_03.tif "/>
    <s v=" 67225.7125 "/>
    <s v=" 74.6554 "/>
    <x v="0"/>
    <n v="5018763"/>
    <m/>
    <m/>
    <m/>
  </r>
  <r>
    <x v="18"/>
    <x v="5"/>
    <s v="F:\images\20210512\plaque 2/@06 Estrone 0.2 µg_LL dopé/F6_01.tif "/>
    <s v=" 43497.7181 "/>
    <s v=" 70.5152 "/>
    <x v="0"/>
    <n v="3067249"/>
    <m/>
    <m/>
    <m/>
  </r>
  <r>
    <x v="18"/>
    <x v="5"/>
    <s v="F:\images\20210512\plaque 2/@06 Estrone 0.2 µg_LL dopé/F6_02.tif "/>
    <s v=" 39820.636 "/>
    <s v=" 70.9636 "/>
    <x v="0"/>
    <n v="2825816"/>
    <m/>
    <m/>
    <m/>
  </r>
  <r>
    <x v="18"/>
    <x v="5"/>
    <s v="F:\images\20210512\plaque 2/@06 Estrone 0.2 µg_LL dopé/F6_03.tif "/>
    <s v=" 39734.1164 "/>
    <s v=" 70.0838 "/>
    <x v="0"/>
    <n v="2784719"/>
    <m/>
    <m/>
    <m/>
  </r>
  <r>
    <x v="18"/>
    <x v="6"/>
    <s v="F:\images\20210512\plaque 2/@06 Estrone 0.2 µg_LL dopé/G6_01.tif "/>
    <s v=" 33915.6748 "/>
    <s v=" 70.0198 "/>
    <x v="0"/>
    <n v="2374768"/>
    <m/>
    <m/>
    <m/>
  </r>
  <r>
    <x v="18"/>
    <x v="6"/>
    <s v="F:\images\20210512\plaque 2/@06 Estrone 0.2 µg_LL dopé/G6_02.tif "/>
    <s v=" 28919.1691 "/>
    <s v=" 69.8773 "/>
    <x v="0"/>
    <n v="2020795"/>
    <m/>
    <m/>
    <m/>
  </r>
  <r>
    <x v="18"/>
    <x v="6"/>
    <s v="F:\images\20210512\plaque 2/@06 Estrone 0.2 µg_LL dopé/G6_03.tif "/>
    <s v=" 29805.9948 "/>
    <s v=" 68.9978 "/>
    <x v="0"/>
    <n v="2056549"/>
    <m/>
    <m/>
    <m/>
  </r>
  <r>
    <x v="18"/>
    <x v="7"/>
    <s v="F:\images\20210512\plaque 2/@06 Estrone 0.2 µg_LL dopé/H6_01.tif "/>
    <s v=" 22754.6491 "/>
    <s v=" 68.6768 "/>
    <x v="0"/>
    <n v="1562717"/>
    <m/>
    <m/>
    <m/>
  </r>
  <r>
    <x v="18"/>
    <x v="7"/>
    <s v="F:\images\20210512\plaque 2/@06 Estrone 0.2 µg_LL dopé/H6_02.tif "/>
    <s v=" 19812.9835 "/>
    <s v=" 67.9891 "/>
    <x v="0"/>
    <n v="1347067"/>
    <m/>
    <m/>
    <m/>
  </r>
  <r>
    <x v="18"/>
    <x v="7"/>
    <s v="F:\images\20210512\plaque 2/@06 Estrone 0.2 µg_LL dopé/H6_03.tif "/>
    <s v=" 17476.9549 "/>
    <s v=" 68.8045 "/>
    <x v="0"/>
    <n v="1202492"/>
    <m/>
    <m/>
    <m/>
  </r>
  <r>
    <x v="1"/>
    <x v="8"/>
    <s v=" "/>
    <m/>
    <m/>
    <x v="1"/>
    <m/>
    <m/>
    <m/>
    <m/>
  </r>
  <r>
    <x v="1"/>
    <x v="8"/>
    <s v="group "/>
    <s v=" "/>
    <s v=" mean of mean fluo "/>
    <x v="2"/>
    <s v=" mean of total fluo "/>
    <s v=" SD total fluo "/>
    <s v=" n fluorescent "/>
    <s v=" n total"/>
  </r>
  <r>
    <x v="18"/>
    <x v="9"/>
    <s v="F:\images\20210512\plaque 2/@06 Estrone 0.2 µg_LL dopé/ "/>
    <s v=" "/>
    <s v=" 70.2278 "/>
    <x v="20"/>
    <n v="2506785"/>
    <s v=" 101504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512\plaque 2/@07 Estrone 1 µg_LL dopé/A7_01.tif "/>
    <s v=" 38804.031 "/>
    <s v=" 72.0557 "/>
    <x v="0"/>
    <n v="2796053"/>
    <m/>
    <m/>
    <m/>
  </r>
  <r>
    <x v="19"/>
    <x v="0"/>
    <s v="F:\images\20210512\plaque 2/@07 Estrone 1 µg_LL dopé/A7_02.tif "/>
    <s v=" 37095.2693 "/>
    <s v=" 72.1504 "/>
    <x v="0"/>
    <n v="2676440"/>
    <m/>
    <m/>
    <m/>
  </r>
  <r>
    <x v="19"/>
    <x v="0"/>
    <s v="F:\images\20210512\plaque 2/@07 Estrone 1 µg_LL dopé/A7_03.tif "/>
    <s v=" 44644.1025 "/>
    <s v=" 74.86 "/>
    <x v="0"/>
    <n v="3342057"/>
    <m/>
    <m/>
    <m/>
  </r>
  <r>
    <x v="19"/>
    <x v="1"/>
    <s v="F:\images\20210512\plaque 2/@07 Estrone 1 µg_LL dopé/B7_01.tif "/>
    <s v=" 61796.609 "/>
    <s v=" 72.3206 "/>
    <x v="0"/>
    <n v="4469169"/>
    <m/>
    <m/>
    <m/>
  </r>
  <r>
    <x v="19"/>
    <x v="1"/>
    <s v="F:\images\20210512\plaque 2/@07 Estrone 1 µg_LL dopé/B7_02.tif "/>
    <s v=" 56778.4734 "/>
    <s v=" 71.6552 "/>
    <x v="0"/>
    <n v="4068475"/>
    <m/>
    <m/>
    <m/>
  </r>
  <r>
    <x v="19"/>
    <x v="1"/>
    <s v="F:\images\20210512\plaque 2/@07 Estrone 1 µg_LL dopé/B7_03.tif "/>
    <s v=" 68891.2144 "/>
    <s v=" 75.5736 "/>
    <x v="0"/>
    <n v="5206359"/>
    <m/>
    <m/>
    <m/>
  </r>
  <r>
    <x v="19"/>
    <x v="2"/>
    <s v="F:\images\20210512\plaque 2/@07 Estrone 1 µg_LL dopé/C7_01.tif "/>
    <s v=" 24614.8201 "/>
    <s v=" 67.8752 "/>
    <x v="0"/>
    <n v="1670736"/>
    <m/>
    <m/>
    <m/>
  </r>
  <r>
    <x v="19"/>
    <x v="2"/>
    <s v="F:\images\20210512\plaque 2/@07 Estrone 1 µg_LL dopé/C7_02.tif "/>
    <s v=" 25912.6138 "/>
    <s v=" 68.3122 "/>
    <x v="0"/>
    <n v="1770147"/>
    <m/>
    <m/>
    <m/>
  </r>
  <r>
    <x v="19"/>
    <x v="2"/>
    <s v="F:\images\20210512\plaque 2/@07 Estrone 1 µg_LL dopé/C7_03.tif "/>
    <s v=" 29416.6567 "/>
    <s v=" 69.0301 "/>
    <x v="0"/>
    <n v="2030636"/>
    <m/>
    <m/>
    <m/>
  </r>
  <r>
    <x v="19"/>
    <x v="3"/>
    <s v="F:\images\20210512\plaque 2/@07 Estrone 1 µg_LL dopé/D7_01.tif "/>
    <s v=" 32509.7316 "/>
    <s v=" 69.845 "/>
    <x v="0"/>
    <n v="2270641"/>
    <m/>
    <m/>
    <m/>
  </r>
  <r>
    <x v="19"/>
    <x v="3"/>
    <s v="F:\images\20210512\plaque 2/@07 Estrone 1 µg_LL dopé/D7_02.tif "/>
    <s v=" 30000.6639 "/>
    <s v=" 69.6337 "/>
    <x v="0"/>
    <n v="2089058"/>
    <m/>
    <m/>
    <m/>
  </r>
  <r>
    <x v="19"/>
    <x v="3"/>
    <s v="F:\images\20210512\plaque 2/@07 Estrone 1 µg_LL dopé/D7_03.tif "/>
    <s v=" 34564.5716 "/>
    <s v=" 69.1558 "/>
    <x v="0"/>
    <n v="2390341"/>
    <m/>
    <m/>
    <m/>
  </r>
  <r>
    <x v="19"/>
    <x v="4"/>
    <s v="F:\images\20210512\plaque 2/@07 Estrone 1 µg_LL dopé/E7_01.tif "/>
    <s v=" 43519.348 "/>
    <s v=" 69.8265 "/>
    <x v="0"/>
    <n v="3038806"/>
    <m/>
    <m/>
    <m/>
  </r>
  <r>
    <x v="19"/>
    <x v="4"/>
    <s v="F:\images\20210512\plaque 2/@07 Estrone 1 µg_LL dopé/E7_02.tif "/>
    <s v=" 56237.726 "/>
    <s v=" 75.5335 "/>
    <x v="0"/>
    <n v="4247830"/>
    <m/>
    <m/>
    <m/>
  </r>
  <r>
    <x v="19"/>
    <x v="4"/>
    <s v="F:\images\20210512\plaque 2/@07 Estrone 1 µg_LL dopé/E7_03.tif "/>
    <s v=" 56713.5837 "/>
    <s v=" 76.8406 "/>
    <x v="0"/>
    <n v="4357905"/>
    <m/>
    <m/>
    <m/>
  </r>
  <r>
    <x v="19"/>
    <x v="5"/>
    <s v="F:\images\20210512\plaque 2/@07 Estrone 1 µg_LL dopé/F7_01.tif "/>
    <s v=" 55826.758 "/>
    <s v=" 77.6075 "/>
    <x v="0"/>
    <n v="4332576"/>
    <m/>
    <m/>
    <m/>
  </r>
  <r>
    <x v="19"/>
    <x v="5"/>
    <s v="F:\images\20210512\plaque 2/@07 Estrone 1 µg_LL dopé/F7_02.tif "/>
    <s v=" 54637.1138 "/>
    <s v=" 78.1255 "/>
    <x v="0"/>
    <n v="4268552"/>
    <m/>
    <m/>
    <m/>
  </r>
  <r>
    <x v="19"/>
    <x v="5"/>
    <s v="F:\images\20210512\plaque 2/@07 Estrone 1 µg_LL dopé/F7_03.tif "/>
    <s v=" 58941.4629 "/>
    <s v=" 79.9086 "/>
    <x v="0"/>
    <n v="4709931"/>
    <m/>
    <m/>
    <m/>
  </r>
  <r>
    <x v="19"/>
    <x v="6"/>
    <s v="F:\images\20210512\plaque 2/@07 Estrone 1 µg_LL dopé/G7_01.tif "/>
    <s v=" 63937.9685 "/>
    <s v=" 75.9851 "/>
    <x v="0"/>
    <n v="4858334"/>
    <m/>
    <m/>
    <m/>
  </r>
  <r>
    <x v="19"/>
    <x v="6"/>
    <s v="F:\images\20210512\plaque 2/@07 Estrone 1 µg_LL dopé/G7_02.tif "/>
    <s v=" 65992.8085 "/>
    <s v=" 76.0016 "/>
    <x v="0"/>
    <n v="5015562"/>
    <m/>
    <m/>
    <m/>
  </r>
  <r>
    <x v="19"/>
    <x v="6"/>
    <s v="F:\images\20210512\plaque 2/@07 Estrone 1 µg_LL dopé/G7_03.tif "/>
    <s v=" 63873.0788 "/>
    <s v=" 77.9905 "/>
    <x v="0"/>
    <n v="4981495"/>
    <m/>
    <m/>
    <m/>
  </r>
  <r>
    <x v="19"/>
    <x v="7"/>
    <s v="F:\images\20210512\plaque 2/@07 Estrone 1 µg_LL dopé/H7_01.tif "/>
    <s v=" 48624.0031 "/>
    <s v=" 80.7131 "/>
    <x v="0"/>
    <n v="3924593"/>
    <m/>
    <m/>
    <m/>
  </r>
  <r>
    <x v="19"/>
    <x v="7"/>
    <s v="F:\images\20210512\plaque 2/@07 Estrone 1 µg_LL dopé/H7_02.tif "/>
    <s v=" 53014.8717 "/>
    <s v=" 78.8874 "/>
    <x v="0"/>
    <n v="4182205"/>
    <m/>
    <m/>
    <m/>
  </r>
  <r>
    <x v="19"/>
    <x v="7"/>
    <s v="F:\images\20210512\plaque 2/@07 Estrone 1 µg_LL dopé/H7_03.tif "/>
    <s v=" 53014.8717 "/>
    <s v=" 78.2436 "/>
    <x v="0"/>
    <n v="4148073"/>
    <m/>
    <m/>
    <m/>
  </r>
  <r>
    <x v="1"/>
    <x v="8"/>
    <s v=" "/>
    <m/>
    <m/>
    <x v="1"/>
    <m/>
    <m/>
    <m/>
    <m/>
  </r>
  <r>
    <x v="1"/>
    <x v="8"/>
    <s v="group "/>
    <s v=" "/>
    <s v=" mean of mean fluo "/>
    <x v="2"/>
    <s v=" mean of total fluo "/>
    <s v=" SD total fluo "/>
    <s v=" n fluorescent "/>
    <s v=" n total"/>
  </r>
  <r>
    <x v="19"/>
    <x v="9"/>
    <s v="F:\images\20210512\plaque 2/@07 Estrone 1 µg_LL dopé/ "/>
    <s v=" "/>
    <s v=" 74.0888 "/>
    <x v="21"/>
    <s v=" 3618582.25 "/>
    <s v=" 1140645.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512\plaque 2/@08 Estrone 5 µg_LL dopé/A8_01.tif "/>
    <s v=" 78603.0371 "/>
    <s v=" 88.3453 "/>
    <x v="0"/>
    <n v="6944213"/>
    <m/>
    <m/>
    <m/>
  </r>
  <r>
    <x v="20"/>
    <x v="0"/>
    <s v="F:\images\20210512\plaque 2/@08 Estrone 5 µg_LL dopé/A8_02.tif "/>
    <s v=" 77759.4712 "/>
    <s v=" 89.5013 "/>
    <x v="0"/>
    <n v="6959570"/>
    <m/>
    <m/>
    <m/>
  </r>
  <r>
    <x v="20"/>
    <x v="0"/>
    <s v="F:\images\20210512\plaque 2/@08 Estrone 5 µg_LL dopé/A8_03.tif "/>
    <s v=" 73390.2325 "/>
    <s v=" 97.2417 "/>
    <x v="0"/>
    <n v="7136589"/>
    <m/>
    <m/>
    <m/>
  </r>
  <r>
    <x v="20"/>
    <x v="1"/>
    <s v="F:\images\20210512\plaque 2/@08 Estrone 5 µg_LL dopé/B8_01.tif "/>
    <s v=" 64738.2746 "/>
    <s v=" 88.0765 "/>
    <x v="0"/>
    <n v="5701921"/>
    <m/>
    <m/>
    <m/>
  </r>
  <r>
    <x v="20"/>
    <x v="1"/>
    <s v="F:\images\20210512\plaque 2/@08 Estrone 5 µg_LL dopé/B8_02.tif "/>
    <s v=" 57405.7403 "/>
    <s v=" 92.7427 "/>
    <x v="0"/>
    <n v="5323961"/>
    <m/>
    <m/>
    <m/>
  </r>
  <r>
    <x v="20"/>
    <x v="1"/>
    <s v="F:\images\20210512\plaque 2/@08 Estrone 5 µg_LL dopé/B8_03.tif "/>
    <s v=" 62532.0254 "/>
    <s v=" 94.6676 "/>
    <x v="0"/>
    <n v="5919756"/>
    <m/>
    <m/>
    <m/>
  </r>
  <r>
    <x v="20"/>
    <x v="2"/>
    <s v="F:\images\20210512\plaque 2/@08 Estrone 5 µg_LL dopé/C8_01.tif "/>
    <s v=" 58249.3062 "/>
    <s v=" 82.2377 "/>
    <x v="0"/>
    <n v="4790286"/>
    <m/>
    <m/>
    <m/>
  </r>
  <r>
    <x v="20"/>
    <x v="2"/>
    <s v="F:\images\20210512\plaque 2/@08 Estrone 5 µg_LL dopé/C8_02.tif "/>
    <s v=" 55329.2705 "/>
    <s v=" 85.2924 "/>
    <x v="0"/>
    <n v="4719167"/>
    <m/>
    <m/>
    <m/>
  </r>
  <r>
    <x v="20"/>
    <x v="2"/>
    <s v="F:\images\20210512\plaque 2/@08 Estrone 5 µg_LL dopé/C8_03.tif "/>
    <s v=" 55177.8612 "/>
    <s v=" 90.069 "/>
    <x v="0"/>
    <n v="4969814"/>
    <m/>
    <m/>
    <m/>
  </r>
  <r>
    <x v="20"/>
    <x v="3"/>
    <s v="F:\images\20210512\plaque 2/@08 Estrone 5 µg_LL dopé/D8_01.tif "/>
    <s v=" 43649.1274 "/>
    <s v=" 75.3731 "/>
    <x v="0"/>
    <n v="3289972"/>
    <m/>
    <m/>
    <m/>
  </r>
  <r>
    <x v="20"/>
    <x v="3"/>
    <s v="F:\images\20210512\plaque 2/@08 Estrone 5 µg_LL dopé/D8_02.tif "/>
    <s v=" 41810.5863 "/>
    <s v=" 76.0279 "/>
    <x v="0"/>
    <n v="3178773"/>
    <m/>
    <m/>
    <m/>
  </r>
  <r>
    <x v="20"/>
    <x v="3"/>
    <s v="F:\images\20210512\plaque 2/@08 Estrone 5 µg_LL dopé/D8_03.tif "/>
    <s v=" 43584.2377 "/>
    <s v=" 83.8675 "/>
    <x v="0"/>
    <n v="3655301"/>
    <m/>
    <m/>
    <m/>
  </r>
  <r>
    <x v="20"/>
    <x v="4"/>
    <s v="F:\images\20210512\plaque 2/@08 Estrone 5 µg_LL dopé/E8_01.tif "/>
    <s v=" 50743.7328 "/>
    <s v=" 93.0708 "/>
    <x v="0"/>
    <n v="4722758"/>
    <m/>
    <m/>
    <m/>
  </r>
  <r>
    <x v="20"/>
    <x v="4"/>
    <s v="F:\images\20210512\plaque 2/@08 Estrone 5 µg_LL dopé/E8_02.tif "/>
    <s v=" 48429.3341 "/>
    <s v=" 94.4993 "/>
    <x v="0"/>
    <n v="4576540"/>
    <m/>
    <m/>
    <m/>
  </r>
  <r>
    <x v="20"/>
    <x v="4"/>
    <s v="F:\images\20210512\plaque 2/@08 Estrone 5 µg_LL dopé/E8_03.tif "/>
    <s v=" 51176.3307 "/>
    <s v=" 89.6183 "/>
    <x v="0"/>
    <n v="4586338"/>
    <m/>
    <m/>
    <m/>
  </r>
  <r>
    <x v="20"/>
    <x v="5"/>
    <s v="F:\images\20210512\plaque 2/@08 Estrone 5 µg_LL dopé/F8_01.tif "/>
    <s v=" 9452.264 "/>
    <s v=" 63.9222 "/>
    <x v="0"/>
    <n v="604209"/>
    <m/>
    <m/>
    <m/>
  </r>
  <r>
    <x v="20"/>
    <x v="5"/>
    <s v="F:\images\20210512\plaque 2/@08 Estrone 5 µg_LL dopé/F8_02.tif "/>
    <s v=" 71443.542 "/>
    <s v=" 77.8974 "/>
    <x v="0"/>
    <n v="5565264"/>
    <m/>
    <m/>
    <m/>
  </r>
  <r>
    <x v="20"/>
    <x v="5"/>
    <s v="F:\images\20210512\plaque 2/@08 Estrone 5 µg_LL dopé/F8_03.tif "/>
    <s v=" 20937.738 "/>
    <s v=" 66.1612 "/>
    <x v="0"/>
    <n v="1385265"/>
    <m/>
    <m/>
    <m/>
  </r>
  <r>
    <x v="20"/>
    <x v="6"/>
    <s v="F:\images\20210512\plaque 2/@08 Estrone 5 µg_LL dopé/G8_01- exclu.tif"/>
    <m/>
    <m/>
    <x v="1"/>
    <m/>
    <m/>
    <m/>
    <m/>
  </r>
  <r>
    <x v="20"/>
    <x v="6"/>
    <s v="F:\images\20210512\plaque 2/@08 Estrone 5 µg_LL dopé/G8_02- exclu.tif"/>
    <m/>
    <m/>
    <x v="1"/>
    <m/>
    <m/>
    <m/>
    <m/>
  </r>
  <r>
    <x v="20"/>
    <x v="6"/>
    <s v="F:\images\20210512\plaque 2/@08 Estrone 5 µg_LL dopé/G8_03.tif "/>
    <s v=" 49489.1989 "/>
    <s v=" 76.0472 "/>
    <x v="0"/>
    <n v="3763515"/>
    <m/>
    <m/>
    <m/>
  </r>
  <r>
    <x v="20"/>
    <x v="7"/>
    <s v="F:\images\20210512\plaque 2/@08 Estrone 5 µg_LL dopé/H8_01.tif "/>
    <s v=" 65863.0291 "/>
    <s v=" 84.045 "/>
    <x v="0"/>
    <n v="5535458"/>
    <m/>
    <m/>
    <m/>
  </r>
  <r>
    <x v="20"/>
    <x v="7"/>
    <s v="F:\images\20210512\plaque 2/@08 Estrone 5 µg_LL dopé/H8_02.tif "/>
    <s v=" 73173.9335 "/>
    <s v=" 83.9876 "/>
    <x v="0"/>
    <n v="6145702"/>
    <m/>
    <m/>
    <m/>
  </r>
  <r>
    <x v="20"/>
    <x v="7"/>
    <s v="F:\images\20210512\plaque 2/@08 Estrone 5 µg_LL dopé/H8_03.tif "/>
    <s v=" 67485.2712 "/>
    <s v=" 82.5567 "/>
    <x v="0"/>
    <n v="5571363"/>
    <m/>
    <m/>
    <m/>
  </r>
  <r>
    <x v="1"/>
    <x v="8"/>
    <s v=" "/>
    <m/>
    <m/>
    <x v="1"/>
    <m/>
    <m/>
    <m/>
    <m/>
  </r>
  <r>
    <x v="1"/>
    <x v="8"/>
    <s v="group "/>
    <s v=" "/>
    <s v=" mean of mean fluo "/>
    <x v="2"/>
    <s v=" mean of total fluo "/>
    <s v=" SD total fluo "/>
    <s v=" n fluorescent "/>
    <s v=" n total"/>
  </r>
  <r>
    <x v="20"/>
    <x v="9"/>
    <s v="F:\images\20210512\plaque 2/@08 Estrone 5 µg_LL dopé/ "/>
    <s v=" "/>
    <s v=" 82.8577 "/>
    <x v="22"/>
    <s v=" 4408245.54 "/>
    <s v=" 2008499.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512\plaque 2/@09 Estrone 25 µg_LL dopé/A9_01.tif "/>
    <s v=" 59958.0679 "/>
    <s v=" 83.5815 "/>
    <x v="0"/>
    <n v="5011387"/>
    <m/>
    <m/>
    <m/>
  </r>
  <r>
    <x v="21"/>
    <x v="0"/>
    <s v="F:\images\20210512\plaque 2/@09 Estrone 25 µg_LL dopé/A9_02.tif "/>
    <s v=" 61385.641 "/>
    <s v=" 84.3668 "/>
    <x v="0"/>
    <n v="5178911"/>
    <m/>
    <m/>
    <m/>
  </r>
  <r>
    <x v="21"/>
    <x v="0"/>
    <s v="F:\images\20210512\plaque 2/@09 Estrone 25 µg_LL dopé/A9_03.tif "/>
    <s v=" 57232.7012 "/>
    <s v=" 91.514 "/>
    <x v="0"/>
    <n v="5237592"/>
    <m/>
    <m/>
    <m/>
  </r>
  <r>
    <x v="21"/>
    <x v="1"/>
    <s v="F:\images\20210512\plaque 2/@09 Estrone 25 µg_LL dopé/B9_01.tif "/>
    <s v=" 83361.6139 "/>
    <s v=" 99.5202 "/>
    <x v="0"/>
    <n v="8296168"/>
    <m/>
    <m/>
    <m/>
  </r>
  <r>
    <x v="21"/>
    <x v="1"/>
    <s v="F:\images\20210512\plaque 2/@09 Estrone 25 µg_LL dopé/B9_02.tif "/>
    <s v=" 85805.792 "/>
    <s v=" 97.1608 "/>
    <x v="0"/>
    <n v="8336962"/>
    <m/>
    <m/>
    <m/>
  </r>
  <r>
    <x v="21"/>
    <x v="1"/>
    <s v="F:\images\20210512\plaque 2/@09 Estrone 25 µg_LL dopé/B9_03.tif "/>
    <s v=" 75856.0405 "/>
    <s v=" 106.7097 "/>
    <x v="0"/>
    <n v="8094577"/>
    <m/>
    <m/>
    <m/>
  </r>
  <r>
    <x v="21"/>
    <x v="2"/>
    <s v="F:\images\20210512\plaque 2/@09 Estrone 25 µg_LL dopé/C9_01.tif "/>
    <s v=" 89612.6534 "/>
    <s v=" 91.4094 "/>
    <x v="0"/>
    <n v="8191436"/>
    <m/>
    <m/>
    <m/>
  </r>
  <r>
    <x v="21"/>
    <x v="2"/>
    <s v="F:\images\20210512\plaque 2/@09 Estrone 25 µg_LL dopé/C9_02.tif "/>
    <s v=" 83513.0232 "/>
    <s v=" 93.4245 "/>
    <x v="0"/>
    <n v="7802163"/>
    <m/>
    <m/>
    <m/>
  </r>
  <r>
    <x v="21"/>
    <x v="2"/>
    <s v="F:\images\20210512\plaque 2/@09 Estrone 25 µg_LL dopé/C9_03.tif "/>
    <s v=" 84962.2261 "/>
    <s v=" 96.334 "/>
    <x v="0"/>
    <n v="8184752"/>
    <m/>
    <m/>
    <m/>
  </r>
  <r>
    <x v="21"/>
    <x v="3"/>
    <s v="F:\images\20210512\plaque 2/@09 Estrone 25 µg_LL dopé/D9_01.tif "/>
    <s v=" 45812.1168 "/>
    <s v=" 95.9429 "/>
    <x v="0"/>
    <n v="4395346"/>
    <m/>
    <m/>
    <m/>
  </r>
  <r>
    <x v="21"/>
    <x v="3"/>
    <s v="F:\images\20210512\plaque 2/@09 Estrone 25 µg_LL dopé/D9_02.tif "/>
    <s v=" 48364.4444 "/>
    <s v=" 93.7133 "/>
    <x v="0"/>
    <n v="4532393"/>
    <m/>
    <m/>
    <m/>
  </r>
  <r>
    <x v="21"/>
    <x v="3"/>
    <s v="F:\images\20210512\plaque 2/@09 Estrone 25 µg_LL dopé/D9_03.tif "/>
    <s v=" 44254.7644 "/>
    <s v=" 103.2561 "/>
    <x v="0"/>
    <n v="4569575"/>
    <m/>
    <m/>
    <m/>
  </r>
  <r>
    <x v="21"/>
    <x v="4"/>
    <s v="F:\images\20210512\plaque 2/@09 Estrone 25 µg_LL dopé/E9_01.tif "/>
    <s v=" 46028.4158 "/>
    <s v=" 91.4347 "/>
    <x v="0"/>
    <n v="4208593"/>
    <m/>
    <m/>
    <m/>
  </r>
  <r>
    <x v="21"/>
    <x v="4"/>
    <s v="F:\images\20210512\plaque 2/@09 Estrone 25 µg_LL dopé/E9_02.tif "/>
    <s v=" 47607.3981 "/>
    <s v=" 91.965 "/>
    <x v="0"/>
    <n v="4378215"/>
    <m/>
    <m/>
    <m/>
  </r>
  <r>
    <x v="21"/>
    <x v="4"/>
    <s v="F:\images\20210512\plaque 2/@09 Estrone 25 µg_LL dopé/E9_03.tif "/>
    <s v=" 49121.4907 "/>
    <s v=" 88.2171 "/>
    <x v="0"/>
    <n v="4333355"/>
    <m/>
    <m/>
    <m/>
  </r>
  <r>
    <x v="21"/>
    <x v="5"/>
    <s v="F:\images\20210512\plaque 2/@09 Estrone 25 µg_LL dopé/F9_01.tif "/>
    <s v=" 76699.6064 "/>
    <s v=" 102.5353 "/>
    <x v="0"/>
    <n v="7864413"/>
    <m/>
    <m/>
    <m/>
  </r>
  <r>
    <x v="21"/>
    <x v="5"/>
    <s v="F:\images\20210512\plaque 2/@09 Estrone 25 µg_LL dopé/F9_02.tif "/>
    <s v=" 74514.987 "/>
    <s v=" 104.1782 "/>
    <x v="0"/>
    <n v="7762839"/>
    <m/>
    <m/>
    <m/>
  </r>
  <r>
    <x v="21"/>
    <x v="5"/>
    <s v="F:\images\20210512\plaque 2/@09 Estrone 25 µg_LL dopé/F9_03.tif "/>
    <s v=" 76613.0868 "/>
    <s v=" 104.1832 "/>
    <x v="0"/>
    <n v="7981799"/>
    <m/>
    <m/>
    <m/>
  </r>
  <r>
    <x v="21"/>
    <x v="6"/>
    <s v="F:\images\20210512\plaque 2/@09 Estrone 25 µg_LL dopé/G9_01.tif "/>
    <s v=" 69821.2999 "/>
    <s v=" 97.3587 "/>
    <x v="0"/>
    <n v="6797714"/>
    <m/>
    <m/>
    <m/>
  </r>
  <r>
    <x v="21"/>
    <x v="6"/>
    <s v="F:\images\20210512\plaque 2/@09 Estrone 25 µg_LL dopé/G9_02.tif "/>
    <s v=" 77737.8413 "/>
    <s v=" 92.4238 "/>
    <x v="0"/>
    <n v="7184824"/>
    <m/>
    <m/>
    <m/>
  </r>
  <r>
    <x v="21"/>
    <x v="6"/>
    <s v="F:\images\20210512\plaque 2/@09 Estrone 25 µg_LL dopé/G9_03.tif "/>
    <s v=" 77305.2434 "/>
    <s v=" 93.7787 "/>
    <x v="0"/>
    <n v="7249584"/>
    <m/>
    <m/>
    <m/>
  </r>
  <r>
    <x v="21"/>
    <x v="7"/>
    <s v="F:\images\20210512\plaque 2/@09 Estrone 25 µg_LL dopé/H9_01.tif "/>
    <s v=" 63700.0397 "/>
    <s v=" 97.2156 "/>
    <x v="0"/>
    <n v="6192639"/>
    <m/>
    <m/>
    <m/>
  </r>
  <r>
    <x v="21"/>
    <x v="7"/>
    <s v="F:\images\20210512\plaque 2/@09 Estrone 25 µg_LL dopé/H9_02.tif "/>
    <s v=" 65992.8085 "/>
    <s v=" 96.5461 "/>
    <x v="0"/>
    <n v="6371345"/>
    <m/>
    <m/>
    <m/>
  </r>
  <r>
    <x v="21"/>
    <x v="7"/>
    <s v="F:\images\20210512\plaque 2/@09 Estrone 25 µg_LL dopé/H9_03.tif "/>
    <s v=" 53685.3985 "/>
    <s v=" 103.9247 "/>
    <x v="0"/>
    <n v="5579237"/>
    <m/>
    <m/>
    <m/>
  </r>
  <r>
    <x v="1"/>
    <x v="8"/>
    <s v=" "/>
    <m/>
    <m/>
    <x v="1"/>
    <m/>
    <m/>
    <m/>
    <m/>
  </r>
  <r>
    <x v="1"/>
    <x v="8"/>
    <s v="group "/>
    <s v=" "/>
    <s v=" mean of mean fluo "/>
    <x v="2"/>
    <s v=" mean of total fluo "/>
    <s v=" SD total fluo "/>
    <s v=" n fluorescent "/>
    <s v=" n total"/>
  </r>
  <r>
    <x v="21"/>
    <x v="9"/>
    <s v="F:\images\20210512\plaque 2/@09 Estrone 25 µg_LL dopé/ "/>
    <s v=" "/>
    <s v=" 95.8623 "/>
    <x v="23"/>
    <s v=" 6405659.12 "/>
    <s v=" 1561555.82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0518\plaque 1/@01 Evian + 0.2% DMSO/A1_01.tif "/>
    <s v=" 475.8577 "/>
    <s v=" 64.3182 "/>
    <x v="0"/>
    <n v="30606"/>
    <m/>
    <m/>
    <m/>
  </r>
  <r>
    <x v="0"/>
    <x v="0"/>
    <s v="F:\images\20210518\plaque 1/@01 Evian + 0.2% DMSO/A1_02.tif "/>
    <s v=" 6618.7478 "/>
    <s v=" 74.6765 "/>
    <x v="0"/>
    <n v="494265"/>
    <m/>
    <m/>
    <m/>
  </r>
  <r>
    <x v="0"/>
    <x v="0"/>
    <s v="F:\images\20210518\plaque 1/@01 Evian + 0.2% DMSO/A1_03.tif "/>
    <s v=" 3525.6728 "/>
    <s v=" 65.638 "/>
    <x v="0"/>
    <n v="231418"/>
    <m/>
    <m/>
    <m/>
  </r>
  <r>
    <x v="0"/>
    <x v="1"/>
    <s v="F:\images\20210518\plaque 1/@01 Evian + 0.2% DMSO/B1_01.tif "/>
    <s v=" 2746.9966 "/>
    <s v=" 64.8898 "/>
    <x v="0"/>
    <n v="178252"/>
    <m/>
    <m/>
    <m/>
  </r>
  <r>
    <x v="0"/>
    <x v="1"/>
    <s v="F:\images\20210518\plaque 1/@01 Evian + 0.2% DMSO/B1_02.tif "/>
    <s v=" 4780.2067 "/>
    <s v=" 69.2489 "/>
    <x v="0"/>
    <n v="331024"/>
    <m/>
    <m/>
    <m/>
  </r>
  <r>
    <x v="0"/>
    <x v="1"/>
    <s v="F:\images\20210518\plaque 1/@01 Evian + 0.2% DMSO/B1_03.tif "/>
    <s v=" 973.3453 "/>
    <s v=" 63.6222 "/>
    <x v="0"/>
    <n v="61926"/>
    <m/>
    <m/>
    <m/>
  </r>
  <r>
    <x v="0"/>
    <x v="2"/>
    <s v="F:\images\20210518\plaque 1/@01 Evian + 0.2% DMSO/C1_01.tif "/>
    <s v=" 1773.6514 "/>
    <s v=" 63.622 "/>
    <x v="0"/>
    <n v="112843"/>
    <m/>
    <m/>
    <m/>
  </r>
  <r>
    <x v="0"/>
    <x v="2"/>
    <s v="F:\images\20210518\plaque 1/@01 Evian + 0.2% DMSO/C1_02.tif "/>
    <s v=" 1124.7545 "/>
    <s v=" 64.5769 "/>
    <x v="0"/>
    <n v="72633"/>
    <m/>
    <m/>
    <m/>
  </r>
  <r>
    <x v="0"/>
    <x v="2"/>
    <s v="F:\images\20210518\plaque 1/@01 Evian + 0.2% DMSO/C1_03.tif "/>
    <s v=" 1925.0606 "/>
    <s v=" 64.8315 "/>
    <x v="0"/>
    <n v="124804"/>
    <m/>
    <m/>
    <m/>
  </r>
  <r>
    <x v="0"/>
    <x v="3"/>
    <s v="F:\images\20210518\plaque 1/@01 Evian + 0.2% DMSO/D1_01.tif "/>
    <s v=" 1773.6514 "/>
    <s v=" 64.6829 "/>
    <x v="0"/>
    <n v="114725"/>
    <m/>
    <m/>
    <m/>
  </r>
  <r>
    <x v="0"/>
    <x v="3"/>
    <s v="F:\images\20210518\plaque 1/@01 Evian + 0.2% DMSO/D1_02.tif "/>
    <s v=" 324.4484 "/>
    <s v=" 63.4667 "/>
    <x v="0"/>
    <n v="20592"/>
    <m/>
    <m/>
    <m/>
  </r>
  <r>
    <x v="0"/>
    <x v="3"/>
    <s v="F:\images\20210518\plaque 1/@01 Evian + 0.2% DMSO/D1_03.tif "/>
    <s v=" 497.4876 "/>
    <s v=" 67.3478 "/>
    <x v="0"/>
    <n v="33505"/>
    <m/>
    <m/>
    <m/>
  </r>
  <r>
    <x v="0"/>
    <x v="4"/>
    <s v="F:\images\20210518\plaque 1/@01 Evian + 0.2% DMSO/E1_01.tif "/>
    <s v=" 2833.5162 "/>
    <s v=" 68.4733 "/>
    <x v="0"/>
    <n v="194020"/>
    <m/>
    <m/>
    <m/>
  </r>
  <r>
    <x v="0"/>
    <x v="4"/>
    <s v="F:\images\20210518\plaque 1/@01 Evian + 0.2% DMSO/E1_02.tif "/>
    <s v=" 1319.4236 "/>
    <s v=" 64.7213 "/>
    <x v="0"/>
    <n v="85395"/>
    <m/>
    <m/>
    <m/>
  </r>
  <r>
    <x v="0"/>
    <x v="4"/>
    <s v="F:\images\20210518\plaque 1/@01 Evian + 0.2% DMSO/E1_03.tif "/>
    <s v=" 3201.2244 "/>
    <s v=" 67.277 "/>
    <x v="0"/>
    <n v="215369"/>
    <m/>
    <m/>
    <m/>
  </r>
  <r>
    <x v="0"/>
    <x v="5"/>
    <s v="F:\images\20210518\plaque 1/@01 Evian + 0.2% DMSO/F1_01.tif "/>
    <s v=" 1081.4947 "/>
    <s v=" 65.68 "/>
    <x v="0"/>
    <n v="71033"/>
    <m/>
    <m/>
    <m/>
  </r>
  <r>
    <x v="0"/>
    <x v="5"/>
    <s v="F:\images\20210518\plaque 1/@01 Evian + 0.2% DMSO/F1_02.tif "/>
    <s v=" 778.6762 "/>
    <s v=" 66.3889 "/>
    <x v="0"/>
    <n v="51695"/>
    <m/>
    <m/>
    <m/>
  </r>
  <r>
    <x v="0"/>
    <x v="5"/>
    <s v="F:\images\20210518\plaque 1/@01 Evian + 0.2% DMSO/F1_03.tif "/>
    <s v=" 5602.1427 "/>
    <s v=" 68.4981 "/>
    <x v="0"/>
    <n v="383736"/>
    <m/>
    <m/>
    <m/>
  </r>
  <r>
    <x v="0"/>
    <x v="6"/>
    <s v="F:\images\20210518\plaque 1/@01 Evian + 0.2% DMSO/G1_01.tif "/>
    <s v=" 886.8257 "/>
    <s v=" 63.5366 "/>
    <x v="0"/>
    <n v="56346"/>
    <m/>
    <m/>
    <m/>
  </r>
  <r>
    <x v="0"/>
    <x v="6"/>
    <s v="F:\images\20210518\plaque 1/@01 Evian + 0.2% DMSO/G1_02.tif "/>
    <s v=" 410.968 "/>
    <s v=" 64.0526 "/>
    <x v="0"/>
    <n v="26324"/>
    <m/>
    <m/>
    <m/>
  </r>
  <r>
    <x v="0"/>
    <x v="6"/>
    <s v="F:\images\20210518\plaque 1/@01 Evian + 0.2% DMSO/G1_03.tif "/>
    <s v=" 930.0855 "/>
    <s v=" 64.0698 "/>
    <x v="0"/>
    <n v="59590"/>
    <m/>
    <m/>
    <m/>
  </r>
  <r>
    <x v="0"/>
    <x v="7"/>
    <s v="F:\images\20210518\plaque 1/@01 Evian + 0.2% DMSO/H1_01.tif "/>
    <s v=" 1535.7225 "/>
    <s v=" 64.5211 "/>
    <x v="0"/>
    <n v="99087"/>
    <m/>
    <m/>
    <m/>
  </r>
  <r>
    <x v="0"/>
    <x v="7"/>
    <s v="F:\images\20210518\plaque 1/@01 Evian + 0.2% DMSO/H1_02.tif "/>
    <s v=" 4196.1996 "/>
    <s v=" 64.8711 "/>
    <x v="0"/>
    <n v="272212"/>
    <m/>
    <m/>
    <m/>
  </r>
  <r>
    <x v="0"/>
    <x v="7"/>
    <s v="F:\images\20210518\plaque 1/@01 Evian + 0.2% DMSO/H1_03.tif "/>
    <s v=" 692.1566 "/>
    <s v=" 64.25 "/>
    <x v="0"/>
    <n v="44471"/>
    <m/>
    <m/>
    <m/>
  </r>
  <r>
    <x v="1"/>
    <x v="8"/>
    <s v=" "/>
    <m/>
    <m/>
    <x v="1"/>
    <m/>
    <m/>
    <m/>
    <m/>
  </r>
  <r>
    <x v="1"/>
    <x v="8"/>
    <s v="group "/>
    <s v=" "/>
    <s v=" mean of mean fluo "/>
    <x v="2"/>
    <s v=" mean of total fluo "/>
    <s v=" SD total fluo "/>
    <s v=" n fluorescent "/>
    <s v=" n total"/>
  </r>
  <r>
    <x v="0"/>
    <x v="9"/>
    <s v="F:\images\20210518\plaque 1/@01 Evian + 0.2% DMSO/ "/>
    <s v=" "/>
    <s v=" 65.7192 "/>
    <x v="3"/>
    <s v=" 140244.625 "/>
    <s v=" 125078.7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518\plaque 1/@02 EE2 33.8/A2_01.tif "/>
    <s v=" 1103.1246 "/>
    <s v=" 64.7843 "/>
    <x v="0"/>
    <n v="71465"/>
    <m/>
    <m/>
    <m/>
  </r>
  <r>
    <x v="2"/>
    <x v="0"/>
    <s v="F:\images\20210518\plaque 1/@02 EE2 33.8/A2_02.tif "/>
    <s v=" 410.968 "/>
    <s v=" 64.4737 "/>
    <x v="0"/>
    <n v="26497"/>
    <m/>
    <m/>
    <m/>
  </r>
  <r>
    <x v="2"/>
    <x v="0"/>
    <s v="F:\images\20210518\plaque 1/@02 EE2 33.8/A2_03.tif "/>
    <s v=" 389.3381 "/>
    <s v=" 63.8889 "/>
    <x v="0"/>
    <n v="24874"/>
    <m/>
    <m/>
    <m/>
  </r>
  <r>
    <x v="2"/>
    <x v="1"/>
    <s v="F:\images\20210518\plaque 1/@02 EE2 33.8/B2_01- exclu.tif"/>
    <m/>
    <m/>
    <x v="1"/>
    <m/>
    <m/>
    <m/>
    <m/>
  </r>
  <r>
    <x v="2"/>
    <x v="1"/>
    <s v="F:\images\20210518\plaque 1/@02 EE2 33.8/B2_02- exclu.tif"/>
    <m/>
    <m/>
    <x v="1"/>
    <m/>
    <m/>
    <m/>
    <m/>
  </r>
  <r>
    <x v="2"/>
    <x v="1"/>
    <s v="F:\images\20210518\plaque 1/@02 EE2 33.8/B2_03.tif "/>
    <s v=" 237.9288 "/>
    <s v=" 62.8182 "/>
    <x v="0"/>
    <n v="14946"/>
    <m/>
    <m/>
    <m/>
  </r>
  <r>
    <x v="2"/>
    <x v="2"/>
    <s v="F:\images\20210518\plaque 1/@02 EE2 33.8/C2_01.tif "/>
    <s v=" 11982.9616 "/>
    <s v=" 79.7022 "/>
    <x v="0"/>
    <n v="955068"/>
    <m/>
    <m/>
    <m/>
  </r>
  <r>
    <x v="2"/>
    <x v="2"/>
    <s v="F:\images\20210518\plaque 1/@02 EE2 33.8/C2_02.tif "/>
    <s v=" 6791.7869 "/>
    <s v=" 71.7548 "/>
    <x v="0"/>
    <n v="487343"/>
    <m/>
    <m/>
    <m/>
  </r>
  <r>
    <x v="2"/>
    <x v="2"/>
    <s v="F:\images\20210518\plaque 1/@02 EE2 33.8/C2_03.tif "/>
    <s v=" 7830.0219 "/>
    <s v=" 83.0497 "/>
    <x v="0"/>
    <n v="650281"/>
    <m/>
    <m/>
    <m/>
  </r>
  <r>
    <x v="2"/>
    <x v="3"/>
    <s v="F:\images\20210518\plaque 1/@02 EE2 33.8/D2_01.tif "/>
    <s v=" 4109.68 "/>
    <s v=" 66.6526 "/>
    <x v="0"/>
    <n v="273921"/>
    <m/>
    <m/>
    <m/>
  </r>
  <r>
    <x v="2"/>
    <x v="3"/>
    <s v="F:\images\20210518\plaque 1/@02 EE2 33.8/D2_02.tif "/>
    <s v=" 3460.7831 "/>
    <s v=" 68.8187 "/>
    <x v="0"/>
    <n v="238167"/>
    <m/>
    <m/>
    <m/>
  </r>
  <r>
    <x v="2"/>
    <x v="3"/>
    <s v="F:\images\20210518\plaque 1/@02 EE2 33.8/D2_03.tif "/>
    <s v=" 5667.0324 "/>
    <s v=" 70.5802 "/>
    <x v="0"/>
    <n v="399980"/>
    <m/>
    <m/>
    <m/>
  </r>
  <r>
    <x v="2"/>
    <x v="4"/>
    <s v="F:\images\20210518\plaque 1/@02 EE2 33.8/E2_01.tif "/>
    <s v=" 3114.7048 "/>
    <s v=" 65.0069 "/>
    <x v="0"/>
    <n v="202477"/>
    <m/>
    <m/>
    <m/>
  </r>
  <r>
    <x v="2"/>
    <x v="4"/>
    <s v="F:\images\20210518\plaque 1/@02 EE2 33.8/E2_02.tif "/>
    <s v=" 2963.2956 "/>
    <s v=" 66.0511 "/>
    <x v="0"/>
    <n v="195729"/>
    <m/>
    <m/>
    <m/>
  </r>
  <r>
    <x v="2"/>
    <x v="4"/>
    <s v="F:\images\20210518\plaque 1/@02 EE2 33.8/E2_03.tif "/>
    <s v=" 151.4093 "/>
    <s v=" 61.7143 "/>
    <x v="0"/>
    <n v="9344"/>
    <m/>
    <m/>
    <m/>
  </r>
  <r>
    <x v="2"/>
    <x v="5"/>
    <s v="F:\images\20210518\plaque 1/@02 EE2 33.8/F2_01.tif "/>
    <s v=" 1016.605 "/>
    <s v=" 64.9787 "/>
    <x v="0"/>
    <n v="66058"/>
    <m/>
    <m/>
    <m/>
  </r>
  <r>
    <x v="2"/>
    <x v="5"/>
    <s v="F:\images\20210518\plaque 1/@02 EE2 33.8/F2_02.tif "/>
    <s v=" 994.9752 "/>
    <s v=" 64.587 "/>
    <x v="0"/>
    <n v="64262"/>
    <m/>
    <m/>
    <m/>
  </r>
  <r>
    <x v="2"/>
    <x v="5"/>
    <s v="F:\images\20210518\plaque 1/@02 EE2 33.8/F2_03.tif "/>
    <s v=" 64.8897 "/>
    <s v=" 61.3333 "/>
    <x v="0"/>
    <n v="3980"/>
    <m/>
    <m/>
    <m/>
  </r>
  <r>
    <x v="2"/>
    <x v="6"/>
    <s v="F:\images\20210518\plaque 1/@02 EE2 33.8/G2_01.tif "/>
    <s v=" 1276.1638 "/>
    <s v=" 64.4068 "/>
    <x v="0"/>
    <n v="82194"/>
    <m/>
    <m/>
    <m/>
  </r>
  <r>
    <x v="2"/>
    <x v="6"/>
    <s v="F:\images\20210518\plaque 1/@02 EE2 33.8/G2_02.tif "/>
    <s v=" 2876.776 "/>
    <s v=" 66.7744 "/>
    <x v="0"/>
    <n v="192095"/>
    <m/>
    <m/>
    <m/>
  </r>
  <r>
    <x v="2"/>
    <x v="6"/>
    <s v="F:\images\20210518\plaque 1/@02 EE2 33.8/G2_03.tif "/>
    <s v=" 1838.541 "/>
    <s v=" 65.1647 "/>
    <x v="0"/>
    <n v="119808"/>
    <m/>
    <m/>
    <m/>
  </r>
  <r>
    <x v="2"/>
    <x v="7"/>
    <s v="F:\images\20210518\plaque 1/@02 EE2 33.8/H2_01.tif "/>
    <s v=" 4347.6088 "/>
    <s v=" 65.9652 "/>
    <x v="0"/>
    <n v="286791"/>
    <m/>
    <m/>
    <m/>
  </r>
  <r>
    <x v="2"/>
    <x v="7"/>
    <s v="F:\images\20210518\plaque 1/@02 EE2 33.8/H2_02.tif "/>
    <s v=" 4499.0181 "/>
    <s v=" 66.226 "/>
    <x v="0"/>
    <n v="297952"/>
    <m/>
    <m/>
    <m/>
  </r>
  <r>
    <x v="2"/>
    <x v="7"/>
    <s v="F:\images\20210518\plaque 1/@02 EE2 33.8/H2_03.tif "/>
    <s v=" 5256.0644 "/>
    <s v=" 66.823 "/>
    <x v="0"/>
    <n v="351226"/>
    <m/>
    <m/>
    <m/>
  </r>
  <r>
    <x v="1"/>
    <x v="8"/>
    <s v=" "/>
    <m/>
    <m/>
    <x v="1"/>
    <m/>
    <m/>
    <m/>
    <m/>
  </r>
  <r>
    <x v="1"/>
    <x v="8"/>
    <s v="group "/>
    <s v=" "/>
    <s v=" mean of mean fluo "/>
    <x v="2"/>
    <s v=" mean of total fluo "/>
    <s v=" SD total fluo "/>
    <s v=" n fluorescent "/>
    <s v=" n total"/>
  </r>
  <r>
    <x v="2"/>
    <x v="9"/>
    <s v="F:\images\20210518\plaque 1/@02 EE2 33.8/ "/>
    <s v=" "/>
    <s v=" 66.87 "/>
    <x v="4"/>
    <s v=" 209985.708 "/>
    <s v=" 233431.7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518\plaque 1/@03 EE2 50.6/A3_01.tif "/>
    <s v=" 1881.8008 "/>
    <s v=" 70.7931 "/>
    <x v="0"/>
    <n v="133219"/>
    <m/>
    <m/>
    <m/>
  </r>
  <r>
    <x v="3"/>
    <x v="0"/>
    <s v="F:\images\20210518\plaque 1/@03 EE2 50.6/A3_02.tif "/>
    <s v=" 821.936 "/>
    <s v=" 64.9737 "/>
    <x v="0"/>
    <n v="53404"/>
    <m/>
    <m/>
    <m/>
  </r>
  <r>
    <x v="3"/>
    <x v="0"/>
    <s v="F:\images\20210518\plaque 1/@03 EE2 50.6/A3_03.tif "/>
    <s v=" 951.7154 "/>
    <s v=" 64.9091 "/>
    <x v="0"/>
    <n v="61775"/>
    <m/>
    <m/>
    <m/>
  </r>
  <r>
    <x v="3"/>
    <x v="1"/>
    <s v="F:\images\20210518\plaque 1/@03 EE2 50.6/B3_01.tif "/>
    <s v=" 3590.5625 "/>
    <s v=" 67.8434 "/>
    <x v="0"/>
    <n v="243596"/>
    <m/>
    <m/>
    <m/>
  </r>
  <r>
    <x v="3"/>
    <x v="1"/>
    <s v="F:\images\20210518\plaque 1/@03 EE2 50.6/B3_02.tif "/>
    <s v=" 1665.5019 "/>
    <s v=" 63.6753 "/>
    <x v="0"/>
    <n v="106051"/>
    <m/>
    <m/>
    <m/>
  </r>
  <r>
    <x v="3"/>
    <x v="1"/>
    <s v="F:\images\20210518\plaque 1/@03 EE2 50.6/B3_03.tif "/>
    <s v=" 1081.4947 "/>
    <s v=" 63.68 "/>
    <x v="0"/>
    <n v="68870"/>
    <m/>
    <m/>
    <m/>
  </r>
  <r>
    <x v="3"/>
    <x v="2"/>
    <s v="F:\images\20210518\plaque 1/@03 EE2 50.6/C3_01.tif "/>
    <s v=" 908.4556 "/>
    <s v=" 65.5714 "/>
    <x v="0"/>
    <n v="59569"/>
    <m/>
    <m/>
    <m/>
  </r>
  <r>
    <x v="3"/>
    <x v="2"/>
    <s v="F:\images\20210518\plaque 1/@03 EE2 50.6/C3_02.tif "/>
    <s v=" 562.3773 "/>
    <s v=" 63.1154 "/>
    <x v="0"/>
    <n v="35495"/>
    <m/>
    <m/>
    <m/>
  </r>
  <r>
    <x v="3"/>
    <x v="2"/>
    <s v="F:\images\20210518\plaque 1/@03 EE2 50.6/C3_03.tif "/>
    <s v=" 1341.0535 "/>
    <s v=" 67.9032 "/>
    <x v="0"/>
    <n v="91062"/>
    <m/>
    <m/>
    <m/>
  </r>
  <r>
    <x v="3"/>
    <x v="3"/>
    <s v="F:\images\20210518\plaque 1/@03 EE2 50.6/D3_01.tif "/>
    <s v=" 173.0392 "/>
    <s v=" 65.375 "/>
    <x v="0"/>
    <n v="11312"/>
    <m/>
    <m/>
    <m/>
  </r>
  <r>
    <x v="3"/>
    <x v="3"/>
    <s v="F:\images\20210518\plaque 1/@03 EE2 50.6/D3_02.tif "/>
    <s v=" 605.637 "/>
    <s v=" 67.0714 "/>
    <x v="0"/>
    <n v="40621"/>
    <m/>
    <m/>
    <m/>
  </r>
  <r>
    <x v="3"/>
    <x v="3"/>
    <s v="F:\images\20210518\plaque 1/@03 EE2 50.6/D3_03.tif "/>
    <s v=" 2249.509 "/>
    <s v=" 65.9808 "/>
    <x v="0"/>
    <n v="148424"/>
    <m/>
    <m/>
    <m/>
  </r>
  <r>
    <x v="3"/>
    <x v="4"/>
    <s v="F:\images\20210518\plaque 1/@03 EE2 50.6/E3_01.tif "/>
    <s v=" 1989.9503 "/>
    <s v=" 64.4674 "/>
    <x v="0"/>
    <n v="128287"/>
    <m/>
    <m/>
    <m/>
  </r>
  <r>
    <x v="3"/>
    <x v="4"/>
    <s v="F:\images\20210518\plaque 1/@03 EE2 50.6/E3_02.tif "/>
    <s v=" 8565.4383 "/>
    <s v=" 67.0379 "/>
    <x v="0"/>
    <n v="574209"/>
    <m/>
    <m/>
    <m/>
  </r>
  <r>
    <x v="3"/>
    <x v="4"/>
    <s v="F:\images\20210518\plaque 1/@03 EE2 50.6/E3_03.tif "/>
    <s v=" 3201.2244 "/>
    <s v=" 64.1216 "/>
    <x v="0"/>
    <n v="205268"/>
    <m/>
    <m/>
    <m/>
  </r>
  <r>
    <x v="3"/>
    <x v="5"/>
    <s v="F:\images\20210518\plaque 1/@03 EE2 50.6/F3_01.tif "/>
    <s v=" 1405.9432 "/>
    <s v=" 63.7692 "/>
    <x v="0"/>
    <n v="89656"/>
    <m/>
    <m/>
    <m/>
  </r>
  <r>
    <x v="3"/>
    <x v="5"/>
    <s v="F:\images\20210518\plaque 1/@03 EE2 50.6/F3_02.tif "/>
    <s v=" 648.8968 "/>
    <n v="63"/>
    <x v="0"/>
    <n v="40881"/>
    <m/>
    <m/>
    <m/>
  </r>
  <r>
    <x v="3"/>
    <x v="5"/>
    <s v="F:\images\20210518\plaque 1/@03 EE2 50.6/F3_03.tif "/>
    <s v=" 540.7474 "/>
    <s v=" 63.08 "/>
    <x v="0"/>
    <n v="34110"/>
    <m/>
    <m/>
    <m/>
  </r>
  <r>
    <x v="3"/>
    <x v="6"/>
    <s v="F:\images\20210518\plaque 1/@03 EE2 50.6/G3_01.tif "/>
    <s v=" 670.5267 "/>
    <s v=" 63.871 "/>
    <x v="0"/>
    <n v="42827"/>
    <m/>
    <m/>
    <m/>
  </r>
  <r>
    <x v="3"/>
    <x v="6"/>
    <s v="F:\images\20210518\plaque 1/@03 EE2 50.6/G3_02.tif "/>
    <s v=" 670.5267 "/>
    <s v=" 65.0968 "/>
    <x v="0"/>
    <n v="43649"/>
    <m/>
    <m/>
    <m/>
  </r>
  <r>
    <x v="3"/>
    <x v="6"/>
    <s v="F:\images\20210518\plaque 1/@03 EE2 50.6/G3_03.tif "/>
    <s v=" 843.5659 "/>
    <s v=" 67.7692 "/>
    <x v="0"/>
    <n v="57168"/>
    <m/>
    <m/>
    <m/>
  </r>
  <r>
    <x v="3"/>
    <x v="7"/>
    <s v="F:\images\20210518\plaque 1/@03 EE2 50.6/H3_01.tif "/>
    <s v=" 1816.9111 "/>
    <s v=" 65.7024 "/>
    <x v="0"/>
    <n v="119375"/>
    <m/>
    <m/>
    <m/>
  </r>
  <r>
    <x v="3"/>
    <x v="7"/>
    <s v="F:\images\20210518\plaque 1/@03 EE2 50.6/H3_02.tif "/>
    <s v=" 1146.3844 "/>
    <s v=" 63.8113 "/>
    <x v="0"/>
    <n v="73152"/>
    <m/>
    <m/>
    <m/>
  </r>
  <r>
    <x v="3"/>
    <x v="7"/>
    <s v="F:\images\20210518\plaque 1/@03 EE2 50.6/H3_03.tif "/>
    <s v=" 1016.605 "/>
    <s v=" 66.5319 "/>
    <x v="0"/>
    <n v="67637"/>
    <m/>
    <m/>
    <m/>
  </r>
  <r>
    <x v="1"/>
    <x v="8"/>
    <s v=" "/>
    <m/>
    <m/>
    <x v="1"/>
    <m/>
    <m/>
    <m/>
    <m/>
  </r>
  <r>
    <x v="1"/>
    <x v="8"/>
    <s v="group "/>
    <s v=" "/>
    <s v=" mean of mean fluo "/>
    <x v="2"/>
    <s v=" mean of total fluo "/>
    <s v=" SD total fluo "/>
    <s v=" n fluorescent "/>
    <s v=" n total"/>
  </r>
  <r>
    <x v="3"/>
    <x v="9"/>
    <s v="F:\images\20210518\plaque 1/@03 EE2 50.6/ "/>
    <s v=" "/>
    <s v=" 65.3813 "/>
    <x v="5"/>
    <s v=" 105400.708 "/>
    <s v=" 114283.1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518\plaque 1/@04 EE2 76/A4_01.tif "/>
    <s v=" 1081.4947 "/>
    <s v=" 62.88 "/>
    <x v="0"/>
    <n v="68004"/>
    <m/>
    <m/>
    <m/>
  </r>
  <r>
    <x v="4"/>
    <x v="0"/>
    <s v="F:\images\20210518\plaque 1/@04 EE2 76/A4_02.tif "/>
    <s v=" 735.4164 "/>
    <s v=" 62.9412 "/>
    <x v="0"/>
    <n v="46288"/>
    <m/>
    <m/>
    <m/>
  </r>
  <r>
    <x v="4"/>
    <x v="0"/>
    <s v="F:\images\20210518\plaque 1/@04 EE2 76/A4_03- exclu.tif"/>
    <m/>
    <m/>
    <x v="1"/>
    <m/>
    <m/>
    <m/>
    <m/>
  </r>
  <r>
    <x v="4"/>
    <x v="1"/>
    <s v="F:\images\20210518\plaque 1/@04 EE2 76/B4_01- exclu.tif"/>
    <m/>
    <m/>
    <x v="1"/>
    <m/>
    <m/>
    <m/>
    <m/>
  </r>
  <r>
    <x v="4"/>
    <x v="1"/>
    <s v="F:\images\20210518\plaque 1/@04 EE2 76/B4_02- exclu.tif"/>
    <m/>
    <m/>
    <x v="1"/>
    <m/>
    <m/>
    <m/>
    <m/>
  </r>
  <r>
    <x v="4"/>
    <x v="1"/>
    <s v="F:\images\20210518\plaque 1/@04 EE2 76/B4_03- exclu.tif"/>
    <m/>
    <m/>
    <x v="1"/>
    <m/>
    <m/>
    <m/>
    <m/>
  </r>
  <r>
    <x v="4"/>
    <x v="2"/>
    <s v="F:\images\20210518\plaque 1/@04 EE2 76/C4_01.tif "/>
    <s v=" 2141.3596 "/>
    <s v=" 65.4141 "/>
    <x v="0"/>
    <n v="140075"/>
    <m/>
    <m/>
    <m/>
  </r>
  <r>
    <x v="4"/>
    <x v="2"/>
    <s v="F:\images\20210518\plaque 1/@04 EE2 76/C4_02.tif "/>
    <s v=" 2227.8791 "/>
    <s v=" 64.1165 "/>
    <x v="0"/>
    <n v="142844"/>
    <m/>
    <m/>
    <m/>
  </r>
  <r>
    <x v="4"/>
    <x v="2"/>
    <s v="F:\images\20210518\plaque 1/@04 EE2 76/C4_03.tif "/>
    <s v=" 2400.9183 "/>
    <s v=" 63.8018 "/>
    <x v="0"/>
    <n v="153183"/>
    <m/>
    <m/>
    <m/>
  </r>
  <r>
    <x v="4"/>
    <x v="3"/>
    <s v="F:\images\20210518\plaque 1/@04 EE2 76/D4_01.tif "/>
    <s v=" 9841.6021 "/>
    <s v=" 65.5275 "/>
    <x v="0"/>
    <n v="644895"/>
    <m/>
    <m/>
    <m/>
  </r>
  <r>
    <x v="4"/>
    <x v="3"/>
    <s v="F:\images\20210518\plaque 1/@04 EE2 76/D4_02.tif "/>
    <s v=" 9928.1216 "/>
    <s v=" 66.3508 "/>
    <x v="0"/>
    <n v="658738"/>
    <m/>
    <m/>
    <m/>
  </r>
  <r>
    <x v="4"/>
    <x v="3"/>
    <s v="F:\images\20210518\plaque 1/@04 EE2 76/D4_03.tif "/>
    <s v=" 6575.488 "/>
    <s v=" 64.5625 "/>
    <x v="0"/>
    <n v="424530"/>
    <m/>
    <m/>
    <m/>
  </r>
  <r>
    <x v="4"/>
    <x v="4"/>
    <s v="F:\images\20210518\plaque 1/@04 EE2 76/E4_01.tif "/>
    <s v=" 6726.8972 "/>
    <s v=" 64.492 "/>
    <x v="0"/>
    <n v="433831"/>
    <m/>
    <m/>
    <m/>
  </r>
  <r>
    <x v="4"/>
    <x v="4"/>
    <s v="F:\images\20210518\plaque 1/@04 EE2 76/E4_02.tif "/>
    <s v=" 7483.9435 "/>
    <s v=" 66.3092 "/>
    <x v="0"/>
    <n v="496255"/>
    <m/>
    <m/>
    <m/>
  </r>
  <r>
    <x v="4"/>
    <x v="4"/>
    <s v="F:\images\20210518\plaque 1/@04 EE2 76/E4_03.tif "/>
    <s v=" 6662.0075 "/>
    <s v=" 64.6071 "/>
    <x v="0"/>
    <n v="430413"/>
    <m/>
    <m/>
    <m/>
  </r>
  <r>
    <x v="4"/>
    <x v="5"/>
    <s v="F:\images\20210518\plaque 1/@04 EE2 76/F4_01.tif "/>
    <s v=" 2530.6977 "/>
    <s v=" 64.3504 "/>
    <x v="0"/>
    <n v="162851"/>
    <m/>
    <m/>
    <m/>
  </r>
  <r>
    <x v="4"/>
    <x v="5"/>
    <s v="F:\images\20210518\plaque 1/@04 EE2 76/F4_02- exclu.tif"/>
    <m/>
    <m/>
    <x v="1"/>
    <m/>
    <m/>
    <m/>
    <m/>
  </r>
  <r>
    <x v="4"/>
    <x v="5"/>
    <s v="F:\images\20210518\plaque 1/@04 EE2 76/F4_03.tif "/>
    <s v=" 1103.1246 "/>
    <s v=" 64.0784 "/>
    <x v="0"/>
    <n v="70686"/>
    <m/>
    <m/>
    <m/>
  </r>
  <r>
    <x v="4"/>
    <x v="6"/>
    <s v="F:\images\20210518\plaque 1/@04 EE2 76/G4_01.tif "/>
    <s v=" 1362.6834 "/>
    <s v=" 64.254 "/>
    <x v="0"/>
    <n v="87558"/>
    <m/>
    <m/>
    <m/>
  </r>
  <r>
    <x v="4"/>
    <x v="6"/>
    <s v="F:\images\20210518\plaque 1/@04 EE2 76/G4_02.tif "/>
    <s v=" 1341.0535 "/>
    <n v="64"/>
    <x v="0"/>
    <n v="85827"/>
    <m/>
    <m/>
    <m/>
  </r>
  <r>
    <x v="4"/>
    <x v="6"/>
    <s v="F:\images\20210518\plaque 1/@04 EE2 76/G4_03.tif "/>
    <s v=" 1211.2741 "/>
    <s v=" 63.4286 "/>
    <x v="0"/>
    <n v="76829"/>
    <m/>
    <m/>
    <m/>
  </r>
  <r>
    <x v="4"/>
    <x v="7"/>
    <s v="F:\images\20210518\plaque 1/@04 EE2 76/H4_01.tif "/>
    <s v=" 4801.8366 "/>
    <s v=" 63.6171 "/>
    <x v="0"/>
    <n v="305479"/>
    <m/>
    <m/>
    <m/>
  </r>
  <r>
    <x v="4"/>
    <x v="7"/>
    <s v="F:\images\20210518\plaque 1/@04 EE2 76/H4_02.tif "/>
    <s v=" 6986.456 "/>
    <s v=" 63.9721 "/>
    <x v="0"/>
    <n v="446939"/>
    <m/>
    <m/>
    <m/>
  </r>
  <r>
    <x v="4"/>
    <x v="7"/>
    <s v="F:\images\20210518\plaque 1/@04 EE2 76/H4_03.tif "/>
    <s v=" 8024.6909 "/>
    <s v=" 65.4852 "/>
    <x v="0"/>
    <n v="525498"/>
    <m/>
    <m/>
    <m/>
  </r>
  <r>
    <x v="1"/>
    <x v="8"/>
    <s v=" "/>
    <m/>
    <m/>
    <x v="1"/>
    <m/>
    <m/>
    <m/>
    <m/>
  </r>
  <r>
    <x v="1"/>
    <x v="8"/>
    <s v="group "/>
    <s v=" "/>
    <s v=" mean of mean fluo "/>
    <x v="2"/>
    <s v=" mean of total fluo "/>
    <s v=" SD total fluo "/>
    <s v=" n fluorescent "/>
    <s v=" n total"/>
  </r>
  <r>
    <x v="4"/>
    <x v="9"/>
    <s v="F:\images\20210518\plaque 1/@04 EE2 76/ "/>
    <s v=" "/>
    <s v=" 64.3375 "/>
    <x v="6"/>
    <s v=" 230191.583 "/>
    <s v=" 216323.1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518\plaque 1/@05 EE2 114/A5_01.tif "/>
    <s v=" 8024.6909 "/>
    <s v=" 64.7197 "/>
    <x v="0"/>
    <n v="519355"/>
    <m/>
    <m/>
    <m/>
  </r>
  <r>
    <x v="5"/>
    <x v="0"/>
    <s v="F:\images\20210518\plaque 1/@05 EE2 114/A5_02.tif "/>
    <s v=" 10533.7587 "/>
    <s v=" 64.3039 "/>
    <x v="0"/>
    <n v="677362"/>
    <m/>
    <m/>
    <m/>
  </r>
  <r>
    <x v="5"/>
    <x v="0"/>
    <s v="F:\images\20210518\plaque 1/@05 EE2 114/A5_03.tif "/>
    <s v=" 8046.3208 "/>
    <s v=" 64.2554 "/>
    <x v="0"/>
    <n v="517019"/>
    <m/>
    <m/>
    <m/>
  </r>
  <r>
    <x v="5"/>
    <x v="1"/>
    <s v="F:\images\20210518\plaque 1/@05 EE2 114/B5_01.tif "/>
    <s v=" 12956.3069 "/>
    <s v=" 65.6528 "/>
    <x v="0"/>
    <n v="850617"/>
    <m/>
    <m/>
    <m/>
  </r>
  <r>
    <x v="5"/>
    <x v="1"/>
    <s v="F:\images\20210518\plaque 1/@05 EE2 114/B5_02.tif "/>
    <s v=" 9495.5237 "/>
    <s v=" 64.3895 "/>
    <x v="0"/>
    <n v="611412"/>
    <m/>
    <m/>
    <m/>
  </r>
  <r>
    <x v="5"/>
    <x v="1"/>
    <s v="F:\images\20210518\plaque 1/@05 EE2 114/B5_03.tif "/>
    <s v=" 9517.1536 "/>
    <s v=" 65.0818 "/>
    <x v="0"/>
    <n v="619394"/>
    <m/>
    <m/>
    <m/>
  </r>
  <r>
    <x v="5"/>
    <x v="2"/>
    <s v="F:\images\20210518\plaque 1/@05 EE2 114/C5_01.tif "/>
    <s v=" 37484.6074 "/>
    <s v=" 69.0739 "/>
    <x v="0"/>
    <n v="2589207"/>
    <m/>
    <m/>
    <m/>
  </r>
  <r>
    <x v="5"/>
    <x v="2"/>
    <s v="F:\images\20210518\plaque 1/@05 EE2 114/C5_02.tif "/>
    <s v=" 29805.9948 "/>
    <s v=" 68.2453 "/>
    <x v="0"/>
    <n v="2034119"/>
    <m/>
    <m/>
    <m/>
  </r>
  <r>
    <x v="5"/>
    <x v="2"/>
    <s v="F:\images\20210518\plaque 1/@05 EE2 114/C5_03.tif "/>
    <s v=" 40339.7535 "/>
    <s v=" 69.6043 "/>
    <x v="0"/>
    <n v="2807820"/>
    <m/>
    <m/>
    <m/>
  </r>
  <r>
    <x v="5"/>
    <x v="3"/>
    <s v="F:\images\20210518\plaque 1/@05 EE2 114/D5_01.tif "/>
    <s v=" 15530.2643 "/>
    <s v=" 65.9248 "/>
    <x v="0"/>
    <n v="1023829"/>
    <m/>
    <m/>
    <m/>
  </r>
  <r>
    <x v="5"/>
    <x v="3"/>
    <s v="F:\images\20210518\plaque 1/@05 EE2 114/D5_02.tif "/>
    <s v=" 16287.3107 "/>
    <s v=" 64.9841 "/>
    <x v="0"/>
    <n v="1058416"/>
    <m/>
    <m/>
    <m/>
  </r>
  <r>
    <x v="5"/>
    <x v="3"/>
    <s v="F:\images\20210518\plaque 1/@05 EE2 114/D5_03.tif "/>
    <s v=" 17736.5136 "/>
    <s v=" 66.0451 "/>
    <x v="0"/>
    <n v="1171410"/>
    <m/>
    <m/>
    <m/>
  </r>
  <r>
    <x v="5"/>
    <x v="4"/>
    <s v="F:\images\20210518\plaque 1/@05 EE2 114/E5_01.tif "/>
    <s v=" 13972.9119 "/>
    <s v=" 68.709 "/>
    <x v="0"/>
    <n v="960065"/>
    <m/>
    <m/>
    <m/>
  </r>
  <r>
    <x v="5"/>
    <x v="4"/>
    <s v="F:\images\20210518\plaque 1/@05 EE2 114/E5_02.tif "/>
    <s v=" 9192.7052 "/>
    <s v=" 65.0565 "/>
    <x v="0"/>
    <n v="598045"/>
    <m/>
    <m/>
    <m/>
  </r>
  <r>
    <x v="5"/>
    <x v="4"/>
    <s v="F:\images\20210518\plaque 1/@05 EE2 114/E5_03.tif "/>
    <s v=" 10512.1288 "/>
    <s v=" 65.1379 "/>
    <x v="0"/>
    <n v="684738"/>
    <m/>
    <m/>
    <m/>
  </r>
  <r>
    <x v="5"/>
    <x v="5"/>
    <s v="F:\images\20210518\plaque 1/@05 EE2 114/F5_01.tif "/>
    <s v=" 3093.0749 "/>
    <s v=" 64.2448 "/>
    <x v="0"/>
    <n v="198714"/>
    <m/>
    <m/>
    <m/>
  </r>
  <r>
    <x v="5"/>
    <x v="5"/>
    <s v="F:\images\20210518\plaque 1/@05 EE2 114/F5_02.tif "/>
    <s v=" 1925.0606 "/>
    <s v=" 63.573 "/>
    <x v="0"/>
    <n v="122382"/>
    <m/>
    <m/>
    <m/>
  </r>
  <r>
    <x v="5"/>
    <x v="5"/>
    <s v="F:\images\20210518\plaque 1/@05 EE2 114/F5_03.tif "/>
    <s v=" 3374.2636 "/>
    <s v=" 64.5256 "/>
    <x v="0"/>
    <n v="217727"/>
    <m/>
    <m/>
    <m/>
  </r>
  <r>
    <x v="5"/>
    <x v="6"/>
    <s v="F:\images\20210518\plaque 1/@05 EE2 114/G5_01.tif "/>
    <s v=" 24896.0087 "/>
    <s v=" 67.4153 "/>
    <x v="0"/>
    <n v="1678372"/>
    <m/>
    <m/>
    <m/>
  </r>
  <r>
    <x v="5"/>
    <x v="6"/>
    <s v="F:\images\20210518\plaque 1/@05 EE2 114/G5_02.tif "/>
    <s v=" 28248.6424 "/>
    <s v=" 67.6462 "/>
    <x v="0"/>
    <n v="1910915"/>
    <m/>
    <m/>
    <m/>
  </r>
  <r>
    <x v="5"/>
    <x v="6"/>
    <s v="F:\images\20210518\plaque 1/@05 EE2 114/G5_03.tif "/>
    <s v=" 16114.2715 "/>
    <s v=" 65.4242 "/>
    <x v="0"/>
    <n v="1054263"/>
    <m/>
    <m/>
    <m/>
  </r>
  <r>
    <x v="5"/>
    <x v="7"/>
    <s v="F:\images\20210518\plaque 1/@05 EE2 114/H5_01.tif "/>
    <s v=" 22841.1687 "/>
    <s v=" 68.3835 "/>
    <x v="0"/>
    <n v="1561960"/>
    <m/>
    <m/>
    <m/>
  </r>
  <r>
    <x v="5"/>
    <x v="7"/>
    <s v="F:\images\20210518\plaque 1/@05 EE2 114/H5_02.tif "/>
    <s v=" 20483.5102 "/>
    <s v=" 67.7223 "/>
    <x v="0"/>
    <n v="1387190"/>
    <m/>
    <m/>
    <m/>
  </r>
  <r>
    <x v="5"/>
    <x v="7"/>
    <s v="F:\images\20210518\plaque 1/@05 EE2 114/H5_03.tif "/>
    <s v=" 25090.6778 "/>
    <s v=" 68.6405 "/>
    <x v="0"/>
    <n v="1722237"/>
    <m/>
    <m/>
    <m/>
  </r>
  <r>
    <x v="1"/>
    <x v="8"/>
    <s v=" "/>
    <m/>
    <m/>
    <x v="1"/>
    <m/>
    <m/>
    <m/>
    <m/>
  </r>
  <r>
    <x v="1"/>
    <x v="8"/>
    <s v="group "/>
    <s v=" "/>
    <s v=" mean of mean fluo "/>
    <x v="2"/>
    <s v=" mean of total fluo "/>
    <s v=" SD total fluo "/>
    <s v=" n fluorescent "/>
    <s v=" n total"/>
  </r>
  <r>
    <x v="5"/>
    <x v="9"/>
    <s v="F:\images\20210518\plaque 1/@05 EE2 114/ "/>
    <s v=" "/>
    <s v=" 66.1983 "/>
    <x v="7"/>
    <n v="1107357"/>
    <s v=" 724524.50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518\plaque 1/@06 EE2 170.9/A6_01.tif "/>
    <s v=" 49208.0103 "/>
    <s v=" 73.3411 "/>
    <x v="0"/>
    <n v="3608970"/>
    <m/>
    <m/>
    <m/>
  </r>
  <r>
    <x v="6"/>
    <x v="0"/>
    <s v="F:\images\20210518\plaque 1/@06 EE2 170.9/A6_02.tif "/>
    <s v=" 43065.1202 "/>
    <s v=" 77.1723 "/>
    <x v="0"/>
    <n v="3323433"/>
    <m/>
    <m/>
    <m/>
  </r>
  <r>
    <x v="6"/>
    <x v="0"/>
    <s v="F:\images\20210518\plaque 1/@06 EE2 170.9/A6_03.tif "/>
    <s v=" 50181.3555 "/>
    <s v=" 74.2198 "/>
    <x v="0"/>
    <n v="3724452"/>
    <m/>
    <m/>
    <m/>
  </r>
  <r>
    <x v="6"/>
    <x v="1"/>
    <s v="F:\images\20210518\plaque 1/@06 EE2 170.9/B6_01.tif "/>
    <s v=" 34802.5005 "/>
    <s v=" 72.2747 "/>
    <x v="0"/>
    <n v="2515340"/>
    <m/>
    <m/>
    <m/>
  </r>
  <r>
    <x v="6"/>
    <x v="1"/>
    <s v="F:\images\20210518\plaque 1/@06 EE2 170.9/B6_02.tif "/>
    <s v=" 38652.6217 "/>
    <s v=" 74.6581 "/>
    <x v="0"/>
    <n v="2885731"/>
    <m/>
    <m/>
    <m/>
  </r>
  <r>
    <x v="6"/>
    <x v="1"/>
    <s v="F:\images\20210518\plaque 1/@06 EE2 170.9/B6_03.tif "/>
    <s v=" 35516.287 "/>
    <s v=" 74.8946 "/>
    <x v="0"/>
    <n v="2659980"/>
    <m/>
    <m/>
    <m/>
  </r>
  <r>
    <x v="6"/>
    <x v="2"/>
    <s v="F:\images\20210518\plaque 1/@06 EE2 170.9/C6_01.tif "/>
    <s v=" 37311.5682 "/>
    <s v=" 73.8342 "/>
    <x v="0"/>
    <n v="2754870"/>
    <m/>
    <m/>
    <m/>
  </r>
  <r>
    <x v="6"/>
    <x v="2"/>
    <s v="F:\images\20210518\plaque 1/@06 EE2 170.9/C6_02.tif "/>
    <s v=" 36900.6002 "/>
    <s v=" 74.7104 "/>
    <x v="0"/>
    <n v="2756860"/>
    <m/>
    <m/>
    <m/>
  </r>
  <r>
    <x v="6"/>
    <x v="2"/>
    <s v="F:\images\20210518\plaque 1/@06 EE2 170.9/C6_03.tif "/>
    <s v=" 38501.2124 "/>
    <s v=" 74.118 "/>
    <x v="0"/>
    <n v="2853632"/>
    <m/>
    <m/>
    <m/>
  </r>
  <r>
    <x v="6"/>
    <x v="3"/>
    <s v="F:\images\20210518\plaque 1/@06 EE2 170.9/D6_01.tif "/>
    <s v=" 43216.5295 "/>
    <s v=" 77.1932 "/>
    <x v="0"/>
    <n v="3336022"/>
    <m/>
    <m/>
    <m/>
  </r>
  <r>
    <x v="6"/>
    <x v="3"/>
    <s v="F:\images\20210518\plaque 1/@06 EE2 170.9/D6_02.tif "/>
    <s v=" 50311.1349 "/>
    <s v=" 78.5787 "/>
    <x v="0"/>
    <n v="3953382"/>
    <m/>
    <m/>
    <m/>
  </r>
  <r>
    <x v="6"/>
    <x v="3"/>
    <s v="F:\images\20210518\plaque 1/@06 EE2 170.9/D6_03.tif "/>
    <s v=" 49381.0494 "/>
    <s v=" 77.6159 "/>
    <x v="0"/>
    <n v="3832752"/>
    <m/>
    <m/>
    <m/>
  </r>
  <r>
    <x v="6"/>
    <x v="4"/>
    <s v="F:\images\20210518\plaque 1/@06 EE2 170.9/E6_01.tif "/>
    <s v=" 24571.5603 "/>
    <s v=" 77.6364 "/>
    <x v="0"/>
    <n v="1907649"/>
    <m/>
    <m/>
    <m/>
  </r>
  <r>
    <x v="6"/>
    <x v="4"/>
    <s v="F:\images\20210518\plaque 1/@06 EE2 170.9/E6_02.tif "/>
    <s v=" 23187.247 "/>
    <s v=" 82.1539 "/>
    <x v="0"/>
    <n v="1904923"/>
    <m/>
    <m/>
    <m/>
  </r>
  <r>
    <x v="6"/>
    <x v="4"/>
    <s v="F:\images\20210518\plaque 1/@06 EE2 170.9/E6_03.tif "/>
    <s v=" 23165.6171 "/>
    <s v=" 81.1597 "/>
    <x v="0"/>
    <n v="1880114"/>
    <m/>
    <m/>
    <m/>
  </r>
  <r>
    <x v="6"/>
    <x v="5"/>
    <s v="F:\images\20210518\plaque 1/@06 EE2 170.9/F6_01.tif "/>
    <s v=" 17303.9157 "/>
    <s v=" 65.92 "/>
    <x v="0"/>
    <n v="1140674"/>
    <m/>
    <m/>
    <m/>
  </r>
  <r>
    <x v="6"/>
    <x v="5"/>
    <s v="F:\images\20210518\plaque 1/@06 EE2 170.9/F6_02.tif "/>
    <s v=" 22668.1296 "/>
    <s v=" 67.5477 "/>
    <x v="0"/>
    <n v="1531180"/>
    <m/>
    <m/>
    <m/>
  </r>
  <r>
    <x v="6"/>
    <x v="5"/>
    <s v="F:\images\20210518\plaque 1/@06 EE2 170.9/F6_03.tif "/>
    <s v=" 21370.3359 "/>
    <s v=" 66.3765 "/>
    <x v="0"/>
    <n v="1418488"/>
    <m/>
    <m/>
    <m/>
  </r>
  <r>
    <x v="6"/>
    <x v="6"/>
    <s v="F:\images\20210518\plaque 1/@06 EE2 170.9/G6_01.tif "/>
    <s v=" 1708.7617 "/>
    <s v=" 64.3671 "/>
    <x v="0"/>
    <n v="109988"/>
    <m/>
    <m/>
    <m/>
  </r>
  <r>
    <x v="6"/>
    <x v="6"/>
    <s v="F:\images\20210518\plaque 1/@06 EE2 170.9/G6_02.tif "/>
    <s v=" 2206.2493 "/>
    <s v=" 64.3039 "/>
    <x v="0"/>
    <n v="141870"/>
    <m/>
    <m/>
    <m/>
  </r>
  <r>
    <x v="6"/>
    <x v="6"/>
    <s v="F:\images\20210518\plaque 1/@06 EE2 170.9/G6_03.tif "/>
    <s v=" 2336.0286 "/>
    <s v=" 65.6759 "/>
    <x v="0"/>
    <n v="153421"/>
    <m/>
    <m/>
    <m/>
  </r>
  <r>
    <x v="6"/>
    <x v="7"/>
    <s v="F:\images\20210518\plaque 1/@06 EE2 170.9/H6_01.tif "/>
    <s v=" 33591.2264 "/>
    <s v=" 69.8042 "/>
    <x v="0"/>
    <n v="2344810"/>
    <m/>
    <m/>
    <m/>
  </r>
  <r>
    <x v="6"/>
    <x v="7"/>
    <s v="F:\images\20210518\plaque 1/@06 EE2 170.9/H6_02.tif "/>
    <s v=" 36662.6714 "/>
    <s v=" 70.5251 "/>
    <x v="0"/>
    <n v="2585638"/>
    <m/>
    <m/>
    <m/>
  </r>
  <r>
    <x v="6"/>
    <x v="7"/>
    <s v="F:\images\20210518\plaque 1/@06 EE2 170.9/H6_03.tif "/>
    <s v=" 35083.6891 "/>
    <s v=" 69.9908 "/>
    <x v="0"/>
    <n v="2455534"/>
    <m/>
    <m/>
    <m/>
  </r>
  <r>
    <x v="1"/>
    <x v="8"/>
    <s v=" "/>
    <m/>
    <m/>
    <x v="1"/>
    <m/>
    <m/>
    <m/>
    <m/>
  </r>
  <r>
    <x v="1"/>
    <x v="8"/>
    <s v="group "/>
    <s v=" "/>
    <s v=" mean of mean fluo "/>
    <x v="2"/>
    <s v=" mean of total fluo "/>
    <s v=" SD total fluo "/>
    <s v=" n fluorescent "/>
    <s v=" n total"/>
  </r>
  <r>
    <x v="6"/>
    <x v="9"/>
    <s v="F:\images\20210518\plaque 1/@06 EE2 170.9/ "/>
    <s v=" "/>
    <s v=" 72.8363 "/>
    <x v="8"/>
    <s v=" 2324154.71 "/>
    <s v=" 1133313.2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518\plaque 1/@07 EE2 488/A7_01.tif "/>
    <s v=" 38912.1804 "/>
    <s v=" 83.2685 "/>
    <x v="0"/>
    <n v="3240158"/>
    <m/>
    <m/>
    <m/>
  </r>
  <r>
    <x v="7"/>
    <x v="0"/>
    <s v="F:\images\20210518\plaque 1/@07 EE2 488/A7_02.tif "/>
    <s v=" 39863.8958 "/>
    <s v=" 84.2328 "/>
    <x v="0"/>
    <n v="3357846"/>
    <m/>
    <m/>
    <m/>
  </r>
  <r>
    <x v="7"/>
    <x v="0"/>
    <s v="F:\images\20210518\plaque 1/@07 EE2 488/A7_03.tif "/>
    <s v=" 50527.4339 "/>
    <s v=" 82.2123 "/>
    <x v="0"/>
    <n v="4153978"/>
    <m/>
    <m/>
    <m/>
  </r>
  <r>
    <x v="7"/>
    <x v="1"/>
    <s v="F:\images\20210518\plaque 1/@07 EE2 488/B7_01.tif "/>
    <s v=" 58054.6372 "/>
    <s v=" 86.4691 "/>
    <x v="0"/>
    <n v="5019931"/>
    <m/>
    <m/>
    <m/>
  </r>
  <r>
    <x v="7"/>
    <x v="1"/>
    <s v="F:\images\20210518\plaque 1/@07 EE2 488/B7_02.tif "/>
    <s v=" 64846.4241 "/>
    <s v=" 85.7759 "/>
    <x v="0"/>
    <n v="5562257"/>
    <m/>
    <m/>
    <m/>
  </r>
  <r>
    <x v="7"/>
    <x v="1"/>
    <s v="F:\images\20210518\plaque 1/@07 EE2 488/B7_03.tif "/>
    <s v=" 63937.9685 "/>
    <s v=" 85.6187 "/>
    <x v="0"/>
    <n v="5474288"/>
    <m/>
    <m/>
    <m/>
  </r>
  <r>
    <x v="7"/>
    <x v="2"/>
    <s v="F:\images\20210518\plaque 1/@07 EE2 488/C7_01.tif "/>
    <s v=" 59157.7618 "/>
    <s v=" 89.3781 "/>
    <x v="0"/>
    <n v="5287406"/>
    <m/>
    <m/>
    <m/>
  </r>
  <r>
    <x v="7"/>
    <x v="2"/>
    <s v="F:\images\20210518\plaque 1/@07 EE2 488/C7_02.tif "/>
    <s v=" 58227.6763 "/>
    <s v=" 89.666 "/>
    <x v="0"/>
    <n v="5221046"/>
    <m/>
    <m/>
    <m/>
  </r>
  <r>
    <x v="7"/>
    <x v="2"/>
    <s v="F:\images\20210518\plaque 1/@07 EE2 488/C7_03.tif "/>
    <s v=" 51673.8183 "/>
    <s v=" 94.2445 "/>
    <x v="0"/>
    <n v="4869971"/>
    <m/>
    <m/>
    <m/>
  </r>
  <r>
    <x v="7"/>
    <x v="3"/>
    <s v="F:\images\20210518\plaque 1/@07 EE2 488/D7_01.tif "/>
    <s v=" 79511.4927 "/>
    <s v=" 94.7685 "/>
    <x v="0"/>
    <n v="7535185"/>
    <m/>
    <m/>
    <m/>
  </r>
  <r>
    <x v="7"/>
    <x v="3"/>
    <s v="F:\images\20210518\plaque 1/@07 EE2 488/D7_02.tif "/>
    <s v=" 81241.8842 "/>
    <s v=" 93.1374 "/>
    <x v="0"/>
    <n v="7566656"/>
    <m/>
    <m/>
    <m/>
  </r>
  <r>
    <x v="7"/>
    <x v="3"/>
    <s v="F:\images\20210518\plaque 1/@07 EE2 488/D7_03.tif "/>
    <s v=" 72005.9192 "/>
    <s v=" 96.8285 "/>
    <x v="0"/>
    <n v="6972223"/>
    <m/>
    <m/>
    <m/>
  </r>
  <r>
    <x v="7"/>
    <x v="4"/>
    <s v="F:\images\20210518\plaque 1/@07 EE2 488/E7_01.tif "/>
    <s v=" 19120.8269 "/>
    <s v=" 77.2805 "/>
    <x v="0"/>
    <n v="1477668"/>
    <m/>
    <m/>
    <m/>
  </r>
  <r>
    <x v="7"/>
    <x v="4"/>
    <s v="F:\images\20210518\plaque 1/@07 EE2 488/E7_02.tif "/>
    <s v=" 17303.9157 "/>
    <s v=" 76.685 "/>
    <x v="0"/>
    <n v="1326951"/>
    <m/>
    <m/>
    <m/>
  </r>
  <r>
    <x v="7"/>
    <x v="4"/>
    <s v="F:\images\20210518\plaque 1/@07 EE2 488/E7_03.tif "/>
    <s v=" 16330.5704 "/>
    <s v=" 80.9682 "/>
    <x v="0"/>
    <n v="1322257"/>
    <m/>
    <m/>
    <m/>
  </r>
  <r>
    <x v="7"/>
    <x v="5"/>
    <s v="F:\images\20210518\plaque 1/@07 EE2 488/F7_01.tif "/>
    <s v=" 30519.7813 "/>
    <s v=" 85.5308 "/>
    <x v="0"/>
    <n v="2610382"/>
    <m/>
    <m/>
    <m/>
  </r>
  <r>
    <x v="7"/>
    <x v="5"/>
    <s v="F:\images\20210518\plaque 1/@07 EE2 488/F7_02.tif "/>
    <s v=" 33591.2264 "/>
    <s v=" 82.9131 "/>
    <x v="0"/>
    <n v="2785152"/>
    <m/>
    <m/>
    <m/>
  </r>
  <r>
    <x v="7"/>
    <x v="5"/>
    <s v="F:\images\20210518\plaque 1/@07 EE2 488/F7_03.tif "/>
    <s v=" 30519.7813 "/>
    <s v=" 83.6747 "/>
    <x v="0"/>
    <n v="2553734"/>
    <m/>
    <m/>
    <m/>
  </r>
  <r>
    <x v="7"/>
    <x v="6"/>
    <s v="F:\images\20210518\plaque 1/@07 EE2 488/G7_01.tif "/>
    <s v=" 28140.4929 "/>
    <s v=" 78.94 "/>
    <x v="0"/>
    <n v="2221412"/>
    <m/>
    <m/>
    <m/>
  </r>
  <r>
    <x v="7"/>
    <x v="6"/>
    <s v="F:\images\20210518\plaque 1/@07 EE2 488/G7_02.tif "/>
    <s v=" 27405.0765 "/>
    <s v=" 82.7672 "/>
    <x v="0"/>
    <n v="2268241"/>
    <m/>
    <m/>
    <m/>
  </r>
  <r>
    <x v="7"/>
    <x v="6"/>
    <s v="F:\images\20210518\plaque 1/@07 EE2 488/G7_03.tif "/>
    <s v=" 21327.0761 "/>
    <s v=" 81.8144 "/>
    <x v="0"/>
    <n v="1744862"/>
    <m/>
    <m/>
    <m/>
  </r>
  <r>
    <x v="7"/>
    <x v="7"/>
    <s v="F:\images\20210518\plaque 1/@07 EE2 488/H7_01.tif "/>
    <s v=" 54117.9964 "/>
    <s v=" 99.2658 "/>
    <x v="0"/>
    <n v="5372066"/>
    <m/>
    <m/>
    <m/>
  </r>
  <r>
    <x v="7"/>
    <x v="7"/>
    <s v="F:\images\20210518\plaque 1/@07 EE2 488/H7_02.tif "/>
    <s v=" 58487.2351 "/>
    <s v=" 97.2359 "/>
    <x v="0"/>
    <n v="5687062"/>
    <m/>
    <m/>
    <m/>
  </r>
  <r>
    <x v="7"/>
    <x v="7"/>
    <s v="F:\images\20210518\plaque 1/@07 EE2 488/H7_03.tif "/>
    <s v=" 50851.8823 "/>
    <s v=" 97.5717 "/>
    <x v="0"/>
    <n v="4961703"/>
    <m/>
    <m/>
    <m/>
  </r>
  <r>
    <x v="1"/>
    <x v="8"/>
    <s v=" "/>
    <m/>
    <m/>
    <x v="1"/>
    <m/>
    <m/>
    <m/>
    <m/>
  </r>
  <r>
    <x v="1"/>
    <x v="8"/>
    <s v="group "/>
    <s v=" "/>
    <s v=" mean of mean fluo "/>
    <x v="2"/>
    <s v=" mean of total fluo "/>
    <s v=" SD total fluo "/>
    <s v=" n fluorescent "/>
    <s v=" n total"/>
  </r>
  <r>
    <x v="7"/>
    <x v="9"/>
    <s v="F:\images\20210518\plaque 1/@07 EE2 488/ "/>
    <s v=" "/>
    <s v=" 87.0936 "/>
    <x v="9"/>
    <s v=" 4108018.12 "/>
    <s v=" 1949621.9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518\plaque 1/@08 Estrone 0.04 µg_L/A8_01.tif "/>
    <s v=" 2098.0998 "/>
    <s v=" 65.0825 "/>
    <x v="0"/>
    <n v="136550"/>
    <m/>
    <m/>
    <m/>
  </r>
  <r>
    <x v="8"/>
    <x v="0"/>
    <s v="F:\images\20210518\plaque 1/@08 Estrone 0.04 µg_L/A8_02.tif "/>
    <s v=" 1730.3916 "/>
    <s v=" 65.825 "/>
    <x v="0"/>
    <n v="113903"/>
    <m/>
    <m/>
    <m/>
  </r>
  <r>
    <x v="8"/>
    <x v="0"/>
    <s v="F:\images\20210518\plaque 1/@08 Estrone 0.04 µg_L/A8_03.tif "/>
    <s v=" 1427.573 "/>
    <s v=" 65.5909 "/>
    <x v="0"/>
    <n v="93636"/>
    <m/>
    <m/>
    <m/>
  </r>
  <r>
    <x v="8"/>
    <x v="1"/>
    <s v="F:\images\20210518\plaque 1/@08 Estrone 0.04 µg_L/B8_01.tif "/>
    <s v=" 692.1566 "/>
    <s v=" 66.0625 "/>
    <x v="0"/>
    <n v="45726"/>
    <m/>
    <m/>
    <m/>
  </r>
  <r>
    <x v="8"/>
    <x v="1"/>
    <s v="F:\images\20210518\plaque 1/@08 Estrone 0.04 µg_L/B8_02.tif "/>
    <s v=" 3979.9006 "/>
    <s v=" 67.5272 "/>
    <x v="0"/>
    <n v="268751"/>
    <m/>
    <m/>
    <m/>
  </r>
  <r>
    <x v="8"/>
    <x v="1"/>
    <s v="F:\images\20210518\plaque 1/@08 Estrone 0.04 µg_L/B8_03.tif "/>
    <s v=" 605.637 "/>
    <s v=" 65.4643 "/>
    <x v="0"/>
    <n v="39648"/>
    <m/>
    <m/>
    <m/>
  </r>
  <r>
    <x v="8"/>
    <x v="2"/>
    <s v="F:\images\20210518\plaque 1/@08 Estrone 0.04 µg_L/C8_01.tif "/>
    <s v=" 410.968 "/>
    <s v=" 67.5789 "/>
    <x v="0"/>
    <n v="27773"/>
    <m/>
    <m/>
    <m/>
  </r>
  <r>
    <x v="8"/>
    <x v="2"/>
    <s v="F:\images\20210518\plaque 1/@08 Estrone 0.04 µg_L/C8_02.tif "/>
    <s v=" 237.9288 "/>
    <s v=" 64.0909 "/>
    <x v="0"/>
    <n v="15249"/>
    <m/>
    <m/>
    <m/>
  </r>
  <r>
    <x v="8"/>
    <x v="2"/>
    <s v="F:\images\20210518\plaque 1/@08 Estrone 0.04 µg_L/C8_03.tif "/>
    <s v=" 540.7474 "/>
    <n v="65"/>
    <x v="0"/>
    <n v="35149"/>
    <m/>
    <m/>
    <m/>
  </r>
  <r>
    <x v="8"/>
    <x v="3"/>
    <s v="F:\images\20210518\plaque 1/@08 Estrone 0.04 µg_L/D8_01.tif "/>
    <s v=" 1276.1638 "/>
    <s v=" 64.7458 "/>
    <x v="0"/>
    <n v="82626"/>
    <m/>
    <m/>
    <m/>
  </r>
  <r>
    <x v="8"/>
    <x v="3"/>
    <s v="F:\images\20210518\plaque 1/@08 Estrone 0.04 µg_L/D8_02.tif "/>
    <s v=" 2595.5874 "/>
    <s v=" 65.1167 "/>
    <x v="0"/>
    <n v="169016"/>
    <m/>
    <m/>
    <m/>
  </r>
  <r>
    <x v="8"/>
    <x v="3"/>
    <s v="F:\images\20210518\plaque 1/@08 Estrone 0.04 µg_L/D8_03.tif "/>
    <s v=" 540.7474 "/>
    <s v=" 67.76 "/>
    <x v="0"/>
    <n v="36641"/>
    <m/>
    <m/>
    <m/>
  </r>
  <r>
    <x v="8"/>
    <x v="4"/>
    <s v="F:\images\20210518\plaque 1/@08 Estrone 0.04 µg_L/E8_01.tif "/>
    <s v=" 1665.5019 "/>
    <s v=" 66.4286 "/>
    <x v="0"/>
    <n v="110637"/>
    <m/>
    <m/>
    <m/>
  </r>
  <r>
    <x v="8"/>
    <x v="4"/>
    <s v="F:\images\20210518\plaque 1/@08 Estrone 0.04 µg_L/E8_02.tif "/>
    <s v=" 1665.5019 "/>
    <s v=" 67.6104 "/>
    <x v="0"/>
    <n v="112605"/>
    <m/>
    <m/>
    <m/>
  </r>
  <r>
    <x v="8"/>
    <x v="4"/>
    <s v="F:\images\20210518\plaque 1/@08 Estrone 0.04 µg_L/E8_03.tif "/>
    <s v=" 1232.904 "/>
    <s v=" 64.5263 "/>
    <x v="0"/>
    <n v="79555"/>
    <m/>
    <m/>
    <m/>
  </r>
  <r>
    <x v="8"/>
    <x v="5"/>
    <s v="F:\images\20210518\plaque 1/@08 Estrone 0.04 µg_L/F8_01.tif "/>
    <s v=" 1427.573 "/>
    <s v=" 63.6515 "/>
    <x v="0"/>
    <n v="90867"/>
    <m/>
    <m/>
    <m/>
  </r>
  <r>
    <x v="8"/>
    <x v="5"/>
    <s v="F:\images\20210518\plaque 1/@08 Estrone 0.04 µg_L/F8_02.tif "/>
    <s v=" 1470.8328 "/>
    <s v=" 63.8382 "/>
    <x v="0"/>
    <n v="93895"/>
    <m/>
    <m/>
    <m/>
  </r>
  <r>
    <x v="8"/>
    <x v="5"/>
    <s v="F:\images\20210518\plaque 1/@08 Estrone 0.04 µg_L/F8_03.tif "/>
    <s v=" 1211.2741 "/>
    <s v=" 64.375 "/>
    <x v="0"/>
    <n v="77976"/>
    <m/>
    <m/>
    <m/>
  </r>
  <r>
    <x v="8"/>
    <x v="6"/>
    <s v="F:\images\20210518\plaque 1/@08 Estrone 0.04 µg_L/G8_01.tif "/>
    <s v=" 3331.0038 "/>
    <s v=" 64.0065 "/>
    <x v="0"/>
    <n v="213206"/>
    <m/>
    <m/>
    <m/>
  </r>
  <r>
    <x v="8"/>
    <x v="6"/>
    <s v="F:\images\20210518\plaque 1/@08 Estrone 0.04 µg_L/G8_02.tif "/>
    <s v=" 2552.3276 "/>
    <s v=" 67.2373 "/>
    <x v="0"/>
    <n v="171612"/>
    <m/>
    <m/>
    <m/>
  </r>
  <r>
    <x v="8"/>
    <x v="6"/>
    <s v="F:\images\20210518\plaque 1/@08 Estrone 0.04 µg_L/G8_03.tif "/>
    <s v=" 5234.4345 "/>
    <s v=" 65.4339 "/>
    <x v="0"/>
    <n v="342509"/>
    <m/>
    <m/>
    <m/>
  </r>
  <r>
    <x v="8"/>
    <x v="7"/>
    <s v="F:\images\20210518\plaque 1/@08 Estrone 0.04 µg_L/H8_01.tif "/>
    <s v=" 2336.0286 "/>
    <s v=" 66.713 "/>
    <x v="0"/>
    <n v="155843"/>
    <m/>
    <m/>
    <m/>
  </r>
  <r>
    <x v="8"/>
    <x v="7"/>
    <s v="F:\images\20210518\plaque 1/@08 Estrone 0.04 µg_L/H8_02.tif "/>
    <s v=" 1384.3133 "/>
    <s v=" 62.9062 "/>
    <x v="0"/>
    <n v="87082"/>
    <m/>
    <m/>
    <m/>
  </r>
  <r>
    <x v="8"/>
    <x v="7"/>
    <s v="F:\images\20210518\plaque 1/@08 Estrone 0.04 µg_L/H8_03.tif "/>
    <s v=" 930.0855 "/>
    <s v=" 64.6744 "/>
    <x v="0"/>
    <n v="60153"/>
    <m/>
    <m/>
    <m/>
  </r>
  <r>
    <x v="1"/>
    <x v="8"/>
    <s v=" "/>
    <m/>
    <m/>
    <x v="1"/>
    <m/>
    <m/>
    <m/>
    <m/>
  </r>
  <r>
    <x v="1"/>
    <x v="8"/>
    <s v="group "/>
    <s v=" "/>
    <s v=" mean of mean fluo "/>
    <x v="2"/>
    <s v=" mean of total fluo "/>
    <s v=" SD total fluo "/>
    <s v=" n fluorescent "/>
    <s v=" n total"/>
  </r>
  <r>
    <x v="8"/>
    <x v="9"/>
    <s v="F:\images\20210518\plaque 1/@08 Estrone 0.04 µg_L/ "/>
    <s v=" "/>
    <s v=" 65.4686 "/>
    <x v="10"/>
    <s v=" 110858.667 "/>
    <s v=" 78688.34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518\plaque 1/@09 Estrone 0.2 µg_L/A9_01.tif "/>
    <s v=" 3395.8935 "/>
    <s v=" 66.7707 "/>
    <x v="0"/>
    <n v="226746"/>
    <m/>
    <m/>
    <m/>
  </r>
  <r>
    <x v="9"/>
    <x v="0"/>
    <s v="F:\images\20210518\plaque 1/@09 Estrone 0.2 µg_L/A9_02.tif "/>
    <s v=" 865.1958 "/>
    <s v=" 64.75 "/>
    <x v="0"/>
    <n v="56021"/>
    <m/>
    <m/>
    <m/>
  </r>
  <r>
    <x v="9"/>
    <x v="0"/>
    <s v="F:\images\20210518\plaque 1/@09 Estrone 0.2 µg_L/A9_03.tif "/>
    <s v=" 3504.0429 "/>
    <s v=" 66.8765 "/>
    <x v="0"/>
    <n v="234338"/>
    <m/>
    <m/>
    <m/>
  </r>
  <r>
    <x v="9"/>
    <x v="1"/>
    <s v="F:\images\20210518\plaque 1/@09 Estrone 0.2 µg_L/B9_01.tif "/>
    <s v=" 1427.573 "/>
    <s v=" 65.0909 "/>
    <x v="0"/>
    <n v="92922"/>
    <m/>
    <m/>
    <m/>
  </r>
  <r>
    <x v="9"/>
    <x v="1"/>
    <s v="F:\images\20210518\plaque 1/@09 Estrone 0.2 µg_L/B9_02.tif "/>
    <s v=" 2292.7688 "/>
    <s v=" 65.6321 "/>
    <x v="0"/>
    <n v="150479"/>
    <m/>
    <m/>
    <m/>
  </r>
  <r>
    <x v="9"/>
    <x v="1"/>
    <s v="F:\images\20210518\plaque 1/@09 Estrone 0.2 µg_L/B9_03.tif "/>
    <s v=" 1643.872 "/>
    <s v=" 63.3553 "/>
    <x v="0"/>
    <n v="104148"/>
    <m/>
    <m/>
    <m/>
  </r>
  <r>
    <x v="9"/>
    <x v="2"/>
    <s v="F:\images\20210518\plaque 1/@09 Estrone 0.2 µg_L/C9_01.tif "/>
    <s v=" 151.4093 "/>
    <s v=" 64.5714 "/>
    <x v="0"/>
    <n v="9777"/>
    <m/>
    <m/>
    <m/>
  </r>
  <r>
    <x v="9"/>
    <x v="2"/>
    <s v="F:\images\20210518\plaque 1/@09 Estrone 0.2 µg_L/C9_02.tif "/>
    <s v=" 454.2278 "/>
    <s v=" 65.0476 "/>
    <x v="0"/>
    <n v="29546"/>
    <m/>
    <m/>
    <m/>
  </r>
  <r>
    <x v="9"/>
    <x v="2"/>
    <s v="F:\images\20210518\plaque 1/@09 Estrone 0.2 µg_L/C9_03.tif "/>
    <s v=" 64.8897 "/>
    <s v=" 65.3333 "/>
    <x v="0"/>
    <n v="4239"/>
    <m/>
    <m/>
    <m/>
  </r>
  <r>
    <x v="9"/>
    <x v="3"/>
    <s v="F:\images\20210518\plaque 1/@09 Estrone 0.2 µg_L/D9_01.tif "/>
    <s v=" 519.1175 "/>
    <s v=" 64.5417 "/>
    <x v="0"/>
    <n v="33505"/>
    <m/>
    <m/>
    <m/>
  </r>
  <r>
    <x v="9"/>
    <x v="3"/>
    <s v="F:\images\20210518\plaque 1/@09 Estrone 0.2 µg_L/D9_02.tif "/>
    <s v=" 194.6691 "/>
    <s v=" 63.1111 "/>
    <x v="0"/>
    <n v="12286"/>
    <m/>
    <m/>
    <m/>
  </r>
  <r>
    <x v="9"/>
    <x v="3"/>
    <s v="F:\images\20210518\plaque 1/@09 Estrone 0.2 µg_L/D9_03.tif "/>
    <s v=" 346.0783 "/>
    <s v=" 63.75 "/>
    <x v="0"/>
    <n v="22062"/>
    <m/>
    <m/>
    <m/>
  </r>
  <r>
    <x v="9"/>
    <x v="4"/>
    <s v="F:\images\20210518\plaque 1/@09 Estrone 0.2 µg_L/E9_01.tif "/>
    <s v=" 389.3381 "/>
    <s v=" 64.1111 "/>
    <x v="0"/>
    <n v="24961"/>
    <m/>
    <m/>
    <m/>
  </r>
  <r>
    <x v="9"/>
    <x v="4"/>
    <s v="F:\images\20210518\plaque 1/@09 Estrone 0.2 µg_L/E9_02.tif "/>
    <s v=" 194.6691 "/>
    <s v=" 63.5556 "/>
    <x v="0"/>
    <n v="12372"/>
    <m/>
    <m/>
    <m/>
  </r>
  <r>
    <x v="9"/>
    <x v="4"/>
    <s v="F:\images\20210518\plaque 1/@09 Estrone 0.2 µg_L/E9_03.tif "/>
    <s v=" 237.9288 "/>
    <n v="64"/>
    <x v="0"/>
    <n v="15227"/>
    <m/>
    <m/>
    <m/>
  </r>
  <r>
    <x v="9"/>
    <x v="5"/>
    <s v="F:\images\20210518\plaque 1/@09 Estrone 0.2 µg_L/F9_01.tif "/>
    <s v=" 1232.904 "/>
    <s v=" 66.4561 "/>
    <x v="0"/>
    <n v="81934"/>
    <m/>
    <m/>
    <m/>
  </r>
  <r>
    <x v="9"/>
    <x v="5"/>
    <s v="F:\images\20210518\plaque 1/@09 Estrone 0.2 µg_L/F9_02.tif "/>
    <s v=" 735.4164 "/>
    <s v=" 62.9118 "/>
    <x v="0"/>
    <n v="46266"/>
    <m/>
    <m/>
    <m/>
  </r>
  <r>
    <x v="9"/>
    <x v="5"/>
    <s v="F:\images\20210518\plaque 1/@09 Estrone 0.2 µg_L/F9_03.tif "/>
    <s v=" 2465.808 "/>
    <s v=" 65.0614 "/>
    <x v="0"/>
    <n v="160429"/>
    <m/>
    <m/>
    <m/>
  </r>
  <r>
    <x v="9"/>
    <x v="6"/>
    <s v="F:\images\20210518\plaque 1/@09 Estrone 0.2 µg_L/G9_01.tif "/>
    <s v=" 3006.5554 "/>
    <s v=" 69.0863 "/>
    <x v="0"/>
    <n v="207712"/>
    <m/>
    <m/>
    <m/>
  </r>
  <r>
    <x v="9"/>
    <x v="6"/>
    <s v="F:\images\20210518\plaque 1/@09 Estrone 0.2 µg_L/G9_02.tif "/>
    <s v=" 4758.5768 "/>
    <s v=" 69.6364 "/>
    <x v="0"/>
    <n v="331370"/>
    <m/>
    <m/>
    <m/>
  </r>
  <r>
    <x v="9"/>
    <x v="6"/>
    <s v="F:\images\20210518\plaque 1/@09 Estrone 0.2 µg_L/G9_03.tif "/>
    <s v=" 346.0783 "/>
    <s v=" 64.125 "/>
    <x v="0"/>
    <n v="22192"/>
    <m/>
    <m/>
    <m/>
  </r>
  <r>
    <x v="9"/>
    <x v="7"/>
    <s v="F:\images\20210518\plaque 1/@09 Estrone 0.2 µg_L/H9_01.tif "/>
    <s v=" 930.0855 "/>
    <s v=" 63.6977 "/>
    <x v="0"/>
    <n v="59244"/>
    <m/>
    <m/>
    <m/>
  </r>
  <r>
    <x v="9"/>
    <x v="7"/>
    <s v="F:\images\20210518\plaque 1/@09 Estrone 0.2 µg_L/H9_02.tif "/>
    <s v=" 12091.1111 "/>
    <s v=" 69.3596 "/>
    <x v="0"/>
    <n v="838634"/>
    <m/>
    <m/>
    <m/>
  </r>
  <r>
    <x v="9"/>
    <x v="7"/>
    <s v="F:\images\20210518\plaque 1/@09 Estrone 0.2 µg_L/H9_03.tif "/>
    <s v=" 886.8257 "/>
    <s v=" 64.2439 "/>
    <x v="0"/>
    <n v="56973"/>
    <m/>
    <m/>
    <m/>
  </r>
  <r>
    <x v="1"/>
    <x v="8"/>
    <s v=" "/>
    <m/>
    <m/>
    <x v="1"/>
    <m/>
    <m/>
    <m/>
    <m/>
  </r>
  <r>
    <x v="1"/>
    <x v="8"/>
    <s v="group "/>
    <s v=" "/>
    <s v=" mean of mean fluo "/>
    <x v="2"/>
    <s v=" mean of total fluo "/>
    <s v=" SD total fluo "/>
    <s v=" n fluorescent "/>
    <s v=" n total"/>
  </r>
  <r>
    <x v="9"/>
    <x v="9"/>
    <s v="F:\images\20210518\plaque 1/@09 Estrone 0.2 µg_L/ "/>
    <s v=" "/>
    <s v=" 65.2115 "/>
    <x v="11"/>
    <s v=" 118057.625 "/>
    <s v=" 176800.14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518\plaque 1/@10 Estrone 1 µg_L/A10_01.tif "/>
    <s v=" 6986.456 "/>
    <s v=" 65.839 "/>
    <x v="0"/>
    <n v="459981"/>
    <m/>
    <m/>
    <m/>
  </r>
  <r>
    <x v="10"/>
    <x v="0"/>
    <s v="F:\images\20210518\plaque 1/@10 Estrone 1 µg_L/A10_02.tif "/>
    <s v=" 9235.965 "/>
    <s v=" 66.3349 "/>
    <x v="0"/>
    <n v="612667"/>
    <m/>
    <m/>
    <m/>
  </r>
  <r>
    <x v="10"/>
    <x v="0"/>
    <s v="F:\images\20210518\plaque 1/@10 Estrone 1 µg_L/A10_03.tif "/>
    <s v=" 5061.3953 "/>
    <s v=" 66.3504 "/>
    <x v="0"/>
    <n v="335826"/>
    <m/>
    <m/>
    <m/>
  </r>
  <r>
    <x v="10"/>
    <x v="1"/>
    <s v="F:\images\20210518\plaque 1/@10 Estrone 1 µg_L/B10_01.tif "/>
    <s v=" 3547.3027 "/>
    <s v=" 66.7683 "/>
    <x v="0"/>
    <n v="236847"/>
    <m/>
    <m/>
    <m/>
  </r>
  <r>
    <x v="10"/>
    <x v="1"/>
    <s v="F:\images\20210518\plaque 1/@10 Estrone 1 µg_L/B10_02.tif "/>
    <s v=" 692.1566 "/>
    <s v=" 67.1562 "/>
    <x v="0"/>
    <n v="46483"/>
    <m/>
    <m/>
    <m/>
  </r>
  <r>
    <x v="10"/>
    <x v="1"/>
    <s v="F:\images\20210518\plaque 1/@10 Estrone 1 µg_L/B10_03.tif "/>
    <s v=" 8262.6197 "/>
    <s v=" 75.2356 "/>
    <x v="0"/>
    <n v="621643"/>
    <m/>
    <m/>
    <m/>
  </r>
  <r>
    <x v="10"/>
    <x v="2"/>
    <s v="F:\images\20210518\plaque 1/@10 Estrone 1 µg_L/C10_01.tif "/>
    <s v=" 151.4093 "/>
    <s v=" 62.4286 "/>
    <x v="0"/>
    <n v="9452"/>
    <m/>
    <m/>
    <m/>
  </r>
  <r>
    <x v="10"/>
    <x v="2"/>
    <s v="F:\images\20210518\plaque 1/@10 Estrone 1 µg_L/C10_02.tif "/>
    <s v=" 173.0392 "/>
    <s v=" 64.125 "/>
    <x v="0"/>
    <n v="11096"/>
    <m/>
    <m/>
    <m/>
  </r>
  <r>
    <x v="10"/>
    <x v="2"/>
    <s v="F:\images\20210518\plaque 1/@10 Estrone 1 µg_L/C10_03.tif "/>
    <s v=" 259.5587 "/>
    <s v=" 63.25 "/>
    <x v="0"/>
    <n v="16417"/>
    <m/>
    <m/>
    <m/>
  </r>
  <r>
    <x v="10"/>
    <x v="3"/>
    <s v="F:\images\20210518\plaque 1/@10 Estrone 1 µg_L/D10_01.tif "/>
    <s v=" 4866.7263 "/>
    <s v=" 65.92 "/>
    <x v="0"/>
    <n v="320815"/>
    <m/>
    <m/>
    <m/>
  </r>
  <r>
    <x v="10"/>
    <x v="3"/>
    <s v="F:\images\20210518\plaque 1/@10 Estrone 1 µg_L/D10_02.tif "/>
    <s v=" 9711.8227 "/>
    <s v=" 71.8419 "/>
    <x v="0"/>
    <n v="697716"/>
    <m/>
    <m/>
    <m/>
  </r>
  <r>
    <x v="10"/>
    <x v="3"/>
    <s v="F:\images\20210518\plaque 1/@10 Estrone 1 µg_L/D10_03.tif "/>
    <s v=" 4434.1284 "/>
    <s v=" 65.6976 "/>
    <x v="0"/>
    <n v="291311"/>
    <m/>
    <m/>
    <m/>
  </r>
  <r>
    <x v="10"/>
    <x v="4"/>
    <s v="F:\images\20210518\plaque 1/@10 Estrone 1 µg_L/E10_01.tif "/>
    <s v=" 22127.3822 "/>
    <s v=" 67.5279 "/>
    <x v="0"/>
    <n v="1494215"/>
    <m/>
    <m/>
    <m/>
  </r>
  <r>
    <x v="10"/>
    <x v="4"/>
    <s v="F:\images\20210518\plaque 1/@10 Estrone 1 µg_L/E10_02- exclu.tif"/>
    <m/>
    <m/>
    <x v="1"/>
    <m/>
    <m/>
    <m/>
    <m/>
  </r>
  <r>
    <x v="10"/>
    <x v="4"/>
    <s v="F:\images\20210518\plaque 1/@10 Estrone 1 µg_L/E10_03.tif "/>
    <s v=" 22797.9089 "/>
    <s v=" 68.9526 "/>
    <x v="0"/>
    <n v="1571974"/>
    <m/>
    <m/>
    <m/>
  </r>
  <r>
    <x v="10"/>
    <x v="5"/>
    <s v="F:\images\20210518\plaque 1/@10 Estrone 1 µg_L/F10_01.tif "/>
    <s v=" 1276.1638 "/>
    <s v=" 66.5932 "/>
    <x v="0"/>
    <n v="84984"/>
    <m/>
    <m/>
    <m/>
  </r>
  <r>
    <x v="10"/>
    <x v="5"/>
    <s v="F:\images\20210518\plaque 1/@10 Estrone 1 µg_L/F10_02.tif "/>
    <s v=" 1124.7545 "/>
    <s v=" 68.6346 "/>
    <x v="0"/>
    <n v="77197"/>
    <m/>
    <m/>
    <m/>
  </r>
  <r>
    <x v="10"/>
    <x v="5"/>
    <s v="F:\images\20210518\plaque 1/@10 Estrone 1 µg_L/F10_03.tif "/>
    <s v=" 129.7794 "/>
    <n v="66"/>
    <x v="0"/>
    <n v="8565"/>
    <m/>
    <m/>
    <m/>
  </r>
  <r>
    <x v="10"/>
    <x v="6"/>
    <s v="F:\images\20210518\plaque 1/@10 Estrone 1 µg_L/G10_01.tif "/>
    <s v=" 13821.5027 "/>
    <s v=" 68.2003 "/>
    <x v="0"/>
    <n v="942631"/>
    <m/>
    <m/>
    <m/>
  </r>
  <r>
    <x v="10"/>
    <x v="6"/>
    <s v="F:\images\20210518\plaque 1/@10 Estrone 1 µg_L/G10_02.tif "/>
    <s v=" 21240.5565 "/>
    <s v=" 66.6996 "/>
    <x v="0"/>
    <n v="1416736"/>
    <m/>
    <m/>
    <m/>
  </r>
  <r>
    <x v="10"/>
    <x v="6"/>
    <s v="F:\images\20210518\plaque 1/@10 Estrone 1 µg_L/G10_03.tif "/>
    <s v=" 17217.3961 "/>
    <s v=" 65.7663 "/>
    <x v="0"/>
    <n v="1132325"/>
    <m/>
    <m/>
    <m/>
  </r>
  <r>
    <x v="10"/>
    <x v="7"/>
    <s v="F:\images\20210518\plaque 1/@10 Estrone 1 µg_L/H10_01- exclu.tif"/>
    <m/>
    <m/>
    <x v="1"/>
    <m/>
    <m/>
    <m/>
    <m/>
  </r>
  <r>
    <x v="10"/>
    <x v="7"/>
    <s v="F:\images\20210518\plaque 1/@10 Estrone 1 µg_L/H10_02.tif "/>
    <s v=" 519.1175 "/>
    <s v=" 63.3333 "/>
    <x v="0"/>
    <n v="32877"/>
    <m/>
    <m/>
    <m/>
  </r>
  <r>
    <x v="10"/>
    <x v="7"/>
    <s v="F:\images\20210518\plaque 1/@10 Estrone 1 µg_L/H10_03.tif "/>
    <s v=" 735.4164 "/>
    <s v=" 65.5294 "/>
    <x v="0"/>
    <n v="48191"/>
    <m/>
    <m/>
    <m/>
  </r>
  <r>
    <x v="1"/>
    <x v="8"/>
    <s v=" "/>
    <m/>
    <m/>
    <x v="1"/>
    <m/>
    <m/>
    <m/>
    <m/>
  </r>
  <r>
    <x v="1"/>
    <x v="8"/>
    <s v="group "/>
    <s v=" "/>
    <s v=" mean of mean fluo "/>
    <x v="2"/>
    <s v=" mean of total fluo "/>
    <s v=" SD total fluo "/>
    <s v=" n fluorescent "/>
    <s v=" n total"/>
  </r>
  <r>
    <x v="10"/>
    <x v="9"/>
    <s v="F:\images\20210518\plaque 1/@10 Estrone 1 µg_L/ "/>
    <s v=" "/>
    <s v=" 66.5341 "/>
    <x v="12"/>
    <s v=" 460596.833 "/>
    <s v=" 507913.7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518\plaque 1/@11 Estrone 5 µg_L/A11_01.tif "/>
    <s v=" 48926.8217 "/>
    <s v=" 85.9982 "/>
    <x v="0"/>
    <n v="4207620"/>
    <m/>
    <m/>
    <m/>
  </r>
  <r>
    <x v="11"/>
    <x v="0"/>
    <s v="F:\images\20210518\plaque 1/@11 Estrone 5 µg_L/A11_02.tif "/>
    <s v=" 46612.4229 "/>
    <s v=" 85.3596 "/>
    <x v="0"/>
    <n v="3978819"/>
    <m/>
    <m/>
    <m/>
  </r>
  <r>
    <x v="11"/>
    <x v="0"/>
    <s v="F:\images\20210518\plaque 1/@11 Estrone 5 µg_L/A11_03.tif "/>
    <s v=" 47975.1063 "/>
    <s v=" 83.8539 "/>
    <x v="0"/>
    <n v="4022901"/>
    <m/>
    <m/>
    <m/>
  </r>
  <r>
    <x v="11"/>
    <x v="1"/>
    <s v="F:\images\20210518\plaque 1/@11 Estrone 5 µg_L/B11_01.tif "/>
    <s v=" 57989.7475 "/>
    <s v=" 85.6863 "/>
    <x v="0"/>
    <n v="4968928"/>
    <m/>
    <m/>
    <m/>
  </r>
  <r>
    <x v="11"/>
    <x v="1"/>
    <s v="F:\images\20210518\plaque 1/@11 Estrone 5 µg_L/B11_02.tif "/>
    <s v=" 60606.9648 "/>
    <s v=" 84.9461 "/>
    <x v="0"/>
    <n v="5148326"/>
    <m/>
    <m/>
    <m/>
  </r>
  <r>
    <x v="11"/>
    <x v="1"/>
    <s v="F:\images\20210518\plaque 1/@11 Estrone 5 µg_L/B11_03.tif "/>
    <s v=" 60044.5875 "/>
    <s v=" 83.7403 "/>
    <x v="0"/>
    <n v="5028150"/>
    <m/>
    <m/>
    <m/>
  </r>
  <r>
    <x v="11"/>
    <x v="2"/>
    <s v="F:\images\20210518\plaque 1/@11 Estrone 5 µg_L/C11_01.tif "/>
    <s v=" 26453.3611 "/>
    <s v=" 73.7784 "/>
    <x v="0"/>
    <n v="1951687"/>
    <m/>
    <m/>
    <m/>
  </r>
  <r>
    <x v="11"/>
    <x v="2"/>
    <s v="F:\images\20210518\plaque 1/@11 Estrone 5 µg_L/C11_02.tif "/>
    <s v=" 33353.2975 "/>
    <s v=" 77.9001 "/>
    <x v="0"/>
    <n v="2598226"/>
    <m/>
    <m/>
    <m/>
  </r>
  <r>
    <x v="11"/>
    <x v="2"/>
    <s v="F:\images\20210518\plaque 1/@11 Estrone 5 µg_L/C11_03.tif "/>
    <s v=" 21089.1473 "/>
    <s v=" 83.5036 "/>
    <x v="0"/>
    <n v="1761020"/>
    <m/>
    <m/>
    <m/>
  </r>
  <r>
    <x v="11"/>
    <x v="3"/>
    <s v="F:\images\20210518\plaque 1/@11 Estrone 5 µg_L/D11_01.tif "/>
    <s v=" 42091.7749 "/>
    <s v=" 94.7924 "/>
    <x v="0"/>
    <n v="3989980"/>
    <m/>
    <m/>
    <m/>
  </r>
  <r>
    <x v="11"/>
    <x v="3"/>
    <s v="F:\images\20210518\plaque 1/@11 Estrone 5 µg_L/D11_02.tif "/>
    <s v=" 45595.8179 "/>
    <s v=" 92.2073 "/>
    <x v="0"/>
    <n v="4204268"/>
    <m/>
    <m/>
    <m/>
  </r>
  <r>
    <x v="11"/>
    <x v="3"/>
    <s v="F:\images\20210518\plaque 1/@11 Estrone 5 µg_L/D11_03.tif "/>
    <s v=" 46698.9425 "/>
    <s v=" 94.8698 "/>
    <x v="0"/>
    <n v="4430322"/>
    <m/>
    <m/>
    <m/>
  </r>
  <r>
    <x v="11"/>
    <x v="4"/>
    <s v="F:\images\20210518\plaque 1/@11 Estrone 5 µg_L/E11_01.tif "/>
    <s v=" 47866.9568 "/>
    <s v=" 83.15 "/>
    <x v="0"/>
    <n v="3980139"/>
    <m/>
    <m/>
    <m/>
  </r>
  <r>
    <x v="11"/>
    <x v="4"/>
    <s v="F:\images\20210518\plaque 1/@11 Estrone 5 µg_L/E11_02.tif "/>
    <s v=" 42264.8141 "/>
    <s v=" 79.6372 "/>
    <x v="0"/>
    <n v="3365850"/>
    <m/>
    <m/>
    <m/>
  </r>
  <r>
    <x v="11"/>
    <x v="4"/>
    <s v="F:\images\20210518\plaque 1/@11 Estrone 5 µg_L/E11_03.tif "/>
    <s v=" 46352.8642 "/>
    <s v=" 82.3649 "/>
    <x v="0"/>
    <n v="3817849"/>
    <m/>
    <m/>
    <m/>
  </r>
  <r>
    <x v="11"/>
    <x v="5"/>
    <s v="F:\images\20210518\plaque 1/@11 Estrone 5 µg_L/F11_01- exclu.tif"/>
    <m/>
    <m/>
    <x v="1"/>
    <m/>
    <m/>
    <m/>
    <m/>
  </r>
  <r>
    <x v="11"/>
    <x v="5"/>
    <s v="F:\images\20210518\plaque 1/@11 Estrone 5 µg_L/F11_02- exclu.tif"/>
    <m/>
    <m/>
    <x v="1"/>
    <m/>
    <m/>
    <m/>
    <m/>
  </r>
  <r>
    <x v="11"/>
    <x v="5"/>
    <s v="F:\images\20210518\plaque 1/@11 Estrone 5 µg_L/F11_03- exclu.tif"/>
    <m/>
    <m/>
    <x v="1"/>
    <m/>
    <m/>
    <m/>
    <m/>
  </r>
  <r>
    <x v="11"/>
    <x v="6"/>
    <s v="F:\images\20210518\plaque 1/@11 Estrone 5 µg_L/G11_01.tif "/>
    <s v=" 33591.2264 "/>
    <s v=" 77.9749 "/>
    <x v="0"/>
    <n v="2619272"/>
    <m/>
    <m/>
    <m/>
  </r>
  <r>
    <x v="11"/>
    <x v="6"/>
    <s v="F:\images\20210518\plaque 1/@11 Estrone 5 µg_L/G11_02.tif "/>
    <s v=" 31514.7565 "/>
    <s v=" 81.9506 "/>
    <x v="0"/>
    <n v="2582653"/>
    <m/>
    <m/>
    <m/>
  </r>
  <r>
    <x v="11"/>
    <x v="6"/>
    <s v="F:\images\20210518\plaque 1/@11 Estrone 5 µg_L/G11_03.tif "/>
    <s v=" 29351.767 "/>
    <s v=" 82.8762 "/>
    <x v="0"/>
    <n v="2432563"/>
    <m/>
    <m/>
    <m/>
  </r>
  <r>
    <x v="11"/>
    <x v="7"/>
    <s v="F:\images\20210518\plaque 1/@11 Estrone 5 µg_L/H11_01.tif "/>
    <s v=" 70989.3142 "/>
    <s v=" 82.4308 "/>
    <x v="0"/>
    <n v="5851708"/>
    <m/>
    <m/>
    <m/>
  </r>
  <r>
    <x v="11"/>
    <x v="7"/>
    <s v="F:\images\20210518\plaque 1/@11 Estrone 5 µg_L/H11_02.tif "/>
    <s v=" 64824.7942 "/>
    <s v=" 83.7154 "/>
    <x v="0"/>
    <n v="5426832"/>
    <m/>
    <m/>
    <m/>
  </r>
  <r>
    <x v="11"/>
    <x v="7"/>
    <s v="F:\images\20210518\plaque 1/@11 Estrone 5 µg_L/H11_03.tif "/>
    <s v=" 59027.9824 "/>
    <s v=" 83.6266 "/>
    <x v="0"/>
    <n v="4936310"/>
    <m/>
    <m/>
    <m/>
  </r>
  <r>
    <x v="1"/>
    <x v="8"/>
    <s v=" "/>
    <m/>
    <m/>
    <x v="1"/>
    <m/>
    <m/>
    <m/>
    <m/>
  </r>
  <r>
    <x v="1"/>
    <x v="8"/>
    <s v="group "/>
    <s v=" "/>
    <s v=" mean of mean fluo "/>
    <x v="2"/>
    <s v=" mean of total fluo "/>
    <s v=" SD total fluo "/>
    <s v=" n fluorescent "/>
    <s v=" n total"/>
  </r>
  <r>
    <x v="11"/>
    <x v="9"/>
    <s v="F:\images\20210518\plaque 1/@11 Estrone 5 µg_L/ "/>
    <s v=" "/>
    <s v=" 81.6649 "/>
    <x v="13"/>
    <s v=" 3388994.5 "/>
    <s v=" 1702803.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518\plaque 1/@12 Estrone 25 µg_L/A12_01.tif "/>
    <s v=" 65971.1786 "/>
    <s v=" 90.9203 "/>
    <x v="0"/>
    <n v="5998121"/>
    <m/>
    <m/>
    <m/>
  </r>
  <r>
    <x v="12"/>
    <x v="0"/>
    <s v="F:\images\20210518\plaque 1/@12 Estrone 25 µg_L/A12_02.tif "/>
    <s v=" 66014.4384 "/>
    <s v=" 91.4423 "/>
    <x v="0"/>
    <n v="6036514"/>
    <m/>
    <m/>
    <m/>
  </r>
  <r>
    <x v="12"/>
    <x v="0"/>
    <s v="F:\images\20210518\plaque 1/@12 Estrone 25 µg_L/A12_03.tif "/>
    <s v=" 63483.7407 "/>
    <s v=" 89.4484 "/>
    <x v="0"/>
    <n v="5678518"/>
    <m/>
    <m/>
    <m/>
  </r>
  <r>
    <x v="12"/>
    <x v="1"/>
    <s v="F:\images\20210518\plaque 1/@12 Estrone 25 µg_L/B12_01.tif "/>
    <s v=" 89439.6143 "/>
    <s v=" 92.0452 "/>
    <x v="0"/>
    <n v="8232489"/>
    <m/>
    <m/>
    <m/>
  </r>
  <r>
    <x v="12"/>
    <x v="1"/>
    <s v="F:\images\20210518\plaque 1/@12 Estrone 25 µg_L/B12_02.tif "/>
    <s v=" 88314.8598 "/>
    <s v=" 93.9907 "/>
    <x v="0"/>
    <n v="8300775"/>
    <m/>
    <m/>
    <m/>
  </r>
  <r>
    <x v="12"/>
    <x v="1"/>
    <s v="F:\images\20210518\plaque 1/@12 Estrone 25 µg_L/B12_03.tif "/>
    <s v=" 78494.8876 "/>
    <s v=" 98.9501 "/>
    <x v="0"/>
    <n v="7767079"/>
    <m/>
    <m/>
    <m/>
  </r>
  <r>
    <x v="12"/>
    <x v="2"/>
    <s v="F:\images\20210518\plaque 1/@12 Estrone 25 µg_L/C12_01.tif "/>
    <s v=" 43043.4903 "/>
    <s v=" 83.0332 "/>
    <x v="0"/>
    <n v="3574037"/>
    <m/>
    <m/>
    <m/>
  </r>
  <r>
    <x v="12"/>
    <x v="2"/>
    <s v="F:\images\20210518\plaque 1/@12 Estrone 25 µg_L/C12_02.tif "/>
    <s v=" 35018.7994 "/>
    <s v=" 73.5009 "/>
    <x v="0"/>
    <n v="2573914"/>
    <m/>
    <m/>
    <m/>
  </r>
  <r>
    <x v="12"/>
    <x v="2"/>
    <s v="F:\images\20210518\plaque 1/@12 Estrone 25 µg_L/C12_03.tif "/>
    <s v=" 40015.3051 "/>
    <s v=" 84.7303 "/>
    <x v="0"/>
    <n v="3390508"/>
    <m/>
    <m/>
    <m/>
  </r>
  <r>
    <x v="12"/>
    <x v="3"/>
    <s v="F:\images\20210518\plaque 1/@12 Estrone 25 µg_L/D12_01.tif "/>
    <s v=" 66836.3744 "/>
    <s v=" 92.3819 "/>
    <x v="0"/>
    <n v="6174470"/>
    <m/>
    <m/>
    <m/>
  </r>
  <r>
    <x v="12"/>
    <x v="3"/>
    <s v="F:\images\20210518\plaque 1/@12 Estrone 25 µg_L/D12_02.tif "/>
    <s v=" 63462.1108 "/>
    <s v=" 97.9192 "/>
    <x v="0"/>
    <n v="6214161"/>
    <m/>
    <m/>
    <m/>
  </r>
  <r>
    <x v="12"/>
    <x v="3"/>
    <s v="F:\images\20210518\plaque 1/@12 Estrone 25 µg_L/D12_03.tif "/>
    <s v=" 62640.1748 "/>
    <s v=" 99.9606 "/>
    <x v="0"/>
    <n v="6261552"/>
    <m/>
    <m/>
    <m/>
  </r>
  <r>
    <x v="12"/>
    <x v="4"/>
    <s v="F:\images\20210518\plaque 1/@12 Estrone 25 µg_L/E12_01.tif "/>
    <s v=" 58660.2742 "/>
    <s v=" 88.8901 "/>
    <x v="0"/>
    <n v="5214319"/>
    <m/>
    <m/>
    <m/>
  </r>
  <r>
    <x v="12"/>
    <x v="4"/>
    <s v="F:\images\20210518\plaque 1/@12 Estrone 25 µg_L/E12_02.tif "/>
    <s v=" 59092.8721 "/>
    <s v=" 88.7456 "/>
    <x v="0"/>
    <n v="5244233"/>
    <m/>
    <m/>
    <m/>
  </r>
  <r>
    <x v="12"/>
    <x v="4"/>
    <s v="F:\images\20210518\plaque 1/@12 Estrone 25 µg_L/E12_03.tif "/>
    <s v=" 56670.3239 "/>
    <s v=" 93.7111 "/>
    <x v="0"/>
    <n v="5310637"/>
    <m/>
    <m/>
    <m/>
  </r>
  <r>
    <x v="12"/>
    <x v="5"/>
    <s v="F:\images\20210518\plaque 1/@12 Estrone 25 µg_L/F12_01.tif "/>
    <s v=" 83859.1015 "/>
    <s v=" 100.6317 "/>
    <x v="0"/>
    <n v="8438882"/>
    <m/>
    <m/>
    <m/>
  </r>
  <r>
    <x v="12"/>
    <x v="5"/>
    <s v="F:\images\20210518\plaque 1/@12 Estrone 25 µg_L/F12_02.tif "/>
    <s v=" 80982.3255 "/>
    <s v=" 99.3109 "/>
    <x v="0"/>
    <n v="8042427"/>
    <m/>
    <m/>
    <m/>
  </r>
  <r>
    <x v="12"/>
    <x v="5"/>
    <s v="F:\images\20210518\plaque 1/@12 Estrone 25 µg_L/F12_03.tif "/>
    <s v=" 66468.6662 "/>
    <s v=" 107.7911 "/>
    <x v="0"/>
    <n v="7164730"/>
    <m/>
    <m/>
    <m/>
  </r>
  <r>
    <x v="12"/>
    <x v="6"/>
    <s v="F:\images\20210518\plaque 1/@12 Estrone 25 µg_L/G12_01.tif "/>
    <s v=" 64932.9437 "/>
    <s v=" 95.5953 "/>
    <x v="0"/>
    <n v="6207282"/>
    <m/>
    <m/>
    <m/>
  </r>
  <r>
    <x v="12"/>
    <x v="6"/>
    <s v="F:\images\20210518\plaque 1/@12 Estrone 25 µg_L/G12_02.tif "/>
    <s v=" 66295.627 "/>
    <s v=" 95.3775 "/>
    <x v="0"/>
    <n v="6323110"/>
    <m/>
    <m/>
    <m/>
  </r>
  <r>
    <x v="12"/>
    <x v="6"/>
    <s v="F:\images\20210518\plaque 1/@12 Estrone 25 µg_L/G12_03.tif "/>
    <s v=" 62207.577 "/>
    <s v=" 97.2284 "/>
    <x v="0"/>
    <n v="6048346"/>
    <m/>
    <m/>
    <m/>
  </r>
  <r>
    <x v="12"/>
    <x v="7"/>
    <s v="F:\images\20210518\plaque 1/@12 Estrone 25 µg_L/H12_01.tif "/>
    <s v=" 76223.7487 "/>
    <s v=" 105.4719 "/>
    <x v="0"/>
    <n v="8039464"/>
    <m/>
    <m/>
    <m/>
  </r>
  <r>
    <x v="12"/>
    <x v="7"/>
    <s v="F:\images\20210518\plaque 1/@12 Estrone 25 µg_L/H12_02.tif "/>
    <s v=" 75380.1828 "/>
    <s v=" 104.5082 "/>
    <x v="0"/>
    <n v="7877846"/>
    <m/>
    <m/>
    <m/>
  </r>
  <r>
    <x v="12"/>
    <x v="7"/>
    <s v="F:\images\20210518\plaque 1/@12 Estrone 25 µg_L/H12_03.tif "/>
    <s v=" 76504.9373 "/>
    <s v=" 104.8776 "/>
    <x v="0"/>
    <n v="8023653"/>
    <m/>
    <m/>
    <m/>
  </r>
  <r>
    <x v="1"/>
    <x v="8"/>
    <s v=" "/>
    <m/>
    <m/>
    <x v="1"/>
    <m/>
    <m/>
    <m/>
    <m/>
  </r>
  <r>
    <x v="1"/>
    <x v="8"/>
    <s v="group "/>
    <s v=" "/>
    <s v=" mean of mean fluo "/>
    <x v="2"/>
    <s v=" mean of total fluo "/>
    <s v=" SD total fluo "/>
    <s v=" n fluorescent "/>
    <s v=" n total"/>
  </r>
  <r>
    <x v="12"/>
    <x v="9"/>
    <s v="F:\images\20210518\plaque 1/@12 Estrone 25 µg_L/ "/>
    <s v=" "/>
    <s v=" 94.6026 "/>
    <x v="14"/>
    <s v=" 6339044.46 "/>
    <s v=" 1620441.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518\plaque 2/@01 Testo 30/A1_01.tif "/>
    <s v=" 17563.4744 "/>
    <s v=" 77.867 "/>
    <x v="0"/>
    <n v="1367615"/>
    <m/>
    <m/>
    <m/>
  </r>
  <r>
    <x v="13"/>
    <x v="0"/>
    <s v="F:\images\20210518\plaque 2/@01 Testo 30/A1_02.tif "/>
    <s v=" 17585.1043 "/>
    <s v=" 76.7429 "/>
    <x v="0"/>
    <n v="1349532"/>
    <m/>
    <m/>
    <m/>
  </r>
  <r>
    <x v="13"/>
    <x v="0"/>
    <s v="F:\images\20210518\plaque 2/@01 Testo 30/A1_03.tif "/>
    <s v=" 35386.5076 "/>
    <s v=" 84.0727 "/>
    <x v="0"/>
    <n v="2975041"/>
    <m/>
    <m/>
    <m/>
  </r>
  <r>
    <x v="13"/>
    <x v="1"/>
    <s v="F:\images\20210518\plaque 2/@01 Testo 30/B1_01.tif "/>
    <s v=" 46612.4229 "/>
    <s v=" 71.3907 "/>
    <x v="0"/>
    <n v="3327694"/>
    <m/>
    <m/>
    <m/>
  </r>
  <r>
    <x v="13"/>
    <x v="1"/>
    <s v="F:\images\20210518\plaque 2/@01 Testo 30/B1_02.tif "/>
    <s v=" 45163.22 "/>
    <s v=" 71.249 "/>
    <x v="0"/>
    <n v="3217836"/>
    <m/>
    <m/>
    <m/>
  </r>
  <r>
    <x v="13"/>
    <x v="1"/>
    <s v="F:\images\20210518\plaque 2/@01 Testo 30/B1_03.tif "/>
    <s v=" 42632.5223 "/>
    <s v=" 70.8858 "/>
    <x v="0"/>
    <n v="3022042"/>
    <m/>
    <m/>
    <m/>
  </r>
  <r>
    <x v="13"/>
    <x v="2"/>
    <s v="F:\images\20210518\plaque 2/@01 Testo 30/C1_01.tif "/>
    <s v=" 27643.0053 "/>
    <s v=" 69.5368 "/>
    <x v="0"/>
    <n v="1922205"/>
    <m/>
    <m/>
    <m/>
  </r>
  <r>
    <x v="13"/>
    <x v="2"/>
    <s v="F:\images\20210518\plaque 2/@01 Testo 30/C1_02.tif "/>
    <s v=" 28551.4609 "/>
    <s v=" 68.4538 "/>
    <x v="0"/>
    <n v="1954456"/>
    <m/>
    <m/>
    <m/>
  </r>
  <r>
    <x v="13"/>
    <x v="2"/>
    <s v="F:\images\20210518\plaque 2/@01 Testo 30/C1_03.tif "/>
    <s v=" 25025.7881 "/>
    <s v=" 68.8116 "/>
    <x v="0"/>
    <n v="1722064"/>
    <m/>
    <m/>
    <m/>
  </r>
  <r>
    <x v="13"/>
    <x v="3"/>
    <s v="F:\images\20210518\plaque 2/@01 Testo 30/D1_01.tif "/>
    <s v=" 24441.7809 "/>
    <s v=" 67.4469 "/>
    <x v="0"/>
    <n v="1648522"/>
    <m/>
    <m/>
    <m/>
  </r>
  <r>
    <x v="13"/>
    <x v="3"/>
    <s v="F:\images\20210518\plaque 2/@01 Testo 30/D1_02.tif "/>
    <s v=" 19510.165 "/>
    <s v=" 66.3448 "/>
    <x v="0"/>
    <n v="1294398"/>
    <m/>
    <m/>
    <m/>
  </r>
  <r>
    <x v="13"/>
    <x v="3"/>
    <s v="F:\images\20210518\plaque 2/@01 Testo 30/D1_03.tif "/>
    <s v=" 21218.9266 "/>
    <s v=" 66.8644 "/>
    <x v="0"/>
    <n v="1418791"/>
    <m/>
    <m/>
    <m/>
  </r>
  <r>
    <x v="13"/>
    <x v="4"/>
    <s v="F:\images\20210518\plaque 2/@01 Testo 30/E1_01.tif "/>
    <s v=" 21456.8555 "/>
    <s v=" 67.5565 "/>
    <x v="0"/>
    <n v="1449549"/>
    <m/>
    <m/>
    <m/>
  </r>
  <r>
    <x v="13"/>
    <x v="4"/>
    <s v="F:\images\20210518\plaque 2/@01 Testo 30/E1_02.tif "/>
    <s v=" 22149.0121 "/>
    <s v=" 68.2373 "/>
    <x v="0"/>
    <n v="1511389"/>
    <m/>
    <m/>
    <m/>
  </r>
  <r>
    <x v="13"/>
    <x v="4"/>
    <s v="F:\images\20210518\plaque 2/@01 Testo 30/E1_03.tif "/>
    <s v=" 26301.9519 "/>
    <s v=" 69.2763 "/>
    <x v="0"/>
    <n v="1822102"/>
    <m/>
    <m/>
    <m/>
  </r>
  <r>
    <x v="13"/>
    <x v="5"/>
    <s v="F:\images\20210518\plaque 2/@01 Testo 30/F1_01.tif "/>
    <s v=" 4152.9398 "/>
    <s v=" 67.2292 "/>
    <x v="0"/>
    <n v="279199"/>
    <m/>
    <m/>
    <m/>
  </r>
  <r>
    <x v="13"/>
    <x v="5"/>
    <s v="F:\images\20210518\plaque 2/@01 Testo 30/F1_02.tif "/>
    <s v=" 1535.7225 "/>
    <n v="63"/>
    <x v="0"/>
    <n v="96751"/>
    <m/>
    <m/>
    <m/>
  </r>
  <r>
    <x v="13"/>
    <x v="5"/>
    <s v="F:\images\20210518\plaque 2/@01 Testo 30/F1_03.tif "/>
    <s v=" 3244.4842 "/>
    <s v=" 65.14 "/>
    <x v="0"/>
    <n v="211346"/>
    <m/>
    <m/>
    <m/>
  </r>
  <r>
    <x v="13"/>
    <x v="6"/>
    <s v="F:\images\20210518\plaque 2/@01 Testo 30/G1_01.tif "/>
    <s v=" 25782.8344 "/>
    <s v=" 68.2659 "/>
    <x v="0"/>
    <n v="1760089"/>
    <m/>
    <m/>
    <m/>
  </r>
  <r>
    <x v="13"/>
    <x v="6"/>
    <s v="F:\images\20210518\plaque 2/@01 Testo 30/G1_02.tif "/>
    <s v=" 22365.311 "/>
    <s v=" 70.1325 "/>
    <x v="0"/>
    <n v="1568535"/>
    <m/>
    <m/>
    <m/>
  </r>
  <r>
    <x v="13"/>
    <x v="6"/>
    <s v="F:\images\20210518\plaque 2/@01 Testo 30/G1_03.tif "/>
    <s v=" 21089.1473 "/>
    <s v=" 68.1754 "/>
    <x v="0"/>
    <n v="1437761"/>
    <m/>
    <m/>
    <m/>
  </r>
  <r>
    <x v="13"/>
    <x v="7"/>
    <s v="F:\images\20210518\plaque 2/@01 Testo 30/H1_01.tif "/>
    <s v=" 34521.3118 "/>
    <s v=" 72.6115 "/>
    <x v="0"/>
    <n v="2506645"/>
    <m/>
    <m/>
    <m/>
  </r>
  <r>
    <x v="13"/>
    <x v="7"/>
    <s v="F:\images\20210518\plaque 2/@01 Testo 30/H1_02.tif "/>
    <s v=" 29849.2546 "/>
    <s v=" 71.9 "/>
    <x v="0"/>
    <n v="2146161"/>
    <m/>
    <m/>
    <m/>
  </r>
  <r>
    <x v="13"/>
    <x v="7"/>
    <s v="F:\images\20210518\plaque 2/@01 Testo 30/H1_03.tif "/>
    <s v=" 31558.0163 "/>
    <s v=" 71.477 "/>
    <x v="0"/>
    <n v="2255674"/>
    <m/>
    <m/>
    <m/>
  </r>
  <r>
    <x v="1"/>
    <x v="8"/>
    <s v=" "/>
    <m/>
    <m/>
    <x v="1"/>
    <m/>
    <m/>
    <m/>
    <m/>
  </r>
  <r>
    <x v="1"/>
    <x v="8"/>
    <s v="group "/>
    <s v=" "/>
    <s v=" mean of mean fluo "/>
    <x v="2"/>
    <s v=" mean of total fluo "/>
    <s v=" SD total fluo "/>
    <s v=" n fluorescent "/>
    <s v=" n total"/>
  </r>
  <r>
    <x v="13"/>
    <x v="9"/>
    <s v="F:\images\20210518\plaque 2/@01 Testo 30/ "/>
    <s v=" "/>
    <s v=" 70.1112 "/>
    <x v="15"/>
    <s v=" 1761058.21 "/>
    <s v=" 859675.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518\plaque 2/@02 Testo 30/A2_01- exclu.tif"/>
    <m/>
    <m/>
    <x v="1"/>
    <m/>
    <m/>
    <m/>
    <m/>
  </r>
  <r>
    <x v="14"/>
    <x v="0"/>
    <s v="F:\images\20210518\plaque 2/@02 Testo 30/A2_02.tif "/>
    <s v=" 3006.5554 "/>
    <s v=" 63.2878 "/>
    <x v="0"/>
    <n v="190278"/>
    <m/>
    <m/>
    <m/>
  </r>
  <r>
    <x v="14"/>
    <x v="0"/>
    <s v="F:\images\20210518\plaque 2/@02 Testo 30/A2_03.tif "/>
    <s v=" 19012.6774 "/>
    <s v=" 70.4084 "/>
    <x v="0"/>
    <n v="1338653"/>
    <m/>
    <m/>
    <m/>
  </r>
  <r>
    <x v="14"/>
    <x v="1"/>
    <s v="F:\images\20210518\plaque 2/@02 Testo 30/B2_01.tif "/>
    <s v=" 29005.6887 "/>
    <s v=" 73.2081 "/>
    <x v="0"/>
    <n v="2123450"/>
    <m/>
    <m/>
    <m/>
  </r>
  <r>
    <x v="14"/>
    <x v="1"/>
    <s v="F:\images\20210518\plaque 2/@02 Testo 30/B2_02.tif "/>
    <s v=" 25566.5355 "/>
    <s v=" 74.681 "/>
    <x v="0"/>
    <n v="1909336"/>
    <m/>
    <m/>
    <m/>
  </r>
  <r>
    <x v="14"/>
    <x v="1"/>
    <s v="F:\images\20210518\plaque 2/@02 Testo 30/B2_03.tif "/>
    <s v=" 29027.3186 "/>
    <s v=" 71.5931 "/>
    <x v="0"/>
    <n v="2078157"/>
    <m/>
    <m/>
    <m/>
  </r>
  <r>
    <x v="14"/>
    <x v="2"/>
    <s v="F:\images\20210518\plaque 2/@02 Testo 30/C2_01.tif "/>
    <s v=" 1189.6442 "/>
    <s v=" 63.5455 "/>
    <x v="0"/>
    <n v="75596"/>
    <m/>
    <m/>
    <m/>
  </r>
  <r>
    <x v="14"/>
    <x v="2"/>
    <s v="F:\images\20210518\plaque 2/@02 Testo 30/C2_02.tif "/>
    <s v=" 994.9752 "/>
    <s v=" 63.8696 "/>
    <x v="0"/>
    <n v="63549"/>
    <m/>
    <m/>
    <m/>
  </r>
  <r>
    <x v="14"/>
    <x v="2"/>
    <s v="F:\images\20210518\plaque 2/@02 Testo 30/C2_03.tif "/>
    <s v=" 497.4876 "/>
    <s v=" 63.6522 "/>
    <x v="0"/>
    <n v="31666"/>
    <m/>
    <m/>
    <m/>
  </r>
  <r>
    <x v="14"/>
    <x v="3"/>
    <s v="F:\images\20210518\plaque 2/@02 Testo 30/D2_01.tif "/>
    <s v=" 34564.5716 "/>
    <s v=" 70.572 "/>
    <x v="0"/>
    <n v="2439290"/>
    <m/>
    <m/>
    <m/>
  </r>
  <r>
    <x v="14"/>
    <x v="3"/>
    <s v="F:\images\20210518\plaque 2/@02 Testo 30/D2_02.tif "/>
    <s v=" 30390.002 "/>
    <s v=" 72.1274 "/>
    <x v="0"/>
    <n v="2191952"/>
    <m/>
    <m/>
    <m/>
  </r>
  <r>
    <x v="14"/>
    <x v="3"/>
    <s v="F:\images\20210518\plaque 2/@02 Testo 30/D2_03.tif "/>
    <s v=" 31276.8276 "/>
    <s v=" 72.0934 "/>
    <x v="0"/>
    <n v="2254852"/>
    <m/>
    <m/>
    <m/>
  </r>
  <r>
    <x v="14"/>
    <x v="4"/>
    <s v="F:\images\20210518\plaque 2/@02 Testo 30/E2_01.tif "/>
    <s v=" 39323.1484 "/>
    <s v=" 72.0325 "/>
    <x v="0"/>
    <n v="2832543"/>
    <m/>
    <m/>
    <m/>
  </r>
  <r>
    <x v="14"/>
    <x v="4"/>
    <s v="F:\images\20210518\plaque 2/@02 Testo 30/E2_02.tif "/>
    <s v=" 41183.3194 "/>
    <s v=" 73.6444 "/>
    <x v="0"/>
    <n v="3032922"/>
    <m/>
    <m/>
    <m/>
  </r>
  <r>
    <x v="14"/>
    <x v="4"/>
    <s v="F:\images\20210518\plaque 2/@02 Testo 30/E2_03.tif "/>
    <s v=" 40902.1307 "/>
    <s v=" 72.6483 "/>
    <x v="0"/>
    <n v="2971472"/>
    <m/>
    <m/>
    <m/>
  </r>
  <r>
    <x v="14"/>
    <x v="5"/>
    <s v="F:\images\20210518\plaque 2/@02 Testo 30/F2_01.tif "/>
    <s v=" 42156.6646 "/>
    <s v=" 71.4377 "/>
    <x v="0"/>
    <n v="3011573"/>
    <m/>
    <m/>
    <m/>
  </r>
  <r>
    <x v="14"/>
    <x v="5"/>
    <s v="F:\images\20210518\plaque 2/@02 Testo 30/F2_02.tif "/>
    <s v=" 44406.1737 "/>
    <s v=" 72.4803 "/>
    <x v="0"/>
    <n v="3218572"/>
    <m/>
    <m/>
    <m/>
  </r>
  <r>
    <x v="14"/>
    <x v="5"/>
    <s v="F:\images\20210518\plaque 2/@02 Testo 30/F2_03.tif "/>
    <s v=" 48991.7113 "/>
    <s v=" 72.0574 "/>
    <x v="0"/>
    <n v="3530215"/>
    <m/>
    <m/>
    <m/>
  </r>
  <r>
    <x v="14"/>
    <x v="6"/>
    <s v="F:\images\20210518\plaque 2/@02 Testo 30/G2_01.tif "/>
    <s v=" 5277.6943 "/>
    <s v=" 64.3156 "/>
    <x v="0"/>
    <n v="339438"/>
    <m/>
    <m/>
    <m/>
  </r>
  <r>
    <x v="14"/>
    <x v="6"/>
    <s v="F:\images\20210518\plaque 2/@02 Testo 30/G2_02.tif "/>
    <s v=" 3936.6408 "/>
    <s v=" 63.9176 "/>
    <x v="0"/>
    <n v="251621"/>
    <m/>
    <m/>
    <m/>
  </r>
  <r>
    <x v="14"/>
    <x v="6"/>
    <s v="F:\images\20210518\plaque 2/@02 Testo 30/G2_03.tif "/>
    <s v=" 2833.5162 "/>
    <s v=" 63.8397 "/>
    <x v="0"/>
    <n v="180891"/>
    <m/>
    <m/>
    <m/>
  </r>
  <r>
    <x v="14"/>
    <x v="7"/>
    <s v="F:\images\20210518\plaque 2/@02 Testo 30/H2_01.tif "/>
    <s v=" 49986.6865 "/>
    <s v=" 75.212 "/>
    <x v="0"/>
    <n v="3759600"/>
    <m/>
    <m/>
    <m/>
  </r>
  <r>
    <x v="14"/>
    <x v="7"/>
    <s v="F:\images\20210518\plaque 2/@02 Testo 30/H2_02.tif "/>
    <s v=" 44298.0242 "/>
    <s v=" 74.2295 "/>
    <x v="0"/>
    <n v="3288220"/>
    <m/>
    <m/>
    <m/>
  </r>
  <r>
    <x v="14"/>
    <x v="7"/>
    <s v="F:\images\20210518\plaque 2/@02 Testo 30/H2_03.tif "/>
    <s v=" 44838.7716 "/>
    <s v=" 75.7086 "/>
    <x v="0"/>
    <n v="3394682"/>
    <m/>
    <m/>
    <m/>
  </r>
  <r>
    <x v="1"/>
    <x v="8"/>
    <s v=" "/>
    <m/>
    <m/>
    <x v="1"/>
    <m/>
    <m/>
    <m/>
    <m/>
  </r>
  <r>
    <x v="1"/>
    <x v="8"/>
    <s v="group "/>
    <s v=" "/>
    <s v=" mean of mean fluo "/>
    <x v="2"/>
    <s v=" mean of total fluo "/>
    <s v=" SD total fluo "/>
    <s v=" n fluorescent "/>
    <s v=" n total"/>
  </r>
  <r>
    <x v="14"/>
    <x v="9"/>
    <s v="F:\images\20210518\plaque 2/@02 Testo 30/ "/>
    <s v=" "/>
    <s v=" 69.8999 "/>
    <x v="16"/>
    <s v=" 1892463.54 "/>
    <s v=" 1313002.6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518\plaque 2/@03 Testo+ EE2 64/A3_01.tif "/>
    <s v=" 29762.735 "/>
    <s v=" 73.7493 "/>
    <x v="0"/>
    <n v="2194980"/>
    <m/>
    <m/>
    <m/>
  </r>
  <r>
    <x v="15"/>
    <x v="0"/>
    <s v="F:\images\20210518\plaque 2/@03 Testo+ EE2 64/A3_02.tif "/>
    <s v=" 36554.5219 "/>
    <s v=" 72.2124 "/>
    <x v="0"/>
    <n v="2639691"/>
    <m/>
    <m/>
    <m/>
  </r>
  <r>
    <x v="15"/>
    <x v="0"/>
    <s v="F:\images\20210518\plaque 2/@03 Testo+ EE2 64/A3_03.tif "/>
    <s v=" 21889.4534 "/>
    <s v=" 70.1937 "/>
    <x v="0"/>
    <n v="1536501"/>
    <m/>
    <m/>
    <m/>
  </r>
  <r>
    <x v="15"/>
    <x v="1"/>
    <s v="F:\images\20210518\plaque 2/@03 Testo+ EE2 64/B3_01.tif "/>
    <s v=" 34889.02 "/>
    <s v=" 79.1916 "/>
    <x v="0"/>
    <n v="2762916"/>
    <m/>
    <m/>
    <m/>
  </r>
  <r>
    <x v="15"/>
    <x v="1"/>
    <s v="F:\images\20210518\plaque 2/@03 Testo+ EE2 64/B3_02.tif "/>
    <s v=" 34002.1944 "/>
    <s v=" 78.3333 "/>
    <x v="0"/>
    <n v="2663505"/>
    <m/>
    <m/>
    <m/>
  </r>
  <r>
    <x v="15"/>
    <x v="1"/>
    <s v="F:\images\20210518\plaque 2/@03 Testo+ EE2 64/B3_03.tif "/>
    <s v=" 31428.2369 "/>
    <s v=" 77.607 "/>
    <x v="0"/>
    <n v="2439052"/>
    <m/>
    <m/>
    <m/>
  </r>
  <r>
    <x v="15"/>
    <x v="2"/>
    <s v="F:\images\20210518\plaque 2/@03 Testo+ EE2 64/C3_01.tif "/>
    <s v=" 45552.5581 "/>
    <s v=" 76.1344 "/>
    <x v="0"/>
    <n v="3468116"/>
    <m/>
    <m/>
    <m/>
  </r>
  <r>
    <x v="15"/>
    <x v="2"/>
    <s v="F:\images\20210518\plaque 2/@03 Testo+ EE2 64/C3_02.tif "/>
    <s v=" 47023.3909 "/>
    <s v=" 76.2815 "/>
    <x v="0"/>
    <n v="3587015"/>
    <m/>
    <m/>
    <m/>
  </r>
  <r>
    <x v="15"/>
    <x v="2"/>
    <s v="F:\images\20210518\plaque 2/@03 Testo+ EE2 64/C3_03.tif "/>
    <s v=" 45855.3766 "/>
    <s v=" 76.583 "/>
    <x v="0"/>
    <n v="3511743"/>
    <m/>
    <m/>
    <m/>
  </r>
  <r>
    <x v="15"/>
    <x v="3"/>
    <s v="F:\images\20210518\plaque 2/@03 Testo+ EE2 64/D3_01.tif "/>
    <s v=" 27037.3683 "/>
    <s v=" 73.6096 "/>
    <x v="0"/>
    <n v="1990210"/>
    <m/>
    <m/>
    <m/>
  </r>
  <r>
    <x v="15"/>
    <x v="3"/>
    <s v="F:\images\20210518\plaque 2/@03 Testo+ EE2 64/D3_02- exclu.tif"/>
    <m/>
    <m/>
    <x v="1"/>
    <m/>
    <m/>
    <m/>
    <m/>
  </r>
  <r>
    <x v="15"/>
    <x v="3"/>
    <s v="F:\images\20210518\plaque 2/@03 Testo+ EE2 64/D3_03.tif "/>
    <s v=" 29048.9485 "/>
    <s v=" 74.5369 "/>
    <x v="0"/>
    <n v="2165217"/>
    <m/>
    <m/>
    <m/>
  </r>
  <r>
    <x v="15"/>
    <x v="4"/>
    <s v="F:\images\20210518\plaque 2/@03 Testo+ EE2 64/E3_01.tif "/>
    <s v=" 60888.1534 "/>
    <s v=" 82.319 "/>
    <x v="0"/>
    <n v="5012252"/>
    <m/>
    <m/>
    <m/>
  </r>
  <r>
    <x v="15"/>
    <x v="4"/>
    <s v="F:\images\20210518\plaque 2/@03 Testo+ EE2 64/E3_02.tif "/>
    <s v=" 60390.6658 "/>
    <s v=" 82.6916 "/>
    <x v="0"/>
    <n v="4993802"/>
    <m/>
    <m/>
    <m/>
  </r>
  <r>
    <x v="15"/>
    <x v="4"/>
    <s v="F:\images\20210518\plaque 2/@03 Testo+ EE2 64/E3_03.tif "/>
    <s v=" 57297.5909 "/>
    <s v=" 82.6916 "/>
    <x v="0"/>
    <n v="4738028"/>
    <m/>
    <m/>
    <m/>
  </r>
  <r>
    <x v="15"/>
    <x v="5"/>
    <s v="F:\images\20210518\plaque 2/@03 Testo+ EE2 64/F3_01.tif "/>
    <s v=" 47239.6899 "/>
    <s v=" 69.9515 "/>
    <x v="0"/>
    <n v="3304486"/>
    <m/>
    <m/>
    <m/>
  </r>
  <r>
    <x v="15"/>
    <x v="5"/>
    <s v="F:\images\20210518\plaque 2/@03 Testo+ EE2 64/F3_02.tif "/>
    <s v=" 44687.3623 "/>
    <s v=" 70.7023 "/>
    <x v="0"/>
    <n v="3159500"/>
    <m/>
    <m/>
    <m/>
  </r>
  <r>
    <x v="15"/>
    <x v="5"/>
    <s v="F:\images\20210518\plaque 2/@03 Testo+ EE2 64/F3_03.tif "/>
    <s v=" 48775.4124 "/>
    <s v=" 70.329 "/>
    <x v="0"/>
    <n v="3430328"/>
    <m/>
    <m/>
    <m/>
  </r>
  <r>
    <x v="15"/>
    <x v="6"/>
    <s v="F:\images\20210518\plaque 2/@03 Testo+ EE2 64/G3_01.tif "/>
    <s v=" 51284.4802 "/>
    <s v=" 71.0877 "/>
    <x v="0"/>
    <n v="3645697"/>
    <m/>
    <m/>
    <m/>
  </r>
  <r>
    <x v="15"/>
    <x v="6"/>
    <s v="F:\images\20210518\plaque 2/@03 Testo+ EE2 64/G3_02.tif "/>
    <s v=" 55026.4519 "/>
    <s v=" 77.7889 "/>
    <x v="0"/>
    <n v="4280448"/>
    <m/>
    <m/>
    <m/>
  </r>
  <r>
    <x v="15"/>
    <x v="6"/>
    <s v="F:\images\20210518\plaque 2/@03 Testo+ EE2 64/G3_03.tif "/>
    <s v=" 48645.633 "/>
    <s v=" 75.6309 "/>
    <x v="0"/>
    <n v="3679115"/>
    <m/>
    <m/>
    <m/>
  </r>
  <r>
    <x v="15"/>
    <x v="7"/>
    <s v="F:\images\20210518\plaque 2/@03 Testo+ EE2 64/H3_01.tif "/>
    <s v=" 42546.0027 "/>
    <s v=" 74.9217 "/>
    <x v="0"/>
    <n v="3187619"/>
    <m/>
    <m/>
    <m/>
  </r>
  <r>
    <x v="15"/>
    <x v="7"/>
    <s v="F:\images\20210518\plaque 2/@03 Testo+ EE2 64/H3_02.tif "/>
    <s v=" 37333.1981 "/>
    <s v=" 74.8384 "/>
    <x v="0"/>
    <n v="2793955"/>
    <m/>
    <m/>
    <m/>
  </r>
  <r>
    <x v="15"/>
    <x v="7"/>
    <s v="F:\images\20210518\plaque 2/@03 Testo+ EE2 64/H3_03.tif "/>
    <s v=" 43411.1985 "/>
    <s v=" 74.7314 "/>
    <x v="0"/>
    <n v="3244181"/>
    <m/>
    <m/>
    <m/>
  </r>
  <r>
    <x v="1"/>
    <x v="8"/>
    <s v=" "/>
    <m/>
    <m/>
    <x v="1"/>
    <m/>
    <m/>
    <m/>
    <m/>
  </r>
  <r>
    <x v="1"/>
    <x v="8"/>
    <s v="group "/>
    <s v=" "/>
    <s v=" mean of mean fluo "/>
    <x v="2"/>
    <s v=" mean of total fluo "/>
    <s v=" SD total fluo "/>
    <s v=" n fluorescent "/>
    <s v=" n total"/>
  </r>
  <r>
    <x v="15"/>
    <x v="9"/>
    <s v="F:\images\20210518\plaque 2/@03 Testo+ EE2 64/ "/>
    <s v=" "/>
    <s v=" 75.3982 "/>
    <x v="17"/>
    <s v=" 3151484.58 "/>
    <s v=" 991540.4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518\plaque 2/@04 Testo+ FAD/A4_01.tif "/>
    <s v=" 410.968 "/>
    <s v=" 62.9474 "/>
    <x v="0"/>
    <n v="25869"/>
    <m/>
    <m/>
    <m/>
  </r>
  <r>
    <x v="16"/>
    <x v="0"/>
    <s v="F:\images\20210518\plaque 2/@04 Testo+ FAD/A4_02.tif "/>
    <s v=" 410.968 "/>
    <s v=" 64.7895 "/>
    <x v="0"/>
    <n v="26626"/>
    <m/>
    <m/>
    <m/>
  </r>
  <r>
    <x v="16"/>
    <x v="0"/>
    <s v="F:\images\20210518\plaque 2/@04 Testo+ FAD/A4_03.tif "/>
    <s v=" 4066.4202 "/>
    <s v=" 68.9628 "/>
    <x v="0"/>
    <n v="280432"/>
    <m/>
    <m/>
    <m/>
  </r>
  <r>
    <x v="16"/>
    <x v="1"/>
    <s v="F:\images\20210518\plaque 2/@04 Testo+ FAD/B4_01.tif "/>
    <s v=" 2768.6265 "/>
    <s v=" 66.0703 "/>
    <x v="0"/>
    <n v="182924"/>
    <m/>
    <m/>
    <m/>
  </r>
  <r>
    <x v="16"/>
    <x v="1"/>
    <s v="F:\images\20210518\plaque 2/@04 Testo+ FAD/B4_02.tif "/>
    <s v=" 2336.0286 "/>
    <s v=" 64.8148 "/>
    <x v="0"/>
    <n v="151409"/>
    <m/>
    <m/>
    <m/>
  </r>
  <r>
    <x v="16"/>
    <x v="1"/>
    <s v="F:\images\20210518\plaque 2/@04 Testo+ FAD/B4_03.tif "/>
    <s v=" 3828.4913 "/>
    <s v=" 67.6554 "/>
    <x v="0"/>
    <n v="259018"/>
    <m/>
    <m/>
    <m/>
  </r>
  <r>
    <x v="16"/>
    <x v="2"/>
    <s v="F:\images\20210518\plaque 2/@04 Testo+ FAD/C4_01.tif "/>
    <s v=" 475.8577 "/>
    <s v=" 63.1818 "/>
    <x v="0"/>
    <n v="30066"/>
    <m/>
    <m/>
    <m/>
  </r>
  <r>
    <x v="16"/>
    <x v="2"/>
    <s v="F:\images\20210518\plaque 2/@04 Testo+ FAD/C4_02.tif "/>
    <s v=" 281.1886 "/>
    <s v=" 63.6923 "/>
    <x v="0"/>
    <n v="17910"/>
    <m/>
    <m/>
    <m/>
  </r>
  <r>
    <x v="16"/>
    <x v="2"/>
    <s v="F:\images\20210518\plaque 2/@04 Testo+ FAD/C4_03.tif "/>
    <s v=" 2855.1461 "/>
    <s v=" 64.6439 "/>
    <x v="0"/>
    <n v="184568"/>
    <m/>
    <m/>
    <m/>
  </r>
  <r>
    <x v="16"/>
    <x v="3"/>
    <s v="F:\images\20210518\plaque 2/@04 Testo+ FAD/D4_01.tif "/>
    <s v=" 1016.605 "/>
    <s v=" 63.5319 "/>
    <x v="0"/>
    <n v="64587"/>
    <m/>
    <m/>
    <m/>
  </r>
  <r>
    <x v="16"/>
    <x v="3"/>
    <s v="F:\images\20210518\plaque 2/@04 Testo+ FAD/D4_02.tif "/>
    <s v=" 692.1566 "/>
    <s v=" 65.8125 "/>
    <x v="0"/>
    <n v="45553"/>
    <m/>
    <m/>
    <m/>
  </r>
  <r>
    <x v="16"/>
    <x v="3"/>
    <s v="F:\images\20210518\plaque 2/@04 Testo+ FAD/D4_03.tif "/>
    <s v=" 324.4484 "/>
    <s v=" 65.2667 "/>
    <x v="0"/>
    <n v="21176"/>
    <m/>
    <m/>
    <m/>
  </r>
  <r>
    <x v="16"/>
    <x v="4"/>
    <s v="F:\images\20210518\plaque 2/@04 Testo+ FAD/E4_01.tif "/>
    <s v=" 1362.6834 "/>
    <s v=" 64.1905 "/>
    <x v="0"/>
    <n v="87471"/>
    <m/>
    <m/>
    <m/>
  </r>
  <r>
    <x v="16"/>
    <x v="4"/>
    <s v="F:\images\20210518\plaque 2/@04 Testo+ FAD/E4_02.tif "/>
    <s v=" 2487.4379 "/>
    <s v=" 65.7391 "/>
    <x v="0"/>
    <n v="163522"/>
    <m/>
    <m/>
    <m/>
  </r>
  <r>
    <x v="16"/>
    <x v="4"/>
    <s v="F:\images\20210518\plaque 2/@04 Testo+ FAD/E4_03.tif "/>
    <s v=" 1622.2421 "/>
    <s v=" 64.5733 "/>
    <x v="0"/>
    <n v="104754"/>
    <m/>
    <m/>
    <m/>
  </r>
  <r>
    <x v="16"/>
    <x v="5"/>
    <s v="F:\images\20210518\plaque 2/@04 Testo+ FAD/F4_01.tif "/>
    <s v=" 346.0783 "/>
    <s v=" 63.375 "/>
    <x v="0"/>
    <n v="21933"/>
    <m/>
    <m/>
    <m/>
  </r>
  <r>
    <x v="16"/>
    <x v="5"/>
    <s v="F:\images\20210518\plaque 2/@04 Testo+ FAD/F4_02.tif "/>
    <s v=" 86.5196 "/>
    <s v=" 64.5 "/>
    <x v="0"/>
    <n v="5581"/>
    <m/>
    <m/>
    <m/>
  </r>
  <r>
    <x v="16"/>
    <x v="5"/>
    <s v="F:\images\20210518\plaque 2/@04 Testo+ FAD/F4_03- exclu.tif"/>
    <m/>
    <m/>
    <x v="1"/>
    <m/>
    <m/>
    <m/>
    <m/>
  </r>
  <r>
    <x v="16"/>
    <x v="6"/>
    <s v="F:\images\20210518\plaque 2/@04 Testo+ FAD/G4_01.tif "/>
    <s v=" 1795.2813 "/>
    <s v=" 65.8675 "/>
    <x v="0"/>
    <n v="118251"/>
    <m/>
    <m/>
    <m/>
  </r>
  <r>
    <x v="16"/>
    <x v="6"/>
    <s v="F:\images\20210518\plaque 2/@04 Testo+ FAD/G4_02.tif "/>
    <s v=" 713.7865 "/>
    <s v=" 63.2727 "/>
    <x v="0"/>
    <n v="45163"/>
    <m/>
    <m/>
    <m/>
  </r>
  <r>
    <x v="16"/>
    <x v="6"/>
    <s v="F:\images\20210518\plaque 2/@04 Testo+ FAD/G4_03.tif "/>
    <s v=" 951.7154 "/>
    <s v=" 64.9318 "/>
    <x v="0"/>
    <n v="61797"/>
    <m/>
    <m/>
    <m/>
  </r>
  <r>
    <x v="16"/>
    <x v="7"/>
    <s v="F:\images\20210518\plaque 2/@04 Testo+ FAD/H4_01- exclu.tif"/>
    <m/>
    <m/>
    <x v="1"/>
    <m/>
    <m/>
    <m/>
    <m/>
  </r>
  <r>
    <x v="16"/>
    <x v="7"/>
    <s v="F:\images\20210518\plaque 2/@04 Testo+ FAD/H4_02- exclu.tif"/>
    <m/>
    <m/>
    <x v="1"/>
    <m/>
    <m/>
    <m/>
    <m/>
  </r>
  <r>
    <x v="16"/>
    <x v="7"/>
    <s v="F:\images\20210518\plaque 2/@04 Testo+ FAD/H4_03- exclu.tif"/>
    <m/>
    <m/>
    <x v="1"/>
    <m/>
    <m/>
    <m/>
    <m/>
  </r>
  <r>
    <x v="1"/>
    <x v="8"/>
    <s v=" "/>
    <m/>
    <m/>
    <x v="1"/>
    <m/>
    <m/>
    <m/>
    <m/>
  </r>
  <r>
    <x v="1"/>
    <x v="8"/>
    <s v="group "/>
    <s v=" "/>
    <s v=" mean of mean fluo "/>
    <x v="2"/>
    <s v=" mean of total fluo "/>
    <s v=" SD total fluo "/>
    <s v=" n fluorescent "/>
    <s v=" n total"/>
  </r>
  <r>
    <x v="16"/>
    <x v="9"/>
    <s v="F:\images\20210518\plaque 2/@04 Testo+ FAD/ "/>
    <s v=" "/>
    <s v=" 64.781 "/>
    <x v="18"/>
    <s v=" 80560.6667 "/>
    <s v=" 82295.63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518\plaque 2/@05 Estrone 0.04 µg_LL dopé/A5_01.tif "/>
    <s v=" 19726.4639 "/>
    <s v=" 68.8575 "/>
    <x v="0"/>
    <n v="1358314"/>
    <m/>
    <m/>
    <m/>
  </r>
  <r>
    <x v="17"/>
    <x v="0"/>
    <s v="F:\images\20210518\plaque 2/@05 Estrone 0.04 µg_LL dopé/A5_02.tif "/>
    <s v=" 20526.77 "/>
    <s v=" 69.0074 "/>
    <x v="0"/>
    <n v="1416499"/>
    <m/>
    <m/>
    <m/>
  </r>
  <r>
    <x v="17"/>
    <x v="0"/>
    <s v="F:\images\20210518\plaque 2/@05 Estrone 0.04 µg_LL dopé/A5_03.tif "/>
    <s v=" 17909.5528 "/>
    <s v=" 68.0676 "/>
    <x v="0"/>
    <n v="1219061"/>
    <m/>
    <m/>
    <m/>
  </r>
  <r>
    <x v="17"/>
    <x v="1"/>
    <s v="F:\images\20210518\plaque 2/@05 Estrone 0.04 µg_LL dopé/B5_01.tif "/>
    <s v=" 8738.4774 "/>
    <s v=" 64.453 "/>
    <x v="0"/>
    <n v="563221"/>
    <m/>
    <m/>
    <m/>
  </r>
  <r>
    <x v="17"/>
    <x v="1"/>
    <s v="F:\images\20210518\plaque 2/@05 Estrone 0.04 µg_LL dopé/B5_02.tif "/>
    <s v=" 7873.2816 "/>
    <s v=" 64.1538 "/>
    <x v="0"/>
    <n v="505101"/>
    <m/>
    <m/>
    <m/>
  </r>
  <r>
    <x v="17"/>
    <x v="1"/>
    <s v="F:\images\20210518\plaque 2/@05 Estrone 0.04 µg_LL dopé/B5_03.tif "/>
    <s v=" 8738.4774 "/>
    <s v=" 64.1485 "/>
    <x v="0"/>
    <n v="560560"/>
    <m/>
    <m/>
    <m/>
  </r>
  <r>
    <x v="17"/>
    <x v="2"/>
    <s v="F:\images\20210518\plaque 2/@05 Estrone 0.04 µg_LL dopé/C5_01.tif "/>
    <s v=" 29048.9485 "/>
    <s v=" 70.1891 "/>
    <x v="0"/>
    <n v="2038920"/>
    <m/>
    <m/>
    <m/>
  </r>
  <r>
    <x v="17"/>
    <x v="2"/>
    <s v="F:\images\20210518\plaque 2/@05 Estrone 0.04 µg_LL dopé/C5_02.tif "/>
    <s v=" 32531.3615 "/>
    <s v=" 70.8138 "/>
    <x v="0"/>
    <n v="2303670"/>
    <m/>
    <m/>
    <m/>
  </r>
  <r>
    <x v="17"/>
    <x v="2"/>
    <s v="F:\images\20210518\plaque 2/@05 Estrone 0.04 µg_LL dopé/C5_03.tif "/>
    <s v=" 35473.0272 "/>
    <s v=" 73.6061 "/>
    <x v="0"/>
    <n v="2611031"/>
    <m/>
    <m/>
    <m/>
  </r>
  <r>
    <x v="17"/>
    <x v="3"/>
    <s v="F:\images\20210518\plaque 2/@05 Estrone 0.04 µg_LL dopé/D5_01.tif "/>
    <s v=" 19683.2041 "/>
    <s v=" 70.5011 "/>
    <x v="0"/>
    <n v="1387688"/>
    <m/>
    <m/>
    <m/>
  </r>
  <r>
    <x v="17"/>
    <x v="3"/>
    <s v="F:\images\20210518\plaque 2/@05 Estrone 0.04 µg_LL dopé/D5_02.tif "/>
    <s v=" 21348.706 "/>
    <s v=" 70.6282 "/>
    <x v="0"/>
    <n v="1507820"/>
    <m/>
    <m/>
    <m/>
  </r>
  <r>
    <x v="17"/>
    <x v="3"/>
    <s v="F:\images\20210518\plaque 2/@05 Estrone 0.04 µg_LL dopé/D5_03.tif "/>
    <s v=" 17866.293 "/>
    <s v=" 70.7893 "/>
    <x v="0"/>
    <n v="1264743"/>
    <m/>
    <m/>
    <m/>
  </r>
  <r>
    <x v="17"/>
    <x v="4"/>
    <s v="F:\images\20210518\plaque 2/@05 Estrone 0.04 µg_LL dopé/E5_01.tif "/>
    <s v=" 24679.7098 "/>
    <s v=" 66.0386 "/>
    <x v="0"/>
    <n v="1629813"/>
    <m/>
    <m/>
    <m/>
  </r>
  <r>
    <x v="17"/>
    <x v="4"/>
    <s v="F:\images\20210518\plaque 2/@05 Estrone 0.04 µg_LL dopé/E5_02.tif "/>
    <s v=" 34326.6428 "/>
    <s v=" 71.305 "/>
    <x v="0"/>
    <n v="2447661"/>
    <m/>
    <m/>
    <m/>
  </r>
  <r>
    <x v="17"/>
    <x v="4"/>
    <s v="F:\images\20210518\plaque 2/@05 Estrone 0.04 µg_LL dopé/E5_03.tif "/>
    <s v=" 32985.5893 "/>
    <s v=" 69.7705 "/>
    <x v="0"/>
    <n v="2301421"/>
    <m/>
    <m/>
    <m/>
  </r>
  <r>
    <x v="17"/>
    <x v="5"/>
    <s v="F:\images\20210518\plaque 2/@05 Estrone 0.04 µg_LL dopé/F5_01.tif "/>
    <s v=" 49316.1598 "/>
    <s v=" 72.7566 "/>
    <x v="0"/>
    <n v="3588075"/>
    <m/>
    <m/>
    <m/>
  </r>
  <r>
    <x v="17"/>
    <x v="5"/>
    <s v="F:\images\20210518\plaque 2/@05 Estrone 0.04 µg_LL dopé/F5_02.tif "/>
    <s v=" 47045.0208 "/>
    <s v=" 73.2469 "/>
    <x v="0"/>
    <n v="3445902"/>
    <m/>
    <m/>
    <m/>
  </r>
  <r>
    <x v="17"/>
    <x v="5"/>
    <s v="F:\images\20210518\plaque 2/@05 Estrone 0.04 µg_LL dopé/F5_03.tif "/>
    <s v=" 45444.4086 "/>
    <s v=" 74.1861 "/>
    <x v="0"/>
    <n v="3371344"/>
    <m/>
    <m/>
    <m/>
  </r>
  <r>
    <x v="17"/>
    <x v="6"/>
    <s v="F:\images\20210518\plaque 2/@05 Estrone 0.04 µg_LL dopé/G5_01.tif "/>
    <s v=" 12112.741 "/>
    <s v=" 67.1393 "/>
    <x v="0"/>
    <n v="813241"/>
    <m/>
    <m/>
    <m/>
  </r>
  <r>
    <x v="17"/>
    <x v="6"/>
    <s v="F:\images\20210518\plaque 2/@05 Estrone 0.04 µg_LL dopé/G5_02.tif "/>
    <s v=" 10382.3494 "/>
    <s v=" 65.6083 "/>
    <x v="0"/>
    <n v="681169"/>
    <m/>
    <m/>
    <m/>
  </r>
  <r>
    <x v="17"/>
    <x v="6"/>
    <s v="F:\images\20210518\plaque 2/@05 Estrone 0.04 µg_LL dopé/G5_03.tif "/>
    <s v=" 12047.8513 "/>
    <s v=" 68.1939 "/>
    <x v="0"/>
    <n v="821590"/>
    <m/>
    <m/>
    <m/>
  </r>
  <r>
    <x v="17"/>
    <x v="7"/>
    <s v="F:\images\20210518\plaque 2/@05 Estrone 0.04 µg_LL dopé/H5_01.tif "/>
    <s v=" 23338.6563 "/>
    <s v=" 67.5366 "/>
    <x v="0"/>
    <n v="1576214"/>
    <m/>
    <m/>
    <m/>
  </r>
  <r>
    <x v="17"/>
    <x v="7"/>
    <s v="F:\images\20210518\plaque 2/@05 Estrone 0.04 µg_LL dopé/H5_02.tif "/>
    <s v=" 21975.9729 "/>
    <s v=" 67.2264 "/>
    <x v="0"/>
    <n v="1477365"/>
    <m/>
    <m/>
    <m/>
  </r>
  <r>
    <x v="17"/>
    <x v="7"/>
    <s v="F:\images\20210518\plaque 2/@05 Estrone 0.04 µg_LL dopé/H5_03.tif "/>
    <s v=" 19034.3073 "/>
    <s v=" 66.5523 "/>
    <x v="0"/>
    <n v="1266776"/>
    <m/>
    <m/>
    <m/>
  </r>
  <r>
    <x v="1"/>
    <x v="8"/>
    <s v=" "/>
    <m/>
    <m/>
    <x v="1"/>
    <m/>
    <m/>
    <m/>
    <m/>
  </r>
  <r>
    <x v="1"/>
    <x v="8"/>
    <s v="group "/>
    <s v=" "/>
    <s v=" mean of mean fluo "/>
    <x v="2"/>
    <s v=" mean of total fluo "/>
    <s v=" SD total fluo "/>
    <s v=" n fluorescent "/>
    <s v=" n total"/>
  </r>
  <r>
    <x v="17"/>
    <x v="9"/>
    <s v="F:\images\20210518\plaque 2/@05 Estrone 0.04 µg_LL dopé/ "/>
    <s v=" "/>
    <s v=" 68.949 "/>
    <x v="19"/>
    <s v=" 1673216.62 "/>
    <s v=" 914694.5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518\plaque 2/@06 Estrone 0.2 µg_LL dopé/A6_01.tif "/>
    <s v=" 22084.1224 "/>
    <s v=" 70.7649 "/>
    <x v="0"/>
    <n v="1562782"/>
    <m/>
    <m/>
    <m/>
  </r>
  <r>
    <x v="18"/>
    <x v="0"/>
    <s v="F:\images\20210518\plaque 2/@06 Estrone 0.2 µg_LL dopé/A6_02.tif "/>
    <s v=" 24658.0799 "/>
    <s v=" 71.2553 "/>
    <x v="0"/>
    <n v="1757018"/>
    <m/>
    <m/>
    <m/>
  </r>
  <r>
    <x v="18"/>
    <x v="0"/>
    <s v="F:\images\20210518\plaque 2/@06 Estrone 0.2 µg_LL dopé/A6_03.tif "/>
    <s v=" 22019.2327 "/>
    <s v=" 70.169 "/>
    <x v="0"/>
    <n v="1545067"/>
    <m/>
    <m/>
    <m/>
  </r>
  <r>
    <x v="18"/>
    <x v="1"/>
    <s v="F:\images\20210518\plaque 2/@06 Estrone 0.2 µg_LL dopé/B6_01.tif "/>
    <s v=" 31666.1657 "/>
    <s v=" 73.7637 "/>
    <x v="0"/>
    <n v="2335812"/>
    <m/>
    <m/>
    <m/>
  </r>
  <r>
    <x v="18"/>
    <x v="1"/>
    <s v="F:\images\20210518\plaque 2/@06 Estrone 0.2 µg_LL dopé/B6_02.tif "/>
    <s v=" 33591.2264 "/>
    <s v=" 73.2279 "/>
    <x v="0"/>
    <n v="2459817"/>
    <m/>
    <m/>
    <m/>
  </r>
  <r>
    <x v="18"/>
    <x v="1"/>
    <s v="F:\images\20210518\plaque 2/@06 Estrone 0.2 µg_LL dopé/B6_03.tif "/>
    <s v=" 33483.0769 "/>
    <s v=" 73.2855 "/>
    <x v="0"/>
    <n v="2453825"/>
    <m/>
    <m/>
    <m/>
  </r>
  <r>
    <x v="18"/>
    <x v="2"/>
    <s v="F:\images\20210518\plaque 2/@06 Estrone 0.2 µg_LL dopé/C6_01.tif "/>
    <s v=" 47629.028 "/>
    <s v=" 71.1512 "/>
    <x v="0"/>
    <n v="3388864"/>
    <m/>
    <m/>
    <m/>
  </r>
  <r>
    <x v="18"/>
    <x v="2"/>
    <s v="F:\images\20210518\plaque 2/@06 Estrone 0.2 µg_LL dopé/C6_02.tif "/>
    <s v=" 45552.5581 "/>
    <s v=" 69.6866 "/>
    <x v="0"/>
    <n v="3174403"/>
    <m/>
    <m/>
    <m/>
  </r>
  <r>
    <x v="18"/>
    <x v="2"/>
    <s v="F:\images\20210518\plaque 2/@06 Estrone 0.2 µg_LL dopé/C6_03.tif "/>
    <s v=" 44665.7324 "/>
    <s v=" 70.6339 "/>
    <x v="0"/>
    <n v="3154915"/>
    <m/>
    <m/>
    <m/>
  </r>
  <r>
    <x v="18"/>
    <x v="3"/>
    <s v="F:\images\20210518\plaque 2/@06 Estrone 0.2 µg_LL dopé/D6_01.tif "/>
    <s v=" 40339.7535 "/>
    <s v=" 73.2139 "/>
    <x v="0"/>
    <n v="2953432"/>
    <m/>
    <m/>
    <m/>
  </r>
  <r>
    <x v="18"/>
    <x v="3"/>
    <s v="F:\images\20210518\plaque 2/@06 Estrone 0.2 µg_LL dopé/D6_02.tif "/>
    <s v=" 41031.9101 "/>
    <s v=" 71.7317 "/>
    <x v="0"/>
    <n v="2943288"/>
    <m/>
    <m/>
    <m/>
  </r>
  <r>
    <x v="18"/>
    <x v="3"/>
    <s v="F:\images\20210518\plaque 2/@06 Estrone 0.2 µg_LL dopé/D6_03.tif "/>
    <s v=" 37527.8672 "/>
    <s v=" 72.1862 "/>
    <x v="0"/>
    <n v="2708993"/>
    <m/>
    <m/>
    <m/>
  </r>
  <r>
    <x v="18"/>
    <x v="4"/>
    <s v="F:\images\20210518\plaque 2/@06 Estrone 0.2 µg_LL dopé/E6_01.tif "/>
    <s v=" 20288.8412 "/>
    <s v=" 66.5085 "/>
    <x v="0"/>
    <n v="1349381"/>
    <m/>
    <m/>
    <m/>
  </r>
  <r>
    <x v="18"/>
    <x v="4"/>
    <s v="F:\images\20210518\plaque 2/@06 Estrone 0.2 µg_LL dopé/E6_02.tif "/>
    <s v=" 10468.869 "/>
    <s v=" 64.8926 "/>
    <x v="0"/>
    <n v="679352"/>
    <m/>
    <m/>
    <m/>
  </r>
  <r>
    <x v="18"/>
    <x v="4"/>
    <s v="F:\images\20210518\plaque 2/@06 Estrone 0.2 µg_LL dopé/E6_03.tif "/>
    <s v=" 6618.7478 "/>
    <s v=" 64.7745 "/>
    <x v="0"/>
    <n v="428726"/>
    <m/>
    <m/>
    <m/>
  </r>
  <r>
    <x v="18"/>
    <x v="5"/>
    <s v="F:\images\20210518\plaque 2/@06 Estrone 0.2 µg_LL dopé/F6_01.tif "/>
    <s v=" 13107.7161 "/>
    <s v=" 68.4274 "/>
    <x v="0"/>
    <n v="896927"/>
    <m/>
    <m/>
    <m/>
  </r>
  <r>
    <x v="18"/>
    <x v="5"/>
    <s v="F:\images\20210518\plaque 2/@06 Estrone 0.2 µg_LL dopé/F6_02.tif "/>
    <s v=" 12956.3069 "/>
    <s v=" 68.4825 "/>
    <x v="0"/>
    <n v="887280"/>
    <m/>
    <m/>
    <m/>
  </r>
  <r>
    <x v="18"/>
    <x v="5"/>
    <s v="F:\images\20210518\plaque 2/@06 Estrone 0.2 µg_LL dopé/F6_03.tif "/>
    <s v=" 13691.7233 "/>
    <s v=" 68.5829 "/>
    <x v="0"/>
    <n v="939019"/>
    <m/>
    <m/>
    <m/>
  </r>
  <r>
    <x v="18"/>
    <x v="6"/>
    <s v="F:\images\20210518\plaque 2/@06 Estrone 0.2 µg_LL dopé/G6_01.tif "/>
    <s v=" 11982.9616 "/>
    <s v=" 66.3899 "/>
    <x v="0"/>
    <n v="795548"/>
    <m/>
    <m/>
    <m/>
  </r>
  <r>
    <x v="18"/>
    <x v="6"/>
    <s v="F:\images\20210518\plaque 2/@06 Estrone 0.2 µg_LL dopé/G6_02.tif "/>
    <s v=" 14708.3283 "/>
    <s v=" 68.0735 "/>
    <x v="0"/>
    <n v="1001248"/>
    <m/>
    <m/>
    <m/>
  </r>
  <r>
    <x v="18"/>
    <x v="6"/>
    <s v="F:\images\20210518\plaque 2/@06 Estrone 0.2 µg_LL dopé/G6_03.tif "/>
    <s v=" 11225.9153 "/>
    <s v=" 67.1118 "/>
    <x v="0"/>
    <n v="753391"/>
    <m/>
    <m/>
    <m/>
  </r>
  <r>
    <x v="18"/>
    <x v="7"/>
    <s v="F:\images\20210518\plaque 2/@06 Estrone 0.2 µg_LL dopé/H6_01.tif "/>
    <s v=" 23965.9232 "/>
    <s v=" 67.9486 "/>
    <x v="0"/>
    <n v="1628450"/>
    <m/>
    <m/>
    <m/>
  </r>
  <r>
    <x v="18"/>
    <x v="7"/>
    <s v="F:\images\20210518\plaque 2/@06 Estrone 0.2 µg_LL dopé/H6_02.tif "/>
    <s v=" 23446.8058 "/>
    <s v=" 67.167 "/>
    <x v="0"/>
    <n v="1574851"/>
    <m/>
    <m/>
    <m/>
  </r>
  <r>
    <x v="18"/>
    <x v="7"/>
    <s v="F:\images\20210518\plaque 2/@06 Estrone 0.2 µg_LL dopé/H6_03.tif "/>
    <s v=" 22862.7986 "/>
    <s v=" 68.0255 "/>
    <x v="0"/>
    <n v="1555254"/>
    <m/>
    <m/>
    <m/>
  </r>
  <r>
    <x v="1"/>
    <x v="8"/>
    <s v=" "/>
    <m/>
    <m/>
    <x v="1"/>
    <m/>
    <m/>
    <m/>
    <m/>
  </r>
  <r>
    <x v="1"/>
    <x v="8"/>
    <s v="group "/>
    <s v=" "/>
    <s v=" mean of mean fluo "/>
    <x v="2"/>
    <s v=" mean of total fluo "/>
    <s v=" SD total fluo "/>
    <s v=" n fluorescent "/>
    <s v=" n total"/>
  </r>
  <r>
    <x v="18"/>
    <x v="9"/>
    <s v="F:\images\20210518\plaque 2/@06 Estrone 0.2 µg_LL dopé/ "/>
    <s v=" "/>
    <s v=" 69.4773 "/>
    <x v="20"/>
    <s v=" 1788651.79 "/>
    <s v=" 923004.0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518\plaque 2/@07 Estrone 1 µg_LL dopé/A7_01.tif "/>
    <s v=" 5602.1427 "/>
    <s v=" 64.5174 "/>
    <x v="0"/>
    <n v="361436"/>
    <m/>
    <m/>
    <m/>
  </r>
  <r>
    <x v="19"/>
    <x v="0"/>
    <s v="F:\images\20210518\plaque 2/@07 Estrone 1 µg_LL dopé/A7_02.tif "/>
    <s v=" 6186.1499 "/>
    <s v=" 65.2413 "/>
    <x v="0"/>
    <n v="403592"/>
    <m/>
    <m/>
    <m/>
  </r>
  <r>
    <x v="19"/>
    <x v="0"/>
    <s v="F:\images\20210518\plaque 2/@07 Estrone 1 µg_LL dopé/A7_03.tif "/>
    <s v=" 6142.8901 "/>
    <s v=" 65.1408 "/>
    <x v="0"/>
    <n v="400153"/>
    <m/>
    <m/>
    <m/>
  </r>
  <r>
    <x v="19"/>
    <x v="1"/>
    <s v="F:\images\20210518\plaque 2/@07 Estrone 1 µg_LL dopé/B7_01.tif "/>
    <s v=" 34780.8706 "/>
    <s v=" 76.5684 "/>
    <x v="0"/>
    <n v="2663116"/>
    <m/>
    <m/>
    <m/>
  </r>
  <r>
    <x v="19"/>
    <x v="1"/>
    <s v="F:\images\20210518\plaque 2/@07 Estrone 1 µg_LL dopé/B7_02.tif "/>
    <s v=" 29048.9485 "/>
    <s v=" 86.9233 "/>
    <x v="0"/>
    <n v="2525031"/>
    <m/>
    <m/>
    <m/>
  </r>
  <r>
    <x v="19"/>
    <x v="1"/>
    <s v="F:\images\20210518\plaque 2/@07 Estrone 1 µg_LL dopé/B7_03.tif "/>
    <s v=" 29330.1371 "/>
    <s v=" 82.2006 "/>
    <x v="0"/>
    <n v="2410955"/>
    <m/>
    <m/>
    <m/>
  </r>
  <r>
    <x v="19"/>
    <x v="2"/>
    <s v="F:\images\20210518\plaque 2/@07 Estrone 1 µg_LL dopé/C7_01.tif "/>
    <s v=" 37203.4188 "/>
    <s v=" 71.9099 "/>
    <x v="0"/>
    <n v="2675294"/>
    <m/>
    <m/>
    <m/>
  </r>
  <r>
    <x v="19"/>
    <x v="2"/>
    <s v="F:\images\20210518\plaque 2/@07 Estrone 1 µg_LL dopé/C7_02.tif "/>
    <s v=" 37181.7889 "/>
    <s v=" 71.3264 "/>
    <x v="0"/>
    <n v="2652041"/>
    <m/>
    <m/>
    <m/>
  </r>
  <r>
    <x v="19"/>
    <x v="2"/>
    <s v="F:\images\20210518\plaque 2/@07 Estrone 1 µg_LL dopé/C7_03.tif "/>
    <s v=" 38825.6609 "/>
    <s v=" 72.3398 "/>
    <x v="0"/>
    <n v="2808642"/>
    <m/>
    <m/>
    <m/>
  </r>
  <r>
    <x v="19"/>
    <x v="3"/>
    <s v="F:\images\20210518\plaque 2/@07 Estrone 1 µg_LL dopé/D7_01.tif "/>
    <s v=" 38544.4722 "/>
    <s v=" 74.3692 "/>
    <x v="0"/>
    <n v="2866523"/>
    <m/>
    <m/>
    <m/>
  </r>
  <r>
    <x v="19"/>
    <x v="3"/>
    <s v="F:\images\20210518\plaque 2/@07 Estrone 1 µg_LL dopé/D7_02.tif "/>
    <s v=" 40404.6432 "/>
    <s v=" 77.1033 "/>
    <x v="0"/>
    <n v="3115332"/>
    <m/>
    <m/>
    <m/>
  </r>
  <r>
    <x v="19"/>
    <x v="3"/>
    <s v="F:\images\20210518\plaque 2/@07 Estrone 1 µg_LL dopé/D7_03.tif "/>
    <s v=" 40620.9421 "/>
    <s v=" 73.6496 "/>
    <x v="0"/>
    <n v="2991717"/>
    <m/>
    <m/>
    <m/>
  </r>
  <r>
    <x v="19"/>
    <x v="4"/>
    <s v="F:\images\20210518\plaque 2/@07 Estrone 1 µg_LL dopé/E7_01.tif "/>
    <s v=" 21240.5565 "/>
    <s v=" 68.7383 "/>
    <x v="0"/>
    <n v="1460040"/>
    <m/>
    <m/>
    <m/>
  </r>
  <r>
    <x v="19"/>
    <x v="4"/>
    <s v="F:\images\20210518\plaque 2/@07 Estrone 1 µg_LL dopé/E7_02.tif "/>
    <s v=" 9149.4454 "/>
    <s v=" 68.5674 "/>
    <x v="0"/>
    <n v="627353"/>
    <m/>
    <m/>
    <m/>
  </r>
  <r>
    <x v="19"/>
    <x v="4"/>
    <s v="F:\images\20210518\plaque 2/@07 Estrone 1 µg_LL dopé/E7_03.tif "/>
    <s v=" 9387.3743 "/>
    <s v=" 74.2051 "/>
    <x v="0"/>
    <n v="696591"/>
    <m/>
    <m/>
    <m/>
  </r>
  <r>
    <x v="19"/>
    <x v="5"/>
    <s v="F:\images\20210518\plaque 2/@07 Estrone 1 µg_LL dopé/F7_01.tif "/>
    <s v=" 11766.6627 "/>
    <s v=" 80.9118 "/>
    <x v="0"/>
    <n v="952061"/>
    <m/>
    <m/>
    <m/>
  </r>
  <r>
    <x v="19"/>
    <x v="5"/>
    <s v="F:\images\20210518\plaque 2/@07 Estrone 1 µg_LL dopé/F7_02.tif "/>
    <s v=" 12069.4812 "/>
    <s v=" 77.7796 "/>
    <x v="0"/>
    <n v="938759"/>
    <m/>
    <m/>
    <m/>
  </r>
  <r>
    <x v="19"/>
    <x v="5"/>
    <s v="F:\images\20210518\plaque 2/@07 Estrone 1 µg_LL dopé/F7_03.tif "/>
    <s v=" 11096.1359 "/>
    <s v=" 77.7505 "/>
    <x v="0"/>
    <n v="862730"/>
    <m/>
    <m/>
    <m/>
  </r>
  <r>
    <x v="19"/>
    <x v="6"/>
    <s v="F:\images\20210518\plaque 2/@07 Estrone 1 µg_LL dopé/G7_01.tif "/>
    <s v=" 53425.8397 "/>
    <s v=" 75.8255 "/>
    <x v="0"/>
    <n v="4051041"/>
    <m/>
    <m/>
    <m/>
  </r>
  <r>
    <x v="19"/>
    <x v="6"/>
    <s v="F:\images\20210518\plaque 2/@07 Estrone 1 µg_LL dopé/G7_02.tif "/>
    <s v=" 52452.4945 "/>
    <s v=" 79.5823 "/>
    <x v="0"/>
    <n v="4174288"/>
    <m/>
    <m/>
    <m/>
  </r>
  <r>
    <x v="19"/>
    <x v="6"/>
    <s v="F:\images\20210518\plaque 2/@07 Estrone 1 µg_LL dopé/G7_03.tif "/>
    <s v=" 53598.8789 "/>
    <s v=" 77.2224 "/>
    <x v="0"/>
    <n v="4139032"/>
    <m/>
    <m/>
    <m/>
  </r>
  <r>
    <x v="19"/>
    <x v="7"/>
    <s v="F:\images\20210518\plaque 2/@07 Estrone 1 µg_LL dopé/H7_01.tif "/>
    <s v=" 43173.2697 "/>
    <s v=" 72.4755 "/>
    <x v="0"/>
    <n v="3129002"/>
    <m/>
    <m/>
    <m/>
  </r>
  <r>
    <x v="19"/>
    <x v="7"/>
    <s v="F:\images\20210518\plaque 2/@07 Estrone 1 µg_LL dopé/H7_02.tif "/>
    <s v=" 42113.4048 "/>
    <s v=" 72.2039 "/>
    <x v="0"/>
    <n v="3040752"/>
    <m/>
    <m/>
    <m/>
  </r>
  <r>
    <x v="19"/>
    <x v="7"/>
    <s v="F:\images\20210518\plaque 2/@07 Estrone 1 µg_LL dopé/H7_03.tif "/>
    <s v=" 38220.0238 "/>
    <s v=" 71.4584 "/>
    <x v="0"/>
    <n v="2731142"/>
    <m/>
    <m/>
    <m/>
  </r>
  <r>
    <x v="1"/>
    <x v="8"/>
    <s v=" "/>
    <m/>
    <m/>
    <x v="1"/>
    <m/>
    <m/>
    <m/>
    <m/>
  </r>
  <r>
    <x v="1"/>
    <x v="8"/>
    <s v="group "/>
    <s v=" "/>
    <s v=" mean of mean fluo "/>
    <x v="2"/>
    <s v=" mean of total fluo "/>
    <s v=" SD total fluo "/>
    <s v=" n fluorescent "/>
    <s v=" n total"/>
  </r>
  <r>
    <x v="19"/>
    <x v="9"/>
    <s v="F:\images\20210518\plaque 2/@07 Estrone 1 µg_LL dopé/ "/>
    <s v=" "/>
    <s v=" 74.0838 "/>
    <x v="21"/>
    <s v=" 2194859.29 "/>
    <s v=" 1252368.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518\plaque 2/@08 Estrone 5 µg_LL dopé/A8_01.tif "/>
    <s v=" 51803.5976 "/>
    <s v=" 89.6455 "/>
    <x v="0"/>
    <n v="4643960"/>
    <m/>
    <m/>
    <m/>
  </r>
  <r>
    <x v="20"/>
    <x v="0"/>
    <s v="F:\images\20210518\plaque 2/@08 Estrone 5 µg_LL dopé/A8_02.tif "/>
    <s v=" 51630.5585 "/>
    <s v=" 91.4269 "/>
    <x v="0"/>
    <n v="4720422"/>
    <m/>
    <m/>
    <m/>
  </r>
  <r>
    <x v="20"/>
    <x v="0"/>
    <s v="F:\images\20210518\plaque 2/@08 Estrone 5 µg_LL dopé/A8_03.tif "/>
    <s v=" 52625.5336 "/>
    <s v=" 90.5898 "/>
    <x v="0"/>
    <n v="4767337"/>
    <m/>
    <m/>
    <m/>
  </r>
  <r>
    <x v="20"/>
    <x v="1"/>
    <s v="F:\images\20210518\plaque 2/@08 Estrone 5 µg_LL dopé/B8_01.tif "/>
    <s v=" 53750.2882 "/>
    <s v=" 85.9642 "/>
    <x v="0"/>
    <n v="4620600"/>
    <m/>
    <m/>
    <m/>
  </r>
  <r>
    <x v="20"/>
    <x v="1"/>
    <s v="F:\images\20210518\plaque 2/@08 Estrone 5 µg_LL dopé/B8_02.tif "/>
    <s v=" 53079.7614 "/>
    <s v=" 84.6597 "/>
    <x v="0"/>
    <n v="4493719"/>
    <m/>
    <m/>
    <m/>
  </r>
  <r>
    <x v="20"/>
    <x v="1"/>
    <s v="F:\images\20210518\plaque 2/@08 Estrone 5 µg_LL dopé/B8_03.tif "/>
    <s v=" 54009.8469 "/>
    <s v=" 86.5102 "/>
    <x v="0"/>
    <n v="4672403"/>
    <m/>
    <m/>
    <m/>
  </r>
  <r>
    <x v="20"/>
    <x v="2"/>
    <s v="F:\images\20210518\plaque 2/@08 Estrone 5 µg_LL dopé/C8_01.tif "/>
    <s v=" 68696.5453 "/>
    <s v=" 91.3728 "/>
    <x v="0"/>
    <n v="6276995"/>
    <m/>
    <m/>
    <m/>
  </r>
  <r>
    <x v="20"/>
    <x v="2"/>
    <s v="F:\images\20210518\plaque 2/@08 Estrone 5 µg_LL dopé/C8_02.tif "/>
    <s v=" 69799.67 "/>
    <s v=" 92.1664 "/>
    <x v="0"/>
    <n v="6433185"/>
    <m/>
    <m/>
    <m/>
  </r>
  <r>
    <x v="20"/>
    <x v="2"/>
    <s v="F:\images\20210518\plaque 2/@08 Estrone 5 µg_LL dopé/C8_03.tif "/>
    <s v=" 71400.2822 "/>
    <s v=" 90.4923 "/>
    <x v="0"/>
    <n v="6461174"/>
    <m/>
    <m/>
    <m/>
  </r>
  <r>
    <x v="20"/>
    <x v="3"/>
    <s v="F:\images\20210518\plaque 2/@08 Estrone 5 µg_LL dopé/D8_01.tif "/>
    <s v=" 44795.5118 "/>
    <s v=" 88.2071 "/>
    <x v="0"/>
    <n v="3951284"/>
    <m/>
    <m/>
    <m/>
  </r>
  <r>
    <x v="20"/>
    <x v="3"/>
    <s v="F:\images\20210518\plaque 2/@08 Estrone 5 µg_LL dopé/D8_02.tif "/>
    <s v=" 37679.2764 "/>
    <s v=" 90.8691 "/>
    <x v="0"/>
    <n v="3423883"/>
    <m/>
    <m/>
    <m/>
  </r>
  <r>
    <x v="20"/>
    <x v="3"/>
    <s v="F:\images\20210518\plaque 2/@08 Estrone 5 µg_LL dopé/D8_03.tif "/>
    <s v=" 37095.2693 "/>
    <s v=" 84.2181 "/>
    <x v="0"/>
    <n v="3124092"/>
    <m/>
    <m/>
    <m/>
  </r>
  <r>
    <x v="20"/>
    <x v="4"/>
    <s v="F:\images\20210518\plaque 2/@08 Estrone 5 µg_LL dopé/E8_01.tif "/>
    <s v=" 19618.3144 "/>
    <s v=" 86.4002 "/>
    <x v="0"/>
    <n v="1695027"/>
    <m/>
    <m/>
    <m/>
  </r>
  <r>
    <x v="20"/>
    <x v="4"/>
    <s v="F:\images\20210518\plaque 2/@08 Estrone 5 µg_LL dopé/E8_02.tif "/>
    <s v=" 22149.0121 "/>
    <s v=" 85.7969 "/>
    <x v="0"/>
    <n v="1900316"/>
    <m/>
    <m/>
    <m/>
  </r>
  <r>
    <x v="20"/>
    <x v="4"/>
    <s v="F:\images\20210518\plaque 2/@08 Estrone 5 µg_LL dopé/E8_03.tif "/>
    <s v=" 18298.8909 "/>
    <s v=" 87.4634 "/>
    <x v="0"/>
    <n v="1600482"/>
    <m/>
    <m/>
    <m/>
  </r>
  <r>
    <x v="20"/>
    <x v="5"/>
    <s v="F:\images\20210518\plaque 2/@08 Estrone 5 µg_LL dopé/F8_01.tif "/>
    <s v=" 46287.9745 "/>
    <s v=" 83.9182 "/>
    <x v="0"/>
    <n v="3884405"/>
    <m/>
    <m/>
    <m/>
  </r>
  <r>
    <x v="20"/>
    <x v="5"/>
    <s v="F:\images\20210518\plaque 2/@08 Estrone 5 µg_LL dopé/F8_02.tif "/>
    <s v=" 46028.4158 "/>
    <s v=" 80.7519 "/>
    <x v="0"/>
    <n v="3716881"/>
    <m/>
    <m/>
    <m/>
  </r>
  <r>
    <x v="20"/>
    <x v="5"/>
    <s v="F:\images\20210518\plaque 2/@08 Estrone 5 µg_LL dopé/F8_03.tif "/>
    <s v=" 44968.5509 "/>
    <s v=" 81.0043 "/>
    <x v="0"/>
    <n v="3642647"/>
    <m/>
    <m/>
    <m/>
  </r>
  <r>
    <x v="20"/>
    <x v="6"/>
    <s v="F:\images\20210518\plaque 2/@08 Estrone 5 µg_LL dopé/G8_01.tif "/>
    <s v=" 46266.3446 "/>
    <s v=" 83.0309 "/>
    <x v="0"/>
    <n v="3841534"/>
    <m/>
    <m/>
    <m/>
  </r>
  <r>
    <x v="20"/>
    <x v="6"/>
    <s v="F:\images\20210518\plaque 2/@08 Estrone 5 µg_LL dopé/G8_02.tif "/>
    <s v=" 48840.3021 "/>
    <s v=" 84.868 "/>
    <x v="0"/>
    <n v="4144980"/>
    <m/>
    <m/>
    <m/>
  </r>
  <r>
    <x v="20"/>
    <x v="6"/>
    <s v="F:\images\20210518\plaque 2/@08 Estrone 5 µg_LL dopé/G8_03.tif "/>
    <s v=" 47823.697 "/>
    <s v=" 83.9141 "/>
    <x v="0"/>
    <n v="4013081"/>
    <m/>
    <m/>
    <m/>
  </r>
  <r>
    <x v="20"/>
    <x v="7"/>
    <s v="F:\images\20210518\plaque 2/@08 Estrone 5 µg_LL dopé/H8_01.tif "/>
    <s v=" 57600.4094 "/>
    <s v=" 83.6421 "/>
    <x v="0"/>
    <n v="4817821"/>
    <m/>
    <m/>
    <m/>
  </r>
  <r>
    <x v="20"/>
    <x v="7"/>
    <s v="F:\images\20210518\plaque 2/@08 Estrone 5 µg_LL dopé/H8_02.tif "/>
    <s v=" 60412.2957 "/>
    <s v=" 82.5474 "/>
    <x v="0"/>
    <n v="4986880"/>
    <m/>
    <m/>
    <m/>
  </r>
  <r>
    <x v="20"/>
    <x v="7"/>
    <s v="F:\images\20210518\plaque 2/@08 Estrone 5 µg_LL dopé/H8_03.tif "/>
    <s v=" 59395.6907 "/>
    <s v=" 83.3594 "/>
    <x v="0"/>
    <n v="4951191"/>
    <m/>
    <m/>
    <m/>
  </r>
  <r>
    <x v="1"/>
    <x v="8"/>
    <s v=" "/>
    <m/>
    <m/>
    <x v="1"/>
    <m/>
    <m/>
    <m/>
    <m/>
  </r>
  <r>
    <x v="1"/>
    <x v="8"/>
    <s v="group "/>
    <s v=" "/>
    <s v=" mean of mean fluo "/>
    <x v="2"/>
    <s v=" mean of total fluo "/>
    <s v=" SD total fluo "/>
    <s v=" n fluorescent "/>
    <s v=" n total"/>
  </r>
  <r>
    <x v="20"/>
    <x v="9"/>
    <s v="F:\images\20210518\plaque 2/@08 Estrone 5 µg_LL dopé/ "/>
    <s v=" "/>
    <s v=" 86.3675 "/>
    <x v="22"/>
    <s v=" 4199345.79 "/>
    <s v=" 1288883.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518\plaque 2/@09 Estrone 25 µg_LL dopé/A9_01.tif "/>
    <s v=" 49835.2772 "/>
    <s v=" 87.6063 "/>
    <x v="0"/>
    <n v="4365886"/>
    <m/>
    <m/>
    <m/>
  </r>
  <r>
    <x v="21"/>
    <x v="0"/>
    <s v="F:\images\20210518\plaque 2/@09 Estrone 25 µg_LL dopé/A9_02.tif "/>
    <s v=" 47953.4764 "/>
    <s v=" 91.6189 "/>
    <x v="0"/>
    <n v="4393443"/>
    <m/>
    <m/>
    <m/>
  </r>
  <r>
    <x v="21"/>
    <x v="0"/>
    <s v="F:\images\20210518\plaque 2/@09 Estrone 25 µg_LL dopé/A9_03.tif "/>
    <s v=" 46331.2343 "/>
    <s v=" 92.2442 "/>
    <x v="0"/>
    <n v="4273786"/>
    <m/>
    <m/>
    <m/>
  </r>
  <r>
    <x v="21"/>
    <x v="1"/>
    <s v="F:\images\20210518\plaque 2/@09 Estrone 25 µg_LL dopé/B9_01.tif "/>
    <s v=" 53836.8077 "/>
    <s v=" 89.6243 "/>
    <x v="0"/>
    <n v="4825089"/>
    <m/>
    <m/>
    <m/>
  </r>
  <r>
    <x v="21"/>
    <x v="1"/>
    <s v="F:\images\20210518\plaque 2/@09 Estrone 25 µg_LL dopé/B9_02.tif "/>
    <s v=" 47585.7682 "/>
    <s v=" 96.2832 "/>
    <x v="0"/>
    <n v="4581709"/>
    <m/>
    <m/>
    <m/>
  </r>
  <r>
    <x v="21"/>
    <x v="1"/>
    <s v="F:\images\20210518\plaque 2/@09 Estrone 25 µg_LL dopé/B9_03.tif "/>
    <s v=" 53058.1315 "/>
    <s v=" 92.8818 "/>
    <x v="0"/>
    <n v="4928134"/>
    <m/>
    <m/>
    <m/>
  </r>
  <r>
    <x v="21"/>
    <x v="2"/>
    <s v="F:\images\20210518\plaque 2/@09 Estrone 25 µg_LL dopé/C9_01.tif "/>
    <s v=" 62034.5378 "/>
    <s v=" 94.8452 "/>
    <x v="0"/>
    <n v="5883677"/>
    <m/>
    <m/>
    <m/>
  </r>
  <r>
    <x v="21"/>
    <x v="2"/>
    <s v="F:\images\20210518\plaque 2/@09 Estrone 25 µg_LL dopé/C9_02.tif "/>
    <s v=" 57211.0713 "/>
    <s v=" 95.4548 "/>
    <x v="0"/>
    <n v="5461073"/>
    <m/>
    <m/>
    <m/>
  </r>
  <r>
    <x v="21"/>
    <x v="2"/>
    <s v="F:\images\20210518\plaque 2/@09 Estrone 25 µg_LL dopé/C9_03.tif "/>
    <s v=" 59741.769 "/>
    <s v=" 94.6369 "/>
    <x v="0"/>
    <n v="5653773"/>
    <m/>
    <m/>
    <m/>
  </r>
  <r>
    <x v="21"/>
    <x v="3"/>
    <s v="F:\images\20210518\plaque 2/@09 Estrone 25 µg_LL dopé/D9_01.tif "/>
    <s v=" 60066.2174 "/>
    <s v=" 91.2668 "/>
    <x v="0"/>
    <n v="5482054"/>
    <m/>
    <m/>
    <m/>
  </r>
  <r>
    <x v="21"/>
    <x v="3"/>
    <s v="F:\images\20210518\plaque 2/@09 Estrone 25 µg_LL dopé/D9_02.tif "/>
    <s v=" 62402.246 "/>
    <s v=" 79.2385 "/>
    <x v="0"/>
    <n v="4944659"/>
    <m/>
    <m/>
    <m/>
  </r>
  <r>
    <x v="21"/>
    <x v="3"/>
    <s v="F:\images\20210518\plaque 2/@09 Estrone 25 µg_LL dopé/D9_03.tif "/>
    <s v=" 57340.8507 "/>
    <s v=" 92.5952 "/>
    <x v="0"/>
    <n v="5309490"/>
    <m/>
    <m/>
    <m/>
  </r>
  <r>
    <x v="21"/>
    <x v="4"/>
    <s v="F:\images\20210518\plaque 2/@09 Estrone 25 µg_LL dopé/E9_01.tif "/>
    <s v=" 68977.734 "/>
    <s v=" 99.365 "/>
    <x v="0"/>
    <n v="6853973"/>
    <m/>
    <m/>
    <m/>
  </r>
  <r>
    <x v="21"/>
    <x v="4"/>
    <s v="F:\images\20210518\plaque 2/@09 Estrone 25 µg_LL dopé/E9_02.tif "/>
    <s v=" 69886.1895 "/>
    <s v=" 99.8573 "/>
    <x v="0"/>
    <n v="6978648"/>
    <m/>
    <m/>
    <m/>
  </r>
  <r>
    <x v="21"/>
    <x v="4"/>
    <s v="F:\images\20210518\plaque 2/@09 Estrone 25 µg_LL dopé/E9_03.tif "/>
    <s v=" 70491.8266 "/>
    <s v=" 100.2185 "/>
    <x v="0"/>
    <n v="7064583"/>
    <m/>
    <m/>
    <m/>
  </r>
  <r>
    <x v="21"/>
    <x v="5"/>
    <s v="F:\images\20210518\plaque 2/@09 Estrone 25 µg_LL dopé/F9_01.tif "/>
    <s v=" 81393.2935 "/>
    <s v=" 88.7709 "/>
    <x v="0"/>
    <n v="7225358"/>
    <m/>
    <m/>
    <m/>
  </r>
  <r>
    <x v="21"/>
    <x v="5"/>
    <s v="F:\images\20210518\plaque 2/@09 Estrone 25 µg_LL dopé/F9_02.tif "/>
    <s v=" 74363.5777 "/>
    <s v=" 92.7842 "/>
    <x v="0"/>
    <n v="6899763"/>
    <m/>
    <m/>
    <m/>
  </r>
  <r>
    <x v="21"/>
    <x v="5"/>
    <s v="F:\images\20210518\plaque 2/@09 Estrone 25 µg_LL dopé/F9_03.tif "/>
    <s v=" 79360.0834 "/>
    <s v=" 92.1169 "/>
    <x v="0"/>
    <n v="7310407"/>
    <m/>
    <m/>
    <m/>
  </r>
  <r>
    <x v="21"/>
    <x v="6"/>
    <s v="F:\images\20210518\plaque 2/@09 Estrone 25 µg_LL dopé/G9_01.tif "/>
    <s v=" 84486.3684 "/>
    <s v=" 99.5548 "/>
    <x v="0"/>
    <n v="8411022"/>
    <m/>
    <m/>
    <m/>
  </r>
  <r>
    <x v="21"/>
    <x v="6"/>
    <s v="F:\images\20210518\plaque 2/@09 Estrone 25 µg_LL dopé/G9_02.tif "/>
    <s v=" 88314.8598 "/>
    <s v=" 101.2878 "/>
    <x v="0"/>
    <n v="8945216"/>
    <m/>
    <m/>
    <m/>
  </r>
  <r>
    <x v="21"/>
    <x v="6"/>
    <s v="F:\images\20210518\plaque 2/@09 Estrone 25 µg_LL dopé/G9_03.tif "/>
    <s v=" 80441.5781 "/>
    <s v=" 99.879 "/>
    <x v="0"/>
    <n v="8034424"/>
    <m/>
    <m/>
    <m/>
  </r>
  <r>
    <x v="21"/>
    <x v="7"/>
    <s v="F:\images\20210518\plaque 2/@09 Estrone 25 µg_LL dopé/H9_01.tif "/>
    <s v=" 24182.2222 "/>
    <s v=" 81.0143 "/>
    <x v="0"/>
    <n v="1959106"/>
    <m/>
    <m/>
    <m/>
  </r>
  <r>
    <x v="21"/>
    <x v="7"/>
    <s v="F:\images\20210518\plaque 2/@09 Estrone 25 µg_LL dopé/H9_02.tif "/>
    <s v=" 24138.9624 "/>
    <s v=" 81.0789 "/>
    <x v="0"/>
    <n v="1957159"/>
    <m/>
    <m/>
    <m/>
  </r>
  <r>
    <x v="21"/>
    <x v="7"/>
    <s v="F:\images\20210518\plaque 2/@09 Estrone 25 µg_LL dopé/H9_03.tif "/>
    <s v=" 22949.3182 "/>
    <s v=" 81.2224 "/>
    <x v="0"/>
    <n v="1863999"/>
    <m/>
    <m/>
    <m/>
  </r>
  <r>
    <x v="1"/>
    <x v="8"/>
    <s v=" "/>
    <m/>
    <m/>
    <x v="1"/>
    <m/>
    <m/>
    <m/>
    <m/>
  </r>
  <r>
    <x v="1"/>
    <x v="8"/>
    <s v="group "/>
    <s v=" "/>
    <s v=" mean of mean fluo "/>
    <x v="2"/>
    <s v=" mean of total fluo "/>
    <s v=" SD total fluo "/>
    <s v=" n fluorescent "/>
    <s v=" n total"/>
  </r>
  <r>
    <x v="21"/>
    <x v="9"/>
    <s v="F:\images\20210518\plaque 2/@09 Estrone 25 µg_LL dopé/ "/>
    <s v=" "/>
    <s v=" 92.3103 "/>
    <x v="23"/>
    <s v=" 5566934.62 "/>
    <s v=" 1931526.74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04"/>
    <s v="µg/L"/>
    <s v="Estrone"/>
    <x v="0"/>
  </r>
  <r>
    <x v="9"/>
    <x v="1"/>
    <n v="0.2"/>
    <s v="µg/L"/>
    <s v="Estrone"/>
    <x v="0"/>
  </r>
  <r>
    <x v="10"/>
    <x v="1"/>
    <n v="1"/>
    <s v="µg/L"/>
    <s v="Estrone"/>
    <x v="0"/>
  </r>
  <r>
    <x v="11"/>
    <x v="1"/>
    <n v="5"/>
    <s v="µg/L"/>
    <s v="Estrone"/>
    <x v="0"/>
  </r>
  <r>
    <x v="12"/>
    <x v="1"/>
    <n v="25"/>
    <s v="µg/L"/>
    <s v="Estrone"/>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µg/L"/>
    <s v="Testo 30µg/L + FAD"/>
    <x v="0"/>
  </r>
  <r>
    <x v="17"/>
    <x v="2"/>
    <n v="0.04"/>
    <s v="µg/L"/>
    <s v="Estrone"/>
    <x v="1"/>
  </r>
  <r>
    <x v="18"/>
    <x v="2"/>
    <n v="0.2"/>
    <s v="µg/L"/>
    <s v="Estrone"/>
    <x v="1"/>
  </r>
  <r>
    <x v="19"/>
    <x v="2"/>
    <n v="1"/>
    <s v="µg/L"/>
    <s v="Estrone"/>
    <x v="1"/>
  </r>
  <r>
    <x v="20"/>
    <x v="2"/>
    <n v="5"/>
    <s v="µg/L"/>
    <s v="Estrone"/>
    <x v="1"/>
  </r>
  <r>
    <x v="21"/>
    <x v="2"/>
    <n v="25"/>
    <s v="µg/L"/>
    <s v="Estrone"/>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2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2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9"/>
    </i>
    <i>
      <x v="20"/>
    </i>
    <i>
      <x v="21"/>
    </i>
    <i>
      <x v="22"/>
    </i>
    <i>
      <x v="23"/>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9D9E4647-0673-403F-91C4-382056C61868}"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3D4BBB01-7A09-4CC2-A31C-C5BB5F468AA1}"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F7FC344B-C061-4A1C-B829-D731DBECCD86}"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values'!$B$74:$V$83,4,FALSE)</calculatedColumnFormula>
    </tableColumn>
    <tableColumn id="6" xr3:uid="{00000000-0010-0000-0600-000006000000}" name="CHG-test ND" dataDxfId="12">
      <calculatedColumnFormula>HLOOKUP(Tableau3[[#This Row],[Nom ND]],'pooled normalised values'!$B$74:$V$83,8,FALSE)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values'!$B$74:$V$83,4,FALSE)</calculatedColumnFormula>
    </tableColumn>
    <tableColumn id="11" xr3:uid="{00000000-0010-0000-0600-00000B000000}" name="CHG-test D" dataDxfId="8">
      <calculatedColumnFormula>HLOOKUP(Tableau3[[#This Row],[Nom D]],'pooled normalised values'!$B$74:$V$83,8,FALSE)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1" zoomScale="55" zoomScaleNormal="55" workbookViewId="0">
      <selection activeCell="E50" sqref="E50"/>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8" t="s">
        <v>36</v>
      </c>
      <c r="B1" s="199"/>
      <c r="C1" s="199"/>
      <c r="D1" s="199"/>
      <c r="E1" s="199"/>
      <c r="F1" s="199"/>
      <c r="G1" s="199"/>
      <c r="H1" s="199"/>
      <c r="I1" s="200"/>
    </row>
    <row r="2" spans="1:9" ht="21" x14ac:dyDescent="0.35">
      <c r="A2" s="188" t="s">
        <v>17</v>
      </c>
      <c r="B2" s="42" t="s">
        <v>115</v>
      </c>
      <c r="C2" s="201"/>
      <c r="D2" s="202"/>
      <c r="E2" s="42" t="s">
        <v>21</v>
      </c>
      <c r="F2" s="213"/>
      <c r="G2" s="214"/>
      <c r="H2" s="214"/>
      <c r="I2" s="215"/>
    </row>
    <row r="3" spans="1:9" ht="21" x14ac:dyDescent="0.35">
      <c r="A3" s="189" t="s">
        <v>18</v>
      </c>
      <c r="B3" s="43" t="s">
        <v>115</v>
      </c>
      <c r="C3" s="203"/>
      <c r="D3" s="204"/>
      <c r="E3" s="43" t="s">
        <v>21</v>
      </c>
      <c r="F3" s="210"/>
      <c r="G3" s="211"/>
      <c r="H3" s="211"/>
      <c r="I3" s="212"/>
    </row>
    <row r="4" spans="1:9" ht="21.75" thickBot="1" x14ac:dyDescent="0.4">
      <c r="A4" s="190" t="s">
        <v>22</v>
      </c>
      <c r="B4" s="178" t="s">
        <v>115</v>
      </c>
      <c r="C4" s="205"/>
      <c r="D4" s="206"/>
      <c r="E4" s="178" t="s">
        <v>21</v>
      </c>
      <c r="F4" s="207"/>
      <c r="G4" s="208"/>
      <c r="H4" s="208"/>
      <c r="I4" s="209"/>
    </row>
    <row r="5" spans="1:9" s="1" customFormat="1" ht="65.25" customHeight="1" thickBot="1" x14ac:dyDescent="0.3">
      <c r="A5" s="198" t="s">
        <v>37</v>
      </c>
      <c r="B5" s="199"/>
      <c r="C5" s="199"/>
      <c r="D5" s="199"/>
      <c r="E5" s="199"/>
      <c r="F5" s="199"/>
      <c r="G5" s="199"/>
      <c r="H5" s="199"/>
      <c r="I5" s="200"/>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
        <v>165</v>
      </c>
      <c r="B15" s="161"/>
      <c r="C15" s="162">
        <v>0.04</v>
      </c>
      <c r="D15" s="163" t="s">
        <v>127</v>
      </c>
      <c r="E15" s="164" t="s">
        <v>170</v>
      </c>
      <c r="F15" s="110"/>
    </row>
    <row r="16" spans="1:9" s="111" customFormat="1" ht="39" customHeight="1" x14ac:dyDescent="0.25">
      <c r="A16" s="160" t="s">
        <v>166</v>
      </c>
      <c r="B16" s="40"/>
      <c r="C16" s="105">
        <v>0.2</v>
      </c>
      <c r="D16" s="163" t="s">
        <v>127</v>
      </c>
      <c r="E16" s="164" t="s">
        <v>170</v>
      </c>
      <c r="F16" s="110"/>
    </row>
    <row r="17" spans="1:6" s="111" customFormat="1" ht="39" customHeight="1" x14ac:dyDescent="0.25">
      <c r="A17" s="160" t="s">
        <v>167</v>
      </c>
      <c r="B17" s="101"/>
      <c r="C17" s="105">
        <v>1</v>
      </c>
      <c r="D17" s="163" t="s">
        <v>127</v>
      </c>
      <c r="E17" s="164" t="s">
        <v>170</v>
      </c>
      <c r="F17" s="110"/>
    </row>
    <row r="18" spans="1:6" s="111" customFormat="1" ht="39" customHeight="1" x14ac:dyDescent="0.25">
      <c r="A18" s="160" t="s">
        <v>168</v>
      </c>
      <c r="B18" s="40"/>
      <c r="C18" s="105">
        <v>5</v>
      </c>
      <c r="D18" s="163" t="s">
        <v>127</v>
      </c>
      <c r="E18" s="164" t="s">
        <v>170</v>
      </c>
      <c r="F18" s="110"/>
    </row>
    <row r="19" spans="1:6" s="111" customFormat="1" ht="39" customHeight="1" x14ac:dyDescent="0.25">
      <c r="A19" s="160" t="s">
        <v>169</v>
      </c>
      <c r="B19" s="101"/>
      <c r="C19" s="105">
        <v>25</v>
      </c>
      <c r="D19" s="163" t="s">
        <v>127</v>
      </c>
      <c r="E19" s="164" t="s">
        <v>170</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2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2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3">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129</v>
      </c>
      <c r="F38" s="177"/>
    </row>
    <row r="39" spans="1:6" s="111" customFormat="1" ht="39" customHeight="1" x14ac:dyDescent="0.2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Estrone-0,04µg/L + Testostérone</v>
      </c>
      <c r="B39" s="191">
        <f>B15</f>
        <v>0</v>
      </c>
      <c r="C39" s="195">
        <f t="shared" ref="C39:E39" si="0">C15</f>
        <v>0.04</v>
      </c>
      <c r="D39" s="195" t="str">
        <f t="shared" si="0"/>
        <v>µg/L</v>
      </c>
      <c r="E39" s="195" t="str">
        <f t="shared" si="0"/>
        <v>Estrone</v>
      </c>
      <c r="F39" s="112" t="s">
        <v>50</v>
      </c>
    </row>
    <row r="40" spans="1:6" s="111" customFormat="1" ht="39" customHeight="1" x14ac:dyDescent="0.2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Estrone-0,2µg/L + Testostérone</v>
      </c>
      <c r="B40" s="193">
        <f t="shared" ref="B40:E40" si="1">B16</f>
        <v>0</v>
      </c>
      <c r="C40" s="107">
        <f t="shared" si="1"/>
        <v>0.2</v>
      </c>
      <c r="D40" s="107" t="str">
        <f t="shared" si="1"/>
        <v>µg/L</v>
      </c>
      <c r="E40" s="107" t="str">
        <f t="shared" si="1"/>
        <v>Estrone</v>
      </c>
      <c r="F40" s="113" t="s">
        <v>50</v>
      </c>
    </row>
    <row r="41" spans="1:6" s="111" customFormat="1" ht="39" customHeight="1" x14ac:dyDescent="0.2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Estrone-1µg/L + Testostérone</v>
      </c>
      <c r="B41" s="193">
        <f t="shared" ref="B41:E41" si="2">B17</f>
        <v>0</v>
      </c>
      <c r="C41" s="107">
        <f t="shared" si="2"/>
        <v>1</v>
      </c>
      <c r="D41" s="107" t="str">
        <f t="shared" si="2"/>
        <v>µg/L</v>
      </c>
      <c r="E41" s="107" t="str">
        <f t="shared" si="2"/>
        <v>Estrone</v>
      </c>
      <c r="F41" s="113" t="s">
        <v>50</v>
      </c>
    </row>
    <row r="42" spans="1:6" s="111" customFormat="1" ht="39" customHeight="1" x14ac:dyDescent="0.2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Estrone-5µg/L + Testostérone</v>
      </c>
      <c r="B42" s="193">
        <f t="shared" ref="B42:E42" si="3">B18</f>
        <v>0</v>
      </c>
      <c r="C42" s="107">
        <f t="shared" si="3"/>
        <v>5</v>
      </c>
      <c r="D42" s="107" t="str">
        <f t="shared" si="3"/>
        <v>µg/L</v>
      </c>
      <c r="E42" s="107" t="str">
        <f t="shared" si="3"/>
        <v>Estrone</v>
      </c>
      <c r="F42" s="113" t="s">
        <v>50</v>
      </c>
    </row>
    <row r="43" spans="1:6" s="111" customFormat="1" ht="39" customHeight="1" x14ac:dyDescent="0.2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Estrone-25µg/L + Testostérone</v>
      </c>
      <c r="B43" s="193">
        <f t="shared" ref="B43:E43" si="4">B19</f>
        <v>0</v>
      </c>
      <c r="C43" s="107">
        <f t="shared" si="4"/>
        <v>25</v>
      </c>
      <c r="D43" s="107" t="str">
        <f t="shared" si="4"/>
        <v>µg/L</v>
      </c>
      <c r="E43" s="107" t="str">
        <f t="shared" si="4"/>
        <v>Estrone</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152</v>
      </c>
      <c r="B2" t="s">
        <v>163</v>
      </c>
      <c r="C2" t="s">
        <v>143</v>
      </c>
      <c r="D2" t="s">
        <v>146</v>
      </c>
      <c r="E2" t="s">
        <v>147</v>
      </c>
      <c r="F2" t="s">
        <v>112</v>
      </c>
      <c r="G2">
        <v>360268</v>
      </c>
    </row>
    <row r="3" spans="1:9" x14ac:dyDescent="0.25">
      <c r="A3" t="s">
        <v>152</v>
      </c>
      <c r="B3" t="s">
        <v>163</v>
      </c>
      <c r="C3" t="s">
        <v>144</v>
      </c>
      <c r="D3" t="s">
        <v>148</v>
      </c>
      <c r="E3" t="s">
        <v>149</v>
      </c>
      <c r="F3" t="s">
        <v>112</v>
      </c>
      <c r="G3">
        <v>372315</v>
      </c>
    </row>
    <row r="4" spans="1:9" x14ac:dyDescent="0.25">
      <c r="A4" t="s">
        <v>152</v>
      </c>
      <c r="B4" t="s">
        <v>163</v>
      </c>
      <c r="C4" t="s">
        <v>145</v>
      </c>
      <c r="D4" t="s">
        <v>150</v>
      </c>
      <c r="E4" t="s">
        <v>151</v>
      </c>
      <c r="F4" t="s">
        <v>112</v>
      </c>
      <c r="G4">
        <v>237626</v>
      </c>
    </row>
    <row r="5" spans="1:9" x14ac:dyDescent="0.25">
      <c r="A5" t="s">
        <v>152</v>
      </c>
      <c r="B5" t="s">
        <v>163</v>
      </c>
      <c r="C5" t="s">
        <v>160</v>
      </c>
      <c r="D5" t="s">
        <v>161</v>
      </c>
      <c r="E5" t="s">
        <v>162</v>
      </c>
      <c r="F5" t="s">
        <v>112</v>
      </c>
      <c r="G5">
        <v>1439015</v>
      </c>
    </row>
    <row r="6" spans="1:9" x14ac:dyDescent="0.25">
      <c r="A6" t="s">
        <v>152</v>
      </c>
      <c r="B6" t="s">
        <v>163</v>
      </c>
      <c r="C6" t="s">
        <v>157</v>
      </c>
      <c r="D6" t="s">
        <v>158</v>
      </c>
      <c r="E6" t="s">
        <v>159</v>
      </c>
      <c r="F6" t="s">
        <v>112</v>
      </c>
      <c r="G6">
        <v>1433586</v>
      </c>
    </row>
    <row r="7" spans="1:9" x14ac:dyDescent="0.2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E1" zoomScale="70" zoomScaleNormal="70" workbookViewId="0">
      <selection activeCell="Z5" sqref="Z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1688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171</v>
      </c>
      <c r="D2" s="1" t="s">
        <v>172</v>
      </c>
      <c r="E2" s="1" t="s">
        <v>173</v>
      </c>
      <c r="F2" s="1" t="s">
        <v>112</v>
      </c>
      <c r="G2" s="1">
        <v>417262</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174</v>
      </c>
      <c r="D3" s="1" t="s">
        <v>175</v>
      </c>
      <c r="E3" s="1" t="s">
        <v>176</v>
      </c>
      <c r="F3" s="1" t="s">
        <v>112</v>
      </c>
      <c r="G3" s="1">
        <v>108885</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177</v>
      </c>
      <c r="D4" s="1" t="s">
        <v>178</v>
      </c>
      <c r="E4" s="1" t="s">
        <v>179</v>
      </c>
      <c r="F4" s="1" t="s">
        <v>112</v>
      </c>
      <c r="G4" s="1">
        <v>8003</v>
      </c>
      <c r="K4" s="118" t="s">
        <v>100</v>
      </c>
      <c r="L4" s="1" t="s">
        <v>1689</v>
      </c>
      <c r="M4" s="1" t="s">
        <v>1690</v>
      </c>
      <c r="N4" s="1" t="s">
        <v>1691</v>
      </c>
      <c r="O4" s="1" t="s">
        <v>1692</v>
      </c>
      <c r="P4" s="1" t="s">
        <v>1693</v>
      </c>
      <c r="Q4" s="1" t="s">
        <v>1694</v>
      </c>
      <c r="R4" s="1" t="s">
        <v>1695</v>
      </c>
      <c r="S4" s="1" t="s">
        <v>1696</v>
      </c>
      <c r="T4" s="1" t="s">
        <v>1697</v>
      </c>
      <c r="U4" s="1" t="s">
        <v>1698</v>
      </c>
      <c r="V4" s="1" t="s">
        <v>1699</v>
      </c>
      <c r="W4" s="1" t="s">
        <v>1700</v>
      </c>
      <c r="X4" s="1" t="s">
        <v>1701</v>
      </c>
      <c r="Y4" s="1" t="s">
        <v>1702</v>
      </c>
      <c r="Z4" s="1" t="s">
        <v>1703</v>
      </c>
      <c r="AA4" s="1" t="s">
        <v>1704</v>
      </c>
      <c r="AB4" s="1" t="s">
        <v>1705</v>
      </c>
      <c r="AC4" s="1" t="s">
        <v>1706</v>
      </c>
      <c r="AD4" s="1" t="s">
        <v>1707</v>
      </c>
      <c r="AE4" s="1" t="s">
        <v>1708</v>
      </c>
      <c r="AF4" s="1" t="s">
        <v>1709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180</v>
      </c>
      <c r="D5" s="1" t="s">
        <v>181</v>
      </c>
      <c r="E5" s="1" t="s">
        <v>182</v>
      </c>
      <c r="F5" s="1" t="s">
        <v>112</v>
      </c>
      <c r="G5" s="1">
        <v>328299</v>
      </c>
      <c r="K5" s="145" t="s">
        <v>163</v>
      </c>
      <c r="L5" s="44">
        <v>178050</v>
      </c>
      <c r="M5" s="44">
        <v>114191.33333333333</v>
      </c>
      <c r="N5" s="44">
        <v>56447</v>
      </c>
      <c r="O5" s="44">
        <v>568963.5</v>
      </c>
      <c r="P5" s="44">
        <v>472397</v>
      </c>
      <c r="Q5" s="44">
        <v>3345950.3333333335</v>
      </c>
      <c r="R5" s="44">
        <v>4026805</v>
      </c>
      <c r="S5" s="44">
        <v>134718.33333333334</v>
      </c>
      <c r="T5" s="44">
        <v>60253.333333333336</v>
      </c>
      <c r="U5" s="44">
        <v>324441.33333333331</v>
      </c>
      <c r="V5" s="44">
        <v>3439896</v>
      </c>
      <c r="W5" s="44">
        <v>6496503</v>
      </c>
      <c r="X5" s="44">
        <v>2390997.6666666665</v>
      </c>
      <c r="Y5" s="44">
        <v>357362</v>
      </c>
      <c r="Z5" s="44">
        <v>3589293.6666666665</v>
      </c>
      <c r="AA5" s="44">
        <v>129923.33333333333</v>
      </c>
      <c r="AB5" s="44">
        <v>2668321.3333333335</v>
      </c>
      <c r="AC5" s="44">
        <v>662300</v>
      </c>
      <c r="AD5" s="44">
        <v>4049210.3333333335</v>
      </c>
      <c r="AE5" s="44">
        <v>4812846</v>
      </c>
      <c r="AF5" s="44">
        <v>3229660.3333333335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183</v>
      </c>
      <c r="D6" s="1" t="s">
        <v>184</v>
      </c>
      <c r="E6" s="1" t="s">
        <v>185</v>
      </c>
      <c r="F6" s="1" t="s">
        <v>112</v>
      </c>
      <c r="G6" s="1">
        <v>60780</v>
      </c>
      <c r="K6" s="145" t="s">
        <v>1710</v>
      </c>
      <c r="L6" s="44">
        <v>190977.66666666666</v>
      </c>
      <c r="M6" s="44">
        <v>27870</v>
      </c>
      <c r="N6" s="44">
        <v>225333.33333333334</v>
      </c>
      <c r="O6" s="44">
        <v>801683</v>
      </c>
      <c r="P6" s="44">
        <v>1039028</v>
      </c>
      <c r="Q6" s="44">
        <v>2249242</v>
      </c>
      <c r="R6" s="44">
        <v>5648344</v>
      </c>
      <c r="S6" s="44">
        <v>37938.666666666664</v>
      </c>
      <c r="T6" s="44">
        <v>172938.33333333334</v>
      </c>
      <c r="U6" s="44">
        <v>401941.33333333331</v>
      </c>
      <c r="V6" s="44">
        <v>3199703.3333333335</v>
      </c>
      <c r="W6" s="44">
        <v>5443458.666666667</v>
      </c>
      <c r="X6" s="44">
        <v>3094207</v>
      </c>
      <c r="Y6" s="44">
        <v>789491</v>
      </c>
      <c r="Z6" s="44">
        <v>2763738.3333333335</v>
      </c>
      <c r="AA6" s="44">
        <v>171460</v>
      </c>
      <c r="AB6" s="44">
        <v>161698</v>
      </c>
      <c r="AC6" s="44">
        <v>2328349.6666666665</v>
      </c>
      <c r="AD6" s="44">
        <v>4310131.333333333</v>
      </c>
      <c r="AE6" s="44">
        <v>6370126.333333333</v>
      </c>
      <c r="AF6" s="44">
        <v>9030546.333333334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186</v>
      </c>
      <c r="D7" s="1" t="s">
        <v>187</v>
      </c>
      <c r="E7" s="1" t="s">
        <v>188</v>
      </c>
      <c r="F7" s="1" t="s">
        <v>112</v>
      </c>
      <c r="G7" s="1">
        <v>183854</v>
      </c>
      <c r="K7" s="145" t="s">
        <v>1711</v>
      </c>
      <c r="L7" s="44">
        <v>74111</v>
      </c>
      <c r="M7" s="44">
        <v>1027319</v>
      </c>
      <c r="N7" s="44">
        <v>193133.33333333334</v>
      </c>
      <c r="O7" s="44">
        <v>822657</v>
      </c>
      <c r="P7" s="44">
        <v>938471</v>
      </c>
      <c r="Q7" s="44">
        <v>1575492.3333333333</v>
      </c>
      <c r="R7" s="44">
        <v>4500294</v>
      </c>
      <c r="S7" s="44">
        <v>171424</v>
      </c>
      <c r="T7" s="44">
        <v>124472.66666666667</v>
      </c>
      <c r="U7" s="44">
        <v>210862.66666666666</v>
      </c>
      <c r="V7" s="44">
        <v>2072209</v>
      </c>
      <c r="W7" s="44">
        <v>6037776</v>
      </c>
      <c r="X7" s="44">
        <v>1935659.3333333333</v>
      </c>
      <c r="Y7" s="44">
        <v>795994.66666666663</v>
      </c>
      <c r="Z7" s="44">
        <v>1573993</v>
      </c>
      <c r="AA7" s="44">
        <v>27837.666666666668</v>
      </c>
      <c r="AB7" s="44">
        <v>2197179</v>
      </c>
      <c r="AC7" s="44">
        <v>1494993.3333333333</v>
      </c>
      <c r="AD7" s="44">
        <v>3055352.3333333335</v>
      </c>
      <c r="AE7" s="44">
        <v>2093175.3333333333</v>
      </c>
      <c r="AF7" s="44">
        <v>6042217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189</v>
      </c>
      <c r="D8" s="1" t="s">
        <v>190</v>
      </c>
      <c r="E8" s="1" t="s">
        <v>191</v>
      </c>
      <c r="F8" s="1" t="s">
        <v>112</v>
      </c>
      <c r="G8" s="1">
        <v>152274</v>
      </c>
      <c r="K8" s="145" t="s">
        <v>1712</v>
      </c>
      <c r="L8" s="44">
        <v>85921</v>
      </c>
      <c r="M8" s="44">
        <v>28565.666666666668</v>
      </c>
      <c r="N8" s="44">
        <v>290064.33333333331</v>
      </c>
      <c r="O8" s="44">
        <v>422893</v>
      </c>
      <c r="P8" s="44">
        <v>664333.33333333337</v>
      </c>
      <c r="Q8" s="44">
        <v>3120840.6666666665</v>
      </c>
      <c r="R8" s="44">
        <v>3019742.3333333335</v>
      </c>
      <c r="S8" s="44">
        <v>173327.66666666666</v>
      </c>
      <c r="T8" s="44">
        <v>23375</v>
      </c>
      <c r="U8" s="44">
        <v>70016</v>
      </c>
      <c r="V8" s="44">
        <v>5979815</v>
      </c>
      <c r="W8" s="44">
        <v>2304449</v>
      </c>
      <c r="X8" s="44">
        <v>4102535</v>
      </c>
      <c r="Y8" s="44">
        <v>1644016.3333333333</v>
      </c>
      <c r="Z8" s="44">
        <v>2828195</v>
      </c>
      <c r="AA8" s="44">
        <v>50837.666666666664</v>
      </c>
      <c r="AB8" s="44">
        <v>792368</v>
      </c>
      <c r="AC8" s="44">
        <v>1507524.3333333333</v>
      </c>
      <c r="AD8" s="44">
        <v>755092.66666666663</v>
      </c>
      <c r="AE8" s="44">
        <v>3008170</v>
      </c>
      <c r="AF8" s="44">
        <v>4745130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192</v>
      </c>
      <c r="D9" s="1" t="s">
        <v>193</v>
      </c>
      <c r="E9" s="1" t="s">
        <v>194</v>
      </c>
      <c r="F9" s="1" t="s">
        <v>112</v>
      </c>
      <c r="G9" s="1">
        <v>53664</v>
      </c>
      <c r="K9" s="145" t="s">
        <v>1713</v>
      </c>
      <c r="L9" s="44">
        <v>47600.333333333336</v>
      </c>
      <c r="M9" s="44">
        <v>47744.666666666664</v>
      </c>
      <c r="N9" s="44">
        <v>140803.33333333334</v>
      </c>
      <c r="O9" s="44">
        <v>231577</v>
      </c>
      <c r="P9" s="44">
        <v>1162960.3333333333</v>
      </c>
      <c r="Q9" s="44">
        <v>1255831.6666666667</v>
      </c>
      <c r="R9" s="44">
        <v>5068216</v>
      </c>
      <c r="S9" s="44">
        <v>65441</v>
      </c>
      <c r="T9" s="44">
        <v>292144</v>
      </c>
      <c r="U9" s="44">
        <v>188995</v>
      </c>
      <c r="V9" s="44">
        <v>4630131.333333333</v>
      </c>
      <c r="W9" s="44">
        <v>2625782.5</v>
      </c>
      <c r="X9" s="44">
        <v>325054</v>
      </c>
      <c r="Y9" s="44">
        <v>582709.33333333337</v>
      </c>
      <c r="Z9" s="44">
        <v>1947757.6666666667</v>
      </c>
      <c r="AA9" s="44">
        <v>141430.33333333334</v>
      </c>
      <c r="AB9" s="44">
        <v>1254202.3333333333</v>
      </c>
      <c r="AC9" s="44">
        <v>1900013.3333333333</v>
      </c>
      <c r="AD9" s="44">
        <v>4078597.6666666665</v>
      </c>
      <c r="AE9" s="44">
        <v>1831050</v>
      </c>
      <c r="AF9" s="44">
        <v>2005862.6666666667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195</v>
      </c>
      <c r="D10" s="1" t="s">
        <v>196</v>
      </c>
      <c r="E10" s="1" t="s">
        <v>197</v>
      </c>
      <c r="F10" s="1" t="s">
        <v>112</v>
      </c>
      <c r="G10" s="1">
        <v>16395</v>
      </c>
      <c r="K10" s="145" t="s">
        <v>1714</v>
      </c>
      <c r="L10" s="44">
        <v>60751.333333333336</v>
      </c>
      <c r="M10" s="44">
        <v>23735.333333333332</v>
      </c>
      <c r="N10" s="44">
        <v>35458.333333333336</v>
      </c>
      <c r="O10" s="44">
        <v>61407.333333333336</v>
      </c>
      <c r="P10" s="44">
        <v>708408</v>
      </c>
      <c r="Q10" s="44">
        <v>1405373.6666666667</v>
      </c>
      <c r="R10" s="44">
        <v>5952251</v>
      </c>
      <c r="S10" s="44">
        <v>70600</v>
      </c>
      <c r="T10" s="44">
        <v>649971.33333333337</v>
      </c>
      <c r="U10" s="44">
        <v>40411.666666666664</v>
      </c>
      <c r="V10" s="44">
        <v>6163406</v>
      </c>
      <c r="W10" s="44">
        <v>5718230.333333333</v>
      </c>
      <c r="X10" s="44">
        <v>1208325.3333333333</v>
      </c>
      <c r="Y10" s="44">
        <v>781452</v>
      </c>
      <c r="Z10" s="44">
        <v>979019.33333333337</v>
      </c>
      <c r="AA10" s="44">
        <v>334744.33333333331</v>
      </c>
      <c r="AB10" s="44">
        <v>1539760</v>
      </c>
      <c r="AC10" s="44">
        <v>845743</v>
      </c>
      <c r="AD10" s="44">
        <v>2470963.3333333335</v>
      </c>
      <c r="AE10" s="44">
        <v>2601030.6666666665</v>
      </c>
      <c r="AF10" s="44">
        <v>4347486.333333333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198</v>
      </c>
      <c r="D11" s="1" t="s">
        <v>199</v>
      </c>
      <c r="E11" s="1" t="s">
        <v>200</v>
      </c>
      <c r="F11" s="1" t="s">
        <v>112</v>
      </c>
      <c r="G11" s="1">
        <v>141351</v>
      </c>
      <c r="K11" s="145" t="s">
        <v>1715</v>
      </c>
      <c r="L11" s="44">
        <v>192866.66666666666</v>
      </c>
      <c r="M11" s="44">
        <v>222622</v>
      </c>
      <c r="N11" s="44">
        <v>51608.666666666664</v>
      </c>
      <c r="O11" s="44">
        <v>777501</v>
      </c>
      <c r="P11" s="44">
        <v>411451.33333333331</v>
      </c>
      <c r="Q11" s="44">
        <v>4031264.3333333335</v>
      </c>
      <c r="R11" s="44">
        <v>2877035.6666666665</v>
      </c>
      <c r="S11" s="44">
        <v>176110.66666666666</v>
      </c>
      <c r="T11" s="44">
        <v>84912</v>
      </c>
      <c r="U11" s="44">
        <v>278319</v>
      </c>
      <c r="V11" s="44">
        <v>398884.33333333331</v>
      </c>
      <c r="W11" s="44">
        <v>2812816.3333333335</v>
      </c>
      <c r="X11" s="44">
        <v>2951276.6666666665</v>
      </c>
      <c r="Y11" s="44">
        <v>1493717</v>
      </c>
      <c r="Z11" s="44">
        <v>271974.33333333331</v>
      </c>
      <c r="AA11" s="44">
        <v>52647.333333333336</v>
      </c>
      <c r="AB11" s="44">
        <v>1028479.6666666666</v>
      </c>
      <c r="AC11" s="44">
        <v>192974.66666666666</v>
      </c>
      <c r="AD11" s="44">
        <v>3699569.6666666665</v>
      </c>
      <c r="AE11" s="44">
        <v>3278234</v>
      </c>
      <c r="AF11" s="44">
        <v>3643058</v>
      </c>
      <c r="AG11"/>
    </row>
    <row r="12" spans="1:144" x14ac:dyDescent="0.2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201</v>
      </c>
      <c r="D12" s="1" t="s">
        <v>202</v>
      </c>
      <c r="E12" s="1" t="s">
        <v>203</v>
      </c>
      <c r="F12" s="1" t="s">
        <v>112</v>
      </c>
      <c r="G12" s="1">
        <v>103932</v>
      </c>
      <c r="K12" s="145" t="s">
        <v>1716</v>
      </c>
      <c r="L12" s="44">
        <v>504452.33333333331</v>
      </c>
      <c r="M12" s="44">
        <v>315803.33333333331</v>
      </c>
      <c r="N12" s="44">
        <v>223321.66666666666</v>
      </c>
      <c r="O12" s="44">
        <v>260741</v>
      </c>
      <c r="P12" s="44">
        <v>1091047.6666666667</v>
      </c>
      <c r="Q12" s="44">
        <v>3131078.5</v>
      </c>
      <c r="R12" s="44">
        <v>5024783</v>
      </c>
      <c r="S12" s="44">
        <v>20916</v>
      </c>
      <c r="T12" s="44">
        <v>88272</v>
      </c>
      <c r="U12" s="44">
        <v>190711</v>
      </c>
      <c r="V12" s="44">
        <v>3186956</v>
      </c>
      <c r="W12" s="44">
        <v>2927361</v>
      </c>
      <c r="X12" s="44">
        <v>23987.666666666668</v>
      </c>
      <c r="Y12" s="44"/>
      <c r="Z12" s="44">
        <v>4776847</v>
      </c>
      <c r="AA12" s="44">
        <v>176803</v>
      </c>
      <c r="AB12" s="44">
        <v>2683347</v>
      </c>
      <c r="AC12" s="44">
        <v>888700.33333333337</v>
      </c>
      <c r="AD12" s="44">
        <v>3790199.3333333335</v>
      </c>
      <c r="AE12" s="44">
        <v>2956503.6666666665</v>
      </c>
      <c r="AF12" s="44">
        <v>5087034</v>
      </c>
      <c r="AG12"/>
    </row>
    <row r="13" spans="1:144" x14ac:dyDescent="0.2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204</v>
      </c>
      <c r="D13" s="1" t="s">
        <v>205</v>
      </c>
      <c r="E13" s="1" t="s">
        <v>206</v>
      </c>
      <c r="F13" s="1" t="s">
        <v>112</v>
      </c>
      <c r="G13" s="1">
        <v>12480</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207</v>
      </c>
      <c r="D14" s="1" t="s">
        <v>208</v>
      </c>
      <c r="E14" s="1">
        <v>63</v>
      </c>
      <c r="F14" s="1" t="s">
        <v>112</v>
      </c>
      <c r="G14" s="1">
        <v>42243</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209</v>
      </c>
      <c r="D15" s="1" t="s">
        <v>210</v>
      </c>
      <c r="E15" s="1" t="s">
        <v>211</v>
      </c>
      <c r="F15" s="1" t="s">
        <v>112</v>
      </c>
      <c r="G15" s="1">
        <v>81437</v>
      </c>
    </row>
    <row r="16" spans="1:144" x14ac:dyDescent="0.2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212</v>
      </c>
      <c r="D16" s="1" t="s">
        <v>213</v>
      </c>
      <c r="E16" s="1" t="s">
        <v>214</v>
      </c>
      <c r="F16" s="1" t="s">
        <v>112</v>
      </c>
      <c r="G16" s="1">
        <v>19121</v>
      </c>
      <c r="M16"/>
      <c r="N16"/>
      <c r="O16"/>
      <c r="P16"/>
      <c r="Q16"/>
      <c r="R16"/>
      <c r="S16"/>
      <c r="T16"/>
      <c r="U16"/>
      <c r="V16"/>
      <c r="W16"/>
      <c r="X16"/>
      <c r="Y16"/>
      <c r="Z16"/>
      <c r="AA16"/>
      <c r="AB16"/>
      <c r="AC16"/>
      <c r="AD16"/>
      <c r="AE16"/>
      <c r="AF16"/>
      <c r="AG16"/>
      <c r="AH16"/>
    </row>
    <row r="17" spans="1:34" x14ac:dyDescent="0.2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215</v>
      </c>
      <c r="D17" s="1" t="s">
        <v>216</v>
      </c>
      <c r="E17" s="1" t="s">
        <v>217</v>
      </c>
      <c r="F17" s="1" t="s">
        <v>112</v>
      </c>
      <c r="G17" s="1">
        <v>80831</v>
      </c>
      <c r="M17"/>
      <c r="N17"/>
      <c r="O17"/>
      <c r="P17"/>
      <c r="Q17"/>
      <c r="R17"/>
      <c r="S17"/>
      <c r="T17"/>
      <c r="U17"/>
      <c r="V17"/>
      <c r="W17"/>
      <c r="X17"/>
      <c r="Y17"/>
      <c r="Z17"/>
      <c r="AA17"/>
      <c r="AB17"/>
      <c r="AC17"/>
      <c r="AD17"/>
      <c r="AE17"/>
      <c r="AF17"/>
      <c r="AG17"/>
      <c r="AH17"/>
    </row>
    <row r="18" spans="1:34" x14ac:dyDescent="0.2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218</v>
      </c>
      <c r="D18" s="1" t="s">
        <v>219</v>
      </c>
      <c r="E18" s="1" t="s">
        <v>220</v>
      </c>
      <c r="F18" s="1" t="s">
        <v>112</v>
      </c>
      <c r="G18" s="1">
        <v>73001</v>
      </c>
      <c r="M18"/>
      <c r="N18"/>
      <c r="O18"/>
      <c r="P18"/>
      <c r="Q18"/>
      <c r="R18"/>
      <c r="S18"/>
      <c r="T18"/>
      <c r="U18"/>
      <c r="V18"/>
      <c r="W18"/>
      <c r="X18"/>
      <c r="Y18"/>
      <c r="Z18"/>
      <c r="AA18"/>
      <c r="AB18"/>
      <c r="AC18"/>
      <c r="AD18"/>
      <c r="AE18"/>
      <c r="AF18"/>
      <c r="AG18"/>
      <c r="AH18"/>
    </row>
    <row r="19" spans="1:34" x14ac:dyDescent="0.2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221</v>
      </c>
      <c r="D19" s="1" t="s">
        <v>222</v>
      </c>
      <c r="E19" s="1" t="s">
        <v>223</v>
      </c>
      <c r="F19" s="1" t="s">
        <v>112</v>
      </c>
      <c r="G19" s="1">
        <v>28422</v>
      </c>
      <c r="K19"/>
      <c r="L19"/>
      <c r="M19"/>
      <c r="N19"/>
      <c r="O19"/>
      <c r="P19"/>
      <c r="Q19"/>
      <c r="R19"/>
      <c r="S19"/>
      <c r="T19"/>
      <c r="U19"/>
      <c r="V19"/>
      <c r="W19"/>
      <c r="X19"/>
      <c r="Y19"/>
      <c r="Z19"/>
      <c r="AA19"/>
      <c r="AB19"/>
      <c r="AC19"/>
      <c r="AD19"/>
      <c r="AE19"/>
      <c r="AF19"/>
      <c r="AG19"/>
      <c r="AH19"/>
    </row>
    <row r="20" spans="1:34" x14ac:dyDescent="0.2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224</v>
      </c>
      <c r="D20" s="1" t="s">
        <v>225</v>
      </c>
      <c r="E20" s="1" t="s">
        <v>226</v>
      </c>
      <c r="F20" s="1" t="s">
        <v>112</v>
      </c>
      <c r="G20" s="1">
        <v>210351</v>
      </c>
      <c r="K20"/>
      <c r="L20"/>
      <c r="M20"/>
      <c r="N20"/>
      <c r="O20"/>
      <c r="P20"/>
      <c r="Q20"/>
      <c r="R20"/>
      <c r="S20"/>
      <c r="T20"/>
      <c r="U20"/>
      <c r="V20"/>
      <c r="W20"/>
      <c r="X20"/>
      <c r="Y20"/>
      <c r="Z20"/>
      <c r="AA20"/>
      <c r="AB20"/>
      <c r="AC20"/>
      <c r="AD20"/>
      <c r="AE20"/>
      <c r="AF20"/>
      <c r="AG20"/>
      <c r="AH20"/>
    </row>
    <row r="21" spans="1:34" x14ac:dyDescent="0.2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227</v>
      </c>
      <c r="D21" s="1" t="s">
        <v>228</v>
      </c>
      <c r="E21" s="1" t="s">
        <v>229</v>
      </c>
      <c r="F21" s="1" t="s">
        <v>112</v>
      </c>
      <c r="G21" s="1">
        <v>69886</v>
      </c>
      <c r="K21"/>
      <c r="L21"/>
      <c r="M21"/>
      <c r="N21"/>
      <c r="O21"/>
      <c r="P21"/>
      <c r="Q21"/>
      <c r="R21"/>
      <c r="S21"/>
      <c r="T21"/>
      <c r="U21"/>
      <c r="V21"/>
      <c r="W21"/>
      <c r="X21"/>
      <c r="Y21"/>
      <c r="Z21"/>
      <c r="AA21"/>
      <c r="AB21"/>
      <c r="AC21"/>
      <c r="AD21"/>
      <c r="AE21"/>
      <c r="AF21"/>
      <c r="AG21"/>
      <c r="AH21"/>
    </row>
    <row r="22" spans="1:34" x14ac:dyDescent="0.2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230</v>
      </c>
      <c r="D22" s="1" t="s">
        <v>231</v>
      </c>
      <c r="E22" s="1" t="s">
        <v>232</v>
      </c>
      <c r="F22" s="1" t="s">
        <v>112</v>
      </c>
      <c r="G22" s="1">
        <v>298363</v>
      </c>
      <c r="K22"/>
      <c r="L22"/>
      <c r="M22"/>
      <c r="N22"/>
      <c r="O22"/>
      <c r="P22"/>
      <c r="Q22"/>
      <c r="R22"/>
      <c r="S22"/>
      <c r="T22"/>
      <c r="U22"/>
      <c r="V22"/>
      <c r="W22"/>
      <c r="X22"/>
      <c r="Y22"/>
      <c r="Z22"/>
      <c r="AA22"/>
      <c r="AB22"/>
      <c r="AC22"/>
      <c r="AD22"/>
      <c r="AE22"/>
      <c r="AF22"/>
      <c r="AG22"/>
      <c r="AH22"/>
    </row>
    <row r="23" spans="1:34" x14ac:dyDescent="0.2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233</v>
      </c>
      <c r="D23" s="1" t="s">
        <v>234</v>
      </c>
      <c r="E23" s="1" t="s">
        <v>235</v>
      </c>
      <c r="F23" s="1" t="s">
        <v>112</v>
      </c>
      <c r="G23" s="1">
        <v>545571</v>
      </c>
      <c r="K23"/>
      <c r="L23"/>
      <c r="M23"/>
      <c r="N23"/>
      <c r="O23"/>
      <c r="P23"/>
      <c r="Q23"/>
      <c r="R23"/>
      <c r="S23"/>
      <c r="T23"/>
      <c r="U23"/>
      <c r="V23"/>
      <c r="W23"/>
      <c r="X23"/>
      <c r="Y23"/>
      <c r="Z23"/>
      <c r="AA23"/>
      <c r="AB23"/>
      <c r="AC23"/>
      <c r="AD23"/>
      <c r="AE23"/>
      <c r="AF23"/>
      <c r="AG23"/>
      <c r="AH23"/>
    </row>
    <row r="24" spans="1:34" x14ac:dyDescent="0.2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236</v>
      </c>
      <c r="D24" s="1" t="s">
        <v>237</v>
      </c>
      <c r="E24" s="1" t="s">
        <v>238</v>
      </c>
      <c r="F24" s="1" t="s">
        <v>112</v>
      </c>
      <c r="G24" s="1">
        <v>773939</v>
      </c>
      <c r="K24"/>
      <c r="L24"/>
      <c r="M24"/>
      <c r="N24"/>
      <c r="O24"/>
      <c r="P24"/>
      <c r="Q24"/>
      <c r="R24"/>
      <c r="S24"/>
      <c r="T24"/>
      <c r="U24"/>
      <c r="V24"/>
      <c r="W24"/>
      <c r="X24"/>
      <c r="Y24"/>
      <c r="Z24"/>
      <c r="AA24"/>
      <c r="AB24"/>
      <c r="AC24"/>
      <c r="AD24"/>
      <c r="AE24"/>
      <c r="AF24"/>
      <c r="AG24"/>
      <c r="AH24"/>
    </row>
    <row r="25" spans="1:34" x14ac:dyDescent="0.2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239</v>
      </c>
      <c r="D25" s="1" t="s">
        <v>240</v>
      </c>
      <c r="E25" s="1" t="s">
        <v>241</v>
      </c>
      <c r="F25" s="1" t="s">
        <v>112</v>
      </c>
      <c r="G25" s="1">
        <v>193847</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242</v>
      </c>
      <c r="D27" s="1" t="s">
        <v>112</v>
      </c>
      <c r="E27" s="1" t="s">
        <v>243</v>
      </c>
      <c r="F27" s="1" t="s">
        <v>244</v>
      </c>
      <c r="G27" s="1" t="s">
        <v>245</v>
      </c>
      <c r="H27" s="1" t="s">
        <v>246</v>
      </c>
      <c r="I27" s="1" t="s">
        <v>247</v>
      </c>
      <c r="J27" s="1" t="s">
        <v>248</v>
      </c>
      <c r="K27"/>
      <c r="L27"/>
      <c r="M27"/>
      <c r="N27"/>
      <c r="O27"/>
      <c r="P27"/>
      <c r="Q27"/>
      <c r="R27"/>
      <c r="S27"/>
      <c r="T27"/>
      <c r="U27"/>
      <c r="V27"/>
      <c r="W27"/>
      <c r="X27"/>
      <c r="Y27"/>
      <c r="Z27"/>
      <c r="AA27"/>
      <c r="AB27"/>
      <c r="AC27"/>
      <c r="AD27"/>
      <c r="AE27"/>
      <c r="AF27"/>
      <c r="AG27"/>
      <c r="AH27"/>
    </row>
    <row r="28" spans="1:34" x14ac:dyDescent="0.2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249</v>
      </c>
      <c r="D28" s="1" t="s">
        <v>112</v>
      </c>
      <c r="E28" s="1" t="s">
        <v>250</v>
      </c>
      <c r="F28" s="1" t="s">
        <v>251</v>
      </c>
      <c r="G28" s="1" t="s">
        <v>252</v>
      </c>
      <c r="H28" s="1" t="s">
        <v>253</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254</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255</v>
      </c>
      <c r="D35" s="1" t="s">
        <v>256</v>
      </c>
      <c r="E35" s="1" t="s">
        <v>257</v>
      </c>
      <c r="F35" s="1" t="s">
        <v>112</v>
      </c>
      <c r="G35" s="1">
        <v>72568</v>
      </c>
      <c r="K35"/>
      <c r="L35"/>
      <c r="M35"/>
      <c r="N35"/>
      <c r="O35"/>
      <c r="P35"/>
      <c r="Q35"/>
      <c r="R35"/>
      <c r="S35"/>
      <c r="T35"/>
      <c r="U35"/>
      <c r="V35"/>
      <c r="W35"/>
      <c r="X35"/>
      <c r="Y35"/>
      <c r="Z35"/>
      <c r="AA35"/>
      <c r="AB35"/>
      <c r="AC35"/>
      <c r="AD35"/>
      <c r="AE35"/>
      <c r="AF35"/>
      <c r="AG35"/>
      <c r="AH35"/>
    </row>
    <row r="36" spans="1:34" x14ac:dyDescent="0.2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258</v>
      </c>
      <c r="D36" s="1" t="s">
        <v>213</v>
      </c>
      <c r="E36" s="1" t="s">
        <v>259</v>
      </c>
      <c r="F36" s="1" t="s">
        <v>112</v>
      </c>
      <c r="G36" s="1">
        <v>18753</v>
      </c>
      <c r="K36"/>
      <c r="L36"/>
      <c r="M36"/>
      <c r="N36"/>
      <c r="O36"/>
      <c r="P36"/>
      <c r="Q36"/>
      <c r="R36"/>
      <c r="S36"/>
      <c r="T36"/>
      <c r="U36"/>
      <c r="V36"/>
      <c r="W36"/>
      <c r="X36"/>
      <c r="Y36"/>
      <c r="Z36"/>
      <c r="AA36"/>
      <c r="AB36"/>
      <c r="AC36"/>
      <c r="AD36"/>
      <c r="AE36"/>
      <c r="AF36"/>
      <c r="AG36"/>
      <c r="AH36"/>
    </row>
    <row r="37" spans="1:34" x14ac:dyDescent="0.2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260</v>
      </c>
      <c r="D37" s="1" t="s">
        <v>261</v>
      </c>
      <c r="E37" s="1">
        <v>66</v>
      </c>
      <c r="F37" s="1" t="s">
        <v>112</v>
      </c>
      <c r="G37" s="1">
        <v>251253</v>
      </c>
      <c r="K37"/>
      <c r="L37"/>
      <c r="M37"/>
      <c r="N37"/>
      <c r="O37"/>
      <c r="P37"/>
      <c r="Q37"/>
      <c r="R37"/>
      <c r="S37"/>
      <c r="T37"/>
      <c r="U37"/>
      <c r="V37"/>
      <c r="W37"/>
      <c r="X37"/>
      <c r="Y37"/>
      <c r="Z37"/>
      <c r="AA37"/>
      <c r="AB37"/>
      <c r="AC37"/>
      <c r="AD37"/>
      <c r="AE37"/>
      <c r="AF37"/>
      <c r="AG37"/>
      <c r="AH37"/>
    </row>
    <row r="38" spans="1:34" x14ac:dyDescent="0.2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262</v>
      </c>
      <c r="K38"/>
      <c r="L38"/>
      <c r="M38"/>
      <c r="N38"/>
      <c r="O38"/>
      <c r="P38"/>
      <c r="Q38"/>
      <c r="R38"/>
      <c r="S38"/>
      <c r="T38"/>
      <c r="U38"/>
      <c r="V38"/>
      <c r="W38"/>
      <c r="X38"/>
      <c r="Y38"/>
      <c r="Z38"/>
      <c r="AA38"/>
      <c r="AB38"/>
      <c r="AC38"/>
      <c r="AD38"/>
      <c r="AE38"/>
      <c r="AF38"/>
      <c r="AG38"/>
      <c r="AH38"/>
    </row>
    <row r="39" spans="1:34" x14ac:dyDescent="0.2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263</v>
      </c>
      <c r="D39" s="1" t="s">
        <v>264</v>
      </c>
      <c r="E39" s="1" t="s">
        <v>265</v>
      </c>
      <c r="F39" s="1" t="s">
        <v>112</v>
      </c>
      <c r="G39" s="1">
        <v>24204</v>
      </c>
    </row>
    <row r="40" spans="1:34" x14ac:dyDescent="0.2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266</v>
      </c>
      <c r="D40" s="1" t="s">
        <v>267</v>
      </c>
      <c r="E40" s="1" t="s">
        <v>268</v>
      </c>
      <c r="F40" s="1" t="s">
        <v>112</v>
      </c>
      <c r="G40" s="1">
        <v>31536</v>
      </c>
    </row>
    <row r="41" spans="1:34" x14ac:dyDescent="0.2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269</v>
      </c>
      <c r="D41" s="1" t="s">
        <v>270</v>
      </c>
      <c r="E41" s="1" t="s">
        <v>271</v>
      </c>
      <c r="F41" s="1" t="s">
        <v>112</v>
      </c>
      <c r="G41" s="1">
        <v>858274</v>
      </c>
    </row>
    <row r="42" spans="1:34" x14ac:dyDescent="0.2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272</v>
      </c>
      <c r="D42" s="1" t="s">
        <v>273</v>
      </c>
      <c r="E42" s="1" t="s">
        <v>274</v>
      </c>
      <c r="F42" s="1" t="s">
        <v>112</v>
      </c>
      <c r="G42" s="1">
        <v>1108878</v>
      </c>
    </row>
    <row r="43" spans="1:34" x14ac:dyDescent="0.2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275</v>
      </c>
      <c r="D43" s="1" t="s">
        <v>276</v>
      </c>
      <c r="E43" s="1" t="s">
        <v>277</v>
      </c>
      <c r="F43" s="1" t="s">
        <v>112</v>
      </c>
      <c r="G43" s="1">
        <v>1114805</v>
      </c>
    </row>
    <row r="44" spans="1:34" x14ac:dyDescent="0.2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278</v>
      </c>
      <c r="D44" s="1" t="s">
        <v>279</v>
      </c>
      <c r="E44" s="1" t="s">
        <v>280</v>
      </c>
      <c r="F44" s="1" t="s">
        <v>112</v>
      </c>
      <c r="G44" s="1">
        <v>27383</v>
      </c>
    </row>
    <row r="45" spans="1:34" x14ac:dyDescent="0.2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281</v>
      </c>
      <c r="D45" s="1" t="s">
        <v>267</v>
      </c>
      <c r="E45" s="1" t="s">
        <v>282</v>
      </c>
      <c r="F45" s="1" t="s">
        <v>112</v>
      </c>
      <c r="G45" s="1">
        <v>29763</v>
      </c>
    </row>
    <row r="46" spans="1:34" x14ac:dyDescent="0.2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283</v>
      </c>
      <c r="D46" s="1" t="s">
        <v>222</v>
      </c>
      <c r="E46" s="1" t="s">
        <v>284</v>
      </c>
      <c r="F46" s="1" t="s">
        <v>112</v>
      </c>
      <c r="G46" s="1">
        <v>28551</v>
      </c>
    </row>
    <row r="47" spans="1:34" x14ac:dyDescent="0.2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285</v>
      </c>
      <c r="D47" s="1" t="s">
        <v>286</v>
      </c>
      <c r="E47" s="1" t="s">
        <v>287</v>
      </c>
      <c r="F47" s="1" t="s">
        <v>112</v>
      </c>
      <c r="G47" s="1">
        <v>92987</v>
      </c>
    </row>
    <row r="48" spans="1:34" x14ac:dyDescent="0.2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288</v>
      </c>
      <c r="D48" s="1" t="s">
        <v>289</v>
      </c>
      <c r="E48" s="1" t="s">
        <v>290</v>
      </c>
      <c r="F48" s="1" t="s">
        <v>112</v>
      </c>
      <c r="G48" s="1">
        <v>33981</v>
      </c>
    </row>
    <row r="49" spans="1:10" x14ac:dyDescent="0.2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291</v>
      </c>
      <c r="D49" s="1" t="s">
        <v>196</v>
      </c>
      <c r="E49" s="1" t="s">
        <v>292</v>
      </c>
      <c r="F49" s="1" t="s">
        <v>112</v>
      </c>
      <c r="G49" s="1">
        <v>16266</v>
      </c>
    </row>
    <row r="50" spans="1:10" x14ac:dyDescent="0.2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293</v>
      </c>
      <c r="D50" s="1" t="s">
        <v>294</v>
      </c>
      <c r="E50" s="1" t="s">
        <v>295</v>
      </c>
      <c r="F50" s="1" t="s">
        <v>112</v>
      </c>
      <c r="G50" s="1">
        <v>26583</v>
      </c>
    </row>
    <row r="51" spans="1:10" x14ac:dyDescent="0.2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296</v>
      </c>
      <c r="D51" s="1" t="s">
        <v>297</v>
      </c>
      <c r="E51" s="1" t="s">
        <v>298</v>
      </c>
      <c r="F51" s="1" t="s">
        <v>112</v>
      </c>
      <c r="G51" s="1">
        <v>25783</v>
      </c>
    </row>
    <row r="52" spans="1:10" x14ac:dyDescent="0.2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299</v>
      </c>
      <c r="D52" s="1" t="s">
        <v>300</v>
      </c>
      <c r="E52" s="1">
        <v>67</v>
      </c>
      <c r="F52" s="1" t="s">
        <v>112</v>
      </c>
      <c r="G52" s="1">
        <v>18840</v>
      </c>
    </row>
    <row r="53" spans="1:10" x14ac:dyDescent="0.2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301</v>
      </c>
      <c r="D53" s="1" t="s">
        <v>302</v>
      </c>
      <c r="E53" s="1" t="s">
        <v>303</v>
      </c>
      <c r="F53" s="1" t="s">
        <v>112</v>
      </c>
      <c r="G53" s="1">
        <v>241000</v>
      </c>
    </row>
    <row r="54" spans="1:10" x14ac:dyDescent="0.2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304</v>
      </c>
      <c r="D54" s="1" t="s">
        <v>305</v>
      </c>
      <c r="E54" s="1" t="s">
        <v>306</v>
      </c>
      <c r="F54" s="1" t="s">
        <v>112</v>
      </c>
      <c r="G54" s="1">
        <v>118229</v>
      </c>
    </row>
    <row r="55" spans="1:10" x14ac:dyDescent="0.2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307</v>
      </c>
      <c r="D55" s="1" t="s">
        <v>308</v>
      </c>
      <c r="E55" s="1" t="s">
        <v>309</v>
      </c>
      <c r="F55" s="1" t="s">
        <v>112</v>
      </c>
      <c r="G55" s="1">
        <v>308637</v>
      </c>
    </row>
    <row r="56" spans="1:10" x14ac:dyDescent="0.2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310</v>
      </c>
      <c r="D56" s="1" t="s">
        <v>311</v>
      </c>
      <c r="E56" s="1" t="s">
        <v>312</v>
      </c>
      <c r="F56" s="1" t="s">
        <v>112</v>
      </c>
      <c r="G56" s="1">
        <v>394356</v>
      </c>
    </row>
    <row r="57" spans="1:10" x14ac:dyDescent="0.2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313</v>
      </c>
      <c r="D57" s="1" t="s">
        <v>314</v>
      </c>
      <c r="E57" s="1" t="s">
        <v>315</v>
      </c>
      <c r="F57" s="1" t="s">
        <v>112</v>
      </c>
      <c r="G57" s="1">
        <v>483644</v>
      </c>
    </row>
    <row r="58" spans="1:10" x14ac:dyDescent="0.2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316</v>
      </c>
      <c r="D58" s="1" t="s">
        <v>317</v>
      </c>
      <c r="E58" s="1" t="s">
        <v>318</v>
      </c>
      <c r="F58" s="1" t="s">
        <v>112</v>
      </c>
      <c r="G58" s="1">
        <v>69410</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242</v>
      </c>
      <c r="D60" s="1" t="s">
        <v>112</v>
      </c>
      <c r="E60" s="1" t="s">
        <v>243</v>
      </c>
      <c r="F60" s="1" t="s">
        <v>244</v>
      </c>
      <c r="G60" s="1" t="s">
        <v>245</v>
      </c>
      <c r="H60" s="1" t="s">
        <v>246</v>
      </c>
      <c r="I60" s="1" t="s">
        <v>247</v>
      </c>
      <c r="J60" s="1" t="s">
        <v>248</v>
      </c>
    </row>
    <row r="61" spans="1:10" x14ac:dyDescent="0.2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319</v>
      </c>
      <c r="D61" s="1" t="s">
        <v>112</v>
      </c>
      <c r="E61" s="1" t="s">
        <v>320</v>
      </c>
      <c r="F61" s="1" t="s">
        <v>321</v>
      </c>
      <c r="G61" s="1" t="s">
        <v>322</v>
      </c>
      <c r="H61" s="1" t="s">
        <v>323</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254</v>
      </c>
      <c r="D67" s="1" t="s">
        <v>110</v>
      </c>
      <c r="E67" s="1" t="s">
        <v>111</v>
      </c>
      <c r="F67" s="1" t="s">
        <v>112</v>
      </c>
      <c r="G67" s="1" t="s">
        <v>113</v>
      </c>
    </row>
    <row r="68" spans="1:7" x14ac:dyDescent="0.2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324</v>
      </c>
      <c r="D68" s="1" t="s">
        <v>325</v>
      </c>
      <c r="E68" s="1" t="s">
        <v>326</v>
      </c>
      <c r="F68" s="1" t="s">
        <v>112</v>
      </c>
      <c r="G68" s="1">
        <v>67096</v>
      </c>
    </row>
    <row r="69" spans="1:7" x14ac:dyDescent="0.2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327</v>
      </c>
      <c r="D69" s="1" t="s">
        <v>328</v>
      </c>
      <c r="E69" s="1" t="s">
        <v>329</v>
      </c>
      <c r="F69" s="1" t="s">
        <v>112</v>
      </c>
      <c r="G69" s="1">
        <v>43909</v>
      </c>
    </row>
    <row r="70" spans="1:7" x14ac:dyDescent="0.2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330</v>
      </c>
      <c r="D70" s="1" t="s">
        <v>331</v>
      </c>
      <c r="E70" s="1" t="s">
        <v>332</v>
      </c>
      <c r="F70" s="1" t="s">
        <v>112</v>
      </c>
      <c r="G70" s="1">
        <v>58336</v>
      </c>
    </row>
    <row r="71" spans="1:7" x14ac:dyDescent="0.2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333</v>
      </c>
      <c r="D71" s="1" t="s">
        <v>213</v>
      </c>
      <c r="E71" s="1" t="s">
        <v>334</v>
      </c>
      <c r="F71" s="1" t="s">
        <v>112</v>
      </c>
      <c r="G71" s="1">
        <v>19532</v>
      </c>
    </row>
    <row r="72" spans="1:7" x14ac:dyDescent="0.2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335</v>
      </c>
      <c r="D72" s="1" t="s">
        <v>336</v>
      </c>
      <c r="E72" s="1" t="s">
        <v>337</v>
      </c>
      <c r="F72" s="1" t="s">
        <v>112</v>
      </c>
      <c r="G72" s="1">
        <v>300937</v>
      </c>
    </row>
    <row r="73" spans="1:7" x14ac:dyDescent="0.2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338</v>
      </c>
      <c r="D73" s="1" t="s">
        <v>339</v>
      </c>
      <c r="E73" s="1" t="s">
        <v>340</v>
      </c>
      <c r="F73" s="1" t="s">
        <v>112</v>
      </c>
      <c r="G73" s="1">
        <v>355531</v>
      </c>
    </row>
    <row r="74" spans="1:7" x14ac:dyDescent="0.2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341</v>
      </c>
      <c r="D74" s="1" t="s">
        <v>297</v>
      </c>
      <c r="E74" s="1" t="s">
        <v>342</v>
      </c>
      <c r="F74" s="1" t="s">
        <v>112</v>
      </c>
      <c r="G74" s="1">
        <v>24269</v>
      </c>
    </row>
    <row r="75" spans="1:7" x14ac:dyDescent="0.2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343</v>
      </c>
      <c r="D75" s="1" t="s">
        <v>344</v>
      </c>
      <c r="E75" s="1" t="s">
        <v>345</v>
      </c>
      <c r="F75" s="1" t="s">
        <v>112</v>
      </c>
      <c r="G75" s="1">
        <v>475879</v>
      </c>
    </row>
    <row r="76" spans="1:7" x14ac:dyDescent="0.2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346</v>
      </c>
      <c r="D76" s="1" t="s">
        <v>216</v>
      </c>
      <c r="E76" s="1" t="s">
        <v>347</v>
      </c>
      <c r="F76" s="1" t="s">
        <v>112</v>
      </c>
      <c r="G76" s="1">
        <v>79252</v>
      </c>
    </row>
    <row r="77" spans="1:7" x14ac:dyDescent="0.2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348</v>
      </c>
      <c r="D77" s="1" t="s">
        <v>349</v>
      </c>
      <c r="E77" s="1" t="s">
        <v>350</v>
      </c>
      <c r="F77" s="1" t="s">
        <v>112</v>
      </c>
      <c r="G77" s="1">
        <v>301175</v>
      </c>
    </row>
    <row r="78" spans="1:7" x14ac:dyDescent="0.2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351</v>
      </c>
      <c r="D78" s="1" t="s">
        <v>352</v>
      </c>
      <c r="E78" s="1" t="s">
        <v>353</v>
      </c>
      <c r="F78" s="1" t="s">
        <v>112</v>
      </c>
      <c r="G78" s="1">
        <v>185390</v>
      </c>
    </row>
    <row r="79" spans="1:7" x14ac:dyDescent="0.2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354</v>
      </c>
      <c r="D79" s="1" t="s">
        <v>355</v>
      </c>
      <c r="E79" s="1" t="s">
        <v>356</v>
      </c>
      <c r="F79" s="1" t="s">
        <v>112</v>
      </c>
      <c r="G79" s="1">
        <v>383628</v>
      </c>
    </row>
    <row r="80" spans="1:7" x14ac:dyDescent="0.2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357</v>
      </c>
      <c r="D80" s="1" t="s">
        <v>352</v>
      </c>
      <c r="E80" s="1" t="s">
        <v>358</v>
      </c>
      <c r="F80" s="1" t="s">
        <v>112</v>
      </c>
      <c r="G80" s="1">
        <v>178338</v>
      </c>
    </row>
    <row r="81" spans="1:10" x14ac:dyDescent="0.2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359</v>
      </c>
      <c r="D81" s="1" t="s">
        <v>360</v>
      </c>
      <c r="E81" s="1" t="s">
        <v>361</v>
      </c>
      <c r="F81" s="1" t="s">
        <v>112</v>
      </c>
      <c r="G81" s="1">
        <v>192982</v>
      </c>
    </row>
    <row r="82" spans="1:10" x14ac:dyDescent="0.2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362</v>
      </c>
      <c r="D82" s="1" t="s">
        <v>363</v>
      </c>
      <c r="E82" s="1" t="s">
        <v>364</v>
      </c>
      <c r="F82" s="1" t="s">
        <v>112</v>
      </c>
      <c r="G82" s="1">
        <v>51090</v>
      </c>
    </row>
    <row r="83" spans="1:10" x14ac:dyDescent="0.2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365</v>
      </c>
      <c r="D83" s="1" t="s">
        <v>366</v>
      </c>
      <c r="E83" s="1" t="s">
        <v>367</v>
      </c>
      <c r="F83" s="1" t="s">
        <v>112</v>
      </c>
      <c r="G83" s="1">
        <v>83318</v>
      </c>
    </row>
    <row r="84" spans="1:10" x14ac:dyDescent="0.2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368</v>
      </c>
      <c r="D84" s="1" t="s">
        <v>369</v>
      </c>
      <c r="E84" s="1" t="s">
        <v>370</v>
      </c>
      <c r="F84" s="1" t="s">
        <v>112</v>
      </c>
      <c r="G84" s="1">
        <v>14903</v>
      </c>
    </row>
    <row r="85" spans="1:10" x14ac:dyDescent="0.2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371</v>
      </c>
      <c r="D85" s="1" t="s">
        <v>178</v>
      </c>
      <c r="E85" s="1" t="s">
        <v>372</v>
      </c>
      <c r="F85" s="1" t="s">
        <v>112</v>
      </c>
      <c r="G85" s="1">
        <v>8154</v>
      </c>
    </row>
    <row r="86" spans="1:10" x14ac:dyDescent="0.2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373</v>
      </c>
      <c r="D86" s="1" t="s">
        <v>374</v>
      </c>
      <c r="E86" s="1" t="s">
        <v>375</v>
      </c>
      <c r="F86" s="1" t="s">
        <v>112</v>
      </c>
      <c r="G86" s="1">
        <v>34456</v>
      </c>
    </row>
    <row r="87" spans="1:10" x14ac:dyDescent="0.2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376</v>
      </c>
      <c r="D87" s="1" t="s">
        <v>377</v>
      </c>
      <c r="E87" s="1" t="s">
        <v>378</v>
      </c>
      <c r="F87" s="1" t="s">
        <v>112</v>
      </c>
      <c r="G87" s="1">
        <v>39669</v>
      </c>
    </row>
    <row r="88" spans="1:10" x14ac:dyDescent="0.2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379</v>
      </c>
      <c r="D88" s="1" t="s">
        <v>210</v>
      </c>
      <c r="E88" s="1" t="s">
        <v>380</v>
      </c>
      <c r="F88" s="1" t="s">
        <v>112</v>
      </c>
      <c r="G88" s="1">
        <v>80701</v>
      </c>
    </row>
    <row r="89" spans="1:10" x14ac:dyDescent="0.2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381</v>
      </c>
      <c r="D89" s="1" t="s">
        <v>382</v>
      </c>
      <c r="E89" s="1" t="s">
        <v>383</v>
      </c>
      <c r="F89" s="1" t="s">
        <v>112</v>
      </c>
      <c r="G89" s="1">
        <v>337708</v>
      </c>
    </row>
    <row r="90" spans="1:10" x14ac:dyDescent="0.2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384</v>
      </c>
      <c r="D90" s="1" t="s">
        <v>264</v>
      </c>
      <c r="E90" s="1" t="s">
        <v>385</v>
      </c>
      <c r="F90" s="1" t="s">
        <v>112</v>
      </c>
      <c r="G90" s="1">
        <v>23079</v>
      </c>
    </row>
    <row r="91" spans="1:10" x14ac:dyDescent="0.2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386</v>
      </c>
      <c r="D91" s="1" t="s">
        <v>387</v>
      </c>
      <c r="E91" s="1" t="s">
        <v>388</v>
      </c>
      <c r="F91" s="1" t="s">
        <v>112</v>
      </c>
      <c r="G91" s="1">
        <v>309178</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242</v>
      </c>
      <c r="D93" s="1" t="s">
        <v>112</v>
      </c>
      <c r="E93" s="1" t="s">
        <v>243</v>
      </c>
      <c r="F93" s="1" t="s">
        <v>244</v>
      </c>
      <c r="G93" s="1" t="s">
        <v>245</v>
      </c>
      <c r="H93" s="1" t="s">
        <v>246</v>
      </c>
      <c r="I93" s="1" t="s">
        <v>247</v>
      </c>
      <c r="J93" s="1" t="s">
        <v>248</v>
      </c>
    </row>
    <row r="94" spans="1:10" x14ac:dyDescent="0.2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389</v>
      </c>
      <c r="D94" s="1" t="s">
        <v>112</v>
      </c>
      <c r="E94" s="1" t="s">
        <v>390</v>
      </c>
      <c r="F94" s="1" t="s">
        <v>391</v>
      </c>
      <c r="G94" s="1" t="s">
        <v>392</v>
      </c>
      <c r="H94" s="1" t="s">
        <v>393</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254</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394</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395</v>
      </c>
      <c r="D102" s="1" t="s">
        <v>396</v>
      </c>
      <c r="E102" s="1" t="s">
        <v>397</v>
      </c>
      <c r="F102" s="1" t="s">
        <v>112</v>
      </c>
      <c r="G102" s="1">
        <v>597223</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398</v>
      </c>
      <c r="D103" s="1" t="s">
        <v>399</v>
      </c>
      <c r="E103" s="1" t="s">
        <v>400</v>
      </c>
      <c r="F103" s="1" t="s">
        <v>112</v>
      </c>
      <c r="G103" s="1">
        <v>540704</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401</v>
      </c>
      <c r="D104" s="1" t="s">
        <v>402</v>
      </c>
      <c r="E104" s="1" t="s">
        <v>403</v>
      </c>
      <c r="F104" s="1" t="s">
        <v>112</v>
      </c>
      <c r="G104" s="1">
        <v>903394</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404</v>
      </c>
      <c r="D105" s="1" t="s">
        <v>405</v>
      </c>
      <c r="E105" s="1" t="s">
        <v>406</v>
      </c>
      <c r="F105" s="1" t="s">
        <v>112</v>
      </c>
      <c r="G105" s="1">
        <v>681731</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407</v>
      </c>
      <c r="D106" s="1" t="s">
        <v>408</v>
      </c>
      <c r="E106" s="1" t="s">
        <v>409</v>
      </c>
      <c r="F106" s="1" t="s">
        <v>112</v>
      </c>
      <c r="G106" s="1">
        <v>819924</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410</v>
      </c>
      <c r="D107" s="1" t="s">
        <v>411</v>
      </c>
      <c r="E107" s="1" t="s">
        <v>412</v>
      </c>
      <c r="F107" s="1" t="s">
        <v>112</v>
      </c>
      <c r="G107" s="1">
        <v>873329</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413</v>
      </c>
      <c r="D108" s="1" t="s">
        <v>414</v>
      </c>
      <c r="E108" s="1" t="s">
        <v>415</v>
      </c>
      <c r="F108" s="1" t="s">
        <v>112</v>
      </c>
      <c r="G108" s="1">
        <v>805389</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416</v>
      </c>
      <c r="D109" s="1" t="s">
        <v>417</v>
      </c>
      <c r="E109" s="1" t="s">
        <v>418</v>
      </c>
      <c r="F109" s="1" t="s">
        <v>112</v>
      </c>
      <c r="G109" s="1">
        <v>789253</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419</v>
      </c>
      <c r="D110" s="1" t="s">
        <v>420</v>
      </c>
      <c r="E110" s="1" t="s">
        <v>421</v>
      </c>
      <c r="F110" s="1" t="s">
        <v>112</v>
      </c>
      <c r="G110" s="1">
        <v>523746</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422</v>
      </c>
      <c r="D111" s="1" t="s">
        <v>423</v>
      </c>
      <c r="E111" s="1" t="s">
        <v>424</v>
      </c>
      <c r="F111" s="1" t="s">
        <v>112</v>
      </c>
      <c r="G111" s="1">
        <v>376944</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425</v>
      </c>
      <c r="D112" s="1" t="s">
        <v>426</v>
      </c>
      <c r="E112" s="1" t="s">
        <v>427</v>
      </c>
      <c r="F112" s="1" t="s">
        <v>112</v>
      </c>
      <c r="G112" s="1">
        <v>367989</v>
      </c>
    </row>
    <row r="113" spans="1:10"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428</v>
      </c>
      <c r="D113" s="1" t="s">
        <v>429</v>
      </c>
      <c r="E113" s="1" t="s">
        <v>430</v>
      </c>
      <c r="F113" s="1" t="s">
        <v>112</v>
      </c>
      <c r="G113" s="1">
        <v>258629</v>
      </c>
    </row>
    <row r="114" spans="1:10"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431</v>
      </c>
      <c r="D114" s="1" t="s">
        <v>432</v>
      </c>
      <c r="E114" s="1" t="s">
        <v>433</v>
      </c>
      <c r="F114" s="1" t="s">
        <v>112</v>
      </c>
      <c r="G114" s="1">
        <v>225557</v>
      </c>
    </row>
    <row r="115" spans="1:10"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434</v>
      </c>
      <c r="D115" s="1" t="s">
        <v>435</v>
      </c>
      <c r="E115" s="1" t="s">
        <v>436</v>
      </c>
      <c r="F115" s="1" t="s">
        <v>112</v>
      </c>
      <c r="G115" s="1">
        <v>210545</v>
      </c>
    </row>
    <row r="116" spans="1:10"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437</v>
      </c>
      <c r="D116" s="1" t="s">
        <v>438</v>
      </c>
      <c r="E116" s="1" t="s">
        <v>439</v>
      </c>
      <c r="F116" s="1" t="s">
        <v>112</v>
      </c>
      <c r="G116" s="1">
        <v>75034</v>
      </c>
    </row>
    <row r="117" spans="1:10"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440</v>
      </c>
      <c r="D117" s="1" t="s">
        <v>441</v>
      </c>
      <c r="E117" s="1" t="s">
        <v>442</v>
      </c>
      <c r="F117" s="1" t="s">
        <v>112</v>
      </c>
      <c r="G117" s="1">
        <v>55935</v>
      </c>
    </row>
    <row r="118" spans="1:10"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443</v>
      </c>
      <c r="D118" s="1" t="s">
        <v>193</v>
      </c>
      <c r="E118" s="1" t="s">
        <v>444</v>
      </c>
      <c r="F118" s="1" t="s">
        <v>112</v>
      </c>
      <c r="G118" s="1">
        <v>53253</v>
      </c>
    </row>
    <row r="119" spans="1:10"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445</v>
      </c>
      <c r="D119" s="1" t="s">
        <v>446</v>
      </c>
      <c r="E119" s="1" t="s">
        <v>447</v>
      </c>
      <c r="F119" s="1" t="s">
        <v>112</v>
      </c>
      <c r="G119" s="1">
        <v>852088</v>
      </c>
    </row>
    <row r="120" spans="1:10"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448</v>
      </c>
      <c r="D120" s="1" t="s">
        <v>449</v>
      </c>
      <c r="E120" s="1" t="s">
        <v>450</v>
      </c>
      <c r="F120" s="1" t="s">
        <v>112</v>
      </c>
      <c r="G120" s="1">
        <v>597807</v>
      </c>
    </row>
    <row r="121" spans="1:10"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451</v>
      </c>
      <c r="D121" s="1" t="s">
        <v>452</v>
      </c>
      <c r="E121" s="1" t="s">
        <v>453</v>
      </c>
      <c r="F121" s="1" t="s">
        <v>112</v>
      </c>
      <c r="G121" s="1">
        <v>882608</v>
      </c>
    </row>
    <row r="122" spans="1:10"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454</v>
      </c>
      <c r="D122" s="1" t="s">
        <v>455</v>
      </c>
      <c r="E122" s="1" t="s">
        <v>456</v>
      </c>
      <c r="F122" s="1" t="s">
        <v>112</v>
      </c>
      <c r="G122" s="1">
        <v>447933</v>
      </c>
    </row>
    <row r="123" spans="1:10"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457</v>
      </c>
      <c r="D123" s="1" t="s">
        <v>458</v>
      </c>
      <c r="E123" s="1" t="s">
        <v>459</v>
      </c>
      <c r="F123" s="1" t="s">
        <v>112</v>
      </c>
      <c r="G123" s="1">
        <v>269725</v>
      </c>
    </row>
    <row r="124" spans="1:10"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460</v>
      </c>
      <c r="D124" s="1" t="s">
        <v>461</v>
      </c>
      <c r="E124" s="1" t="s">
        <v>462</v>
      </c>
      <c r="F124" s="1" t="s">
        <v>112</v>
      </c>
      <c r="G124" s="1">
        <v>64565</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242</v>
      </c>
      <c r="D126" s="1" t="s">
        <v>112</v>
      </c>
      <c r="E126" s="1" t="s">
        <v>243</v>
      </c>
      <c r="F126" s="1" t="s">
        <v>244</v>
      </c>
      <c r="G126" s="1" t="s">
        <v>245</v>
      </c>
      <c r="H126" s="1" t="s">
        <v>246</v>
      </c>
      <c r="I126" s="1" t="s">
        <v>247</v>
      </c>
      <c r="J126" s="1" t="s">
        <v>248</v>
      </c>
    </row>
    <row r="127" spans="1:10"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463</v>
      </c>
      <c r="D127" s="1" t="s">
        <v>112</v>
      </c>
      <c r="E127" s="1" t="s">
        <v>464</v>
      </c>
      <c r="F127" s="1" t="s">
        <v>465</v>
      </c>
      <c r="G127" s="1" t="s">
        <v>466</v>
      </c>
      <c r="H127" s="1" t="s">
        <v>467</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254</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468</v>
      </c>
      <c r="D134" s="1" t="s">
        <v>469</v>
      </c>
      <c r="E134" s="1" t="s">
        <v>470</v>
      </c>
      <c r="F134" s="1" t="s">
        <v>112</v>
      </c>
      <c r="G134" s="1">
        <v>347528</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471</v>
      </c>
      <c r="D135" s="1" t="s">
        <v>234</v>
      </c>
      <c r="E135" s="1" t="s">
        <v>472</v>
      </c>
      <c r="F135" s="1" t="s">
        <v>112</v>
      </c>
      <c r="G135" s="1">
        <v>470710</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473</v>
      </c>
      <c r="D136" s="1" t="s">
        <v>474</v>
      </c>
      <c r="E136" s="1" t="s">
        <v>475</v>
      </c>
      <c r="F136" s="1" t="s">
        <v>112</v>
      </c>
      <c r="G136" s="1">
        <v>598953</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476</v>
      </c>
      <c r="D137" s="1" t="s">
        <v>477</v>
      </c>
      <c r="E137" s="1" t="s">
        <v>478</v>
      </c>
      <c r="F137" s="1" t="s">
        <v>112</v>
      </c>
      <c r="G137" s="1">
        <v>1082922</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479</v>
      </c>
      <c r="D138" s="1" t="s">
        <v>480</v>
      </c>
      <c r="E138" s="1" t="s">
        <v>481</v>
      </c>
      <c r="F138" s="1" t="s">
        <v>112</v>
      </c>
      <c r="G138" s="1">
        <v>1162391</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482</v>
      </c>
      <c r="D139" s="1" t="s">
        <v>483</v>
      </c>
      <c r="E139" s="1" t="s">
        <v>484</v>
      </c>
      <c r="F139" s="1" t="s">
        <v>112</v>
      </c>
      <c r="G139" s="1">
        <v>871771</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485</v>
      </c>
      <c r="D140" s="1" t="s">
        <v>486</v>
      </c>
      <c r="E140" s="1" t="s">
        <v>487</v>
      </c>
      <c r="F140" s="1" t="s">
        <v>112</v>
      </c>
      <c r="G140" s="1">
        <v>1034104</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488</v>
      </c>
      <c r="D141" s="1" t="s">
        <v>483</v>
      </c>
      <c r="E141" s="1" t="s">
        <v>489</v>
      </c>
      <c r="F141" s="1" t="s">
        <v>112</v>
      </c>
      <c r="G141" s="1">
        <v>878693</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490</v>
      </c>
      <c r="D142" s="1" t="s">
        <v>491</v>
      </c>
      <c r="E142" s="1" t="s">
        <v>492</v>
      </c>
      <c r="F142" s="1" t="s">
        <v>112</v>
      </c>
      <c r="G142" s="1">
        <v>902616</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493</v>
      </c>
      <c r="D143" s="1" t="s">
        <v>314</v>
      </c>
      <c r="E143" s="1" t="s">
        <v>494</v>
      </c>
      <c r="F143" s="1" t="s">
        <v>112</v>
      </c>
      <c r="G143" s="1">
        <v>449534</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495</v>
      </c>
      <c r="D144" s="1" t="s">
        <v>496</v>
      </c>
      <c r="E144" s="1" t="s">
        <v>497</v>
      </c>
      <c r="F144" s="1" t="s">
        <v>112</v>
      </c>
      <c r="G144" s="1">
        <v>726851</v>
      </c>
    </row>
    <row r="145" spans="1:10"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498</v>
      </c>
      <c r="D145" s="1" t="s">
        <v>499</v>
      </c>
      <c r="E145" s="1" t="s">
        <v>500</v>
      </c>
      <c r="F145" s="1" t="s">
        <v>112</v>
      </c>
      <c r="G145" s="1">
        <v>816615</v>
      </c>
    </row>
    <row r="146" spans="1:10"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501</v>
      </c>
      <c r="D146" s="1" t="s">
        <v>502</v>
      </c>
      <c r="E146" s="1" t="s">
        <v>503</v>
      </c>
      <c r="F146" s="1" t="s">
        <v>112</v>
      </c>
      <c r="G146" s="1">
        <v>1236473</v>
      </c>
    </row>
    <row r="147" spans="1:10"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504</v>
      </c>
      <c r="D147" s="1" t="s">
        <v>505</v>
      </c>
      <c r="E147" s="1" t="s">
        <v>506</v>
      </c>
      <c r="F147" s="1" t="s">
        <v>112</v>
      </c>
      <c r="G147" s="1">
        <v>1400017</v>
      </c>
    </row>
    <row r="148" spans="1:10"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507</v>
      </c>
      <c r="D148" s="1" t="s">
        <v>508</v>
      </c>
      <c r="E148" s="1" t="s">
        <v>509</v>
      </c>
      <c r="F148" s="1" t="s">
        <v>112</v>
      </c>
      <c r="G148" s="1">
        <v>852391</v>
      </c>
    </row>
    <row r="149" spans="1:10"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510</v>
      </c>
      <c r="D149" s="1" t="s">
        <v>511</v>
      </c>
      <c r="E149" s="1" t="s">
        <v>512</v>
      </c>
      <c r="F149" s="1" t="s">
        <v>112</v>
      </c>
      <c r="G149" s="1">
        <v>799246</v>
      </c>
    </row>
    <row r="150" spans="1:10"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513</v>
      </c>
      <c r="D150" s="1" t="s">
        <v>514</v>
      </c>
      <c r="E150" s="1" t="s">
        <v>515</v>
      </c>
      <c r="F150" s="1" t="s">
        <v>112</v>
      </c>
      <c r="G150" s="1">
        <v>507178</v>
      </c>
    </row>
    <row r="151" spans="1:10"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516</v>
      </c>
      <c r="D151" s="1" t="s">
        <v>517</v>
      </c>
      <c r="E151" s="1" t="s">
        <v>518</v>
      </c>
      <c r="F151" s="1" t="s">
        <v>112</v>
      </c>
      <c r="G151" s="1">
        <v>818800</v>
      </c>
    </row>
    <row r="152" spans="1:10"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519</v>
      </c>
      <c r="D152" s="1" t="s">
        <v>520</v>
      </c>
      <c r="E152" s="1" t="s">
        <v>521</v>
      </c>
      <c r="F152" s="1" t="s">
        <v>112</v>
      </c>
      <c r="G152" s="1">
        <v>416484</v>
      </c>
    </row>
    <row r="153" spans="1:10"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522</v>
      </c>
      <c r="D153" s="1" t="s">
        <v>523</v>
      </c>
      <c r="E153" s="1" t="s">
        <v>524</v>
      </c>
      <c r="F153" s="1" t="s">
        <v>112</v>
      </c>
      <c r="G153" s="1">
        <v>391826</v>
      </c>
    </row>
    <row r="154" spans="1:10"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525</v>
      </c>
      <c r="D154" s="1" t="s">
        <v>526</v>
      </c>
      <c r="E154" s="1" t="s">
        <v>527</v>
      </c>
      <c r="F154" s="1" t="s">
        <v>112</v>
      </c>
      <c r="G154" s="1">
        <v>426044</v>
      </c>
    </row>
    <row r="155" spans="1:10"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528</v>
      </c>
      <c r="D155" s="1" t="s">
        <v>529</v>
      </c>
      <c r="E155" s="1" t="s">
        <v>530</v>
      </c>
      <c r="F155" s="1" t="s">
        <v>112</v>
      </c>
      <c r="G155" s="1">
        <v>1215708</v>
      </c>
    </row>
    <row r="156" spans="1:10"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531</v>
      </c>
      <c r="D156" s="1" t="s">
        <v>532</v>
      </c>
      <c r="E156" s="1" t="s">
        <v>533</v>
      </c>
      <c r="F156" s="1" t="s">
        <v>112</v>
      </c>
      <c r="G156" s="1">
        <v>1000274</v>
      </c>
    </row>
    <row r="157" spans="1:10"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534</v>
      </c>
      <c r="D157" s="1" t="s">
        <v>535</v>
      </c>
      <c r="E157" s="1" t="s">
        <v>536</v>
      </c>
      <c r="F157" s="1" t="s">
        <v>112</v>
      </c>
      <c r="G157" s="1">
        <v>1057161</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242</v>
      </c>
      <c r="D159" s="1" t="s">
        <v>112</v>
      </c>
      <c r="E159" s="1" t="s">
        <v>243</v>
      </c>
      <c r="F159" s="1" t="s">
        <v>244</v>
      </c>
      <c r="G159" s="1" t="s">
        <v>245</v>
      </c>
      <c r="H159" s="1" t="s">
        <v>246</v>
      </c>
      <c r="I159" s="1" t="s">
        <v>247</v>
      </c>
      <c r="J159" s="1" t="s">
        <v>248</v>
      </c>
    </row>
    <row r="160" spans="1:10"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537</v>
      </c>
      <c r="D160" s="1" t="s">
        <v>112</v>
      </c>
      <c r="E160" s="1" t="s">
        <v>538</v>
      </c>
      <c r="F160" s="1" t="s">
        <v>539</v>
      </c>
      <c r="G160" s="1" t="s">
        <v>540</v>
      </c>
      <c r="H160" s="1" t="s">
        <v>541</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254</v>
      </c>
      <c r="D166" s="1" t="s">
        <v>110</v>
      </c>
      <c r="E166" s="1" t="s">
        <v>111</v>
      </c>
      <c r="F166" s="1" t="s">
        <v>112</v>
      </c>
      <c r="G166" s="1" t="s">
        <v>113</v>
      </c>
    </row>
    <row r="167" spans="1:7" x14ac:dyDescent="0.2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542</v>
      </c>
      <c r="D167" s="1" t="s">
        <v>543</v>
      </c>
      <c r="E167" s="1" t="s">
        <v>544</v>
      </c>
      <c r="F167" s="1" t="s">
        <v>112</v>
      </c>
      <c r="G167" s="1">
        <v>3121951</v>
      </c>
    </row>
    <row r="168" spans="1:7" x14ac:dyDescent="0.2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545</v>
      </c>
      <c r="D168" s="1" t="s">
        <v>546</v>
      </c>
      <c r="E168" s="1" t="s">
        <v>547</v>
      </c>
      <c r="F168" s="1" t="s">
        <v>112</v>
      </c>
      <c r="G168" s="1">
        <v>3481094</v>
      </c>
    </row>
    <row r="169" spans="1:7" x14ac:dyDescent="0.2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548</v>
      </c>
      <c r="D169" s="1" t="s">
        <v>549</v>
      </c>
      <c r="E169" s="1" t="s">
        <v>550</v>
      </c>
      <c r="F169" s="1" t="s">
        <v>112</v>
      </c>
      <c r="G169" s="1">
        <v>3434806</v>
      </c>
    </row>
    <row r="170" spans="1:7" x14ac:dyDescent="0.2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551</v>
      </c>
      <c r="D170" s="1" t="s">
        <v>552</v>
      </c>
      <c r="E170" s="1" t="s">
        <v>553</v>
      </c>
      <c r="F170" s="1" t="s">
        <v>112</v>
      </c>
      <c r="G170" s="1">
        <v>2233070</v>
      </c>
    </row>
    <row r="171" spans="1:7" x14ac:dyDescent="0.2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554</v>
      </c>
      <c r="D171" s="1" t="s">
        <v>555</v>
      </c>
      <c r="E171" s="1" t="s">
        <v>556</v>
      </c>
      <c r="F171" s="1" t="s">
        <v>112</v>
      </c>
      <c r="G171" s="1">
        <v>2214360</v>
      </c>
    </row>
    <row r="172" spans="1:7" x14ac:dyDescent="0.2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557</v>
      </c>
      <c r="D172" s="1" t="s">
        <v>558</v>
      </c>
      <c r="E172" s="1" t="s">
        <v>559</v>
      </c>
      <c r="F172" s="1" t="s">
        <v>112</v>
      </c>
      <c r="G172" s="1">
        <v>2300296</v>
      </c>
    </row>
    <row r="173" spans="1:7" x14ac:dyDescent="0.2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560</v>
      </c>
      <c r="D173" s="1" t="s">
        <v>561</v>
      </c>
      <c r="E173" s="1" t="s">
        <v>562</v>
      </c>
      <c r="F173" s="1" t="s">
        <v>112</v>
      </c>
      <c r="G173" s="1">
        <v>1689316</v>
      </c>
    </row>
    <row r="174" spans="1:7" x14ac:dyDescent="0.2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563</v>
      </c>
      <c r="D174" s="1" t="s">
        <v>564</v>
      </c>
      <c r="E174" s="1" t="s">
        <v>565</v>
      </c>
      <c r="F174" s="1" t="s">
        <v>112</v>
      </c>
      <c r="G174" s="1">
        <v>1279581</v>
      </c>
    </row>
    <row r="175" spans="1:7" x14ac:dyDescent="0.2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566</v>
      </c>
      <c r="D175" s="1" t="s">
        <v>567</v>
      </c>
      <c r="E175" s="1" t="s">
        <v>568</v>
      </c>
      <c r="F175" s="1" t="s">
        <v>112</v>
      </c>
      <c r="G175" s="1">
        <v>1757580</v>
      </c>
    </row>
    <row r="176" spans="1:7" x14ac:dyDescent="0.2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569</v>
      </c>
      <c r="D176" s="1" t="s">
        <v>570</v>
      </c>
      <c r="E176" s="1" t="s">
        <v>571</v>
      </c>
      <c r="F176" s="1" t="s">
        <v>112</v>
      </c>
      <c r="G176" s="1">
        <v>3057191</v>
      </c>
    </row>
    <row r="177" spans="1:10" x14ac:dyDescent="0.2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572</v>
      </c>
      <c r="D177" s="1" t="s">
        <v>573</v>
      </c>
      <c r="E177" s="1" t="s">
        <v>574</v>
      </c>
      <c r="F177" s="1" t="s">
        <v>112</v>
      </c>
      <c r="G177" s="1">
        <v>3280931</v>
      </c>
    </row>
    <row r="178" spans="1:10" x14ac:dyDescent="0.2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575</v>
      </c>
      <c r="D178" s="1" t="s">
        <v>576</v>
      </c>
      <c r="E178" s="1" t="s">
        <v>577</v>
      </c>
      <c r="F178" s="1" t="s">
        <v>112</v>
      </c>
      <c r="G178" s="1">
        <v>3024400</v>
      </c>
    </row>
    <row r="179" spans="1:10" x14ac:dyDescent="0.2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578</v>
      </c>
      <c r="D179" s="1" t="s">
        <v>579</v>
      </c>
      <c r="E179" s="1" t="s">
        <v>580</v>
      </c>
      <c r="F179" s="1" t="s">
        <v>112</v>
      </c>
      <c r="G179" s="1">
        <v>1424761</v>
      </c>
    </row>
    <row r="180" spans="1:10" x14ac:dyDescent="0.2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581</v>
      </c>
      <c r="D180" s="1" t="s">
        <v>582</v>
      </c>
      <c r="E180" s="1" t="s">
        <v>583</v>
      </c>
      <c r="F180" s="1" t="s">
        <v>112</v>
      </c>
      <c r="G180" s="1">
        <v>1220986</v>
      </c>
    </row>
    <row r="181" spans="1:10" x14ac:dyDescent="0.2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584</v>
      </c>
      <c r="D181" s="1" t="s">
        <v>585</v>
      </c>
      <c r="E181" s="1" t="s">
        <v>586</v>
      </c>
      <c r="F181" s="1" t="s">
        <v>112</v>
      </c>
      <c r="G181" s="1">
        <v>1121748</v>
      </c>
    </row>
    <row r="182" spans="1:10" x14ac:dyDescent="0.2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587</v>
      </c>
      <c r="D182" s="1" t="s">
        <v>588</v>
      </c>
      <c r="E182" s="1" t="s">
        <v>589</v>
      </c>
      <c r="F182" s="1" t="s">
        <v>112</v>
      </c>
      <c r="G182" s="1">
        <v>1504208</v>
      </c>
    </row>
    <row r="183" spans="1:10" x14ac:dyDescent="0.2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590</v>
      </c>
      <c r="D183" s="1" t="s">
        <v>591</v>
      </c>
      <c r="E183" s="1" t="s">
        <v>592</v>
      </c>
      <c r="F183" s="1" t="s">
        <v>112</v>
      </c>
      <c r="G183" s="1">
        <v>1455194</v>
      </c>
    </row>
    <row r="184" spans="1:10" x14ac:dyDescent="0.2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593</v>
      </c>
      <c r="D184" s="1" t="s">
        <v>594</v>
      </c>
      <c r="E184" s="1" t="s">
        <v>595</v>
      </c>
      <c r="F184" s="1" t="s">
        <v>112</v>
      </c>
      <c r="G184" s="1">
        <v>1256719</v>
      </c>
    </row>
    <row r="185" spans="1:10" x14ac:dyDescent="0.2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596</v>
      </c>
      <c r="D185" s="1" t="s">
        <v>597</v>
      </c>
      <c r="E185" s="1" t="s">
        <v>598</v>
      </c>
      <c r="F185" s="1" t="s">
        <v>112</v>
      </c>
      <c r="G185" s="1">
        <v>4010896</v>
      </c>
    </row>
    <row r="186" spans="1:10" x14ac:dyDescent="0.2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599</v>
      </c>
      <c r="D186" s="1" t="s">
        <v>600</v>
      </c>
      <c r="E186" s="1" t="s">
        <v>601</v>
      </c>
      <c r="F186" s="1" t="s">
        <v>112</v>
      </c>
      <c r="G186" s="1">
        <v>3909171</v>
      </c>
    </row>
    <row r="187" spans="1:10" x14ac:dyDescent="0.2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602</v>
      </c>
      <c r="D187" s="1" t="s">
        <v>603</v>
      </c>
      <c r="E187" s="1" t="s">
        <v>604</v>
      </c>
      <c r="F187" s="1" t="s">
        <v>112</v>
      </c>
      <c r="G187" s="1">
        <v>4173726</v>
      </c>
    </row>
    <row r="188" spans="1:10" x14ac:dyDescent="0.2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605</v>
      </c>
      <c r="D188" s="1" t="s">
        <v>606</v>
      </c>
      <c r="E188" s="1" t="s">
        <v>607</v>
      </c>
      <c r="F188" s="1" t="s">
        <v>112</v>
      </c>
      <c r="G188" s="1">
        <v>3206480</v>
      </c>
    </row>
    <row r="189" spans="1:10" x14ac:dyDescent="0.2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608</v>
      </c>
    </row>
    <row r="190" spans="1:10" x14ac:dyDescent="0.2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609</v>
      </c>
      <c r="D190" s="1" t="s">
        <v>610</v>
      </c>
      <c r="E190" s="1" t="s">
        <v>611</v>
      </c>
      <c r="F190" s="1" t="s">
        <v>112</v>
      </c>
      <c r="G190" s="1">
        <v>3055677</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242</v>
      </c>
      <c r="D192" s="1" t="s">
        <v>112</v>
      </c>
      <c r="E192" s="1" t="s">
        <v>243</v>
      </c>
      <c r="F192" s="1" t="s">
        <v>244</v>
      </c>
      <c r="G192" s="1" t="s">
        <v>245</v>
      </c>
      <c r="H192" s="1" t="s">
        <v>246</v>
      </c>
      <c r="I192" s="1" t="s">
        <v>247</v>
      </c>
      <c r="J192" s="1" t="s">
        <v>248</v>
      </c>
    </row>
    <row r="193" spans="1:10" x14ac:dyDescent="0.2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612</v>
      </c>
      <c r="D193" s="1" t="s">
        <v>112</v>
      </c>
      <c r="E193" s="1" t="s">
        <v>613</v>
      </c>
      <c r="F193" s="1" t="s">
        <v>614</v>
      </c>
      <c r="G193" s="1">
        <v>2494783</v>
      </c>
      <c r="H193" s="1" t="s">
        <v>615</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254</v>
      </c>
      <c r="D199" s="1" t="s">
        <v>110</v>
      </c>
      <c r="E199" s="1" t="s">
        <v>111</v>
      </c>
      <c r="F199" s="1" t="s">
        <v>112</v>
      </c>
      <c r="G199" s="1" t="s">
        <v>113</v>
      </c>
    </row>
    <row r="200" spans="1:10"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616</v>
      </c>
      <c r="D200" s="1" t="s">
        <v>617</v>
      </c>
      <c r="E200" s="1" t="s">
        <v>618</v>
      </c>
      <c r="F200" s="1" t="s">
        <v>112</v>
      </c>
      <c r="G200" s="1">
        <v>4474014</v>
      </c>
    </row>
    <row r="201" spans="1:10"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619</v>
      </c>
      <c r="D201" s="1" t="s">
        <v>620</v>
      </c>
      <c r="E201" s="1" t="s">
        <v>621</v>
      </c>
      <c r="F201" s="1" t="s">
        <v>112</v>
      </c>
      <c r="G201" s="1">
        <v>3579596</v>
      </c>
    </row>
    <row r="202" spans="1:10"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622</v>
      </c>
    </row>
    <row r="203" spans="1:10"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623</v>
      </c>
      <c r="D203" s="1" t="s">
        <v>624</v>
      </c>
      <c r="E203" s="1" t="s">
        <v>625</v>
      </c>
      <c r="F203" s="1" t="s">
        <v>112</v>
      </c>
      <c r="G203" s="1">
        <v>5712931</v>
      </c>
    </row>
    <row r="204" spans="1:10"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626</v>
      </c>
      <c r="D204" s="1" t="s">
        <v>627</v>
      </c>
      <c r="E204" s="1" t="s">
        <v>628</v>
      </c>
      <c r="F204" s="1" t="s">
        <v>112</v>
      </c>
      <c r="G204" s="1">
        <v>5681524</v>
      </c>
    </row>
    <row r="205" spans="1:10"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629</v>
      </c>
      <c r="D205" s="1" t="s">
        <v>630</v>
      </c>
      <c r="E205" s="1" t="s">
        <v>631</v>
      </c>
      <c r="F205" s="1" t="s">
        <v>112</v>
      </c>
      <c r="G205" s="1">
        <v>5550577</v>
      </c>
    </row>
    <row r="206" spans="1:10"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632</v>
      </c>
      <c r="D206" s="1" t="s">
        <v>633</v>
      </c>
      <c r="E206" s="1" t="s">
        <v>634</v>
      </c>
      <c r="F206" s="1" t="s">
        <v>112</v>
      </c>
      <c r="G206" s="1">
        <v>4657176</v>
      </c>
    </row>
    <row r="207" spans="1:10"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635</v>
      </c>
      <c r="D207" s="1" t="s">
        <v>636</v>
      </c>
      <c r="E207" s="1" t="s">
        <v>637</v>
      </c>
      <c r="F207" s="1" t="s">
        <v>112</v>
      </c>
      <c r="G207" s="1">
        <v>4501397</v>
      </c>
    </row>
    <row r="208" spans="1:10"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638</v>
      </c>
      <c r="D208" s="1" t="s">
        <v>639</v>
      </c>
      <c r="E208" s="1" t="s">
        <v>640</v>
      </c>
      <c r="F208" s="1" t="s">
        <v>112</v>
      </c>
      <c r="G208" s="1">
        <v>4342309</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641</v>
      </c>
      <c r="D209" s="1" t="s">
        <v>642</v>
      </c>
      <c r="E209" s="1" t="s">
        <v>643</v>
      </c>
      <c r="F209" s="1" t="s">
        <v>112</v>
      </c>
      <c r="G209" s="1">
        <v>3054941</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644</v>
      </c>
      <c r="D210" s="1" t="s">
        <v>645</v>
      </c>
      <c r="E210" s="1" t="s">
        <v>646</v>
      </c>
      <c r="F210" s="1" t="s">
        <v>112</v>
      </c>
      <c r="G210" s="1">
        <v>3064978</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647</v>
      </c>
      <c r="D211" s="1" t="s">
        <v>648</v>
      </c>
      <c r="E211" s="1" t="s">
        <v>649</v>
      </c>
      <c r="F211" s="1" t="s">
        <v>112</v>
      </c>
      <c r="G211" s="1">
        <v>2939308</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650</v>
      </c>
      <c r="D212" s="1" t="s">
        <v>651</v>
      </c>
      <c r="E212" s="1" t="s">
        <v>652</v>
      </c>
      <c r="F212" s="1" t="s">
        <v>112</v>
      </c>
      <c r="G212" s="1">
        <v>5063320</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653</v>
      </c>
      <c r="D213" s="1" t="s">
        <v>654</v>
      </c>
      <c r="E213" s="1" t="s">
        <v>655</v>
      </c>
      <c r="F213" s="1" t="s">
        <v>112</v>
      </c>
      <c r="G213" s="1">
        <v>5257492</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656</v>
      </c>
      <c r="D214" s="1" t="s">
        <v>657</v>
      </c>
      <c r="E214" s="1" t="s">
        <v>658</v>
      </c>
      <c r="F214" s="1" t="s">
        <v>112</v>
      </c>
      <c r="G214" s="1">
        <v>4883836</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659</v>
      </c>
      <c r="D215" s="1" t="s">
        <v>660</v>
      </c>
      <c r="E215" s="1" t="s">
        <v>661</v>
      </c>
      <c r="F215" s="1" t="s">
        <v>112</v>
      </c>
      <c r="G215" s="1">
        <v>6084078</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662</v>
      </c>
      <c r="D216" s="1" t="s">
        <v>663</v>
      </c>
      <c r="E216" s="1" t="s">
        <v>664</v>
      </c>
      <c r="F216" s="1" t="s">
        <v>112</v>
      </c>
      <c r="G216" s="1">
        <v>6249936</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665</v>
      </c>
      <c r="D217" s="1" t="s">
        <v>666</v>
      </c>
      <c r="E217" s="1" t="s">
        <v>667</v>
      </c>
      <c r="F217" s="1" t="s">
        <v>112</v>
      </c>
      <c r="G217" s="1">
        <v>5522739</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668</v>
      </c>
      <c r="D218" s="1" t="s">
        <v>669</v>
      </c>
      <c r="E218" s="1" t="s">
        <v>670</v>
      </c>
      <c r="F218" s="1" t="s">
        <v>112</v>
      </c>
      <c r="G218" s="1">
        <v>2824648</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671</v>
      </c>
      <c r="D219" s="1" t="s">
        <v>672</v>
      </c>
      <c r="E219" s="1" t="s">
        <v>673</v>
      </c>
      <c r="F219" s="1" t="s">
        <v>112</v>
      </c>
      <c r="G219" s="1">
        <v>2880475</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674</v>
      </c>
      <c r="D220" s="1" t="s">
        <v>675</v>
      </c>
      <c r="E220" s="1" t="s">
        <v>676</v>
      </c>
      <c r="F220" s="1" t="s">
        <v>112</v>
      </c>
      <c r="G220" s="1">
        <v>2925984</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677</v>
      </c>
      <c r="D221" s="1" t="s">
        <v>678</v>
      </c>
      <c r="E221" s="1" t="s">
        <v>679</v>
      </c>
      <c r="F221" s="1" t="s">
        <v>112</v>
      </c>
      <c r="G221" s="1">
        <v>5028172</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680</v>
      </c>
      <c r="D222" s="1" t="s">
        <v>681</v>
      </c>
      <c r="E222" s="1" t="s">
        <v>682</v>
      </c>
      <c r="F222" s="1" t="s">
        <v>112</v>
      </c>
      <c r="G222" s="1">
        <v>5099788</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683</v>
      </c>
      <c r="D223" s="1" t="s">
        <v>684</v>
      </c>
      <c r="E223" s="1" t="s">
        <v>685</v>
      </c>
      <c r="F223" s="1" t="s">
        <v>112</v>
      </c>
      <c r="G223" s="1">
        <v>4946389</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242</v>
      </c>
      <c r="D225" s="1" t="s">
        <v>112</v>
      </c>
      <c r="E225" s="1" t="s">
        <v>243</v>
      </c>
      <c r="F225" s="1" t="s">
        <v>244</v>
      </c>
      <c r="G225" s="1" t="s">
        <v>245</v>
      </c>
      <c r="H225" s="1" t="s">
        <v>246</v>
      </c>
      <c r="I225" s="1" t="s">
        <v>247</v>
      </c>
      <c r="J225" s="1" t="s">
        <v>248</v>
      </c>
    </row>
    <row r="226" spans="1:10"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686</v>
      </c>
      <c r="D226" s="1" t="s">
        <v>112</v>
      </c>
      <c r="E226" s="1" t="s">
        <v>687</v>
      </c>
      <c r="F226" s="1" t="s">
        <v>688</v>
      </c>
      <c r="G226" s="1">
        <v>4490275</v>
      </c>
      <c r="H226" s="1" t="s">
        <v>689</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254</v>
      </c>
      <c r="D232" s="1" t="s">
        <v>110</v>
      </c>
      <c r="E232" s="1" t="s">
        <v>111</v>
      </c>
      <c r="F232" s="1" t="s">
        <v>112</v>
      </c>
      <c r="G232" s="1" t="s">
        <v>113</v>
      </c>
    </row>
    <row r="233" spans="1:10" x14ac:dyDescent="0.25">
      <c r="A233" s="1" t="str">
        <f t="shared" si="3"/>
        <v>08 Estrone 0.04µg_L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690</v>
      </c>
      <c r="D233" s="1" t="s">
        <v>205</v>
      </c>
      <c r="E233" s="1" t="s">
        <v>691</v>
      </c>
      <c r="F233" s="1" t="s">
        <v>112</v>
      </c>
      <c r="G233" s="1">
        <v>12329</v>
      </c>
    </row>
    <row r="234" spans="1:10" x14ac:dyDescent="0.25">
      <c r="A234" s="1" t="str">
        <f t="shared" si="3"/>
        <v>08 Estrone 0.04µg_L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692</v>
      </c>
      <c r="D234" s="1" t="s">
        <v>693</v>
      </c>
      <c r="E234" s="1" t="s">
        <v>694</v>
      </c>
      <c r="F234" s="1" t="s">
        <v>112</v>
      </c>
      <c r="G234" s="1">
        <v>338292</v>
      </c>
    </row>
    <row r="235" spans="1:10" x14ac:dyDescent="0.25">
      <c r="A235" s="1" t="str">
        <f t="shared" si="3"/>
        <v>08 Estrone 0.04µg_L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695</v>
      </c>
      <c r="D235" s="1" t="s">
        <v>193</v>
      </c>
      <c r="E235" s="1" t="s">
        <v>696</v>
      </c>
      <c r="F235" s="1" t="s">
        <v>112</v>
      </c>
      <c r="G235" s="1">
        <v>53534</v>
      </c>
    </row>
    <row r="236" spans="1:10" x14ac:dyDescent="0.25">
      <c r="A236" s="1" t="str">
        <f t="shared" si="3"/>
        <v>08 Estrone 0.04µg_L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697</v>
      </c>
      <c r="D236" s="1" t="s">
        <v>698</v>
      </c>
      <c r="E236" s="1" t="s">
        <v>699</v>
      </c>
      <c r="F236" s="1" t="s">
        <v>112</v>
      </c>
      <c r="G236" s="1">
        <v>49814</v>
      </c>
    </row>
    <row r="237" spans="1:10" x14ac:dyDescent="0.25">
      <c r="A237" s="1" t="str">
        <f t="shared" si="3"/>
        <v>08 Estrone 0.04µg_L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700</v>
      </c>
      <c r="D237" s="1" t="s">
        <v>196</v>
      </c>
      <c r="E237" s="1" t="s">
        <v>197</v>
      </c>
      <c r="F237" s="1" t="s">
        <v>112</v>
      </c>
      <c r="G237" s="1">
        <v>16395</v>
      </c>
    </row>
    <row r="238" spans="1:10" x14ac:dyDescent="0.25">
      <c r="A238" s="1" t="str">
        <f t="shared" si="3"/>
        <v>08 Estrone 0.04µg_L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701</v>
      </c>
      <c r="D238" s="1" t="s">
        <v>702</v>
      </c>
      <c r="E238" s="1" t="s">
        <v>703</v>
      </c>
      <c r="F238" s="1" t="s">
        <v>112</v>
      </c>
      <c r="G238" s="1">
        <v>47607</v>
      </c>
    </row>
    <row r="239" spans="1:10" x14ac:dyDescent="0.25">
      <c r="A239" s="1" t="str">
        <f t="shared" si="3"/>
        <v>08 Estrone 0.04µg_L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704</v>
      </c>
      <c r="D239" s="1" t="s">
        <v>225</v>
      </c>
      <c r="E239" s="1" t="s">
        <v>705</v>
      </c>
      <c r="F239" s="1" t="s">
        <v>112</v>
      </c>
      <c r="G239" s="1">
        <v>213314</v>
      </c>
    </row>
    <row r="240" spans="1:10" x14ac:dyDescent="0.25">
      <c r="A240" s="1" t="str">
        <f t="shared" si="3"/>
        <v>08 Estrone 0.04µg_L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706</v>
      </c>
      <c r="D240" s="1" t="s">
        <v>707</v>
      </c>
      <c r="E240" s="1" t="s">
        <v>708</v>
      </c>
      <c r="F240" s="1" t="s">
        <v>112</v>
      </c>
      <c r="G240" s="1">
        <v>290316</v>
      </c>
    </row>
    <row r="241" spans="1:7" x14ac:dyDescent="0.25">
      <c r="A241" s="1" t="str">
        <f t="shared" si="3"/>
        <v>08 Estrone 0.04µg_L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709</v>
      </c>
      <c r="D241" s="1" t="s">
        <v>710</v>
      </c>
      <c r="E241" s="1" t="s">
        <v>711</v>
      </c>
      <c r="F241" s="1" t="s">
        <v>112</v>
      </c>
      <c r="G241" s="1">
        <v>10642</v>
      </c>
    </row>
    <row r="242" spans="1:7" x14ac:dyDescent="0.25">
      <c r="A242" s="1" t="str">
        <f t="shared" si="3"/>
        <v>08 Estrone 0.04µg_L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712</v>
      </c>
      <c r="D242" s="1" t="s">
        <v>713</v>
      </c>
      <c r="E242" s="1" t="s">
        <v>714</v>
      </c>
      <c r="F242" s="1" t="s">
        <v>112</v>
      </c>
      <c r="G242" s="1">
        <v>22300</v>
      </c>
    </row>
    <row r="243" spans="1:7" x14ac:dyDescent="0.25">
      <c r="A243" s="1" t="str">
        <f t="shared" si="3"/>
        <v>08 Estrone 0.04µg_L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715</v>
      </c>
      <c r="D243" s="1" t="s">
        <v>716</v>
      </c>
      <c r="E243" s="1" t="s">
        <v>717</v>
      </c>
      <c r="F243" s="1" t="s">
        <v>112</v>
      </c>
      <c r="G243" s="1">
        <v>39475</v>
      </c>
    </row>
    <row r="244" spans="1:7" x14ac:dyDescent="0.25">
      <c r="A244" s="1" t="str">
        <f t="shared" si="3"/>
        <v>08 Estrone 0.04µg_L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718</v>
      </c>
      <c r="D244" s="1" t="s">
        <v>719</v>
      </c>
      <c r="E244" s="1" t="s">
        <v>720</v>
      </c>
      <c r="F244" s="1" t="s">
        <v>112</v>
      </c>
      <c r="G244" s="1">
        <v>458208</v>
      </c>
    </row>
    <row r="245" spans="1:7" x14ac:dyDescent="0.25">
      <c r="A245" s="1" t="str">
        <f t="shared" si="3"/>
        <v>08 Estrone 0.04µg_L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721</v>
      </c>
      <c r="D245" s="1" t="s">
        <v>722</v>
      </c>
      <c r="E245" s="1" t="s">
        <v>723</v>
      </c>
      <c r="F245" s="1" t="s">
        <v>112</v>
      </c>
      <c r="G245" s="1">
        <v>108690</v>
      </c>
    </row>
    <row r="246" spans="1:7" x14ac:dyDescent="0.25">
      <c r="A246" s="1" t="str">
        <f t="shared" si="3"/>
        <v>08 Estrone 0.04µg_L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724</v>
      </c>
      <c r="D246" s="1" t="s">
        <v>713</v>
      </c>
      <c r="E246" s="1" t="s">
        <v>725</v>
      </c>
      <c r="F246" s="1" t="s">
        <v>112</v>
      </c>
      <c r="G246" s="1">
        <v>22192</v>
      </c>
    </row>
    <row r="247" spans="1:7" x14ac:dyDescent="0.25">
      <c r="A247" s="1" t="str">
        <f t="shared" si="3"/>
        <v>08 Estrone 0.04µg_L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726</v>
      </c>
    </row>
    <row r="248" spans="1:7" x14ac:dyDescent="0.25">
      <c r="A248" s="1" t="str">
        <f t="shared" si="3"/>
        <v>08 Estrone 0.04µg_L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727</v>
      </c>
      <c r="D248" s="1" t="s">
        <v>289</v>
      </c>
      <c r="E248" s="1" t="s">
        <v>728</v>
      </c>
      <c r="F248" s="1" t="s">
        <v>112</v>
      </c>
      <c r="G248" s="1">
        <v>32856</v>
      </c>
    </row>
    <row r="249" spans="1:7" x14ac:dyDescent="0.25">
      <c r="A249" s="1" t="str">
        <f t="shared" si="3"/>
        <v>08 Estrone 0.04µg_L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729</v>
      </c>
      <c r="D249" s="1" t="s">
        <v>196</v>
      </c>
      <c r="E249" s="1" t="s">
        <v>730</v>
      </c>
      <c r="F249" s="1" t="s">
        <v>112</v>
      </c>
      <c r="G249" s="1">
        <v>16222</v>
      </c>
    </row>
    <row r="250" spans="1:7" x14ac:dyDescent="0.25">
      <c r="A250" s="1" t="str">
        <f t="shared" si="3"/>
        <v>08 Estrone 0.04µg_L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731</v>
      </c>
      <c r="D250" s="1" t="s">
        <v>732</v>
      </c>
      <c r="E250" s="1" t="s">
        <v>733</v>
      </c>
      <c r="F250" s="1" t="s">
        <v>112</v>
      </c>
      <c r="G250" s="1">
        <v>162722</v>
      </c>
    </row>
    <row r="251" spans="1:7" x14ac:dyDescent="0.25">
      <c r="A251" s="1" t="str">
        <f t="shared" si="3"/>
        <v>08 Estrone 0.04µg_L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734</v>
      </c>
      <c r="D251" s="1" t="s">
        <v>336</v>
      </c>
      <c r="E251" s="1" t="s">
        <v>735</v>
      </c>
      <c r="F251" s="1" t="s">
        <v>112</v>
      </c>
      <c r="G251" s="1">
        <v>290425</v>
      </c>
    </row>
    <row r="252" spans="1:7" x14ac:dyDescent="0.25">
      <c r="A252" s="1" t="str">
        <f t="shared" si="3"/>
        <v>08 Estrone 0.04µg_L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736</v>
      </c>
      <c r="D252" s="1" t="s">
        <v>737</v>
      </c>
      <c r="E252" s="1" t="s">
        <v>738</v>
      </c>
      <c r="F252" s="1" t="s">
        <v>112</v>
      </c>
      <c r="G252" s="1">
        <v>141200</v>
      </c>
    </row>
    <row r="253" spans="1:7" x14ac:dyDescent="0.25">
      <c r="A253" s="1" t="str">
        <f t="shared" si="3"/>
        <v>08 Estrone 0.04µg_L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739</v>
      </c>
      <c r="D253" s="1" t="s">
        <v>740</v>
      </c>
      <c r="E253" s="1" t="s">
        <v>741</v>
      </c>
      <c r="F253" s="1" t="s">
        <v>112</v>
      </c>
      <c r="G253" s="1">
        <v>96707</v>
      </c>
    </row>
    <row r="254" spans="1:7" x14ac:dyDescent="0.25">
      <c r="A254" s="1" t="str">
        <f t="shared" si="3"/>
        <v>08 Estrone 0.04µg_L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742</v>
      </c>
      <c r="D254" s="1" t="s">
        <v>713</v>
      </c>
      <c r="E254" s="1" t="s">
        <v>743</v>
      </c>
      <c r="F254" s="1" t="s">
        <v>112</v>
      </c>
      <c r="G254" s="1">
        <v>22733</v>
      </c>
    </row>
    <row r="255" spans="1:7" x14ac:dyDescent="0.25">
      <c r="A255" s="1" t="str">
        <f t="shared" si="3"/>
        <v>08 Estrone 0.04µg_L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744</v>
      </c>
      <c r="D255" s="1" t="s">
        <v>300</v>
      </c>
      <c r="E255" s="1" t="s">
        <v>745</v>
      </c>
      <c r="F255" s="1" t="s">
        <v>112</v>
      </c>
      <c r="G255" s="1">
        <v>17931</v>
      </c>
    </row>
    <row r="256" spans="1:7" x14ac:dyDescent="0.25">
      <c r="A256" s="1" t="str">
        <f t="shared" si="3"/>
        <v>08 Estrone 0.04µg_L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746</v>
      </c>
      <c r="D256" s="1" t="s">
        <v>713</v>
      </c>
      <c r="E256" s="1" t="s">
        <v>747</v>
      </c>
      <c r="F256" s="1" t="s">
        <v>112</v>
      </c>
      <c r="G256" s="1">
        <v>22084</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242</v>
      </c>
      <c r="D258" s="1" t="s">
        <v>112</v>
      </c>
      <c r="E258" s="1" t="s">
        <v>243</v>
      </c>
      <c r="F258" s="1" t="s">
        <v>244</v>
      </c>
      <c r="G258" s="1" t="s">
        <v>245</v>
      </c>
      <c r="H258" s="1" t="s">
        <v>246</v>
      </c>
      <c r="I258" s="1" t="s">
        <v>247</v>
      </c>
      <c r="J258" s="1" t="s">
        <v>248</v>
      </c>
    </row>
    <row r="259" spans="1:10" x14ac:dyDescent="0.25">
      <c r="A259" s="1" t="str">
        <f t="shared" si="4"/>
        <v>08 Estrone 0.04µg_L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748</v>
      </c>
      <c r="D259" s="1" t="s">
        <v>112</v>
      </c>
      <c r="E259" s="1" t="s">
        <v>749</v>
      </c>
      <c r="F259" s="1" t="s">
        <v>750</v>
      </c>
      <c r="G259" s="1" t="s">
        <v>751</v>
      </c>
      <c r="H259" s="1" t="s">
        <v>752</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254</v>
      </c>
      <c r="D265" s="1" t="s">
        <v>110</v>
      </c>
      <c r="E265" s="1" t="s">
        <v>111</v>
      </c>
      <c r="F265" s="1" t="s">
        <v>112</v>
      </c>
      <c r="G265" s="1" t="s">
        <v>113</v>
      </c>
    </row>
    <row r="266" spans="1:10" x14ac:dyDescent="0.25">
      <c r="A266" s="1" t="str">
        <f t="shared" si="4"/>
        <v>09 Estrone 0.2µg_L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753</v>
      </c>
      <c r="D266" s="1" t="s">
        <v>754</v>
      </c>
      <c r="E266" s="1" t="s">
        <v>755</v>
      </c>
      <c r="F266" s="1" t="s">
        <v>112</v>
      </c>
      <c r="G266" s="1">
        <v>57968</v>
      </c>
    </row>
    <row r="267" spans="1:10" x14ac:dyDescent="0.25">
      <c r="A267" s="1" t="str">
        <f t="shared" si="4"/>
        <v>09 Estrone 0.2µg_L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756</v>
      </c>
      <c r="D267" s="1" t="s">
        <v>222</v>
      </c>
      <c r="E267" s="1" t="s">
        <v>757</v>
      </c>
      <c r="F267" s="1" t="s">
        <v>112</v>
      </c>
      <c r="G267" s="1">
        <v>28962</v>
      </c>
    </row>
    <row r="268" spans="1:10" x14ac:dyDescent="0.25">
      <c r="A268" s="1" t="str">
        <f t="shared" si="4"/>
        <v>09 Estrone 0.2µg_L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758</v>
      </c>
      <c r="D268" s="1" t="s">
        <v>759</v>
      </c>
      <c r="E268" s="1" t="s">
        <v>760</v>
      </c>
      <c r="F268" s="1" t="s">
        <v>112</v>
      </c>
      <c r="G268" s="1">
        <v>93830</v>
      </c>
    </row>
    <row r="269" spans="1:10" x14ac:dyDescent="0.25">
      <c r="A269" s="1" t="str">
        <f t="shared" si="4"/>
        <v>09 Estrone 0.2µg_L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761</v>
      </c>
      <c r="D269" s="1" t="s">
        <v>762</v>
      </c>
      <c r="E269" s="1" t="s">
        <v>763</v>
      </c>
      <c r="F269" s="1" t="s">
        <v>112</v>
      </c>
      <c r="G269" s="1">
        <v>386202</v>
      </c>
    </row>
    <row r="270" spans="1:10" x14ac:dyDescent="0.25">
      <c r="A270" s="1" t="str">
        <f t="shared" si="4"/>
        <v>09 Estrone 0.2µg_L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764</v>
      </c>
      <c r="D270" s="1" t="s">
        <v>765</v>
      </c>
      <c r="E270" s="1" t="s">
        <v>766</v>
      </c>
      <c r="F270" s="1" t="s">
        <v>112</v>
      </c>
      <c r="G270" s="1">
        <v>122815</v>
      </c>
    </row>
    <row r="271" spans="1:10" x14ac:dyDescent="0.25">
      <c r="A271" s="1" t="str">
        <f t="shared" si="4"/>
        <v>09 Estrone 0.2µg_L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767</v>
      </c>
      <c r="D271" s="1" t="s">
        <v>768</v>
      </c>
      <c r="E271" s="1" t="s">
        <v>769</v>
      </c>
      <c r="F271" s="1" t="s">
        <v>112</v>
      </c>
      <c r="G271" s="1">
        <v>9798</v>
      </c>
    </row>
    <row r="272" spans="1:10" x14ac:dyDescent="0.25">
      <c r="A272" s="1" t="str">
        <f t="shared" si="4"/>
        <v>09 Estrone 0.2µg_L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770</v>
      </c>
      <c r="D272" s="1" t="s">
        <v>771</v>
      </c>
      <c r="E272" s="1" t="s">
        <v>772</v>
      </c>
      <c r="F272" s="1" t="s">
        <v>112</v>
      </c>
      <c r="G272" s="1">
        <v>223696</v>
      </c>
    </row>
    <row r="273" spans="1:7" x14ac:dyDescent="0.25">
      <c r="A273" s="1" t="str">
        <f t="shared" si="4"/>
        <v>09 Estrone 0.2µg_L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773</v>
      </c>
      <c r="D273" s="1" t="s">
        <v>774</v>
      </c>
      <c r="E273" s="1" t="s">
        <v>489</v>
      </c>
      <c r="F273" s="1" t="s">
        <v>112</v>
      </c>
      <c r="G273" s="1">
        <v>137609</v>
      </c>
    </row>
    <row r="274" spans="1:7" x14ac:dyDescent="0.25">
      <c r="A274" s="1" t="str">
        <f t="shared" si="4"/>
        <v>09 Estrone 0.2µg_L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775</v>
      </c>
      <c r="D274" s="1" t="s">
        <v>205</v>
      </c>
      <c r="E274" s="1" t="s">
        <v>776</v>
      </c>
      <c r="F274" s="1" t="s">
        <v>112</v>
      </c>
      <c r="G274" s="1">
        <v>12113</v>
      </c>
    </row>
    <row r="275" spans="1:7" x14ac:dyDescent="0.25">
      <c r="A275" s="1" t="str">
        <f t="shared" si="4"/>
        <v>09 Estrone 0.2µg_L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777</v>
      </c>
      <c r="D275" s="1" t="s">
        <v>279</v>
      </c>
      <c r="E275" s="1" t="s">
        <v>778</v>
      </c>
      <c r="F275" s="1" t="s">
        <v>112</v>
      </c>
      <c r="G275" s="1">
        <v>27838</v>
      </c>
    </row>
    <row r="276" spans="1:7" x14ac:dyDescent="0.25">
      <c r="A276" s="1" t="str">
        <f t="shared" si="4"/>
        <v>09 Estrone 0.2µg_L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779</v>
      </c>
      <c r="D276" s="1" t="s">
        <v>294</v>
      </c>
      <c r="E276" s="1" t="s">
        <v>780</v>
      </c>
      <c r="F276" s="1" t="s">
        <v>112</v>
      </c>
      <c r="G276" s="1">
        <v>25783</v>
      </c>
    </row>
    <row r="277" spans="1:7" x14ac:dyDescent="0.25">
      <c r="A277" s="1" t="str">
        <f t="shared" si="4"/>
        <v>09 Estrone 0.2µg_L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781</v>
      </c>
      <c r="D277" s="1" t="s">
        <v>196</v>
      </c>
      <c r="E277" s="1" t="s">
        <v>782</v>
      </c>
      <c r="F277" s="1" t="s">
        <v>112</v>
      </c>
      <c r="G277" s="1">
        <v>16504</v>
      </c>
    </row>
    <row r="278" spans="1:7" x14ac:dyDescent="0.25">
      <c r="A278" s="1" t="str">
        <f t="shared" si="4"/>
        <v>09 Estrone 0.2µg_L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783</v>
      </c>
      <c r="D278" s="1" t="s">
        <v>784</v>
      </c>
      <c r="E278" s="1" t="s">
        <v>785</v>
      </c>
      <c r="F278" s="1" t="s">
        <v>112</v>
      </c>
      <c r="G278" s="1">
        <v>312292</v>
      </c>
    </row>
    <row r="279" spans="1:7" x14ac:dyDescent="0.25">
      <c r="A279" s="1" t="str">
        <f t="shared" si="4"/>
        <v>09 Estrone 0.2µg_L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786</v>
      </c>
      <c r="D279" s="1" t="s">
        <v>787</v>
      </c>
      <c r="E279" s="1" t="s">
        <v>788</v>
      </c>
      <c r="F279" s="1" t="s">
        <v>112</v>
      </c>
      <c r="G279" s="1">
        <v>271996</v>
      </c>
    </row>
    <row r="280" spans="1:7" x14ac:dyDescent="0.25">
      <c r="A280" s="1" t="str">
        <f t="shared" si="4"/>
        <v>09 Estrone 0.2µg_L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789</v>
      </c>
    </row>
    <row r="281" spans="1:7" x14ac:dyDescent="0.25">
      <c r="A281" s="1" t="str">
        <f t="shared" si="4"/>
        <v>09 Estrone 0.2µg_L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790</v>
      </c>
      <c r="D281" s="1" t="s">
        <v>791</v>
      </c>
      <c r="E281" s="1" t="s">
        <v>792</v>
      </c>
      <c r="F281" s="1" t="s">
        <v>112</v>
      </c>
      <c r="G281" s="1">
        <v>601138</v>
      </c>
    </row>
    <row r="282" spans="1:7" x14ac:dyDescent="0.25">
      <c r="A282" s="1" t="str">
        <f t="shared" si="4"/>
        <v>09 Estrone 0.2µg_L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793</v>
      </c>
      <c r="D282" s="1" t="s">
        <v>794</v>
      </c>
      <c r="E282" s="1" t="s">
        <v>795</v>
      </c>
      <c r="F282" s="1" t="s">
        <v>112</v>
      </c>
      <c r="G282" s="1">
        <v>962401</v>
      </c>
    </row>
    <row r="283" spans="1:7" x14ac:dyDescent="0.25">
      <c r="A283" s="1" t="str">
        <f t="shared" si="4"/>
        <v>09 Estrone 0.2µg_L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796</v>
      </c>
      <c r="D283" s="1" t="s">
        <v>797</v>
      </c>
      <c r="E283" s="1" t="s">
        <v>798</v>
      </c>
      <c r="F283" s="1" t="s">
        <v>112</v>
      </c>
      <c r="G283" s="1">
        <v>386375</v>
      </c>
    </row>
    <row r="284" spans="1:7" x14ac:dyDescent="0.25">
      <c r="A284" s="1" t="str">
        <f t="shared" si="4"/>
        <v>09 Estrone 0.2µg_L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799</v>
      </c>
      <c r="D284" s="1" t="s">
        <v>800</v>
      </c>
      <c r="E284" s="1" t="s">
        <v>801</v>
      </c>
      <c r="F284" s="1" t="s">
        <v>112</v>
      </c>
      <c r="G284" s="1">
        <v>113514</v>
      </c>
    </row>
    <row r="285" spans="1:7" x14ac:dyDescent="0.25">
      <c r="A285" s="1" t="str">
        <f t="shared" si="4"/>
        <v>09 Estrone 0.2µg_L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802</v>
      </c>
      <c r="D285" s="1" t="s">
        <v>210</v>
      </c>
      <c r="E285" s="1" t="s">
        <v>803</v>
      </c>
      <c r="F285" s="1" t="s">
        <v>112</v>
      </c>
      <c r="G285" s="1">
        <v>85698</v>
      </c>
    </row>
    <row r="286" spans="1:7" x14ac:dyDescent="0.25">
      <c r="A286" s="1" t="str">
        <f t="shared" si="4"/>
        <v>09 Estrone 0.2µg_L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804</v>
      </c>
      <c r="D286" s="1" t="s">
        <v>805</v>
      </c>
      <c r="E286" s="1" t="s">
        <v>806</v>
      </c>
      <c r="F286" s="1" t="s">
        <v>112</v>
      </c>
      <c r="G286" s="1">
        <v>55524</v>
      </c>
    </row>
    <row r="287" spans="1:7" x14ac:dyDescent="0.25">
      <c r="A287" s="1" t="str">
        <f t="shared" si="4"/>
        <v>09 Estrone 0.2µg_L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807</v>
      </c>
    </row>
    <row r="288" spans="1:7" x14ac:dyDescent="0.25">
      <c r="A288" s="1" t="str">
        <f t="shared" si="4"/>
        <v>09 Estrone 0.2µg_L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808</v>
      </c>
      <c r="D288" s="1" t="s">
        <v>175</v>
      </c>
      <c r="E288" s="1" t="s">
        <v>809</v>
      </c>
      <c r="F288" s="1" t="s">
        <v>112</v>
      </c>
      <c r="G288" s="1">
        <v>105922</v>
      </c>
    </row>
    <row r="289" spans="1:10" x14ac:dyDescent="0.25">
      <c r="A289" s="1" t="str">
        <f t="shared" si="4"/>
        <v>09 Estrone 0.2µg_L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810</v>
      </c>
      <c r="D289" s="1" t="s">
        <v>228</v>
      </c>
      <c r="E289" s="1" t="s">
        <v>811</v>
      </c>
      <c r="F289" s="1" t="s">
        <v>112</v>
      </c>
      <c r="G289" s="1">
        <v>70622</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242</v>
      </c>
      <c r="D291" s="1" t="s">
        <v>112</v>
      </c>
      <c r="E291" s="1" t="s">
        <v>243</v>
      </c>
      <c r="F291" s="1" t="s">
        <v>244</v>
      </c>
      <c r="G291" s="1" t="s">
        <v>245</v>
      </c>
      <c r="H291" s="1" t="s">
        <v>246</v>
      </c>
      <c r="I291" s="1" t="s">
        <v>247</v>
      </c>
      <c r="J291" s="1" t="s">
        <v>248</v>
      </c>
    </row>
    <row r="292" spans="1:10" x14ac:dyDescent="0.25">
      <c r="A292" s="1" t="str">
        <f t="shared" si="4"/>
        <v>09 Estrone 0.2µg_L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812</v>
      </c>
      <c r="D292" s="1" t="s">
        <v>112</v>
      </c>
      <c r="E292" s="1" t="s">
        <v>813</v>
      </c>
      <c r="F292" s="1" t="s">
        <v>814</v>
      </c>
      <c r="G292" s="1" t="s">
        <v>815</v>
      </c>
      <c r="H292" s="1" t="s">
        <v>816</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254</v>
      </c>
      <c r="D298" s="1" t="s">
        <v>110</v>
      </c>
      <c r="E298" s="1" t="s">
        <v>111</v>
      </c>
      <c r="F298" s="1" t="s">
        <v>112</v>
      </c>
      <c r="G298" s="1" t="s">
        <v>113</v>
      </c>
    </row>
    <row r="299" spans="1:10" x14ac:dyDescent="0.25">
      <c r="A299" s="1" t="str">
        <f t="shared" si="4"/>
        <v>10 Estrone 1µg_L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817</v>
      </c>
      <c r="D299" s="1" t="s">
        <v>311</v>
      </c>
      <c r="E299" s="1" t="s">
        <v>818</v>
      </c>
      <c r="F299" s="1" t="s">
        <v>112</v>
      </c>
      <c r="G299" s="1">
        <v>418474</v>
      </c>
    </row>
    <row r="300" spans="1:10" x14ac:dyDescent="0.25">
      <c r="A300" s="1" t="str">
        <f t="shared" si="4"/>
        <v>10 Estrone 1µg_L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819</v>
      </c>
      <c r="D300" s="1" t="s">
        <v>820</v>
      </c>
      <c r="E300" s="1" t="s">
        <v>821</v>
      </c>
      <c r="F300" s="1" t="s">
        <v>112</v>
      </c>
      <c r="G300" s="1">
        <v>125280</v>
      </c>
    </row>
    <row r="301" spans="1:10" x14ac:dyDescent="0.25">
      <c r="A301" s="1" t="str">
        <f t="shared" si="4"/>
        <v>10 Estrone 1µg_L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822</v>
      </c>
      <c r="D301" s="1" t="s">
        <v>823</v>
      </c>
      <c r="E301" s="1" t="s">
        <v>824</v>
      </c>
      <c r="F301" s="1" t="s">
        <v>112</v>
      </c>
      <c r="G301" s="1">
        <v>429570</v>
      </c>
    </row>
    <row r="302" spans="1:10" x14ac:dyDescent="0.25">
      <c r="A302" s="1" t="str">
        <f t="shared" si="4"/>
        <v>10 Estrone 1µg_L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825</v>
      </c>
      <c r="D302" s="1" t="s">
        <v>148</v>
      </c>
      <c r="E302" s="1" t="s">
        <v>826</v>
      </c>
      <c r="F302" s="1" t="s">
        <v>112</v>
      </c>
      <c r="G302" s="1">
        <v>349972</v>
      </c>
    </row>
    <row r="303" spans="1:10" x14ac:dyDescent="0.25">
      <c r="A303" s="1" t="str">
        <f t="shared" si="4"/>
        <v>10 Estrone 1µg_L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827</v>
      </c>
      <c r="D303" s="1" t="s">
        <v>828</v>
      </c>
      <c r="E303" s="1" t="s">
        <v>829</v>
      </c>
      <c r="F303" s="1" t="s">
        <v>112</v>
      </c>
      <c r="G303" s="1">
        <v>428921</v>
      </c>
    </row>
    <row r="304" spans="1:10" x14ac:dyDescent="0.25">
      <c r="A304" s="1" t="str">
        <f t="shared" si="4"/>
        <v>10 Estrone 1µg_L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830</v>
      </c>
      <c r="D304" s="1" t="s">
        <v>831</v>
      </c>
      <c r="E304" s="1" t="s">
        <v>832</v>
      </c>
      <c r="F304" s="1" t="s">
        <v>112</v>
      </c>
      <c r="G304" s="1">
        <v>426931</v>
      </c>
    </row>
    <row r="305" spans="1:7" x14ac:dyDescent="0.25">
      <c r="A305" s="1" t="str">
        <f t="shared" si="4"/>
        <v>10 Estrone 1µg_L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833</v>
      </c>
      <c r="D305" s="1" t="s">
        <v>834</v>
      </c>
      <c r="E305" s="1" t="s">
        <v>835</v>
      </c>
      <c r="F305" s="1" t="s">
        <v>112</v>
      </c>
      <c r="G305" s="1">
        <v>188137</v>
      </c>
    </row>
    <row r="306" spans="1:7" x14ac:dyDescent="0.25">
      <c r="A306" s="1" t="str">
        <f t="shared" si="4"/>
        <v>10 Estrone 1µg_L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836</v>
      </c>
      <c r="D306" s="1" t="s">
        <v>837</v>
      </c>
      <c r="E306" s="1" t="s">
        <v>838</v>
      </c>
      <c r="F306" s="1" t="s">
        <v>112</v>
      </c>
      <c r="G306" s="1">
        <v>369460</v>
      </c>
    </row>
    <row r="307" spans="1:7" x14ac:dyDescent="0.25">
      <c r="A307" s="1" t="str">
        <f t="shared" si="4"/>
        <v>10 Estrone 1µg_L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839</v>
      </c>
      <c r="D307" s="1" t="s">
        <v>438</v>
      </c>
      <c r="E307" s="1" t="s">
        <v>840</v>
      </c>
      <c r="F307" s="1" t="s">
        <v>112</v>
      </c>
      <c r="G307" s="1">
        <v>74991</v>
      </c>
    </row>
    <row r="308" spans="1:7" x14ac:dyDescent="0.25">
      <c r="A308" s="1" t="str">
        <f t="shared" si="4"/>
        <v>10 Estrone 1µg_L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841</v>
      </c>
      <c r="D308" s="1" t="s">
        <v>202</v>
      </c>
      <c r="E308" s="1" t="s">
        <v>842</v>
      </c>
      <c r="F308" s="1" t="s">
        <v>112</v>
      </c>
      <c r="G308" s="1">
        <v>99541</v>
      </c>
    </row>
    <row r="309" spans="1:7" x14ac:dyDescent="0.25">
      <c r="A309" s="1" t="str">
        <f t="shared" si="4"/>
        <v>10 Estrone 1µg_L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843</v>
      </c>
      <c r="D309" s="1" t="s">
        <v>216</v>
      </c>
      <c r="E309" s="1" t="s">
        <v>844</v>
      </c>
      <c r="F309" s="1" t="s">
        <v>112</v>
      </c>
      <c r="G309" s="1">
        <v>77608</v>
      </c>
    </row>
    <row r="310" spans="1:7" x14ac:dyDescent="0.25">
      <c r="A310" s="1" t="str">
        <f t="shared" si="4"/>
        <v>10 Estrone 1µg_L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845</v>
      </c>
      <c r="D310" s="1" t="s">
        <v>289</v>
      </c>
      <c r="E310" s="1" t="s">
        <v>846</v>
      </c>
      <c r="F310" s="1" t="s">
        <v>112</v>
      </c>
      <c r="G310" s="1">
        <v>32899</v>
      </c>
    </row>
    <row r="311" spans="1:7" x14ac:dyDescent="0.25">
      <c r="A311" s="1" t="str">
        <f t="shared" si="4"/>
        <v>10 Estrone 1µg_L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847</v>
      </c>
      <c r="D311" s="1" t="s">
        <v>848</v>
      </c>
      <c r="E311" s="1" t="s">
        <v>849</v>
      </c>
      <c r="F311" s="1" t="s">
        <v>112</v>
      </c>
      <c r="G311" s="1">
        <v>191295</v>
      </c>
    </row>
    <row r="312" spans="1:7" x14ac:dyDescent="0.25">
      <c r="A312" s="1" t="str">
        <f t="shared" si="4"/>
        <v>10 Estrone 1µg_L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850</v>
      </c>
      <c r="D312" s="1" t="s">
        <v>737</v>
      </c>
      <c r="E312" s="1" t="s">
        <v>851</v>
      </c>
      <c r="F312" s="1" t="s">
        <v>112</v>
      </c>
      <c r="G312" s="1">
        <v>140465</v>
      </c>
    </row>
    <row r="313" spans="1:7" x14ac:dyDescent="0.25">
      <c r="A313" s="1" t="str">
        <f t="shared" si="4"/>
        <v>10 Estrone 1µg_L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852</v>
      </c>
      <c r="D313" s="1" t="s">
        <v>853</v>
      </c>
      <c r="E313" s="1" t="s">
        <v>854</v>
      </c>
      <c r="F313" s="1" t="s">
        <v>112</v>
      </c>
      <c r="G313" s="1">
        <v>235225</v>
      </c>
    </row>
    <row r="314" spans="1:7" x14ac:dyDescent="0.25">
      <c r="A314" s="1" t="str">
        <f t="shared" si="4"/>
        <v>10 Estrone 1µg_L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855</v>
      </c>
      <c r="D314" s="1" t="s">
        <v>856</v>
      </c>
      <c r="E314" s="1" t="s">
        <v>857</v>
      </c>
      <c r="F314" s="1" t="s">
        <v>112</v>
      </c>
      <c r="G314" s="1">
        <v>37030</v>
      </c>
    </row>
    <row r="315" spans="1:7" x14ac:dyDescent="0.25">
      <c r="A315" s="1" t="str">
        <f t="shared" si="4"/>
        <v>10 Estrone 1µg_L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858</v>
      </c>
      <c r="D315" s="1" t="s">
        <v>859</v>
      </c>
      <c r="E315" s="1" t="s">
        <v>860</v>
      </c>
      <c r="F315" s="1" t="s">
        <v>112</v>
      </c>
      <c r="G315" s="1">
        <v>66663</v>
      </c>
    </row>
    <row r="316" spans="1:7" x14ac:dyDescent="0.25">
      <c r="A316" s="1" t="str">
        <f t="shared" si="4"/>
        <v>10 Estrone 1µg_L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861</v>
      </c>
      <c r="D316" s="1" t="s">
        <v>300</v>
      </c>
      <c r="E316" s="1" t="s">
        <v>862</v>
      </c>
      <c r="F316" s="1" t="s">
        <v>112</v>
      </c>
      <c r="G316" s="1">
        <v>17542</v>
      </c>
    </row>
    <row r="317" spans="1:7" x14ac:dyDescent="0.25">
      <c r="A317" s="1" t="str">
        <f t="shared" si="4"/>
        <v>10 Estrone 1µg_L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863</v>
      </c>
      <c r="D317" s="1" t="s">
        <v>864</v>
      </c>
      <c r="E317" s="1" t="s">
        <v>865</v>
      </c>
      <c r="F317" s="1" t="s">
        <v>112</v>
      </c>
      <c r="G317" s="1">
        <v>184568</v>
      </c>
    </row>
    <row r="318" spans="1:7" x14ac:dyDescent="0.25">
      <c r="A318" s="1" t="str">
        <f t="shared" si="4"/>
        <v>10 Estrone 1µg_L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866</v>
      </c>
      <c r="D318" s="1" t="s">
        <v>867</v>
      </c>
      <c r="E318" s="1" t="s">
        <v>868</v>
      </c>
      <c r="F318" s="1" t="s">
        <v>112</v>
      </c>
      <c r="G318" s="1">
        <v>412958</v>
      </c>
    </row>
    <row r="319" spans="1:7" x14ac:dyDescent="0.25">
      <c r="A319" s="1" t="str">
        <f t="shared" si="4"/>
        <v>10 Estrone 1µg_L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869</v>
      </c>
      <c r="D319" s="1" t="s">
        <v>853</v>
      </c>
      <c r="E319" s="1" t="s">
        <v>870</v>
      </c>
      <c r="F319" s="1" t="s">
        <v>112</v>
      </c>
      <c r="G319" s="1">
        <v>237431</v>
      </c>
    </row>
    <row r="320" spans="1:7" x14ac:dyDescent="0.25">
      <c r="A320" s="1" t="str">
        <f t="shared" si="4"/>
        <v>10 Estrone 1µg_L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871</v>
      </c>
      <c r="D320" s="1" t="s">
        <v>317</v>
      </c>
      <c r="E320" s="1" t="s">
        <v>872</v>
      </c>
      <c r="F320" s="1" t="s">
        <v>112</v>
      </c>
      <c r="G320" s="1">
        <v>68870</v>
      </c>
    </row>
    <row r="321" spans="1:10" x14ac:dyDescent="0.25">
      <c r="A321" s="1" t="str">
        <f t="shared" si="4"/>
        <v>10 Estrone 1µg_L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873</v>
      </c>
      <c r="D321" s="1" t="s">
        <v>834</v>
      </c>
      <c r="E321" s="1" t="s">
        <v>874</v>
      </c>
      <c r="F321" s="1" t="s">
        <v>112</v>
      </c>
      <c r="G321" s="1">
        <v>186796</v>
      </c>
    </row>
    <row r="322" spans="1:10" x14ac:dyDescent="0.25">
      <c r="A322" s="1" t="str">
        <f t="shared" ref="A322:A385" si="5">IFERROR(LEFT(RIGHT(C322,LEN(C322)-SEARCH("@",C322)),SEARCH("/",RIGHT(C322,LEN(C322)-SEARCH("@",C322)-1))),"")</f>
        <v>10 Estrone 1µg_L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875</v>
      </c>
      <c r="D322" s="1" t="s">
        <v>876</v>
      </c>
      <c r="E322" s="1" t="s">
        <v>877</v>
      </c>
      <c r="F322" s="1" t="s">
        <v>112</v>
      </c>
      <c r="G322" s="1">
        <v>316467</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242</v>
      </c>
      <c r="D324" s="1" t="s">
        <v>112</v>
      </c>
      <c r="E324" s="1" t="s">
        <v>243</v>
      </c>
      <c r="F324" s="1" t="s">
        <v>244</v>
      </c>
      <c r="G324" s="1" t="s">
        <v>245</v>
      </c>
      <c r="H324" s="1" t="s">
        <v>246</v>
      </c>
      <c r="I324" s="1" t="s">
        <v>247</v>
      </c>
      <c r="J324" s="1" t="s">
        <v>248</v>
      </c>
    </row>
    <row r="325" spans="1:10" x14ac:dyDescent="0.25">
      <c r="A325" s="1" t="str">
        <f t="shared" si="5"/>
        <v>10 Estrone 1µg_L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878</v>
      </c>
      <c r="D325" s="1" t="s">
        <v>112</v>
      </c>
      <c r="E325" s="1" t="s">
        <v>879</v>
      </c>
      <c r="F325" s="1" t="s">
        <v>880</v>
      </c>
      <c r="G325" s="1" t="s">
        <v>881</v>
      </c>
      <c r="H325" s="1" t="s">
        <v>882</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254</v>
      </c>
      <c r="D331" s="1" t="s">
        <v>110</v>
      </c>
      <c r="E331" s="1" t="s">
        <v>111</v>
      </c>
      <c r="F331" s="1" t="s">
        <v>112</v>
      </c>
      <c r="G331" s="1" t="s">
        <v>113</v>
      </c>
    </row>
    <row r="332" spans="1:10" x14ac:dyDescent="0.25">
      <c r="A332" s="1" t="str">
        <f t="shared" si="5"/>
        <v>11 Estrone 5µg_L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883</v>
      </c>
      <c r="D332" s="1" t="s">
        <v>884</v>
      </c>
      <c r="E332" s="1" t="s">
        <v>885</v>
      </c>
      <c r="F332" s="1" t="s">
        <v>112</v>
      </c>
      <c r="G332" s="1">
        <v>3369981</v>
      </c>
    </row>
    <row r="333" spans="1:10" x14ac:dyDescent="0.25">
      <c r="A333" s="1" t="str">
        <f t="shared" si="5"/>
        <v>11 Estrone 5µg_L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886</v>
      </c>
      <c r="D333" s="1" t="s">
        <v>887</v>
      </c>
      <c r="E333" s="1" t="s">
        <v>888</v>
      </c>
      <c r="F333" s="1" t="s">
        <v>112</v>
      </c>
      <c r="G333" s="1">
        <v>3474064</v>
      </c>
    </row>
    <row r="334" spans="1:10" x14ac:dyDescent="0.25">
      <c r="A334" s="1" t="str">
        <f t="shared" si="5"/>
        <v>11 Estrone 5µg_L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889</v>
      </c>
      <c r="D334" s="1" t="s">
        <v>890</v>
      </c>
      <c r="E334" s="1" t="s">
        <v>891</v>
      </c>
      <c r="F334" s="1" t="s">
        <v>112</v>
      </c>
      <c r="G334" s="1">
        <v>3475643</v>
      </c>
    </row>
    <row r="335" spans="1:10" x14ac:dyDescent="0.25">
      <c r="A335" s="1" t="str">
        <f t="shared" si="5"/>
        <v>11 Estrone 5µg_L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892</v>
      </c>
      <c r="D335" s="1" t="s">
        <v>893</v>
      </c>
      <c r="E335" s="1" t="s">
        <v>894</v>
      </c>
      <c r="F335" s="1" t="s">
        <v>112</v>
      </c>
      <c r="G335" s="1">
        <v>3273512</v>
      </c>
    </row>
    <row r="336" spans="1:10" x14ac:dyDescent="0.25">
      <c r="A336" s="1" t="str">
        <f t="shared" si="5"/>
        <v>11 Estrone 5µg_L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895</v>
      </c>
      <c r="D336" s="1" t="s">
        <v>896</v>
      </c>
      <c r="E336" s="1" t="s">
        <v>897</v>
      </c>
      <c r="F336" s="1" t="s">
        <v>112</v>
      </c>
      <c r="G336" s="1">
        <v>3130387</v>
      </c>
    </row>
    <row r="337" spans="1:7" x14ac:dyDescent="0.25">
      <c r="A337" s="1" t="str">
        <f t="shared" si="5"/>
        <v>11 Estrone 5µg_L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898</v>
      </c>
      <c r="D337" s="1" t="s">
        <v>899</v>
      </c>
      <c r="E337" s="1" t="s">
        <v>900</v>
      </c>
      <c r="F337" s="1" t="s">
        <v>112</v>
      </c>
      <c r="G337" s="1">
        <v>3195211</v>
      </c>
    </row>
    <row r="338" spans="1:7" x14ac:dyDescent="0.25">
      <c r="A338" s="1" t="str">
        <f t="shared" si="5"/>
        <v>11 Estrone 5µg_L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901</v>
      </c>
      <c r="D338" s="1" t="s">
        <v>902</v>
      </c>
      <c r="E338" s="1" t="s">
        <v>903</v>
      </c>
      <c r="F338" s="1" t="s">
        <v>112</v>
      </c>
      <c r="G338" s="1">
        <v>2123623</v>
      </c>
    </row>
    <row r="339" spans="1:7" x14ac:dyDescent="0.25">
      <c r="A339" s="1" t="str">
        <f t="shared" si="5"/>
        <v>11 Estrone 5µg_L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904</v>
      </c>
      <c r="D339" s="1" t="s">
        <v>905</v>
      </c>
      <c r="E339" s="1" t="s">
        <v>906</v>
      </c>
      <c r="F339" s="1" t="s">
        <v>112</v>
      </c>
      <c r="G339" s="1">
        <v>2091157</v>
      </c>
    </row>
    <row r="340" spans="1:7" x14ac:dyDescent="0.25">
      <c r="A340" s="1" t="str">
        <f t="shared" si="5"/>
        <v>11 Estrone 5µg_L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907</v>
      </c>
      <c r="D340" s="1" t="s">
        <v>908</v>
      </c>
      <c r="E340" s="1" t="s">
        <v>909</v>
      </c>
      <c r="F340" s="1" t="s">
        <v>112</v>
      </c>
      <c r="G340" s="1">
        <v>2001847</v>
      </c>
    </row>
    <row r="341" spans="1:7" x14ac:dyDescent="0.25">
      <c r="A341" s="1" t="str">
        <f t="shared" si="5"/>
        <v>11 Estrone 5µg_L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910</v>
      </c>
      <c r="D341" s="1" t="s">
        <v>911</v>
      </c>
      <c r="E341" s="1" t="s">
        <v>912</v>
      </c>
      <c r="F341" s="1" t="s">
        <v>112</v>
      </c>
      <c r="G341" s="1">
        <v>5987609</v>
      </c>
    </row>
    <row r="342" spans="1:7" x14ac:dyDescent="0.25">
      <c r="A342" s="1" t="str">
        <f t="shared" si="5"/>
        <v>11 Estrone 5µg_L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913</v>
      </c>
      <c r="D342" s="1" t="s">
        <v>914</v>
      </c>
      <c r="E342" s="1" t="s">
        <v>915</v>
      </c>
      <c r="F342" s="1" t="s">
        <v>112</v>
      </c>
      <c r="G342" s="1">
        <v>5669109</v>
      </c>
    </row>
    <row r="343" spans="1:7" x14ac:dyDescent="0.25">
      <c r="A343" s="1" t="str">
        <f t="shared" si="5"/>
        <v>11 Estrone 5µg_L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916</v>
      </c>
      <c r="D343" s="1" t="s">
        <v>917</v>
      </c>
      <c r="E343" s="1" t="s">
        <v>918</v>
      </c>
      <c r="F343" s="1" t="s">
        <v>112</v>
      </c>
      <c r="G343" s="1">
        <v>6282727</v>
      </c>
    </row>
    <row r="344" spans="1:7" x14ac:dyDescent="0.25">
      <c r="A344" s="1" t="str">
        <f t="shared" si="5"/>
        <v>11 Estrone 5µg_L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919</v>
      </c>
      <c r="D344" s="1" t="s">
        <v>920</v>
      </c>
      <c r="E344" s="1" t="s">
        <v>921</v>
      </c>
      <c r="F344" s="1" t="s">
        <v>112</v>
      </c>
      <c r="G344" s="1">
        <v>4881889</v>
      </c>
    </row>
    <row r="345" spans="1:7" x14ac:dyDescent="0.25">
      <c r="A345" s="1" t="str">
        <f t="shared" si="5"/>
        <v>11 Estrone 5µg_L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922</v>
      </c>
      <c r="D345" s="1" t="s">
        <v>923</v>
      </c>
      <c r="E345" s="1" t="s">
        <v>924</v>
      </c>
      <c r="F345" s="1" t="s">
        <v>112</v>
      </c>
      <c r="G345" s="1">
        <v>4582812</v>
      </c>
    </row>
    <row r="346" spans="1:7" x14ac:dyDescent="0.25">
      <c r="A346" s="1" t="str">
        <f t="shared" si="5"/>
        <v>11 Estrone 5µg_L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925</v>
      </c>
      <c r="D346" s="1" t="s">
        <v>926</v>
      </c>
      <c r="E346" s="1" t="s">
        <v>927</v>
      </c>
      <c r="F346" s="1" t="s">
        <v>112</v>
      </c>
      <c r="G346" s="1">
        <v>4425693</v>
      </c>
    </row>
    <row r="347" spans="1:7" x14ac:dyDescent="0.25">
      <c r="A347" s="1" t="str">
        <f t="shared" si="5"/>
        <v>11 Estrone 5µg_L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928</v>
      </c>
    </row>
    <row r="348" spans="1:7" x14ac:dyDescent="0.25">
      <c r="A348" s="1" t="str">
        <f t="shared" si="5"/>
        <v>11 Estrone 5µg_L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929</v>
      </c>
      <c r="D348" s="1" t="s">
        <v>666</v>
      </c>
      <c r="E348" s="1" t="s">
        <v>930</v>
      </c>
      <c r="F348" s="1" t="s">
        <v>112</v>
      </c>
      <c r="G348" s="1">
        <v>6055678</v>
      </c>
    </row>
    <row r="349" spans="1:7" x14ac:dyDescent="0.25">
      <c r="A349" s="1" t="str">
        <f t="shared" si="5"/>
        <v>11 Estrone 5µg_L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931</v>
      </c>
      <c r="D349" s="1" t="s">
        <v>932</v>
      </c>
      <c r="E349" s="1" t="s">
        <v>933</v>
      </c>
      <c r="F349" s="1" t="s">
        <v>112</v>
      </c>
      <c r="G349" s="1">
        <v>6271134</v>
      </c>
    </row>
    <row r="350" spans="1:7" x14ac:dyDescent="0.25">
      <c r="A350" s="1" t="str">
        <f t="shared" si="5"/>
        <v>11 Estrone 5µg_L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934</v>
      </c>
      <c r="D350" s="1" t="s">
        <v>461</v>
      </c>
      <c r="E350" s="1" t="s">
        <v>935</v>
      </c>
      <c r="F350" s="1" t="s">
        <v>112</v>
      </c>
      <c r="G350" s="1">
        <v>64068</v>
      </c>
    </row>
    <row r="351" spans="1:7" x14ac:dyDescent="0.25">
      <c r="A351" s="1" t="str">
        <f t="shared" si="5"/>
        <v>11 Estrone 5µg_L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936</v>
      </c>
      <c r="D351" s="1" t="s">
        <v>937</v>
      </c>
      <c r="E351" s="1" t="s">
        <v>938</v>
      </c>
      <c r="F351" s="1" t="s">
        <v>112</v>
      </c>
      <c r="G351" s="1">
        <v>600987</v>
      </c>
    </row>
    <row r="352" spans="1:7" x14ac:dyDescent="0.25">
      <c r="A352" s="1" t="str">
        <f t="shared" si="5"/>
        <v>11 Estrone 5µg_L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939</v>
      </c>
      <c r="D352" s="1" t="s">
        <v>940</v>
      </c>
      <c r="E352" s="1" t="s">
        <v>941</v>
      </c>
      <c r="F352" s="1" t="s">
        <v>112</v>
      </c>
      <c r="G352" s="1">
        <v>531598</v>
      </c>
    </row>
    <row r="353" spans="1:10" x14ac:dyDescent="0.25">
      <c r="A353" s="1" t="str">
        <f t="shared" si="5"/>
        <v>11 Estrone 5µg_L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942</v>
      </c>
      <c r="D353" s="1" t="s">
        <v>943</v>
      </c>
      <c r="E353" s="1" t="s">
        <v>944</v>
      </c>
      <c r="F353" s="1" t="s">
        <v>112</v>
      </c>
      <c r="G353" s="1">
        <v>3013715</v>
      </c>
    </row>
    <row r="354" spans="1:10" x14ac:dyDescent="0.25">
      <c r="A354" s="1" t="str">
        <f t="shared" si="5"/>
        <v>11 Estrone 5µg_L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945</v>
      </c>
      <c r="D354" s="1" t="s">
        <v>946</v>
      </c>
      <c r="E354" s="1" t="s">
        <v>947</v>
      </c>
      <c r="F354" s="1" t="s">
        <v>112</v>
      </c>
      <c r="G354" s="1">
        <v>3383067</v>
      </c>
    </row>
    <row r="355" spans="1:10" x14ac:dyDescent="0.25">
      <c r="A355" s="1" t="str">
        <f t="shared" si="5"/>
        <v>11 Estrone 5µg_L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948</v>
      </c>
      <c r="D355" s="1" t="s">
        <v>949</v>
      </c>
      <c r="E355" s="1" t="s">
        <v>950</v>
      </c>
      <c r="F355" s="1" t="s">
        <v>112</v>
      </c>
      <c r="G355" s="1">
        <v>3164086</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242</v>
      </c>
      <c r="D357" s="1" t="s">
        <v>112</v>
      </c>
      <c r="E357" s="1" t="s">
        <v>243</v>
      </c>
      <c r="F357" s="1" t="s">
        <v>244</v>
      </c>
      <c r="G357" s="1" t="s">
        <v>245</v>
      </c>
      <c r="H357" s="1" t="s">
        <v>246</v>
      </c>
      <c r="I357" s="1" t="s">
        <v>247</v>
      </c>
      <c r="J357" s="1" t="s">
        <v>248</v>
      </c>
    </row>
    <row r="358" spans="1:10" x14ac:dyDescent="0.25">
      <c r="A358" s="1" t="str">
        <f t="shared" si="5"/>
        <v>11 Estrone 5µg_L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951</v>
      </c>
      <c r="D358" s="1" t="s">
        <v>112</v>
      </c>
      <c r="E358" s="1" t="s">
        <v>952</v>
      </c>
      <c r="F358" s="1" t="s">
        <v>953</v>
      </c>
      <c r="G358" s="1" t="s">
        <v>954</v>
      </c>
      <c r="H358" s="1" t="s">
        <v>955</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254</v>
      </c>
      <c r="D364" s="1" t="s">
        <v>110</v>
      </c>
      <c r="E364" s="1" t="s">
        <v>111</v>
      </c>
      <c r="F364" s="1" t="s">
        <v>112</v>
      </c>
      <c r="G364" s="1" t="s">
        <v>113</v>
      </c>
    </row>
    <row r="365" spans="1:10" x14ac:dyDescent="0.25">
      <c r="A365" s="1" t="str">
        <f t="shared" si="5"/>
        <v>12 Estrone 25µg_L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956</v>
      </c>
      <c r="D365" s="1" t="s">
        <v>957</v>
      </c>
      <c r="E365" s="1" t="s">
        <v>958</v>
      </c>
      <c r="F365" s="1" t="s">
        <v>112</v>
      </c>
      <c r="G365" s="1">
        <v>8473836</v>
      </c>
    </row>
    <row r="366" spans="1:10" x14ac:dyDescent="0.25">
      <c r="A366" s="1" t="str">
        <f t="shared" si="5"/>
        <v>12 Estrone 25µg_L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959</v>
      </c>
      <c r="D366" s="1" t="s">
        <v>960</v>
      </c>
      <c r="E366" s="1" t="s">
        <v>961</v>
      </c>
      <c r="F366" s="1" t="s">
        <v>112</v>
      </c>
      <c r="G366" s="1">
        <v>5444764</v>
      </c>
    </row>
    <row r="367" spans="1:10" x14ac:dyDescent="0.25">
      <c r="A367" s="1" t="str">
        <f t="shared" si="5"/>
        <v>12 Estrone 25µg_L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962</v>
      </c>
      <c r="D367" s="1" t="s">
        <v>963</v>
      </c>
      <c r="E367" s="1" t="s">
        <v>964</v>
      </c>
      <c r="F367" s="1" t="s">
        <v>112</v>
      </c>
      <c r="G367" s="1">
        <v>5570909</v>
      </c>
    </row>
    <row r="368" spans="1:10" x14ac:dyDescent="0.25">
      <c r="A368" s="1" t="str">
        <f t="shared" si="5"/>
        <v>12 Estrone 25µg_L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965</v>
      </c>
      <c r="D368" s="1" t="s">
        <v>966</v>
      </c>
      <c r="E368" s="1" t="s">
        <v>967</v>
      </c>
      <c r="F368" s="1" t="s">
        <v>112</v>
      </c>
      <c r="G368" s="1">
        <v>5361705</v>
      </c>
    </row>
    <row r="369" spans="1:7" x14ac:dyDescent="0.25">
      <c r="A369" s="1" t="str">
        <f t="shared" si="5"/>
        <v>12 Estrone 25µg_L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968</v>
      </c>
      <c r="D369" s="1" t="s">
        <v>969</v>
      </c>
      <c r="E369" s="1" t="s">
        <v>970</v>
      </c>
      <c r="F369" s="1" t="s">
        <v>112</v>
      </c>
      <c r="G369" s="1">
        <v>5466567</v>
      </c>
    </row>
    <row r="370" spans="1:7" x14ac:dyDescent="0.25">
      <c r="A370" s="1" t="str">
        <f t="shared" si="5"/>
        <v>12 Estrone 25µg_L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971</v>
      </c>
      <c r="D370" s="1" t="s">
        <v>681</v>
      </c>
      <c r="E370" s="1" t="s">
        <v>972</v>
      </c>
      <c r="F370" s="1" t="s">
        <v>112</v>
      </c>
      <c r="G370" s="1">
        <v>5502104</v>
      </c>
    </row>
    <row r="371" spans="1:7" x14ac:dyDescent="0.25">
      <c r="A371" s="1" t="str">
        <f t="shared" si="5"/>
        <v>12 Estrone 25µg_L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973</v>
      </c>
      <c r="D371" s="1" t="s">
        <v>974</v>
      </c>
      <c r="E371" s="1" t="s">
        <v>975</v>
      </c>
      <c r="F371" s="1" t="s">
        <v>112</v>
      </c>
      <c r="G371" s="1">
        <v>5935827</v>
      </c>
    </row>
    <row r="372" spans="1:7" x14ac:dyDescent="0.25">
      <c r="A372" s="1" t="str">
        <f t="shared" si="5"/>
        <v>12 Estrone 25µg_L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976</v>
      </c>
      <c r="D372" s="1" t="s">
        <v>977</v>
      </c>
      <c r="E372" s="1" t="s">
        <v>978</v>
      </c>
      <c r="F372" s="1" t="s">
        <v>112</v>
      </c>
      <c r="G372" s="1">
        <v>6902965</v>
      </c>
    </row>
    <row r="373" spans="1:7" x14ac:dyDescent="0.25">
      <c r="A373" s="1" t="str">
        <f t="shared" si="5"/>
        <v>12 Estrone 25µg_L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979</v>
      </c>
      <c r="D373" s="1" t="s">
        <v>980</v>
      </c>
      <c r="E373" s="1" t="s">
        <v>981</v>
      </c>
      <c r="F373" s="1" t="s">
        <v>112</v>
      </c>
      <c r="G373" s="1">
        <v>5274536</v>
      </c>
    </row>
    <row r="374" spans="1:7" x14ac:dyDescent="0.25">
      <c r="A374" s="1" t="str">
        <f t="shared" si="5"/>
        <v>12 Estrone 25µg_L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982</v>
      </c>
      <c r="D374" s="1" t="s">
        <v>983</v>
      </c>
      <c r="E374" s="1" t="s">
        <v>984</v>
      </c>
      <c r="F374" s="1" t="s">
        <v>112</v>
      </c>
      <c r="G374" s="1">
        <v>3012612</v>
      </c>
    </row>
    <row r="375" spans="1:7" x14ac:dyDescent="0.25">
      <c r="A375" s="1" t="str">
        <f t="shared" si="5"/>
        <v>12 Estrone 25µg_L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985</v>
      </c>
      <c r="D375" s="1" t="s">
        <v>986</v>
      </c>
      <c r="E375" s="1" t="s">
        <v>987</v>
      </c>
      <c r="F375" s="1" t="s">
        <v>112</v>
      </c>
      <c r="G375" s="1">
        <v>1788987</v>
      </c>
    </row>
    <row r="376" spans="1:7" x14ac:dyDescent="0.25">
      <c r="A376" s="1" t="str">
        <f t="shared" si="5"/>
        <v>12 Estrone 25µg_L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988</v>
      </c>
      <c r="D376" s="1" t="s">
        <v>989</v>
      </c>
      <c r="E376" s="1" t="s">
        <v>990</v>
      </c>
      <c r="F376" s="1" t="s">
        <v>112</v>
      </c>
      <c r="G376" s="1">
        <v>2111748</v>
      </c>
    </row>
    <row r="377" spans="1:7" x14ac:dyDescent="0.25">
      <c r="A377" s="1" t="str">
        <f t="shared" si="5"/>
        <v>12 Estrone 25µg_L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991</v>
      </c>
      <c r="D377" s="1" t="s">
        <v>992</v>
      </c>
      <c r="E377" s="1" t="s">
        <v>993</v>
      </c>
      <c r="F377" s="1" t="s">
        <v>112</v>
      </c>
      <c r="G377" s="1">
        <v>2578132</v>
      </c>
    </row>
    <row r="378" spans="1:7" x14ac:dyDescent="0.25">
      <c r="A378" s="1" t="str">
        <f t="shared" si="5"/>
        <v>12 Estrone 25µg_L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994</v>
      </c>
      <c r="D378" s="1" t="s">
        <v>995</v>
      </c>
      <c r="E378" s="1" t="s">
        <v>996</v>
      </c>
      <c r="F378" s="1" t="s">
        <v>112</v>
      </c>
      <c r="G378" s="1">
        <v>2673433</v>
      </c>
    </row>
    <row r="379" spans="1:7" x14ac:dyDescent="0.25">
      <c r="A379" s="1" t="str">
        <f t="shared" si="5"/>
        <v>12 Estrone 25µg_L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997</v>
      </c>
    </row>
    <row r="380" spans="1:7" x14ac:dyDescent="0.25">
      <c r="A380" s="1" t="str">
        <f t="shared" si="5"/>
        <v>12 Estrone 25µg_L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998</v>
      </c>
      <c r="D380" s="1" t="s">
        <v>999</v>
      </c>
      <c r="E380" s="1" t="s">
        <v>1000</v>
      </c>
      <c r="F380" s="1" t="s">
        <v>112</v>
      </c>
      <c r="G380" s="1">
        <v>5465463</v>
      </c>
    </row>
    <row r="381" spans="1:7" x14ac:dyDescent="0.25">
      <c r="A381" s="1" t="str">
        <f t="shared" si="5"/>
        <v>12 Estrone 25µg_L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1001</v>
      </c>
      <c r="D381" s="1" t="s">
        <v>1002</v>
      </c>
      <c r="E381" s="1" t="s">
        <v>1003</v>
      </c>
      <c r="F381" s="1" t="s">
        <v>112</v>
      </c>
      <c r="G381" s="1">
        <v>5799840</v>
      </c>
    </row>
    <row r="382" spans="1:7" x14ac:dyDescent="0.25">
      <c r="A382" s="1" t="str">
        <f t="shared" si="5"/>
        <v>12 Estrone 25µg_L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1004</v>
      </c>
      <c r="D382" s="1" t="s">
        <v>1005</v>
      </c>
      <c r="E382" s="1" t="s">
        <v>1006</v>
      </c>
      <c r="F382" s="1" t="s">
        <v>112</v>
      </c>
      <c r="G382" s="1">
        <v>5889388</v>
      </c>
    </row>
    <row r="383" spans="1:7" x14ac:dyDescent="0.25">
      <c r="A383" s="1" t="str">
        <f t="shared" si="5"/>
        <v>12 Estrone 25µg_L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1007</v>
      </c>
      <c r="D383" s="1" t="s">
        <v>1008</v>
      </c>
      <c r="E383" s="1" t="s">
        <v>1009</v>
      </c>
      <c r="F383" s="1" t="s">
        <v>112</v>
      </c>
      <c r="G383" s="1">
        <v>2688315</v>
      </c>
    </row>
    <row r="384" spans="1:7" x14ac:dyDescent="0.25">
      <c r="A384" s="1" t="str">
        <f t="shared" si="5"/>
        <v>12 Estrone 25µg_L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1010</v>
      </c>
      <c r="D384" s="1" t="s">
        <v>1011</v>
      </c>
      <c r="E384" s="1" t="s">
        <v>1012</v>
      </c>
      <c r="F384" s="1" t="s">
        <v>112</v>
      </c>
      <c r="G384" s="1">
        <v>2831288</v>
      </c>
    </row>
    <row r="385" spans="1:10" x14ac:dyDescent="0.25">
      <c r="A385" s="1" t="str">
        <f t="shared" si="5"/>
        <v>12 Estrone 25µg_L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1013</v>
      </c>
      <c r="D385" s="1" t="s">
        <v>1014</v>
      </c>
      <c r="E385" s="1" t="s">
        <v>1015</v>
      </c>
      <c r="F385" s="1" t="s">
        <v>112</v>
      </c>
      <c r="G385" s="1">
        <v>2918846</v>
      </c>
    </row>
    <row r="386" spans="1:10" x14ac:dyDescent="0.25">
      <c r="A386" s="1" t="str">
        <f t="shared" ref="A386:A449" si="6">IFERROR(LEFT(RIGHT(C386,LEN(C386)-SEARCH("@",C386)),SEARCH("/",RIGHT(C386,LEN(C386)-SEARCH("@",C386)-1))),"")</f>
        <v>12 Estrone 25µg_L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1016</v>
      </c>
      <c r="D386" s="1" t="s">
        <v>1017</v>
      </c>
      <c r="E386" s="1" t="s">
        <v>1018</v>
      </c>
      <c r="F386" s="1" t="s">
        <v>112</v>
      </c>
      <c r="G386" s="1">
        <v>2766161</v>
      </c>
    </row>
    <row r="387" spans="1:10" x14ac:dyDescent="0.25">
      <c r="A387" s="1" t="str">
        <f t="shared" si="6"/>
        <v>12 Estrone 25µg_L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1019</v>
      </c>
      <c r="D387" s="1" t="s">
        <v>1020</v>
      </c>
      <c r="E387" s="1" t="s">
        <v>1021</v>
      </c>
      <c r="F387" s="1" t="s">
        <v>112</v>
      </c>
      <c r="G387" s="1">
        <v>2847770</v>
      </c>
    </row>
    <row r="388" spans="1:10" x14ac:dyDescent="0.25">
      <c r="A388" s="1" t="str">
        <f t="shared" si="6"/>
        <v>12 Estrone 25µg_L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1022</v>
      </c>
      <c r="D388" s="1" t="s">
        <v>1023</v>
      </c>
      <c r="E388" s="1" t="s">
        <v>1024</v>
      </c>
      <c r="F388" s="1" t="s">
        <v>112</v>
      </c>
      <c r="G388" s="1">
        <v>3168152</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242</v>
      </c>
      <c r="D390" s="1" t="s">
        <v>112</v>
      </c>
      <c r="E390" s="1" t="s">
        <v>243</v>
      </c>
      <c r="F390" s="1" t="s">
        <v>244</v>
      </c>
      <c r="G390" s="1" t="s">
        <v>245</v>
      </c>
      <c r="H390" s="1" t="s">
        <v>246</v>
      </c>
      <c r="I390" s="1" t="s">
        <v>247</v>
      </c>
      <c r="J390" s="1" t="s">
        <v>248</v>
      </c>
    </row>
    <row r="391" spans="1:10" x14ac:dyDescent="0.25">
      <c r="A391" s="1" t="str">
        <f t="shared" si="6"/>
        <v>12 Estrone 25µg_L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1025</v>
      </c>
      <c r="D391" s="1" t="s">
        <v>112</v>
      </c>
      <c r="E391" s="1" t="s">
        <v>1026</v>
      </c>
      <c r="F391" s="1" t="s">
        <v>1027</v>
      </c>
      <c r="G391" s="1" t="s">
        <v>1028</v>
      </c>
      <c r="H391" s="1" t="s">
        <v>1029</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254</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1030</v>
      </c>
      <c r="D398" s="1" t="s">
        <v>1031</v>
      </c>
      <c r="E398" s="1" t="s">
        <v>1032</v>
      </c>
      <c r="F398" s="1" t="s">
        <v>112</v>
      </c>
      <c r="G398" s="1">
        <v>2258702</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1033</v>
      </c>
      <c r="D399" s="1" t="s">
        <v>1034</v>
      </c>
      <c r="E399" s="1" t="s">
        <v>1035</v>
      </c>
      <c r="F399" s="1" t="s">
        <v>112</v>
      </c>
      <c r="G399" s="1">
        <v>2662489</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1036</v>
      </c>
      <c r="D400" s="1" t="s">
        <v>1037</v>
      </c>
      <c r="E400" s="1" t="s">
        <v>1038</v>
      </c>
      <c r="F400" s="1" t="s">
        <v>112</v>
      </c>
      <c r="G400" s="1">
        <v>2251802</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1039</v>
      </c>
      <c r="D401" s="1" t="s">
        <v>1040</v>
      </c>
      <c r="E401" s="1" t="s">
        <v>1041</v>
      </c>
      <c r="F401" s="1" t="s">
        <v>112</v>
      </c>
      <c r="G401" s="1">
        <v>3050356</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1042</v>
      </c>
      <c r="D402" s="1" t="s">
        <v>1043</v>
      </c>
      <c r="E402" s="1" t="s">
        <v>1044</v>
      </c>
      <c r="F402" s="1" t="s">
        <v>112</v>
      </c>
      <c r="G402" s="1">
        <v>3162312</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1045</v>
      </c>
      <c r="D403" s="1" t="s">
        <v>1046</v>
      </c>
      <c r="E403" s="1" t="s">
        <v>1047</v>
      </c>
      <c r="F403" s="1" t="s">
        <v>112</v>
      </c>
      <c r="G403" s="1">
        <v>3069953</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1048</v>
      </c>
      <c r="D404" s="1" t="s">
        <v>1049</v>
      </c>
      <c r="E404" s="1" t="s">
        <v>1050</v>
      </c>
      <c r="F404" s="1" t="s">
        <v>112</v>
      </c>
      <c r="G404" s="1">
        <v>2101193</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1051</v>
      </c>
      <c r="D405" s="1" t="s">
        <v>1052</v>
      </c>
      <c r="E405" s="1" t="s">
        <v>1053</v>
      </c>
      <c r="F405" s="1" t="s">
        <v>112</v>
      </c>
      <c r="G405" s="1">
        <v>1783450</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1054</v>
      </c>
      <c r="D406" s="1" t="s">
        <v>1055</v>
      </c>
      <c r="E406" s="1" t="s">
        <v>1056</v>
      </c>
      <c r="F406" s="1" t="s">
        <v>112</v>
      </c>
      <c r="G406" s="1">
        <v>1922335</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1057</v>
      </c>
      <c r="D407" s="1" t="s">
        <v>1058</v>
      </c>
      <c r="E407" s="1" t="s">
        <v>1059</v>
      </c>
      <c r="F407" s="1" t="s">
        <v>112</v>
      </c>
      <c r="G407" s="1">
        <v>4173683</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1060</v>
      </c>
      <c r="D408" s="1" t="s">
        <v>1061</v>
      </c>
      <c r="E408" s="1" t="s">
        <v>1062</v>
      </c>
      <c r="F408" s="1" t="s">
        <v>112</v>
      </c>
      <c r="G408" s="1">
        <v>4107777</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1063</v>
      </c>
      <c r="D409" s="1" t="s">
        <v>1064</v>
      </c>
      <c r="E409" s="1" t="s">
        <v>1065</v>
      </c>
      <c r="F409" s="1" t="s">
        <v>112</v>
      </c>
      <c r="G409" s="1">
        <v>4026145</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1066</v>
      </c>
      <c r="D410" s="1" t="s">
        <v>1067</v>
      </c>
      <c r="E410" s="1" t="s">
        <v>1068</v>
      </c>
      <c r="F410" s="1" t="s">
        <v>112</v>
      </c>
      <c r="G410" s="1">
        <v>364312</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1069</v>
      </c>
      <c r="D411" s="1" t="s">
        <v>1070</v>
      </c>
      <c r="E411" s="1" t="s">
        <v>1071</v>
      </c>
      <c r="F411" s="1" t="s">
        <v>112</v>
      </c>
      <c r="G411" s="1">
        <v>369006</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1072</v>
      </c>
      <c r="D412" s="1" t="s">
        <v>1073</v>
      </c>
      <c r="E412" s="1" t="s">
        <v>1074</v>
      </c>
      <c r="F412" s="1" t="s">
        <v>112</v>
      </c>
      <c r="G412" s="1">
        <v>241844</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1075</v>
      </c>
      <c r="D413" s="1" t="s">
        <v>1076</v>
      </c>
      <c r="E413" s="1" t="s">
        <v>1077</v>
      </c>
      <c r="F413" s="1" t="s">
        <v>112</v>
      </c>
      <c r="G413" s="1">
        <v>1378084</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1078</v>
      </c>
      <c r="D414" s="1" t="s">
        <v>1079</v>
      </c>
      <c r="E414" s="1" t="s">
        <v>1080</v>
      </c>
      <c r="F414" s="1" t="s">
        <v>112</v>
      </c>
      <c r="G414" s="1">
        <v>1078142</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1081</v>
      </c>
      <c r="D415" s="1" t="s">
        <v>1082</v>
      </c>
      <c r="E415" s="1" t="s">
        <v>1083</v>
      </c>
      <c r="F415" s="1" t="s">
        <v>112</v>
      </c>
      <c r="G415" s="1">
        <v>1168750</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1084</v>
      </c>
      <c r="D416" s="1" t="s">
        <v>1085</v>
      </c>
      <c r="E416" s="1" t="s">
        <v>1086</v>
      </c>
      <c r="F416" s="1" t="s">
        <v>112</v>
      </c>
      <c r="G416" s="1">
        <v>2952892</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1087</v>
      </c>
      <c r="D417" s="1" t="s">
        <v>1088</v>
      </c>
      <c r="E417" s="1" t="s">
        <v>1089</v>
      </c>
      <c r="F417" s="1" t="s">
        <v>112</v>
      </c>
      <c r="G417" s="1">
        <v>3053535</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1090</v>
      </c>
      <c r="D418" s="1" t="s">
        <v>1091</v>
      </c>
      <c r="E418" s="1" t="s">
        <v>1092</v>
      </c>
      <c r="F418" s="1" t="s">
        <v>112</v>
      </c>
      <c r="G418" s="1">
        <v>2847403</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1093</v>
      </c>
      <c r="D419" s="1" t="s">
        <v>1094</v>
      </c>
      <c r="E419" s="1" t="s">
        <v>1095</v>
      </c>
      <c r="F419" s="1" t="s">
        <v>112</v>
      </c>
      <c r="G419" s="1">
        <v>31169</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1096</v>
      </c>
      <c r="D420" s="1" t="s">
        <v>1094</v>
      </c>
      <c r="E420" s="1" t="s">
        <v>1097</v>
      </c>
      <c r="F420" s="1" t="s">
        <v>112</v>
      </c>
      <c r="G420" s="1">
        <v>31039</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1098</v>
      </c>
      <c r="D421" s="1" t="s">
        <v>768</v>
      </c>
      <c r="E421" s="1" t="s">
        <v>1099</v>
      </c>
      <c r="F421" s="1" t="s">
        <v>112</v>
      </c>
      <c r="G421" s="1">
        <v>9755</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242</v>
      </c>
      <c r="D423" s="1" t="s">
        <v>112</v>
      </c>
      <c r="E423" s="1" t="s">
        <v>243</v>
      </c>
      <c r="F423" s="1" t="s">
        <v>244</v>
      </c>
      <c r="G423" s="1" t="s">
        <v>245</v>
      </c>
      <c r="H423" s="1" t="s">
        <v>246</v>
      </c>
      <c r="I423" s="1" t="s">
        <v>247</v>
      </c>
      <c r="J423" s="1" t="s">
        <v>248</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1100</v>
      </c>
      <c r="D424" s="1" t="s">
        <v>112</v>
      </c>
      <c r="E424" s="1" t="s">
        <v>1101</v>
      </c>
      <c r="F424" s="1" t="s">
        <v>1102</v>
      </c>
      <c r="G424" s="1" t="s">
        <v>1103</v>
      </c>
      <c r="H424" s="1" t="s">
        <v>1104</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254</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1105</v>
      </c>
      <c r="D431" s="1" t="s">
        <v>172</v>
      </c>
      <c r="E431" s="1" t="s">
        <v>1106</v>
      </c>
      <c r="F431" s="1" t="s">
        <v>112</v>
      </c>
      <c r="G431" s="1">
        <v>389187</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1107</v>
      </c>
      <c r="D432" s="1" t="s">
        <v>1108</v>
      </c>
      <c r="E432" s="1" t="s">
        <v>1109</v>
      </c>
      <c r="F432" s="1" t="s">
        <v>112</v>
      </c>
      <c r="G432" s="1">
        <v>524200</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1110</v>
      </c>
      <c r="D433" s="1" t="s">
        <v>732</v>
      </c>
      <c r="E433" s="1" t="s">
        <v>1111</v>
      </c>
      <c r="F433" s="1" t="s">
        <v>112</v>
      </c>
      <c r="G433" s="1">
        <v>158699</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1112</v>
      </c>
      <c r="D434" s="1" t="s">
        <v>1113</v>
      </c>
      <c r="E434" s="1" t="s">
        <v>1114</v>
      </c>
      <c r="F434" s="1" t="s">
        <v>112</v>
      </c>
      <c r="G434" s="1">
        <v>872485</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1115</v>
      </c>
      <c r="D435" s="1" t="s">
        <v>1116</v>
      </c>
      <c r="E435" s="1" t="s">
        <v>1117</v>
      </c>
      <c r="F435" s="1" t="s">
        <v>112</v>
      </c>
      <c r="G435" s="1">
        <v>683007</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1118</v>
      </c>
      <c r="D436" s="1" t="s">
        <v>446</v>
      </c>
      <c r="E436" s="1" t="s">
        <v>1119</v>
      </c>
      <c r="F436" s="1" t="s">
        <v>112</v>
      </c>
      <c r="G436" s="1">
        <v>812981</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1120</v>
      </c>
      <c r="D437" s="1" t="s">
        <v>1121</v>
      </c>
      <c r="E437" s="1" t="s">
        <v>1122</v>
      </c>
      <c r="F437" s="1" t="s">
        <v>112</v>
      </c>
      <c r="G437" s="1">
        <v>955263</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1123</v>
      </c>
      <c r="D438" s="1" t="s">
        <v>1124</v>
      </c>
      <c r="E438" s="1" t="s">
        <v>1125</v>
      </c>
      <c r="F438" s="1" t="s">
        <v>112</v>
      </c>
      <c r="G438" s="1">
        <v>735589</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1126</v>
      </c>
      <c r="D439" s="1" t="s">
        <v>1127</v>
      </c>
      <c r="E439" s="1" t="s">
        <v>1128</v>
      </c>
      <c r="F439" s="1" t="s">
        <v>112</v>
      </c>
      <c r="G439" s="1">
        <v>697132</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1129</v>
      </c>
      <c r="D440" s="1" t="s">
        <v>1130</v>
      </c>
      <c r="E440" s="1" t="s">
        <v>1131</v>
      </c>
      <c r="F440" s="1" t="s">
        <v>112</v>
      </c>
      <c r="G440" s="1">
        <v>2061697</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1132</v>
      </c>
      <c r="D441" s="1" t="s">
        <v>1133</v>
      </c>
      <c r="E441" s="1" t="s">
        <v>1134</v>
      </c>
      <c r="F441" s="1" t="s">
        <v>112</v>
      </c>
      <c r="G441" s="1">
        <v>964737</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1135</v>
      </c>
      <c r="D442" s="1" t="s">
        <v>1136</v>
      </c>
      <c r="E442" s="1" t="s">
        <v>1137</v>
      </c>
      <c r="F442" s="1" t="s">
        <v>112</v>
      </c>
      <c r="G442" s="1">
        <v>1905615</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1138</v>
      </c>
      <c r="D443" s="1" t="s">
        <v>1139</v>
      </c>
      <c r="E443" s="1" t="s">
        <v>1140</v>
      </c>
      <c r="F443" s="1" t="s">
        <v>112</v>
      </c>
      <c r="G443" s="1">
        <v>444646</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1141</v>
      </c>
      <c r="D444" s="1" t="s">
        <v>1142</v>
      </c>
      <c r="E444" s="1" t="s">
        <v>1143</v>
      </c>
      <c r="F444" s="1" t="s">
        <v>112</v>
      </c>
      <c r="G444" s="1">
        <v>639250</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1144</v>
      </c>
      <c r="D445" s="1" t="s">
        <v>1145</v>
      </c>
      <c r="E445" s="1" t="s">
        <v>1146</v>
      </c>
      <c r="F445" s="1" t="s">
        <v>112</v>
      </c>
      <c r="G445" s="1">
        <v>664232</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1147</v>
      </c>
      <c r="D446" s="1" t="s">
        <v>1148</v>
      </c>
      <c r="E446" s="1" t="s">
        <v>1149</v>
      </c>
      <c r="F446" s="1" t="s">
        <v>112</v>
      </c>
      <c r="G446" s="1">
        <v>716858</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1150</v>
      </c>
      <c r="D447" s="1" t="s">
        <v>1151</v>
      </c>
      <c r="E447" s="1" t="s">
        <v>1152</v>
      </c>
      <c r="F447" s="1" t="s">
        <v>112</v>
      </c>
      <c r="G447" s="1">
        <v>950915</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1153</v>
      </c>
      <c r="D448" s="1" t="s">
        <v>1154</v>
      </c>
      <c r="E448" s="1" t="s">
        <v>1155</v>
      </c>
      <c r="F448" s="1" t="s">
        <v>112</v>
      </c>
      <c r="G448" s="1">
        <v>676583</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1156</v>
      </c>
      <c r="D449" s="1" t="s">
        <v>1157</v>
      </c>
      <c r="E449" s="1" t="s">
        <v>1158</v>
      </c>
      <c r="F449" s="1" t="s">
        <v>112</v>
      </c>
      <c r="G449" s="1">
        <v>1815570</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1159</v>
      </c>
      <c r="D450" s="1" t="s">
        <v>1160</v>
      </c>
      <c r="E450" s="1" t="s">
        <v>1161</v>
      </c>
      <c r="F450" s="1" t="s">
        <v>112</v>
      </c>
      <c r="G450" s="1">
        <v>1293013</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1162</v>
      </c>
      <c r="D451" s="1" t="s">
        <v>1163</v>
      </c>
      <c r="E451" s="1" t="s">
        <v>1164</v>
      </c>
      <c r="F451" s="1" t="s">
        <v>112</v>
      </c>
      <c r="G451" s="1">
        <v>1372568</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1165</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1166</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1167</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242</v>
      </c>
      <c r="D456" s="1" t="s">
        <v>112</v>
      </c>
      <c r="E456" s="1" t="s">
        <v>243</v>
      </c>
      <c r="F456" s="1" t="s">
        <v>244</v>
      </c>
      <c r="G456" s="1" t="s">
        <v>245</v>
      </c>
      <c r="H456" s="1" t="s">
        <v>246</v>
      </c>
      <c r="I456" s="1" t="s">
        <v>247</v>
      </c>
      <c r="J456" s="1" t="s">
        <v>248</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1168</v>
      </c>
      <c r="D457" s="1" t="s">
        <v>112</v>
      </c>
      <c r="E457" s="1" t="s">
        <v>1169</v>
      </c>
      <c r="F457" s="1" t="s">
        <v>1170</v>
      </c>
      <c r="G457" s="1" t="s">
        <v>1171</v>
      </c>
      <c r="H457" s="1" t="s">
        <v>1172</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254</v>
      </c>
      <c r="D463" s="1" t="s">
        <v>110</v>
      </c>
      <c r="E463" s="1" t="s">
        <v>111</v>
      </c>
      <c r="F463" s="1" t="s">
        <v>112</v>
      </c>
      <c r="G463" s="1" t="s">
        <v>113</v>
      </c>
    </row>
    <row r="464" spans="1:10" x14ac:dyDescent="0.25">
      <c r="A464" s="1" t="str">
        <f t="shared" si="7"/>
        <v>03 Testo+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1173</v>
      </c>
      <c r="D464" s="1" t="s">
        <v>1174</v>
      </c>
      <c r="E464" s="1" t="s">
        <v>1175</v>
      </c>
      <c r="F464" s="1" t="s">
        <v>112</v>
      </c>
      <c r="G464" s="1">
        <v>3446183</v>
      </c>
    </row>
    <row r="465" spans="1:7" x14ac:dyDescent="0.25">
      <c r="A465" s="1" t="str">
        <f t="shared" si="7"/>
        <v>03 Testo+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1176</v>
      </c>
      <c r="D465" s="1" t="s">
        <v>1177</v>
      </c>
      <c r="E465" s="1" t="s">
        <v>1178</v>
      </c>
      <c r="F465" s="1" t="s">
        <v>112</v>
      </c>
      <c r="G465" s="1">
        <v>3507201</v>
      </c>
    </row>
    <row r="466" spans="1:7" x14ac:dyDescent="0.25">
      <c r="A466" s="1" t="str">
        <f t="shared" si="7"/>
        <v>03 Testo+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1179</v>
      </c>
      <c r="D466" s="1" t="s">
        <v>1180</v>
      </c>
      <c r="E466" s="1" t="s">
        <v>1181</v>
      </c>
      <c r="F466" s="1" t="s">
        <v>112</v>
      </c>
      <c r="G466" s="1">
        <v>3814497</v>
      </c>
    </row>
    <row r="467" spans="1:7" x14ac:dyDescent="0.25">
      <c r="A467" s="1" t="str">
        <f t="shared" si="7"/>
        <v>03 Testo+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1182</v>
      </c>
      <c r="D467" s="1" t="s">
        <v>1183</v>
      </c>
      <c r="E467" s="1" t="s">
        <v>1184</v>
      </c>
      <c r="F467" s="1" t="s">
        <v>112</v>
      </c>
      <c r="G467" s="1">
        <v>2471605</v>
      </c>
    </row>
    <row r="468" spans="1:7" x14ac:dyDescent="0.25">
      <c r="A468" s="1" t="str">
        <f t="shared" si="7"/>
        <v>03 Testo+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1185</v>
      </c>
      <c r="D468" s="1" t="s">
        <v>1186</v>
      </c>
      <c r="E468" s="1" t="s">
        <v>1187</v>
      </c>
      <c r="F468" s="1" t="s">
        <v>112</v>
      </c>
      <c r="G468" s="1">
        <v>2583129</v>
      </c>
    </row>
    <row r="469" spans="1:7" x14ac:dyDescent="0.25">
      <c r="A469" s="1" t="str">
        <f t="shared" si="7"/>
        <v>03 Testo+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1188</v>
      </c>
      <c r="D469" s="1" t="s">
        <v>1189</v>
      </c>
      <c r="E469" s="1" t="s">
        <v>1190</v>
      </c>
      <c r="F469" s="1" t="s">
        <v>112</v>
      </c>
      <c r="G469" s="1">
        <v>3236481</v>
      </c>
    </row>
    <row r="470" spans="1:7" x14ac:dyDescent="0.25">
      <c r="A470" s="1" t="str">
        <f t="shared" si="7"/>
        <v>03 Testo+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1191</v>
      </c>
      <c r="D470" s="1" t="s">
        <v>1192</v>
      </c>
      <c r="E470" s="1" t="s">
        <v>1193</v>
      </c>
      <c r="F470" s="1" t="s">
        <v>112</v>
      </c>
      <c r="G470" s="1">
        <v>1697103</v>
      </c>
    </row>
    <row r="471" spans="1:7" x14ac:dyDescent="0.25">
      <c r="A471" s="1" t="str">
        <f t="shared" si="7"/>
        <v>03 Testo+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1194</v>
      </c>
      <c r="D471" s="1" t="s">
        <v>1195</v>
      </c>
      <c r="E471" s="1" t="s">
        <v>1196</v>
      </c>
      <c r="F471" s="1" t="s">
        <v>112</v>
      </c>
      <c r="G471" s="1">
        <v>1304932</v>
      </c>
    </row>
    <row r="472" spans="1:7" x14ac:dyDescent="0.25">
      <c r="A472" s="1" t="str">
        <f t="shared" si="7"/>
        <v>03 Testo+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1197</v>
      </c>
      <c r="D472" s="1" t="s">
        <v>1198</v>
      </c>
      <c r="E472" s="1" t="s">
        <v>1199</v>
      </c>
      <c r="F472" s="1" t="s">
        <v>112</v>
      </c>
      <c r="G472" s="1">
        <v>1719944</v>
      </c>
    </row>
    <row r="473" spans="1:7" x14ac:dyDescent="0.25">
      <c r="A473" s="1" t="str">
        <f t="shared" si="7"/>
        <v>03 Testo+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1200</v>
      </c>
      <c r="D473" s="1" t="s">
        <v>1201</v>
      </c>
      <c r="E473" s="1" t="s">
        <v>1202</v>
      </c>
      <c r="F473" s="1" t="s">
        <v>112</v>
      </c>
      <c r="G473" s="1">
        <v>2855362</v>
      </c>
    </row>
    <row r="474" spans="1:7" x14ac:dyDescent="0.25">
      <c r="A474" s="1" t="str">
        <f t="shared" si="7"/>
        <v>03 Testo+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1203</v>
      </c>
      <c r="D474" s="1" t="s">
        <v>1204</v>
      </c>
      <c r="E474" s="1" t="s">
        <v>1205</v>
      </c>
      <c r="F474" s="1" t="s">
        <v>112</v>
      </c>
      <c r="G474" s="1">
        <v>3007961</v>
      </c>
    </row>
    <row r="475" spans="1:7" x14ac:dyDescent="0.25">
      <c r="A475" s="1" t="str">
        <f t="shared" si="7"/>
        <v>03 Testo+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1206</v>
      </c>
      <c r="D475" s="1" t="s">
        <v>1207</v>
      </c>
      <c r="E475" s="1" t="s">
        <v>1208</v>
      </c>
      <c r="F475" s="1" t="s">
        <v>112</v>
      </c>
      <c r="G475" s="1">
        <v>2621262</v>
      </c>
    </row>
    <row r="476" spans="1:7" x14ac:dyDescent="0.25">
      <c r="A476" s="1" t="str">
        <f t="shared" si="7"/>
        <v>03 Testo+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1209</v>
      </c>
      <c r="D476" s="1" t="s">
        <v>1210</v>
      </c>
      <c r="E476" s="1" t="s">
        <v>1211</v>
      </c>
      <c r="F476" s="1" t="s">
        <v>112</v>
      </c>
      <c r="G476" s="1">
        <v>1876199</v>
      </c>
    </row>
    <row r="477" spans="1:7" x14ac:dyDescent="0.25">
      <c r="A477" s="1" t="str">
        <f t="shared" si="7"/>
        <v>03 Testo+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1212</v>
      </c>
      <c r="D477" s="1" t="s">
        <v>1213</v>
      </c>
      <c r="E477" s="1" t="s">
        <v>1214</v>
      </c>
      <c r="F477" s="1" t="s">
        <v>112</v>
      </c>
      <c r="G477" s="1">
        <v>2027543</v>
      </c>
    </row>
    <row r="478" spans="1:7" x14ac:dyDescent="0.25">
      <c r="A478" s="1" t="str">
        <f t="shared" si="7"/>
        <v>03 Testo+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1215</v>
      </c>
      <c r="D478" s="1" t="s">
        <v>1216</v>
      </c>
      <c r="E478" s="1" t="s">
        <v>1217</v>
      </c>
      <c r="F478" s="1" t="s">
        <v>112</v>
      </c>
      <c r="G478" s="1">
        <v>1939531</v>
      </c>
    </row>
    <row r="479" spans="1:7" x14ac:dyDescent="0.25">
      <c r="A479" s="1" t="str">
        <f t="shared" si="7"/>
        <v>03 Testo+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1218</v>
      </c>
      <c r="D479" s="1" t="s">
        <v>1219</v>
      </c>
      <c r="E479" s="1" t="s">
        <v>1220</v>
      </c>
      <c r="F479" s="1" t="s">
        <v>112</v>
      </c>
      <c r="G479" s="1">
        <v>888534</v>
      </c>
    </row>
    <row r="480" spans="1:7" x14ac:dyDescent="0.25">
      <c r="A480" s="1" t="str">
        <f t="shared" si="7"/>
        <v>03 Testo+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1221</v>
      </c>
      <c r="D480" s="1" t="s">
        <v>276</v>
      </c>
      <c r="E480" s="1" t="s">
        <v>1222</v>
      </c>
      <c r="F480" s="1" t="s">
        <v>112</v>
      </c>
      <c r="G480" s="1">
        <v>876400</v>
      </c>
    </row>
    <row r="481" spans="1:10" x14ac:dyDescent="0.25">
      <c r="A481" s="1" t="str">
        <f t="shared" si="7"/>
        <v>03 Testo+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1223</v>
      </c>
      <c r="D481" s="1" t="s">
        <v>1224</v>
      </c>
      <c r="E481" s="1" t="s">
        <v>1225</v>
      </c>
      <c r="F481" s="1" t="s">
        <v>112</v>
      </c>
      <c r="G481" s="1">
        <v>1172124</v>
      </c>
    </row>
    <row r="482" spans="1:10" x14ac:dyDescent="0.25">
      <c r="A482" s="1" t="str">
        <f t="shared" si="7"/>
        <v>03 Testo+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1226</v>
      </c>
      <c r="D482" s="1" t="s">
        <v>1227</v>
      </c>
      <c r="E482" s="1" t="s">
        <v>1228</v>
      </c>
      <c r="F482" s="1" t="s">
        <v>112</v>
      </c>
      <c r="G482" s="1">
        <v>226465</v>
      </c>
    </row>
    <row r="483" spans="1:10" x14ac:dyDescent="0.25">
      <c r="A483" s="1" t="str">
        <f t="shared" si="7"/>
        <v>03 Testo+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1229</v>
      </c>
      <c r="D483" s="1" t="s">
        <v>1230</v>
      </c>
      <c r="E483" s="1" t="s">
        <v>1231</v>
      </c>
      <c r="F483" s="1" t="s">
        <v>112</v>
      </c>
      <c r="G483" s="1">
        <v>417825</v>
      </c>
    </row>
    <row r="484" spans="1:10" x14ac:dyDescent="0.25">
      <c r="A484" s="1" t="str">
        <f t="shared" si="7"/>
        <v>03 Testo+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1232</v>
      </c>
      <c r="D484" s="1" t="s">
        <v>1233</v>
      </c>
      <c r="E484" s="1" t="s">
        <v>1234</v>
      </c>
      <c r="F484" s="1" t="s">
        <v>112</v>
      </c>
      <c r="G484" s="1">
        <v>171633</v>
      </c>
    </row>
    <row r="485" spans="1:10" x14ac:dyDescent="0.25">
      <c r="A485" s="1" t="str">
        <f t="shared" si="7"/>
        <v>03 Testo+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1235</v>
      </c>
      <c r="D485" s="1" t="s">
        <v>1236</v>
      </c>
      <c r="E485" s="1" t="s">
        <v>1237</v>
      </c>
      <c r="F485" s="1" t="s">
        <v>112</v>
      </c>
      <c r="G485" s="1">
        <v>4764893</v>
      </c>
    </row>
    <row r="486" spans="1:10" x14ac:dyDescent="0.25">
      <c r="A486" s="1" t="str">
        <f t="shared" si="7"/>
        <v>03 Testo+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1238</v>
      </c>
      <c r="D486" s="1" t="s">
        <v>1239</v>
      </c>
      <c r="E486" s="1" t="s">
        <v>1240</v>
      </c>
      <c r="F486" s="1" t="s">
        <v>112</v>
      </c>
      <c r="G486" s="1">
        <v>4810445</v>
      </c>
    </row>
    <row r="487" spans="1:10" x14ac:dyDescent="0.25">
      <c r="A487" s="1" t="str">
        <f t="shared" si="7"/>
        <v>03 Testo+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1241</v>
      </c>
      <c r="D487" s="1" t="s">
        <v>1242</v>
      </c>
      <c r="E487" s="1" t="s">
        <v>1243</v>
      </c>
      <c r="F487" s="1" t="s">
        <v>112</v>
      </c>
      <c r="G487" s="1">
        <v>4755203</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242</v>
      </c>
      <c r="D489" s="1" t="s">
        <v>112</v>
      </c>
      <c r="E489" s="1" t="s">
        <v>243</v>
      </c>
      <c r="F489" s="1" t="s">
        <v>244</v>
      </c>
      <c r="G489" s="1" t="s">
        <v>245</v>
      </c>
      <c r="H489" s="1" t="s">
        <v>246</v>
      </c>
      <c r="I489" s="1" t="s">
        <v>247</v>
      </c>
      <c r="J489" s="1" t="s">
        <v>248</v>
      </c>
    </row>
    <row r="490" spans="1:10" x14ac:dyDescent="0.25">
      <c r="A490" s="1" t="str">
        <f t="shared" si="7"/>
        <v>03 Testo+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1244</v>
      </c>
      <c r="D490" s="1" t="s">
        <v>112</v>
      </c>
      <c r="E490" s="1" t="s">
        <v>1245</v>
      </c>
      <c r="F490" s="1" t="s">
        <v>1246</v>
      </c>
      <c r="G490" s="1" t="s">
        <v>1247</v>
      </c>
      <c r="H490" s="1" t="s">
        <v>1248</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254</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1249</v>
      </c>
      <c r="D497" s="1" t="s">
        <v>1250</v>
      </c>
      <c r="E497" s="1" t="s">
        <v>1251</v>
      </c>
      <c r="F497" s="1" t="s">
        <v>112</v>
      </c>
      <c r="G497" s="1">
        <v>80744</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1252</v>
      </c>
      <c r="D498" s="1" t="s">
        <v>289</v>
      </c>
      <c r="E498" s="1" t="s">
        <v>1253</v>
      </c>
      <c r="F498" s="1" t="s">
        <v>112</v>
      </c>
      <c r="G498" s="1">
        <v>32726</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1254</v>
      </c>
      <c r="D499" s="1" t="s">
        <v>1255</v>
      </c>
      <c r="E499" s="1" t="s">
        <v>1256</v>
      </c>
      <c r="F499" s="1" t="s">
        <v>112</v>
      </c>
      <c r="G499" s="1">
        <v>276300</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1257</v>
      </c>
      <c r="D500" s="1" t="s">
        <v>1258</v>
      </c>
      <c r="E500" s="1" t="s">
        <v>1259</v>
      </c>
      <c r="F500" s="1" t="s">
        <v>112</v>
      </c>
      <c r="G500" s="1">
        <v>261159</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1260</v>
      </c>
      <c r="D501" s="1" t="s">
        <v>1261</v>
      </c>
      <c r="E501" s="1" t="s">
        <v>1262</v>
      </c>
      <c r="F501" s="1" t="s">
        <v>112</v>
      </c>
      <c r="G501" s="1">
        <v>155757</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1263</v>
      </c>
      <c r="D502" s="1" t="s">
        <v>740</v>
      </c>
      <c r="E502" s="1" t="s">
        <v>1264</v>
      </c>
      <c r="F502" s="1" t="s">
        <v>112</v>
      </c>
      <c r="G502" s="1">
        <v>97464</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1265</v>
      </c>
      <c r="D503" s="1" t="s">
        <v>1266</v>
      </c>
      <c r="E503" s="1" t="s">
        <v>1267</v>
      </c>
      <c r="F503" s="1" t="s">
        <v>112</v>
      </c>
      <c r="G503" s="1">
        <v>14038</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1268</v>
      </c>
      <c r="D504" s="1" t="s">
        <v>1269</v>
      </c>
      <c r="E504" s="1" t="s">
        <v>1270</v>
      </c>
      <c r="F504" s="1" t="s">
        <v>112</v>
      </c>
      <c r="G504" s="1">
        <v>45509</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1271</v>
      </c>
      <c r="D505" s="1" t="s">
        <v>264</v>
      </c>
      <c r="E505" s="1" t="s">
        <v>1272</v>
      </c>
      <c r="F505" s="1" t="s">
        <v>112</v>
      </c>
      <c r="G505" s="1">
        <v>23966</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1273</v>
      </c>
      <c r="D506" s="1" t="s">
        <v>713</v>
      </c>
      <c r="E506" s="1" t="s">
        <v>1274</v>
      </c>
      <c r="F506" s="1" t="s">
        <v>112</v>
      </c>
      <c r="G506" s="1">
        <v>23382</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1275</v>
      </c>
      <c r="D507" s="1" t="s">
        <v>184</v>
      </c>
      <c r="E507" s="1" t="s">
        <v>1276</v>
      </c>
      <c r="F507" s="1" t="s">
        <v>112</v>
      </c>
      <c r="G507" s="1">
        <v>67810</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1277</v>
      </c>
      <c r="D508" s="1" t="s">
        <v>184</v>
      </c>
      <c r="E508" s="1">
        <v>63</v>
      </c>
      <c r="F508" s="1" t="s">
        <v>112</v>
      </c>
      <c r="G508" s="1">
        <v>61321</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1278</v>
      </c>
      <c r="D509" s="1" t="s">
        <v>1279</v>
      </c>
      <c r="E509" s="1" t="s">
        <v>1280</v>
      </c>
      <c r="F509" s="1" t="s">
        <v>112</v>
      </c>
      <c r="G509" s="1">
        <v>154026</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1281</v>
      </c>
      <c r="D510" s="1" t="s">
        <v>1282</v>
      </c>
      <c r="E510" s="1" t="s">
        <v>1283</v>
      </c>
      <c r="F510" s="1" t="s">
        <v>112</v>
      </c>
      <c r="G510" s="1">
        <v>183378</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1284</v>
      </c>
      <c r="D511" s="1" t="s">
        <v>1285</v>
      </c>
      <c r="E511" s="1" t="s">
        <v>757</v>
      </c>
      <c r="F511" s="1" t="s">
        <v>112</v>
      </c>
      <c r="G511" s="1">
        <v>86887</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1286</v>
      </c>
      <c r="D512" s="1" t="s">
        <v>1287</v>
      </c>
      <c r="E512" s="1" t="s">
        <v>1288</v>
      </c>
      <c r="F512" s="1" t="s">
        <v>112</v>
      </c>
      <c r="G512" s="1">
        <v>451048</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1289</v>
      </c>
      <c r="D513" s="1" t="s">
        <v>1290</v>
      </c>
      <c r="E513" s="1" t="s">
        <v>1291</v>
      </c>
      <c r="F513" s="1" t="s">
        <v>112</v>
      </c>
      <c r="G513" s="1">
        <v>546436</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1292</v>
      </c>
      <c r="D514" s="1" t="s">
        <v>1293</v>
      </c>
      <c r="E514" s="1" t="s">
        <v>1294</v>
      </c>
      <c r="F514" s="1" t="s">
        <v>112</v>
      </c>
      <c r="G514" s="1">
        <v>6749</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1295</v>
      </c>
      <c r="D515" s="1" t="s">
        <v>1296</v>
      </c>
      <c r="E515" s="1" t="s">
        <v>1297</v>
      </c>
      <c r="F515" s="1" t="s">
        <v>112</v>
      </c>
      <c r="G515" s="1">
        <v>20635</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1298</v>
      </c>
      <c r="D516" s="1" t="s">
        <v>1299</v>
      </c>
      <c r="E516" s="1" t="s">
        <v>1300</v>
      </c>
      <c r="F516" s="1" t="s">
        <v>112</v>
      </c>
      <c r="G516" s="1">
        <v>116823</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1301</v>
      </c>
      <c r="D517" s="1" t="s">
        <v>1296</v>
      </c>
      <c r="E517" s="1" t="s">
        <v>1302</v>
      </c>
      <c r="F517" s="1" t="s">
        <v>112</v>
      </c>
      <c r="G517" s="1">
        <v>20484</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1303</v>
      </c>
      <c r="D518" s="1" t="s">
        <v>1304</v>
      </c>
      <c r="E518" s="1" t="s">
        <v>1305</v>
      </c>
      <c r="F518" s="1" t="s">
        <v>112</v>
      </c>
      <c r="G518" s="1">
        <v>225016</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1306</v>
      </c>
      <c r="D519" s="1" t="s">
        <v>1307</v>
      </c>
      <c r="E519" s="1" t="s">
        <v>1308</v>
      </c>
      <c r="F519" s="1" t="s">
        <v>112</v>
      </c>
      <c r="G519" s="1">
        <v>103218</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1309</v>
      </c>
      <c r="D520" s="1" t="s">
        <v>1310</v>
      </c>
      <c r="E520" s="1" t="s">
        <v>1311</v>
      </c>
      <c r="F520" s="1" t="s">
        <v>112</v>
      </c>
      <c r="G520" s="1">
        <v>202175</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242</v>
      </c>
      <c r="D522" s="1" t="s">
        <v>112</v>
      </c>
      <c r="E522" s="1" t="s">
        <v>243</v>
      </c>
      <c r="F522" s="1" t="s">
        <v>244</v>
      </c>
      <c r="G522" s="1" t="s">
        <v>245</v>
      </c>
      <c r="H522" s="1" t="s">
        <v>246</v>
      </c>
      <c r="I522" s="1" t="s">
        <v>247</v>
      </c>
      <c r="J522" s="1" t="s">
        <v>248</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1312</v>
      </c>
      <c r="D523" s="1" t="s">
        <v>112</v>
      </c>
      <c r="E523" s="1" t="s">
        <v>1313</v>
      </c>
      <c r="F523" s="1" t="s">
        <v>1314</v>
      </c>
      <c r="G523" s="1" t="s">
        <v>1315</v>
      </c>
      <c r="H523" s="1" t="s">
        <v>1316</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254</v>
      </c>
      <c r="D529" s="1" t="s">
        <v>110</v>
      </c>
      <c r="E529" s="1" t="s">
        <v>111</v>
      </c>
      <c r="F529" s="1" t="s">
        <v>112</v>
      </c>
      <c r="G529" s="1" t="s">
        <v>113</v>
      </c>
    </row>
    <row r="530" spans="1:7" x14ac:dyDescent="0.25">
      <c r="A530" s="1" t="str">
        <f t="shared" si="8"/>
        <v>05 Estrone 0.04 µg_LL dopé</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1317</v>
      </c>
      <c r="D530" s="1" t="s">
        <v>1318</v>
      </c>
      <c r="E530" s="1" t="s">
        <v>1319</v>
      </c>
      <c r="F530" s="1" t="s">
        <v>112</v>
      </c>
      <c r="G530" s="1">
        <v>3040233</v>
      </c>
    </row>
    <row r="531" spans="1:7" x14ac:dyDescent="0.25">
      <c r="A531" s="1" t="str">
        <f t="shared" si="8"/>
        <v>05 Estrone 0.04 µg_LL dopé</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1320</v>
      </c>
      <c r="D531" s="1" t="s">
        <v>1321</v>
      </c>
      <c r="E531" s="1" t="s">
        <v>1322</v>
      </c>
      <c r="F531" s="1" t="s">
        <v>112</v>
      </c>
      <c r="G531" s="1">
        <v>3045186</v>
      </c>
    </row>
    <row r="532" spans="1:7" x14ac:dyDescent="0.25">
      <c r="A532" s="1" t="str">
        <f t="shared" si="8"/>
        <v>05 Estrone 0.04 µg_LL dopé</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1323</v>
      </c>
      <c r="D532" s="1" t="s">
        <v>1324</v>
      </c>
      <c r="E532" s="1" t="s">
        <v>1325</v>
      </c>
      <c r="F532" s="1" t="s">
        <v>112</v>
      </c>
      <c r="G532" s="1">
        <v>1919545</v>
      </c>
    </row>
    <row r="533" spans="1:7" x14ac:dyDescent="0.25">
      <c r="A533" s="1" t="str">
        <f t="shared" si="8"/>
        <v>05 Estrone 0.04 µg_LL dopé</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1326</v>
      </c>
      <c r="D533" s="1" t="s">
        <v>202</v>
      </c>
      <c r="E533" s="1" t="s">
        <v>1327</v>
      </c>
      <c r="F533" s="1" t="s">
        <v>112</v>
      </c>
      <c r="G533" s="1">
        <v>101228</v>
      </c>
    </row>
    <row r="534" spans="1:7" x14ac:dyDescent="0.25">
      <c r="A534" s="1" t="str">
        <f t="shared" si="8"/>
        <v>05 Estrone 0.04 µg_LL dopé</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1328</v>
      </c>
      <c r="D534" s="1" t="s">
        <v>1307</v>
      </c>
      <c r="E534" s="1" t="s">
        <v>1329</v>
      </c>
      <c r="F534" s="1" t="s">
        <v>112</v>
      </c>
      <c r="G534" s="1">
        <v>104797</v>
      </c>
    </row>
    <row r="535" spans="1:7" x14ac:dyDescent="0.25">
      <c r="A535" s="1" t="str">
        <f t="shared" si="8"/>
        <v>05 Estrone 0.04 µg_LL dopé</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1330</v>
      </c>
      <c r="D535" s="1" t="s">
        <v>1331</v>
      </c>
      <c r="E535" s="1" t="s">
        <v>1332</v>
      </c>
      <c r="F535" s="1" t="s">
        <v>112</v>
      </c>
      <c r="G535" s="1">
        <v>279069</v>
      </c>
    </row>
    <row r="536" spans="1:7" x14ac:dyDescent="0.25">
      <c r="A536" s="1" t="str">
        <f t="shared" si="8"/>
        <v>05 Estrone 0.04 µg_LL dopé</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1333</v>
      </c>
      <c r="D536" s="1" t="s">
        <v>1334</v>
      </c>
      <c r="E536" s="1" t="s">
        <v>1335</v>
      </c>
      <c r="F536" s="1" t="s">
        <v>112</v>
      </c>
      <c r="G536" s="1">
        <v>2080233</v>
      </c>
    </row>
    <row r="537" spans="1:7" x14ac:dyDescent="0.25">
      <c r="A537" s="1" t="str">
        <f t="shared" si="8"/>
        <v>05 Estrone 0.04 µg_LL dopé</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1336</v>
      </c>
      <c r="D537" s="1" t="s">
        <v>1337</v>
      </c>
      <c r="E537" s="1" t="s">
        <v>1338</v>
      </c>
      <c r="F537" s="1" t="s">
        <v>112</v>
      </c>
      <c r="G537" s="1">
        <v>2396008</v>
      </c>
    </row>
    <row r="538" spans="1:7" x14ac:dyDescent="0.25">
      <c r="A538" s="1" t="str">
        <f t="shared" si="8"/>
        <v>05 Estrone 0.04 µg_LL dopé</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1339</v>
      </c>
      <c r="D538" s="1" t="s">
        <v>992</v>
      </c>
      <c r="E538" s="1" t="s">
        <v>1340</v>
      </c>
      <c r="F538" s="1" t="s">
        <v>112</v>
      </c>
      <c r="G538" s="1">
        <v>2115296</v>
      </c>
    </row>
    <row r="539" spans="1:7" x14ac:dyDescent="0.25">
      <c r="A539" s="1" t="str">
        <f t="shared" si="8"/>
        <v>05 Estrone 0.04 µg_LL dopé</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1341</v>
      </c>
      <c r="D539" s="1" t="s">
        <v>1342</v>
      </c>
      <c r="E539" s="1" t="s">
        <v>1343</v>
      </c>
      <c r="F539" s="1" t="s">
        <v>112</v>
      </c>
      <c r="G539" s="1">
        <v>715863</v>
      </c>
    </row>
    <row r="540" spans="1:7" x14ac:dyDescent="0.25">
      <c r="A540" s="1" t="str">
        <f t="shared" si="8"/>
        <v>05 Estrone 0.04 µg_LL dopé</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1344</v>
      </c>
      <c r="D540" s="1" t="s">
        <v>1345</v>
      </c>
      <c r="E540" s="1" t="s">
        <v>1346</v>
      </c>
      <c r="F540" s="1" t="s">
        <v>112</v>
      </c>
      <c r="G540" s="1">
        <v>985977</v>
      </c>
    </row>
    <row r="541" spans="1:7" x14ac:dyDescent="0.25">
      <c r="A541" s="1" t="str">
        <f t="shared" si="8"/>
        <v>05 Estrone 0.04 µg_LL dopé</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1347</v>
      </c>
      <c r="D541" s="1" t="s">
        <v>1348</v>
      </c>
      <c r="E541" s="1" t="s">
        <v>1349</v>
      </c>
      <c r="F541" s="1" t="s">
        <v>112</v>
      </c>
      <c r="G541" s="1">
        <v>675264</v>
      </c>
    </row>
    <row r="542" spans="1:7" x14ac:dyDescent="0.25">
      <c r="A542" s="1" t="str">
        <f t="shared" si="8"/>
        <v>05 Estrone 0.04 µg_LL dopé</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1350</v>
      </c>
      <c r="D542" s="1" t="s">
        <v>1351</v>
      </c>
      <c r="E542" s="1" t="s">
        <v>1352</v>
      </c>
      <c r="F542" s="1" t="s">
        <v>112</v>
      </c>
      <c r="G542" s="1">
        <v>1301060</v>
      </c>
    </row>
    <row r="543" spans="1:7" x14ac:dyDescent="0.25">
      <c r="A543" s="1" t="str">
        <f t="shared" si="8"/>
        <v>05 Estrone 0.04 µg_LL dopé</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1353</v>
      </c>
      <c r="D543" s="1" t="s">
        <v>1354</v>
      </c>
      <c r="E543" s="1" t="s">
        <v>1355</v>
      </c>
      <c r="F543" s="1" t="s">
        <v>112</v>
      </c>
      <c r="G543" s="1">
        <v>1206299</v>
      </c>
    </row>
    <row r="544" spans="1:7" x14ac:dyDescent="0.25">
      <c r="A544" s="1" t="str">
        <f t="shared" si="8"/>
        <v>05 Estrone 0.04 µg_LL dopé</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1356</v>
      </c>
      <c r="D544" s="1" t="s">
        <v>1357</v>
      </c>
      <c r="E544" s="1" t="s">
        <v>1358</v>
      </c>
      <c r="F544" s="1" t="s">
        <v>112</v>
      </c>
      <c r="G544" s="1">
        <v>1255248</v>
      </c>
    </row>
    <row r="545" spans="1:10" x14ac:dyDescent="0.25">
      <c r="A545" s="1" t="str">
        <f t="shared" si="8"/>
        <v>05 Estrone 0.04 µg_LL dopé</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1359</v>
      </c>
      <c r="D545" s="1" t="s">
        <v>1360</v>
      </c>
      <c r="E545" s="1" t="s">
        <v>1361</v>
      </c>
      <c r="F545" s="1" t="s">
        <v>112</v>
      </c>
      <c r="G545" s="1">
        <v>1598103</v>
      </c>
    </row>
    <row r="546" spans="1:10" x14ac:dyDescent="0.25">
      <c r="A546" s="1" t="str">
        <f t="shared" si="8"/>
        <v>05 Estrone 0.04 µg_LL dopé</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1362</v>
      </c>
      <c r="D546" s="1" t="s">
        <v>1363</v>
      </c>
      <c r="E546" s="1" t="s">
        <v>1364</v>
      </c>
      <c r="F546" s="1" t="s">
        <v>112</v>
      </c>
      <c r="G546" s="1">
        <v>1537453</v>
      </c>
    </row>
    <row r="547" spans="1:10" x14ac:dyDescent="0.25">
      <c r="A547" s="1" t="str">
        <f t="shared" si="8"/>
        <v>05 Estrone 0.04 µg_LL dopé</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1365</v>
      </c>
      <c r="D547" s="1" t="s">
        <v>1366</v>
      </c>
      <c r="E547" s="1" t="s">
        <v>1367</v>
      </c>
      <c r="F547" s="1" t="s">
        <v>112</v>
      </c>
      <c r="G547" s="1">
        <v>1483724</v>
      </c>
    </row>
    <row r="548" spans="1:10" x14ac:dyDescent="0.25">
      <c r="A548" s="1" t="str">
        <f t="shared" si="8"/>
        <v>05 Estrone 0.04 µg_LL dopé</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1368</v>
      </c>
      <c r="D548" s="1" t="s">
        <v>1369</v>
      </c>
      <c r="E548" s="1" t="s">
        <v>1370</v>
      </c>
      <c r="F548" s="1" t="s">
        <v>112</v>
      </c>
      <c r="G548" s="1">
        <v>1062287</v>
      </c>
    </row>
    <row r="549" spans="1:10" x14ac:dyDescent="0.25">
      <c r="A549" s="1" t="str">
        <f t="shared" si="8"/>
        <v>05 Estrone 0.04 µg_LL dopé</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1371</v>
      </c>
      <c r="D549" s="1" t="s">
        <v>1372</v>
      </c>
      <c r="E549" s="1" t="s">
        <v>1373</v>
      </c>
      <c r="F549" s="1" t="s">
        <v>112</v>
      </c>
      <c r="G549" s="1">
        <v>943431</v>
      </c>
    </row>
    <row r="550" spans="1:10" x14ac:dyDescent="0.25">
      <c r="A550" s="1" t="str">
        <f t="shared" si="8"/>
        <v>05 Estrone 0.04 µg_LL dopé</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1374</v>
      </c>
      <c r="D550" s="1" t="s">
        <v>1375</v>
      </c>
      <c r="E550" s="1" t="s">
        <v>1376</v>
      </c>
      <c r="F550" s="1" t="s">
        <v>112</v>
      </c>
      <c r="G550" s="1">
        <v>1079721</v>
      </c>
    </row>
    <row r="551" spans="1:10" x14ac:dyDescent="0.25">
      <c r="A551" s="1" t="str">
        <f t="shared" si="8"/>
        <v>05 Estrone 0.04 µg_LL dopé</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1377</v>
      </c>
      <c r="D551" s="1" t="s">
        <v>1378</v>
      </c>
      <c r="E551" s="1" t="s">
        <v>1379</v>
      </c>
      <c r="F551" s="1" t="s">
        <v>112</v>
      </c>
      <c r="G551" s="1">
        <v>2491418</v>
      </c>
    </row>
    <row r="552" spans="1:10" x14ac:dyDescent="0.25">
      <c r="A552" s="1" t="str">
        <f t="shared" si="8"/>
        <v>05 Estrone 0.04 µg_LL dopé</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1380</v>
      </c>
      <c r="D552" s="1" t="s">
        <v>1381</v>
      </c>
      <c r="E552" s="1" t="s">
        <v>1382</v>
      </c>
      <c r="F552" s="1" t="s">
        <v>112</v>
      </c>
      <c r="G552" s="1">
        <v>2619553</v>
      </c>
    </row>
    <row r="553" spans="1:10" x14ac:dyDescent="0.25">
      <c r="A553" s="1" t="str">
        <f t="shared" si="8"/>
        <v>05 Estrone 0.04 µg_LL dopé</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1383</v>
      </c>
      <c r="D553" s="1" t="s">
        <v>1384</v>
      </c>
      <c r="E553" s="1" t="s">
        <v>1385</v>
      </c>
      <c r="F553" s="1" t="s">
        <v>112</v>
      </c>
      <c r="G553" s="1">
        <v>2939070</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242</v>
      </c>
      <c r="D555" s="1" t="s">
        <v>112</v>
      </c>
      <c r="E555" s="1" t="s">
        <v>243</v>
      </c>
      <c r="F555" s="1" t="s">
        <v>244</v>
      </c>
      <c r="G555" s="1" t="s">
        <v>245</v>
      </c>
      <c r="H555" s="1" t="s">
        <v>246</v>
      </c>
      <c r="I555" s="1" t="s">
        <v>247</v>
      </c>
      <c r="J555" s="1" t="s">
        <v>248</v>
      </c>
    </row>
    <row r="556" spans="1:10" x14ac:dyDescent="0.25">
      <c r="A556" s="1" t="str">
        <f t="shared" si="8"/>
        <v>05 Estrone 0.04 µg_LL dopé</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1386</v>
      </c>
      <c r="D556" s="1" t="s">
        <v>112</v>
      </c>
      <c r="E556" s="1" t="s">
        <v>1387</v>
      </c>
      <c r="F556" s="1" t="s">
        <v>1388</v>
      </c>
      <c r="G556" s="1" t="s">
        <v>1389</v>
      </c>
      <c r="H556" s="1" t="s">
        <v>1390</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254</v>
      </c>
      <c r="D562" s="1" t="s">
        <v>110</v>
      </c>
      <c r="E562" s="1" t="s">
        <v>111</v>
      </c>
      <c r="F562" s="1" t="s">
        <v>112</v>
      </c>
      <c r="G562" s="1" t="s">
        <v>113</v>
      </c>
    </row>
    <row r="563" spans="1:7" x14ac:dyDescent="0.25">
      <c r="A563" s="1" t="str">
        <f t="shared" si="8"/>
        <v>06 Estrone 0.2 µg_LL dopé</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1391</v>
      </c>
      <c r="D563" s="1" t="s">
        <v>1392</v>
      </c>
      <c r="E563" s="1" t="s">
        <v>1393</v>
      </c>
      <c r="F563" s="1" t="s">
        <v>112</v>
      </c>
      <c r="G563" s="1">
        <v>1734004</v>
      </c>
    </row>
    <row r="564" spans="1:7" x14ac:dyDescent="0.25">
      <c r="A564" s="1" t="str">
        <f t="shared" si="8"/>
        <v>06 Estrone 0.2 µg_LL dopé</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1394</v>
      </c>
      <c r="D564" s="1" t="s">
        <v>1395</v>
      </c>
      <c r="E564" s="1" t="s">
        <v>1396</v>
      </c>
      <c r="F564" s="1" t="s">
        <v>112</v>
      </c>
      <c r="G564" s="1">
        <v>48602</v>
      </c>
    </row>
    <row r="565" spans="1:7" x14ac:dyDescent="0.25">
      <c r="A565" s="1" t="str">
        <f t="shared" si="8"/>
        <v>06 Estrone 0.2 µg_LL dopé</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1397</v>
      </c>
      <c r="D565" s="1" t="s">
        <v>1398</v>
      </c>
      <c r="E565" s="1" t="s">
        <v>1399</v>
      </c>
      <c r="F565" s="1" t="s">
        <v>112</v>
      </c>
      <c r="G565" s="1">
        <v>204294</v>
      </c>
    </row>
    <row r="566" spans="1:7" x14ac:dyDescent="0.25">
      <c r="A566" s="1" t="str">
        <f t="shared" si="8"/>
        <v>06 Estrone 0.2 µg_LL dopé</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1400</v>
      </c>
      <c r="D566" s="1" t="s">
        <v>1401</v>
      </c>
      <c r="E566" s="1" t="s">
        <v>1402</v>
      </c>
      <c r="F566" s="1" t="s">
        <v>112</v>
      </c>
      <c r="G566" s="1">
        <v>2413074</v>
      </c>
    </row>
    <row r="567" spans="1:7" x14ac:dyDescent="0.25">
      <c r="A567" s="1" t="str">
        <f t="shared" si="8"/>
        <v>06 Estrone 0.2 µg_LL dopé</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1403</v>
      </c>
      <c r="D567" s="1" t="s">
        <v>1404</v>
      </c>
      <c r="E567" s="1" t="s">
        <v>1405</v>
      </c>
      <c r="F567" s="1" t="s">
        <v>112</v>
      </c>
      <c r="G567" s="1">
        <v>2171057</v>
      </c>
    </row>
    <row r="568" spans="1:7" x14ac:dyDescent="0.25">
      <c r="A568" s="1" t="str">
        <f t="shared" si="8"/>
        <v>06 Estrone 0.2 µg_LL dopé</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1406</v>
      </c>
      <c r="D568" s="1" t="s">
        <v>1407</v>
      </c>
      <c r="E568" s="1" t="s">
        <v>1408</v>
      </c>
      <c r="F568" s="1" t="s">
        <v>112</v>
      </c>
      <c r="G568" s="1">
        <v>2400918</v>
      </c>
    </row>
    <row r="569" spans="1:7" x14ac:dyDescent="0.25">
      <c r="A569" s="1" t="str">
        <f t="shared" si="8"/>
        <v>06 Estrone 0.2 µg_LL dopé</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1409</v>
      </c>
      <c r="D569" s="1" t="s">
        <v>1410</v>
      </c>
      <c r="E569" s="1" t="s">
        <v>1411</v>
      </c>
      <c r="F569" s="1" t="s">
        <v>112</v>
      </c>
      <c r="G569" s="1">
        <v>1554324</v>
      </c>
    </row>
    <row r="570" spans="1:7" x14ac:dyDescent="0.25">
      <c r="A570" s="1" t="str">
        <f t="shared" si="8"/>
        <v>06 Estrone 0.2 µg_LL dopé</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1412</v>
      </c>
      <c r="D570" s="1" t="s">
        <v>1413</v>
      </c>
      <c r="E570" s="1" t="s">
        <v>1414</v>
      </c>
      <c r="F570" s="1" t="s">
        <v>112</v>
      </c>
      <c r="G570" s="1">
        <v>1336468</v>
      </c>
    </row>
    <row r="571" spans="1:7" x14ac:dyDescent="0.25">
      <c r="A571" s="1" t="str">
        <f t="shared" si="8"/>
        <v>06 Estrone 0.2 µg_LL dopé</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1415</v>
      </c>
      <c r="D571" s="1" t="s">
        <v>1416</v>
      </c>
      <c r="E571" s="1" t="s">
        <v>1417</v>
      </c>
      <c r="F571" s="1" t="s">
        <v>112</v>
      </c>
      <c r="G571" s="1">
        <v>1594188</v>
      </c>
    </row>
    <row r="572" spans="1:7" x14ac:dyDescent="0.25">
      <c r="A572" s="1" t="str">
        <f t="shared" si="8"/>
        <v>06 Estrone 0.2 µg_LL dopé</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1418</v>
      </c>
      <c r="D572" s="1" t="s">
        <v>1419</v>
      </c>
      <c r="E572" s="1" t="s">
        <v>1420</v>
      </c>
      <c r="F572" s="1" t="s">
        <v>112</v>
      </c>
      <c r="G572" s="1">
        <v>1710665</v>
      </c>
    </row>
    <row r="573" spans="1:7" x14ac:dyDescent="0.25">
      <c r="A573" s="1" t="str">
        <f t="shared" si="8"/>
        <v>06 Estrone 0.2 µg_LL dopé</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1421</v>
      </c>
      <c r="D573" s="1" t="s">
        <v>1422</v>
      </c>
      <c r="E573" s="1" t="s">
        <v>1423</v>
      </c>
      <c r="F573" s="1" t="s">
        <v>112</v>
      </c>
      <c r="G573" s="1">
        <v>1312048</v>
      </c>
    </row>
    <row r="574" spans="1:7" x14ac:dyDescent="0.25">
      <c r="A574" s="1" t="str">
        <f t="shared" si="8"/>
        <v>06 Estrone 0.2 µg_LL dopé</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1424</v>
      </c>
      <c r="D574" s="1" t="s">
        <v>1425</v>
      </c>
      <c r="E574" s="1" t="s">
        <v>1426</v>
      </c>
      <c r="F574" s="1" t="s">
        <v>112</v>
      </c>
      <c r="G574" s="1">
        <v>1499860</v>
      </c>
    </row>
    <row r="575" spans="1:7" x14ac:dyDescent="0.25">
      <c r="A575" s="1" t="str">
        <f t="shared" si="8"/>
        <v>06 Estrone 0.2 µg_LL dopé</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1427</v>
      </c>
      <c r="D575" s="1" t="s">
        <v>1428</v>
      </c>
      <c r="E575" s="1" t="s">
        <v>1429</v>
      </c>
      <c r="F575" s="1" t="s">
        <v>112</v>
      </c>
      <c r="G575" s="1">
        <v>1822838</v>
      </c>
    </row>
    <row r="576" spans="1:7" x14ac:dyDescent="0.25">
      <c r="A576" s="1" t="str">
        <f t="shared" si="8"/>
        <v>06 Estrone 0.2 µg_LL dopé</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1430</v>
      </c>
      <c r="D576" s="1" t="s">
        <v>1431</v>
      </c>
      <c r="E576" s="1" t="s">
        <v>1432</v>
      </c>
      <c r="F576" s="1" t="s">
        <v>112</v>
      </c>
      <c r="G576" s="1">
        <v>1977708</v>
      </c>
    </row>
    <row r="577" spans="1:10" x14ac:dyDescent="0.25">
      <c r="A577" s="1" t="str">
        <f t="shared" si="8"/>
        <v>06 Estrone 0.2 µg_LL dopé</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1433</v>
      </c>
      <c r="D577" s="1" t="s">
        <v>1434</v>
      </c>
      <c r="E577" s="1" t="s">
        <v>1435</v>
      </c>
      <c r="F577" s="1" t="s">
        <v>112</v>
      </c>
      <c r="G577" s="1">
        <v>1899494</v>
      </c>
    </row>
    <row r="578" spans="1:10" x14ac:dyDescent="0.25">
      <c r="A578" s="1" t="str">
        <f t="shared" ref="A578:A641" si="9">IFERROR(LEFT(RIGHT(C578,LEN(C578)-SEARCH("@",C578)),SEARCH("/",RIGHT(C578,LEN(C578)-SEARCH("@",C578)-1))),"")</f>
        <v>06 Estrone 0.2 µg_LL dopé</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1436</v>
      </c>
      <c r="D578" s="1" t="s">
        <v>1437</v>
      </c>
      <c r="E578" s="1" t="s">
        <v>1438</v>
      </c>
      <c r="F578" s="1" t="s">
        <v>112</v>
      </c>
      <c r="G578" s="1">
        <v>654823</v>
      </c>
    </row>
    <row r="579" spans="1:10" x14ac:dyDescent="0.25">
      <c r="A579" s="1" t="str">
        <f t="shared" si="9"/>
        <v>06 Estrone 0.2 µg_LL dopé</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1439</v>
      </c>
      <c r="D579" s="1" t="s">
        <v>1440</v>
      </c>
      <c r="E579" s="1" t="s">
        <v>1441</v>
      </c>
      <c r="F579" s="1" t="s">
        <v>112</v>
      </c>
      <c r="G579" s="1">
        <v>619588</v>
      </c>
    </row>
    <row r="580" spans="1:10" x14ac:dyDescent="0.25">
      <c r="A580" s="1" t="str">
        <f t="shared" si="9"/>
        <v>06 Estrone 0.2 µg_LL dopé</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1442</v>
      </c>
      <c r="D580" s="1" t="s">
        <v>1443</v>
      </c>
      <c r="E580" s="1" t="s">
        <v>1444</v>
      </c>
      <c r="F580" s="1" t="s">
        <v>112</v>
      </c>
      <c r="G580" s="1">
        <v>1262818</v>
      </c>
    </row>
    <row r="581" spans="1:10" x14ac:dyDescent="0.25">
      <c r="A581" s="1" t="str">
        <f t="shared" si="9"/>
        <v>06 Estrone 0.2 µg_LL dopé</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1445</v>
      </c>
      <c r="D581" s="1" t="s">
        <v>435</v>
      </c>
      <c r="E581" s="1" t="s">
        <v>1446</v>
      </c>
      <c r="F581" s="1" t="s">
        <v>112</v>
      </c>
      <c r="G581" s="1">
        <v>211800</v>
      </c>
    </row>
    <row r="582" spans="1:10" x14ac:dyDescent="0.25">
      <c r="A582" s="1" t="str">
        <f t="shared" si="9"/>
        <v>06 Estrone 0.2 µg_LL dopé</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1447</v>
      </c>
      <c r="D582" s="1" t="s">
        <v>225</v>
      </c>
      <c r="E582" s="1" t="s">
        <v>1448</v>
      </c>
      <c r="F582" s="1" t="s">
        <v>112</v>
      </c>
      <c r="G582" s="1">
        <v>199947</v>
      </c>
    </row>
    <row r="583" spans="1:10" x14ac:dyDescent="0.25">
      <c r="A583" s="1" t="str">
        <f t="shared" si="9"/>
        <v>06 Estrone 0.2 µg_LL dopé</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1449</v>
      </c>
      <c r="D583" s="1" t="s">
        <v>1450</v>
      </c>
      <c r="E583" s="1" t="s">
        <v>1451</v>
      </c>
      <c r="F583" s="1" t="s">
        <v>112</v>
      </c>
      <c r="G583" s="1">
        <v>167177</v>
      </c>
    </row>
    <row r="584" spans="1:10" x14ac:dyDescent="0.25">
      <c r="A584" s="1" t="str">
        <f t="shared" si="9"/>
        <v>06 Estrone 0.2 µg_LL dopé</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1452</v>
      </c>
      <c r="D584" s="1" t="s">
        <v>1453</v>
      </c>
      <c r="E584" s="1" t="s">
        <v>1454</v>
      </c>
      <c r="F584" s="1" t="s">
        <v>112</v>
      </c>
      <c r="G584" s="1">
        <v>957880</v>
      </c>
    </row>
    <row r="585" spans="1:10" x14ac:dyDescent="0.25">
      <c r="A585" s="1" t="str">
        <f t="shared" si="9"/>
        <v>06 Estrone 0.2 µg_LL dopé</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1455</v>
      </c>
      <c r="D585" s="1" t="s">
        <v>1456</v>
      </c>
      <c r="E585" s="1" t="s">
        <v>1457</v>
      </c>
      <c r="F585" s="1" t="s">
        <v>112</v>
      </c>
      <c r="G585" s="1">
        <v>834200</v>
      </c>
    </row>
    <row r="586" spans="1:10" x14ac:dyDescent="0.25">
      <c r="A586" s="1" t="str">
        <f t="shared" si="9"/>
        <v>06 Estrone 0.2 µg_LL dopé</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1458</v>
      </c>
      <c r="D586" s="1" t="s">
        <v>1459</v>
      </c>
      <c r="E586" s="1" t="s">
        <v>1460</v>
      </c>
      <c r="F586" s="1" t="s">
        <v>112</v>
      </c>
      <c r="G586" s="1">
        <v>874021</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242</v>
      </c>
      <c r="D588" s="1" t="s">
        <v>112</v>
      </c>
      <c r="E588" s="1" t="s">
        <v>243</v>
      </c>
      <c r="F588" s="1" t="s">
        <v>244</v>
      </c>
      <c r="G588" s="1" t="s">
        <v>245</v>
      </c>
      <c r="H588" s="1" t="s">
        <v>246</v>
      </c>
      <c r="I588" s="1" t="s">
        <v>247</v>
      </c>
      <c r="J588" s="1" t="s">
        <v>248</v>
      </c>
    </row>
    <row r="589" spans="1:10" x14ac:dyDescent="0.25">
      <c r="A589" s="1" t="str">
        <f t="shared" si="9"/>
        <v>06 Estrone 0.2 µg_LL dopé</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1461</v>
      </c>
      <c r="D589" s="1" t="s">
        <v>112</v>
      </c>
      <c r="E589" s="1" t="s">
        <v>1462</v>
      </c>
      <c r="F589" s="1" t="s">
        <v>1463</v>
      </c>
      <c r="G589" s="1" t="s">
        <v>1464</v>
      </c>
      <c r="H589" s="1" t="s">
        <v>1465</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254</v>
      </c>
      <c r="D595" s="1" t="s">
        <v>110</v>
      </c>
      <c r="E595" s="1" t="s">
        <v>111</v>
      </c>
      <c r="F595" s="1" t="s">
        <v>112</v>
      </c>
      <c r="G595" s="1" t="s">
        <v>113</v>
      </c>
    </row>
    <row r="596" spans="1:7" x14ac:dyDescent="0.25">
      <c r="A596" s="1" t="str">
        <f t="shared" si="9"/>
        <v>07 Estrone 1 µg_LL dopé</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1466</v>
      </c>
      <c r="D596" s="1" t="s">
        <v>1467</v>
      </c>
      <c r="E596" s="1" t="s">
        <v>1468</v>
      </c>
      <c r="F596" s="1" t="s">
        <v>112</v>
      </c>
      <c r="G596" s="1">
        <v>4196611</v>
      </c>
    </row>
    <row r="597" spans="1:7" x14ac:dyDescent="0.25">
      <c r="A597" s="1" t="str">
        <f t="shared" si="9"/>
        <v>07 Estrone 1 µg_LL dopé</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1469</v>
      </c>
      <c r="D597" s="1" t="s">
        <v>1470</v>
      </c>
      <c r="E597" s="1" t="s">
        <v>1471</v>
      </c>
      <c r="F597" s="1" t="s">
        <v>112</v>
      </c>
      <c r="G597" s="1">
        <v>3944817</v>
      </c>
    </row>
    <row r="598" spans="1:7" x14ac:dyDescent="0.25">
      <c r="A598" s="1" t="str">
        <f t="shared" si="9"/>
        <v>07 Estrone 1 µg_LL dopé</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1472</v>
      </c>
      <c r="D598" s="1" t="s">
        <v>1473</v>
      </c>
      <c r="E598" s="1" t="s">
        <v>1474</v>
      </c>
      <c r="F598" s="1" t="s">
        <v>112</v>
      </c>
      <c r="G598" s="1">
        <v>4006203</v>
      </c>
    </row>
    <row r="599" spans="1:7" x14ac:dyDescent="0.25">
      <c r="A599" s="1" t="str">
        <f t="shared" si="9"/>
        <v>07 Estrone 1 µg_LL dopé</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1475</v>
      </c>
      <c r="D599" s="1" t="s">
        <v>1476</v>
      </c>
      <c r="E599" s="1" t="s">
        <v>1477</v>
      </c>
      <c r="F599" s="1" t="s">
        <v>112</v>
      </c>
      <c r="G599" s="1">
        <v>4282330</v>
      </c>
    </row>
    <row r="600" spans="1:7" x14ac:dyDescent="0.25">
      <c r="A600" s="1" t="str">
        <f t="shared" si="9"/>
        <v>07 Estrone 1 µg_LL dopé</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1478</v>
      </c>
      <c r="D600" s="1" t="s">
        <v>1479</v>
      </c>
      <c r="E600" s="1" t="s">
        <v>1480</v>
      </c>
      <c r="F600" s="1" t="s">
        <v>112</v>
      </c>
      <c r="G600" s="1">
        <v>4382368</v>
      </c>
    </row>
    <row r="601" spans="1:7" x14ac:dyDescent="0.25">
      <c r="A601" s="1" t="str">
        <f t="shared" si="9"/>
        <v>07 Estrone 1 µg_LL dopé</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1481</v>
      </c>
      <c r="D601" s="1" t="s">
        <v>1482</v>
      </c>
      <c r="E601" s="1" t="s">
        <v>1483</v>
      </c>
      <c r="F601" s="1" t="s">
        <v>112</v>
      </c>
      <c r="G601" s="1">
        <v>4265696</v>
      </c>
    </row>
    <row r="602" spans="1:7" x14ac:dyDescent="0.25">
      <c r="A602" s="1" t="str">
        <f t="shared" si="9"/>
        <v>07 Estrone 1 µg_LL dopé</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1484</v>
      </c>
      <c r="D602" s="1" t="s">
        <v>1485</v>
      </c>
      <c r="E602" s="1" t="s">
        <v>1486</v>
      </c>
      <c r="F602" s="1" t="s">
        <v>112</v>
      </c>
      <c r="G602" s="1">
        <v>3120026</v>
      </c>
    </row>
    <row r="603" spans="1:7" x14ac:dyDescent="0.25">
      <c r="A603" s="1" t="str">
        <f t="shared" si="9"/>
        <v>07 Estrone 1 µg_LL dopé</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1487</v>
      </c>
      <c r="D603" s="1" t="s">
        <v>1034</v>
      </c>
      <c r="E603" s="1" t="s">
        <v>1488</v>
      </c>
      <c r="F603" s="1" t="s">
        <v>112</v>
      </c>
      <c r="G603" s="1">
        <v>2956244</v>
      </c>
    </row>
    <row r="604" spans="1:7" x14ac:dyDescent="0.25">
      <c r="A604" s="1" t="str">
        <f t="shared" si="9"/>
        <v>07 Estrone 1 µg_LL dopé</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1489</v>
      </c>
      <c r="D604" s="1" t="s">
        <v>1490</v>
      </c>
      <c r="E604" s="1" t="s">
        <v>1491</v>
      </c>
      <c r="F604" s="1" t="s">
        <v>112</v>
      </c>
      <c r="G604" s="1">
        <v>3089787</v>
      </c>
    </row>
    <row r="605" spans="1:7" x14ac:dyDescent="0.25">
      <c r="A605" s="1" t="str">
        <f t="shared" si="9"/>
        <v>07 Estrone 1 µg_LL dopé</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1492</v>
      </c>
      <c r="D605" s="1" t="s">
        <v>1493</v>
      </c>
      <c r="E605" s="1" t="s">
        <v>1494</v>
      </c>
      <c r="F605" s="1" t="s">
        <v>112</v>
      </c>
      <c r="G605" s="1">
        <v>818865</v>
      </c>
    </row>
    <row r="606" spans="1:7" x14ac:dyDescent="0.25">
      <c r="A606" s="1" t="str">
        <f t="shared" si="9"/>
        <v>07 Estrone 1 µg_LL dopé</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1495</v>
      </c>
      <c r="D606" s="1" t="s">
        <v>1496</v>
      </c>
      <c r="E606" s="1" t="s">
        <v>1497</v>
      </c>
      <c r="F606" s="1" t="s">
        <v>112</v>
      </c>
      <c r="G606" s="1">
        <v>781964</v>
      </c>
    </row>
    <row r="607" spans="1:7" x14ac:dyDescent="0.25">
      <c r="A607" s="1" t="str">
        <f t="shared" si="9"/>
        <v>07 Estrone 1 µg_LL dopé</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1498</v>
      </c>
      <c r="D607" s="1" t="s">
        <v>1499</v>
      </c>
      <c r="E607" s="1" t="s">
        <v>1500</v>
      </c>
      <c r="F607" s="1" t="s">
        <v>112</v>
      </c>
      <c r="G607" s="1">
        <v>664449</v>
      </c>
    </row>
    <row r="608" spans="1:7" x14ac:dyDescent="0.25">
      <c r="A608" s="1" t="str">
        <f t="shared" si="9"/>
        <v>07 Estrone 1 µg_LL dopé</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1501</v>
      </c>
      <c r="D608" s="1" t="s">
        <v>1502</v>
      </c>
      <c r="E608" s="1" t="s">
        <v>1503</v>
      </c>
      <c r="F608" s="1" t="s">
        <v>112</v>
      </c>
      <c r="G608" s="1">
        <v>4387018</v>
      </c>
    </row>
    <row r="609" spans="1:10" x14ac:dyDescent="0.25">
      <c r="A609" s="1" t="str">
        <f t="shared" si="9"/>
        <v>07 Estrone 1 µg_LL dopé</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1504</v>
      </c>
      <c r="D609" s="1" t="s">
        <v>1505</v>
      </c>
      <c r="E609" s="1" t="s">
        <v>1506</v>
      </c>
      <c r="F609" s="1" t="s">
        <v>112</v>
      </c>
      <c r="G609" s="1">
        <v>3282380</v>
      </c>
    </row>
    <row r="610" spans="1:10" x14ac:dyDescent="0.25">
      <c r="A610" s="1" t="str">
        <f t="shared" si="9"/>
        <v>07 Estrone 1 µg_LL dopé</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1507</v>
      </c>
      <c r="D610" s="1" t="s">
        <v>1508</v>
      </c>
      <c r="E610" s="1" t="s">
        <v>1509</v>
      </c>
      <c r="F610" s="1" t="s">
        <v>112</v>
      </c>
      <c r="G610" s="1">
        <v>4566395</v>
      </c>
    </row>
    <row r="611" spans="1:10" x14ac:dyDescent="0.25">
      <c r="A611" s="1" t="str">
        <f t="shared" si="9"/>
        <v>07 Estrone 1 µg_LL dopé</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1510</v>
      </c>
      <c r="D611" s="1" t="s">
        <v>1511</v>
      </c>
      <c r="E611" s="1" t="s">
        <v>1512</v>
      </c>
      <c r="F611" s="1" t="s">
        <v>112</v>
      </c>
      <c r="G611" s="1">
        <v>2588320</v>
      </c>
    </row>
    <row r="612" spans="1:10" x14ac:dyDescent="0.25">
      <c r="A612" s="1" t="str">
        <f t="shared" si="9"/>
        <v>07 Estrone 1 µg_LL dopé</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1513</v>
      </c>
      <c r="D612" s="1" t="s">
        <v>1514</v>
      </c>
      <c r="E612" s="1" t="s">
        <v>1515</v>
      </c>
      <c r="F612" s="1" t="s">
        <v>112</v>
      </c>
      <c r="G612" s="1">
        <v>2625199</v>
      </c>
    </row>
    <row r="613" spans="1:10" x14ac:dyDescent="0.25">
      <c r="A613" s="1" t="str">
        <f t="shared" si="9"/>
        <v>07 Estrone 1 µg_LL dopé</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1516</v>
      </c>
      <c r="D613" s="1" t="s">
        <v>1517</v>
      </c>
      <c r="E613" s="1" t="s">
        <v>1518</v>
      </c>
      <c r="F613" s="1" t="s">
        <v>112</v>
      </c>
      <c r="G613" s="1">
        <v>2199371</v>
      </c>
    </row>
    <row r="614" spans="1:10" x14ac:dyDescent="0.25">
      <c r="A614" s="1" t="str">
        <f t="shared" si="9"/>
        <v>07 Estrone 1 µg_LL dopé</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1519</v>
      </c>
      <c r="D614" s="1" t="s">
        <v>1520</v>
      </c>
      <c r="E614" s="1" t="s">
        <v>1521</v>
      </c>
      <c r="F614" s="1" t="s">
        <v>112</v>
      </c>
      <c r="G614" s="1">
        <v>3523834</v>
      </c>
    </row>
    <row r="615" spans="1:10" x14ac:dyDescent="0.25">
      <c r="A615" s="1" t="str">
        <f t="shared" si="9"/>
        <v>07 Estrone 1 µg_LL dopé</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1522</v>
      </c>
      <c r="D615" s="1" t="s">
        <v>926</v>
      </c>
      <c r="E615" s="1" t="s">
        <v>1523</v>
      </c>
      <c r="F615" s="1" t="s">
        <v>112</v>
      </c>
      <c r="G615" s="1">
        <v>3916979</v>
      </c>
    </row>
    <row r="616" spans="1:10" x14ac:dyDescent="0.25">
      <c r="A616" s="1" t="str">
        <f t="shared" si="9"/>
        <v>07 Estrone 1 µg_LL dopé</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1524</v>
      </c>
      <c r="D616" s="1" t="s">
        <v>1525</v>
      </c>
      <c r="E616" s="1" t="s">
        <v>1526</v>
      </c>
      <c r="F616" s="1" t="s">
        <v>112</v>
      </c>
      <c r="G616" s="1">
        <v>3657896</v>
      </c>
    </row>
    <row r="617" spans="1:10" x14ac:dyDescent="0.25">
      <c r="A617" s="1" t="str">
        <f t="shared" si="9"/>
        <v>07 Estrone 1 µg_LL dopé</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1527</v>
      </c>
      <c r="D617" s="1" t="s">
        <v>1528</v>
      </c>
      <c r="E617" s="1" t="s">
        <v>1529</v>
      </c>
      <c r="F617" s="1" t="s">
        <v>112</v>
      </c>
      <c r="G617" s="1">
        <v>3770848</v>
      </c>
    </row>
    <row r="618" spans="1:10" x14ac:dyDescent="0.25">
      <c r="A618" s="1" t="str">
        <f t="shared" si="9"/>
        <v>07 Estrone 1 µg_LL dopé</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1530</v>
      </c>
      <c r="D618" s="1" t="s">
        <v>1531</v>
      </c>
      <c r="E618" s="1" t="s">
        <v>1532</v>
      </c>
      <c r="F618" s="1" t="s">
        <v>112</v>
      </c>
      <c r="G618" s="1">
        <v>3465671</v>
      </c>
    </row>
    <row r="619" spans="1:10" x14ac:dyDescent="0.25">
      <c r="A619" s="1" t="str">
        <f t="shared" si="9"/>
        <v>07 Estrone 1 µg_LL dopé</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1533</v>
      </c>
      <c r="D619" s="1" t="s">
        <v>1534</v>
      </c>
      <c r="E619" s="1" t="s">
        <v>1535</v>
      </c>
      <c r="F619" s="1" t="s">
        <v>112</v>
      </c>
      <c r="G619" s="1">
        <v>4134079</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242</v>
      </c>
      <c r="D621" s="1" t="s">
        <v>112</v>
      </c>
      <c r="E621" s="1" t="s">
        <v>243</v>
      </c>
      <c r="F621" s="1" t="s">
        <v>244</v>
      </c>
      <c r="G621" s="1" t="s">
        <v>245</v>
      </c>
      <c r="H621" s="1" t="s">
        <v>246</v>
      </c>
      <c r="I621" s="1" t="s">
        <v>247</v>
      </c>
      <c r="J621" s="1" t="s">
        <v>248</v>
      </c>
    </row>
    <row r="622" spans="1:10" x14ac:dyDescent="0.25">
      <c r="A622" s="1" t="str">
        <f t="shared" si="9"/>
        <v>07 Estrone 1 µg_LL dopé</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1536</v>
      </c>
      <c r="D622" s="1" t="s">
        <v>112</v>
      </c>
      <c r="E622" s="1" t="s">
        <v>1537</v>
      </c>
      <c r="F622" s="1" t="s">
        <v>1538</v>
      </c>
      <c r="G622" s="1" t="s">
        <v>1539</v>
      </c>
      <c r="H622" s="1" t="s">
        <v>1540</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254</v>
      </c>
      <c r="D628" s="1" t="s">
        <v>110</v>
      </c>
      <c r="E628" s="1" t="s">
        <v>111</v>
      </c>
      <c r="F628" s="1" t="s">
        <v>112</v>
      </c>
      <c r="G628" s="1" t="s">
        <v>113</v>
      </c>
    </row>
    <row r="629" spans="1:7" x14ac:dyDescent="0.25">
      <c r="A629" s="1" t="str">
        <f t="shared" si="9"/>
        <v>08 Estrone 5 µg_LL dopé</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1541</v>
      </c>
      <c r="D629" s="1" t="s">
        <v>1542</v>
      </c>
      <c r="E629" s="1" t="s">
        <v>1543</v>
      </c>
      <c r="F629" s="1" t="s">
        <v>112</v>
      </c>
      <c r="G629" s="1">
        <v>4700046</v>
      </c>
    </row>
    <row r="630" spans="1:7" x14ac:dyDescent="0.25">
      <c r="A630" s="1" t="str">
        <f t="shared" si="9"/>
        <v>08 Estrone 5 µg_LL dopé</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1544</v>
      </c>
      <c r="D630" s="1" t="s">
        <v>1545</v>
      </c>
      <c r="E630" s="1" t="s">
        <v>1546</v>
      </c>
      <c r="F630" s="1" t="s">
        <v>112</v>
      </c>
      <c r="G630" s="1">
        <v>4925646</v>
      </c>
    </row>
    <row r="631" spans="1:7" x14ac:dyDescent="0.25">
      <c r="A631" s="1" t="str">
        <f t="shared" si="9"/>
        <v>08 Estrone 5 µg_LL dopé</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1547</v>
      </c>
    </row>
    <row r="632" spans="1:7" x14ac:dyDescent="0.25">
      <c r="A632" s="1" t="str">
        <f t="shared" si="9"/>
        <v>08 Estrone 5 µg_LL dopé</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1548</v>
      </c>
      <c r="D632" s="1" t="s">
        <v>1549</v>
      </c>
      <c r="E632" s="1" t="s">
        <v>1550</v>
      </c>
      <c r="F632" s="1" t="s">
        <v>112</v>
      </c>
      <c r="G632" s="1">
        <v>6379802</v>
      </c>
    </row>
    <row r="633" spans="1:7" x14ac:dyDescent="0.25">
      <c r="A633" s="1" t="str">
        <f t="shared" si="9"/>
        <v>08 Estrone 5 µg_LL dopé</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1551</v>
      </c>
      <c r="D633" s="1" t="s">
        <v>1549</v>
      </c>
      <c r="E633" s="1" t="s">
        <v>1552</v>
      </c>
      <c r="F633" s="1" t="s">
        <v>112</v>
      </c>
      <c r="G633" s="1">
        <v>6345778</v>
      </c>
    </row>
    <row r="634" spans="1:7" x14ac:dyDescent="0.25">
      <c r="A634" s="1" t="str">
        <f t="shared" si="9"/>
        <v>08 Estrone 5 µg_LL dopé</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1553</v>
      </c>
      <c r="D634" s="1" t="s">
        <v>1554</v>
      </c>
      <c r="E634" s="1" t="s">
        <v>1555</v>
      </c>
      <c r="F634" s="1" t="s">
        <v>112</v>
      </c>
      <c r="G634" s="1">
        <v>6384799</v>
      </c>
    </row>
    <row r="635" spans="1:7" x14ac:dyDescent="0.25">
      <c r="A635" s="1" t="str">
        <f t="shared" si="9"/>
        <v>08 Estrone 5 µg_LL dopé</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1556</v>
      </c>
      <c r="D635" s="1" t="s">
        <v>1216</v>
      </c>
      <c r="E635" s="1" t="s">
        <v>1557</v>
      </c>
      <c r="F635" s="1" t="s">
        <v>112</v>
      </c>
      <c r="G635" s="1">
        <v>2105497</v>
      </c>
    </row>
    <row r="636" spans="1:7" x14ac:dyDescent="0.25">
      <c r="A636" s="1" t="str">
        <f t="shared" si="9"/>
        <v>08 Estrone 5 µg_LL dopé</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1558</v>
      </c>
      <c r="D636" s="1" t="s">
        <v>1559</v>
      </c>
      <c r="E636" s="1" t="s">
        <v>1560</v>
      </c>
      <c r="F636" s="1" t="s">
        <v>112</v>
      </c>
      <c r="G636" s="1">
        <v>1833350</v>
      </c>
    </row>
    <row r="637" spans="1:7" x14ac:dyDescent="0.25">
      <c r="A637" s="1" t="str">
        <f t="shared" si="9"/>
        <v>08 Estrone 5 µg_LL dopé</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1561</v>
      </c>
      <c r="D637" s="1" t="s">
        <v>1562</v>
      </c>
      <c r="E637" s="1" t="s">
        <v>1563</v>
      </c>
      <c r="F637" s="1" t="s">
        <v>112</v>
      </c>
      <c r="G637" s="1">
        <v>2340679</v>
      </c>
    </row>
    <row r="638" spans="1:7" x14ac:dyDescent="0.25">
      <c r="A638" s="1" t="str">
        <f t="shared" si="9"/>
        <v>08 Estrone 5 µg_LL dopé</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1564</v>
      </c>
      <c r="D638" s="1" t="s">
        <v>1565</v>
      </c>
      <c r="E638" s="1" t="s">
        <v>1566</v>
      </c>
      <c r="F638" s="1" t="s">
        <v>112</v>
      </c>
      <c r="G638" s="1">
        <v>2856876</v>
      </c>
    </row>
    <row r="639" spans="1:7" x14ac:dyDescent="0.25">
      <c r="A639" s="1" t="str">
        <f t="shared" si="9"/>
        <v>08 Estrone 5 µg_LL dopé</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1567</v>
      </c>
      <c r="D639" s="1" t="s">
        <v>1568</v>
      </c>
      <c r="E639" s="1" t="s">
        <v>1569</v>
      </c>
      <c r="F639" s="1" t="s">
        <v>112</v>
      </c>
      <c r="G639" s="1">
        <v>3064891</v>
      </c>
    </row>
    <row r="640" spans="1:7" x14ac:dyDescent="0.25">
      <c r="A640" s="1" t="str">
        <f t="shared" si="9"/>
        <v>08 Estrone 5 µg_LL dopé</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1570</v>
      </c>
      <c r="D640" s="1" t="s">
        <v>1571</v>
      </c>
      <c r="E640" s="1" t="s">
        <v>1572</v>
      </c>
      <c r="F640" s="1" t="s">
        <v>112</v>
      </c>
      <c r="G640" s="1">
        <v>3102743</v>
      </c>
    </row>
    <row r="641" spans="1:10" x14ac:dyDescent="0.25">
      <c r="A641" s="1" t="str">
        <f t="shared" si="9"/>
        <v>08 Estrone 5 µg_LL dopé</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1573</v>
      </c>
      <c r="D641" s="1" t="s">
        <v>1574</v>
      </c>
      <c r="E641" s="1" t="s">
        <v>1575</v>
      </c>
      <c r="F641" s="1" t="s">
        <v>112</v>
      </c>
      <c r="G641" s="1">
        <v>2006065</v>
      </c>
    </row>
    <row r="642" spans="1:10" x14ac:dyDescent="0.25">
      <c r="A642" s="1" t="str">
        <f t="shared" ref="A642:A705" si="10">IFERROR(LEFT(RIGHT(C642,LEN(C642)-SEARCH("@",C642)),SEARCH("/",RIGHT(C642,LEN(C642)-SEARCH("@",C642)-1))),"")</f>
        <v>08 Estrone 5 µg_LL dopé</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1576</v>
      </c>
      <c r="D642" s="1" t="s">
        <v>1577</v>
      </c>
      <c r="E642" s="1" t="s">
        <v>1578</v>
      </c>
      <c r="F642" s="1" t="s">
        <v>112</v>
      </c>
      <c r="G642" s="1">
        <v>1742115</v>
      </c>
    </row>
    <row r="643" spans="1:10" x14ac:dyDescent="0.25">
      <c r="A643" s="1" t="str">
        <f t="shared" si="10"/>
        <v>08 Estrone 5 µg_LL dopé</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1579</v>
      </c>
      <c r="D643" s="1" t="s">
        <v>1580</v>
      </c>
      <c r="E643" s="1" t="s">
        <v>1581</v>
      </c>
      <c r="F643" s="1" t="s">
        <v>112</v>
      </c>
      <c r="G643" s="1">
        <v>1744970</v>
      </c>
    </row>
    <row r="644" spans="1:10" x14ac:dyDescent="0.25">
      <c r="A644" s="1" t="str">
        <f t="shared" si="10"/>
        <v>08 Estrone 5 µg_LL dopé</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1582</v>
      </c>
      <c r="D644" s="1" t="s">
        <v>1583</v>
      </c>
      <c r="E644" s="1" t="s">
        <v>1584</v>
      </c>
      <c r="F644" s="1" t="s">
        <v>112</v>
      </c>
      <c r="G644" s="1">
        <v>2433233</v>
      </c>
    </row>
    <row r="645" spans="1:10" x14ac:dyDescent="0.25">
      <c r="A645" s="1" t="str">
        <f t="shared" si="10"/>
        <v>08 Estrone 5 µg_LL dopé</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1585</v>
      </c>
      <c r="D645" s="1" t="s">
        <v>1586</v>
      </c>
      <c r="E645" s="1" t="s">
        <v>1587</v>
      </c>
      <c r="F645" s="1" t="s">
        <v>112</v>
      </c>
      <c r="G645" s="1">
        <v>2683253</v>
      </c>
    </row>
    <row r="646" spans="1:10" x14ac:dyDescent="0.25">
      <c r="A646" s="1" t="str">
        <f t="shared" si="10"/>
        <v>08 Estrone 5 µg_LL dopé</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1588</v>
      </c>
      <c r="D646" s="1" t="s">
        <v>1589</v>
      </c>
      <c r="E646" s="1" t="s">
        <v>1590</v>
      </c>
      <c r="F646" s="1" t="s">
        <v>112</v>
      </c>
      <c r="G646" s="1">
        <v>2686606</v>
      </c>
    </row>
    <row r="647" spans="1:10" x14ac:dyDescent="0.25">
      <c r="A647" s="1" t="str">
        <f t="shared" si="10"/>
        <v>08 Estrone 5 µg_LL dopé</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1591</v>
      </c>
      <c r="D647" s="1" t="s">
        <v>1592</v>
      </c>
      <c r="E647" s="1" t="s">
        <v>1593</v>
      </c>
      <c r="F647" s="1" t="s">
        <v>112</v>
      </c>
      <c r="G647" s="1">
        <v>2888175</v>
      </c>
    </row>
    <row r="648" spans="1:10" x14ac:dyDescent="0.25">
      <c r="A648" s="1" t="str">
        <f t="shared" si="10"/>
        <v>08 Estrone 5 µg_LL dopé</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1594</v>
      </c>
      <c r="D648" s="1" t="s">
        <v>1595</v>
      </c>
      <c r="E648" s="1" t="s">
        <v>1596</v>
      </c>
      <c r="F648" s="1" t="s">
        <v>112</v>
      </c>
      <c r="G648" s="1">
        <v>3396780</v>
      </c>
    </row>
    <row r="649" spans="1:10" x14ac:dyDescent="0.25">
      <c r="A649" s="1" t="str">
        <f t="shared" si="10"/>
        <v>08 Estrone 5 µg_LL dopé</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1597</v>
      </c>
      <c r="D649" s="1" t="s">
        <v>1598</v>
      </c>
      <c r="E649" s="1" t="s">
        <v>1599</v>
      </c>
      <c r="F649" s="1" t="s">
        <v>112</v>
      </c>
      <c r="G649" s="1">
        <v>3549747</v>
      </c>
    </row>
    <row r="650" spans="1:10" x14ac:dyDescent="0.25">
      <c r="A650" s="1" t="str">
        <f t="shared" si="10"/>
        <v>08 Estrone 5 µg_LL dopé</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1600</v>
      </c>
      <c r="D650" s="1" t="s">
        <v>1601</v>
      </c>
      <c r="E650" s="1" t="s">
        <v>1602</v>
      </c>
      <c r="F650" s="1" t="s">
        <v>112</v>
      </c>
      <c r="G650" s="1">
        <v>2866307</v>
      </c>
    </row>
    <row r="651" spans="1:10" x14ac:dyDescent="0.25">
      <c r="A651" s="1" t="str">
        <f t="shared" si="10"/>
        <v>08 Estrone 5 µg_LL dopé</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1603</v>
      </c>
      <c r="D651" s="1" t="s">
        <v>1604</v>
      </c>
      <c r="E651" s="1" t="s">
        <v>1605</v>
      </c>
      <c r="F651" s="1" t="s">
        <v>112</v>
      </c>
      <c r="G651" s="1">
        <v>2925573</v>
      </c>
    </row>
    <row r="652" spans="1:10" x14ac:dyDescent="0.25">
      <c r="A652" s="1" t="str">
        <f t="shared" si="10"/>
        <v>08 Estrone 5 µg_LL dopé</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1606</v>
      </c>
      <c r="D652" s="1" t="s">
        <v>1607</v>
      </c>
      <c r="E652" s="1" t="s">
        <v>1608</v>
      </c>
      <c r="F652" s="1" t="s">
        <v>112</v>
      </c>
      <c r="G652" s="1">
        <v>3077631</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242</v>
      </c>
      <c r="D654" s="1" t="s">
        <v>112</v>
      </c>
      <c r="E654" s="1" t="s">
        <v>243</v>
      </c>
      <c r="F654" s="1" t="s">
        <v>244</v>
      </c>
      <c r="G654" s="1" t="s">
        <v>245</v>
      </c>
      <c r="H654" s="1" t="s">
        <v>246</v>
      </c>
      <c r="I654" s="1" t="s">
        <v>247</v>
      </c>
      <c r="J654" s="1" t="s">
        <v>248</v>
      </c>
    </row>
    <row r="655" spans="1:10" x14ac:dyDescent="0.25">
      <c r="A655" s="1" t="str">
        <f t="shared" si="10"/>
        <v>08 Estrone 5 µg_LL dopé</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1609</v>
      </c>
      <c r="D655" s="1" t="s">
        <v>112</v>
      </c>
      <c r="E655" s="1" t="s">
        <v>1610</v>
      </c>
      <c r="F655" s="1" t="s">
        <v>1611</v>
      </c>
      <c r="G655" s="1" t="s">
        <v>1612</v>
      </c>
      <c r="H655" s="1" t="s">
        <v>1613</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254</v>
      </c>
      <c r="D661" s="1" t="s">
        <v>110</v>
      </c>
      <c r="E661" s="1" t="s">
        <v>111</v>
      </c>
      <c r="F661" s="1" t="s">
        <v>112</v>
      </c>
      <c r="G661" s="1" t="s">
        <v>113</v>
      </c>
    </row>
    <row r="662" spans="1:7" x14ac:dyDescent="0.25">
      <c r="A662" s="1" t="str">
        <f t="shared" si="10"/>
        <v>09 Estrone 25 µg_LL dopé</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1614</v>
      </c>
      <c r="D662" s="1" t="s">
        <v>1615</v>
      </c>
      <c r="E662" s="1" t="s">
        <v>1616</v>
      </c>
      <c r="F662" s="1" t="s">
        <v>112</v>
      </c>
      <c r="G662" s="1">
        <v>2996562</v>
      </c>
    </row>
    <row r="663" spans="1:7" x14ac:dyDescent="0.25">
      <c r="A663" s="1" t="str">
        <f t="shared" si="10"/>
        <v>09 Estrone 25 µg_LL dopé</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1617</v>
      </c>
      <c r="D663" s="1" t="s">
        <v>899</v>
      </c>
      <c r="E663" s="1" t="s">
        <v>1618</v>
      </c>
      <c r="F663" s="1" t="s">
        <v>112</v>
      </c>
      <c r="G663" s="1">
        <v>3226358</v>
      </c>
    </row>
    <row r="664" spans="1:7" x14ac:dyDescent="0.25">
      <c r="A664" s="1" t="str">
        <f t="shared" si="10"/>
        <v>09 Estrone 25 µg_LL dopé</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1619</v>
      </c>
      <c r="D664" s="1" t="s">
        <v>1620</v>
      </c>
      <c r="E664" s="1" t="s">
        <v>1621</v>
      </c>
      <c r="F664" s="1" t="s">
        <v>112</v>
      </c>
      <c r="G664" s="1">
        <v>3466061</v>
      </c>
    </row>
    <row r="665" spans="1:7" x14ac:dyDescent="0.25">
      <c r="A665" s="1" t="str">
        <f t="shared" si="10"/>
        <v>09 Estrone 25 µg_LL dopé</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1622</v>
      </c>
      <c r="D665" s="1" t="s">
        <v>1623</v>
      </c>
      <c r="E665" s="1" t="s">
        <v>1624</v>
      </c>
      <c r="F665" s="1" t="s">
        <v>112</v>
      </c>
      <c r="G665" s="1">
        <v>9006429</v>
      </c>
    </row>
    <row r="666" spans="1:7" x14ac:dyDescent="0.25">
      <c r="A666" s="1" t="str">
        <f t="shared" si="10"/>
        <v>09 Estrone 25 µg_LL dopé</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1625</v>
      </c>
      <c r="D666" s="1" t="s">
        <v>1626</v>
      </c>
      <c r="E666" s="1" t="s">
        <v>1627</v>
      </c>
      <c r="F666" s="1" t="s">
        <v>112</v>
      </c>
      <c r="G666" s="1">
        <v>9474846</v>
      </c>
    </row>
    <row r="667" spans="1:7" x14ac:dyDescent="0.25">
      <c r="A667" s="1" t="str">
        <f t="shared" si="10"/>
        <v>09 Estrone 25 µg_LL dopé</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1628</v>
      </c>
      <c r="D667" s="1" t="s">
        <v>1629</v>
      </c>
      <c r="E667" s="1" t="s">
        <v>1630</v>
      </c>
      <c r="F667" s="1" t="s">
        <v>112</v>
      </c>
      <c r="G667" s="1">
        <v>8610364</v>
      </c>
    </row>
    <row r="668" spans="1:7" x14ac:dyDescent="0.25">
      <c r="A668" s="1" t="str">
        <f t="shared" si="10"/>
        <v>09 Estrone 25 µg_LL dopé</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1631</v>
      </c>
      <c r="D668" s="1" t="s">
        <v>1632</v>
      </c>
      <c r="E668" s="1" t="s">
        <v>1633</v>
      </c>
      <c r="F668" s="1" t="s">
        <v>112</v>
      </c>
      <c r="G668" s="1">
        <v>5668373</v>
      </c>
    </row>
    <row r="669" spans="1:7" x14ac:dyDescent="0.25">
      <c r="A669" s="1" t="str">
        <f t="shared" si="10"/>
        <v>09 Estrone 25 µg_LL dopé</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1634</v>
      </c>
      <c r="D669" s="1" t="s">
        <v>1635</v>
      </c>
      <c r="E669" s="1" t="s">
        <v>1636</v>
      </c>
      <c r="F669" s="1" t="s">
        <v>112</v>
      </c>
      <c r="G669" s="1">
        <v>6283484</v>
      </c>
    </row>
    <row r="670" spans="1:7" x14ac:dyDescent="0.25">
      <c r="A670" s="1" t="str">
        <f t="shared" si="10"/>
        <v>09 Estrone 25 µg_LL dopé</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1637</v>
      </c>
      <c r="D670" s="1" t="s">
        <v>1638</v>
      </c>
      <c r="E670" s="1" t="s">
        <v>1639</v>
      </c>
      <c r="F670" s="1" t="s">
        <v>112</v>
      </c>
      <c r="G670" s="1">
        <v>6174794</v>
      </c>
    </row>
    <row r="671" spans="1:7" x14ac:dyDescent="0.25">
      <c r="A671" s="1" t="str">
        <f t="shared" si="10"/>
        <v>09 Estrone 25 µg_LL dopé</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1640</v>
      </c>
      <c r="D671" s="1" t="s">
        <v>1641</v>
      </c>
      <c r="E671" s="1" t="s">
        <v>1642</v>
      </c>
      <c r="F671" s="1" t="s">
        <v>112</v>
      </c>
      <c r="G671" s="1">
        <v>4740732</v>
      </c>
    </row>
    <row r="672" spans="1:7" x14ac:dyDescent="0.25">
      <c r="A672" s="1" t="str">
        <f t="shared" si="10"/>
        <v>09 Estrone 25 µg_LL dopé</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1643</v>
      </c>
      <c r="D672" s="1" t="s">
        <v>1644</v>
      </c>
      <c r="E672" s="1" t="s">
        <v>1645</v>
      </c>
      <c r="F672" s="1" t="s">
        <v>112</v>
      </c>
      <c r="G672" s="1">
        <v>4786306</v>
      </c>
    </row>
    <row r="673" spans="1:10" x14ac:dyDescent="0.25">
      <c r="A673" s="1" t="str">
        <f t="shared" si="10"/>
        <v>09 Estrone 25 µg_LL dopé</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1646</v>
      </c>
      <c r="D673" s="1" t="s">
        <v>1647</v>
      </c>
      <c r="E673" s="1" t="s">
        <v>1648</v>
      </c>
      <c r="F673" s="1" t="s">
        <v>112</v>
      </c>
      <c r="G673" s="1">
        <v>4708352</v>
      </c>
    </row>
    <row r="674" spans="1:10" x14ac:dyDescent="0.25">
      <c r="A674" s="1" t="str">
        <f t="shared" si="10"/>
        <v>09 Estrone 25 µg_LL dopé</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1649</v>
      </c>
      <c r="D674" s="1" t="s">
        <v>1650</v>
      </c>
      <c r="E674" s="1" t="s">
        <v>1651</v>
      </c>
      <c r="F674" s="1" t="s">
        <v>112</v>
      </c>
      <c r="G674" s="1">
        <v>2055229</v>
      </c>
    </row>
    <row r="675" spans="1:10" x14ac:dyDescent="0.25">
      <c r="A675" s="1" t="str">
        <f t="shared" si="10"/>
        <v>09 Estrone 25 µg_LL dopé</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1652</v>
      </c>
      <c r="D675" s="1" t="s">
        <v>561</v>
      </c>
      <c r="E675" s="1" t="s">
        <v>1653</v>
      </c>
      <c r="F675" s="1" t="s">
        <v>112</v>
      </c>
      <c r="G675" s="1">
        <v>2048892</v>
      </c>
    </row>
    <row r="676" spans="1:10" x14ac:dyDescent="0.25">
      <c r="A676" s="1" t="str">
        <f t="shared" si="10"/>
        <v>09 Estrone 25 µg_LL dopé</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1654</v>
      </c>
      <c r="D676" s="1" t="s">
        <v>1655</v>
      </c>
      <c r="E676" s="1" t="s">
        <v>1656</v>
      </c>
      <c r="F676" s="1" t="s">
        <v>112</v>
      </c>
      <c r="G676" s="1">
        <v>1913467</v>
      </c>
    </row>
    <row r="677" spans="1:10" x14ac:dyDescent="0.25">
      <c r="A677" s="1" t="str">
        <f t="shared" si="10"/>
        <v>09 Estrone 25 µg_LL dopé</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1657</v>
      </c>
      <c r="D677" s="1" t="s">
        <v>1658</v>
      </c>
      <c r="E677" s="1" t="s">
        <v>1659</v>
      </c>
      <c r="F677" s="1" t="s">
        <v>112</v>
      </c>
      <c r="G677" s="1">
        <v>4332187</v>
      </c>
    </row>
    <row r="678" spans="1:10" x14ac:dyDescent="0.25">
      <c r="A678" s="1" t="str">
        <f t="shared" si="10"/>
        <v>09 Estrone 25 µg_LL dopé</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1660</v>
      </c>
      <c r="D678" s="1" t="s">
        <v>639</v>
      </c>
      <c r="E678" s="1" t="s">
        <v>1661</v>
      </c>
      <c r="F678" s="1" t="s">
        <v>112</v>
      </c>
      <c r="G678" s="1">
        <v>4166545</v>
      </c>
    </row>
    <row r="679" spans="1:10" x14ac:dyDescent="0.25">
      <c r="A679" s="1" t="str">
        <f t="shared" si="10"/>
        <v>09 Estrone 25 µg_LL dopé</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1662</v>
      </c>
      <c r="D679" s="1" t="s">
        <v>1663</v>
      </c>
      <c r="E679" s="1" t="s">
        <v>1664</v>
      </c>
      <c r="F679" s="1" t="s">
        <v>112</v>
      </c>
      <c r="G679" s="1">
        <v>4543727</v>
      </c>
    </row>
    <row r="680" spans="1:10" x14ac:dyDescent="0.25">
      <c r="A680" s="1" t="str">
        <f t="shared" si="10"/>
        <v>09 Estrone 25 µg_LL dopé</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1665</v>
      </c>
      <c r="D680" s="1" t="s">
        <v>1666</v>
      </c>
      <c r="E680" s="1" t="s">
        <v>1667</v>
      </c>
      <c r="F680" s="1" t="s">
        <v>112</v>
      </c>
      <c r="G680" s="1">
        <v>3744113</v>
      </c>
    </row>
    <row r="681" spans="1:10" x14ac:dyDescent="0.25">
      <c r="A681" s="1" t="str">
        <f t="shared" si="10"/>
        <v>09 Estrone 25 µg_LL dopé</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1668</v>
      </c>
      <c r="D681" s="1" t="s">
        <v>1669</v>
      </c>
      <c r="E681" s="1" t="s">
        <v>1670</v>
      </c>
      <c r="F681" s="1" t="s">
        <v>112</v>
      </c>
      <c r="G681" s="1">
        <v>3576654</v>
      </c>
    </row>
    <row r="682" spans="1:10" x14ac:dyDescent="0.25">
      <c r="A682" s="1" t="str">
        <f t="shared" si="10"/>
        <v>09 Estrone 25 µg_LL dopé</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1671</v>
      </c>
      <c r="D682" s="1" t="s">
        <v>1672</v>
      </c>
      <c r="E682" s="1" t="s">
        <v>1673</v>
      </c>
      <c r="F682" s="1" t="s">
        <v>112</v>
      </c>
      <c r="G682" s="1">
        <v>3608407</v>
      </c>
    </row>
    <row r="683" spans="1:10" x14ac:dyDescent="0.25">
      <c r="A683" s="1" t="str">
        <f t="shared" si="10"/>
        <v>09 Estrone 25 µg_LL dopé</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1674</v>
      </c>
      <c r="D683" s="1" t="s">
        <v>1675</v>
      </c>
      <c r="E683" s="1" t="s">
        <v>1676</v>
      </c>
      <c r="F683" s="1" t="s">
        <v>112</v>
      </c>
      <c r="G683" s="1">
        <v>4930383</v>
      </c>
    </row>
    <row r="684" spans="1:10" x14ac:dyDescent="0.25">
      <c r="A684" s="1" t="str">
        <f t="shared" si="10"/>
        <v>09 Estrone 25 µg_LL dopé</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1677</v>
      </c>
      <c r="D684" s="1" t="s">
        <v>1678</v>
      </c>
      <c r="E684" s="1" t="s">
        <v>1679</v>
      </c>
      <c r="F684" s="1" t="s">
        <v>112</v>
      </c>
      <c r="G684" s="1">
        <v>5267182</v>
      </c>
    </row>
    <row r="685" spans="1:10" x14ac:dyDescent="0.25">
      <c r="A685" s="1" t="str">
        <f t="shared" si="10"/>
        <v>09 Estrone 25 µg_LL dopé</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1680</v>
      </c>
      <c r="D685" s="1" t="s">
        <v>1681</v>
      </c>
      <c r="E685" s="1" t="s">
        <v>1682</v>
      </c>
      <c r="F685" s="1" t="s">
        <v>112</v>
      </c>
      <c r="G685" s="1">
        <v>5063537</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242</v>
      </c>
      <c r="D687" s="1" t="s">
        <v>112</v>
      </c>
      <c r="E687" s="1" t="s">
        <v>243</v>
      </c>
      <c r="F687" s="1" t="s">
        <v>244</v>
      </c>
      <c r="G687" s="1" t="s">
        <v>245</v>
      </c>
      <c r="H687" s="1" t="s">
        <v>246</v>
      </c>
      <c r="I687" s="1" t="s">
        <v>247</v>
      </c>
      <c r="J687" s="1" t="s">
        <v>248</v>
      </c>
    </row>
    <row r="688" spans="1:10" x14ac:dyDescent="0.25">
      <c r="A688" s="1" t="str">
        <f t="shared" si="10"/>
        <v>09 Estrone 25 µg_LL dopé</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1683</v>
      </c>
      <c r="D688" s="1" t="s">
        <v>112</v>
      </c>
      <c r="E688" s="1" t="s">
        <v>1684</v>
      </c>
      <c r="F688" s="1" t="s">
        <v>1685</v>
      </c>
      <c r="G688" s="1" t="s">
        <v>1686</v>
      </c>
      <c r="H688" s="1" t="s">
        <v>1687</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43" zoomScaleNormal="100" zoomScaleSheetLayoutView="40" zoomScalePageLayoutView="30" workbookViewId="0">
      <pane xSplit="1" topLeftCell="Q1" activePane="topRight" state="frozen"/>
      <selection pane="topRight" activeCell="U69" sqref="U69"/>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6" t="s">
        <v>40</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c r="A2"/>
      <c r="B2"/>
      <c r="C2"/>
      <c r="D2"/>
      <c r="E2"/>
      <c r="F2"/>
      <c r="G2"/>
      <c r="H2"/>
      <c r="I2"/>
      <c r="J2"/>
      <c r="K2"/>
      <c r="L2"/>
      <c r="M2"/>
      <c r="S2"/>
      <c r="T2"/>
      <c r="U2"/>
      <c r="V2"/>
    </row>
    <row r="3" spans="1:22" ht="15.75" thickBot="1" x14ac:dyDescent="0.3">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Estrone-0,04µg/L</v>
      </c>
      <c r="J4" s="35" t="str">
        <f>'Page de garde'!A16</f>
        <v>Estrone-0,2µg/L</v>
      </c>
      <c r="K4" s="35" t="str">
        <f>'Page de garde'!A17</f>
        <v>Estrone-1µg/L</v>
      </c>
      <c r="L4" s="35" t="str">
        <f>'Page de garde'!A18</f>
        <v>Estrone-5µg/L</v>
      </c>
      <c r="M4" s="35" t="str">
        <f>'Page de garde'!A19</f>
        <v>Estrone-25µg/L</v>
      </c>
      <c r="N4" s="3"/>
      <c r="O4" s="36" t="str">
        <f>'Page de garde'!A36</f>
        <v>Testo -30µg/L</v>
      </c>
      <c r="P4" s="36" t="str">
        <f>'Page de garde'!A37</f>
        <v>Testo 30µg/L + EE2 -64ng/L</v>
      </c>
      <c r="Q4" s="36" t="str">
        <f>'Page de garde'!A38</f>
        <v>Testo 30µg/L + FAD-10µg/L</v>
      </c>
      <c r="R4" s="36" t="str">
        <f>'Page de garde'!A39</f>
        <v>Estrone-0,04µg/L + Testostérone</v>
      </c>
      <c r="S4" s="36" t="str">
        <f>'Page de garde'!A40</f>
        <v>Estrone-0,2µg/L + Testostérone</v>
      </c>
      <c r="T4" s="36" t="str">
        <f>'Page de garde'!A41</f>
        <v>Estrone-1µg/L + Testostérone</v>
      </c>
      <c r="U4" s="36" t="str">
        <f>'Page de garde'!A42</f>
        <v>Estrone-5µg/L + Testostérone</v>
      </c>
      <c r="V4" s="36" t="str">
        <f>'Page de garde'!A43</f>
        <v>Estrone-25µg/L + Testostérone</v>
      </c>
    </row>
    <row r="5" spans="1:22" x14ac:dyDescent="0.25">
      <c r="A5" s="220" t="s">
        <v>33</v>
      </c>
      <c r="B5" s="196">
        <v>178050</v>
      </c>
      <c r="C5" s="196">
        <v>114191.33333333333</v>
      </c>
      <c r="D5" s="196">
        <v>56447</v>
      </c>
      <c r="E5" s="196">
        <v>568963.5</v>
      </c>
      <c r="F5" s="196">
        <v>472397</v>
      </c>
      <c r="G5" s="196">
        <v>3345950.3333333335</v>
      </c>
      <c r="H5" s="196">
        <v>4026805</v>
      </c>
      <c r="I5" s="196">
        <v>134718.33333333334</v>
      </c>
      <c r="J5" s="196">
        <v>60253.333333333336</v>
      </c>
      <c r="K5" s="196">
        <v>324441.33333333331</v>
      </c>
      <c r="L5" s="196">
        <v>3439896</v>
      </c>
      <c r="M5" s="196">
        <v>6496503</v>
      </c>
      <c r="N5" s="3"/>
      <c r="O5" s="196">
        <v>2390997.6666666665</v>
      </c>
      <c r="P5" s="196">
        <v>3589293.6666666665</v>
      </c>
      <c r="Q5" s="196">
        <v>129923.33333333333</v>
      </c>
      <c r="R5" s="196">
        <v>2668321.3333333335</v>
      </c>
      <c r="S5" s="196">
        <v>662300</v>
      </c>
      <c r="T5" s="196">
        <v>4049210.3333333335</v>
      </c>
      <c r="U5" s="196">
        <v>4812846</v>
      </c>
      <c r="V5" s="196">
        <v>3229660.3333333335</v>
      </c>
    </row>
    <row r="6" spans="1:22" x14ac:dyDescent="0.25">
      <c r="A6" s="221"/>
      <c r="B6" s="196">
        <v>190977.66666666666</v>
      </c>
      <c r="C6" s="196">
        <v>27870</v>
      </c>
      <c r="D6" s="196">
        <v>225333.33333333334</v>
      </c>
      <c r="E6" s="196">
        <v>801683</v>
      </c>
      <c r="F6" s="196">
        <v>1039028</v>
      </c>
      <c r="G6" s="196">
        <v>2249242</v>
      </c>
      <c r="H6" s="196">
        <v>5648344</v>
      </c>
      <c r="I6" s="196">
        <v>37938.666666666664</v>
      </c>
      <c r="J6" s="196">
        <v>172938.33333333334</v>
      </c>
      <c r="K6" s="196">
        <v>401941.33333333331</v>
      </c>
      <c r="L6" s="196">
        <v>3199703.3333333335</v>
      </c>
      <c r="M6" s="196">
        <v>5443458.666666667</v>
      </c>
      <c r="N6" s="3"/>
      <c r="O6" s="196">
        <v>3094207</v>
      </c>
      <c r="P6" s="196">
        <v>2763738.3333333335</v>
      </c>
      <c r="Q6" s="196">
        <v>171460</v>
      </c>
      <c r="R6" s="196">
        <v>161698</v>
      </c>
      <c r="S6" s="196">
        <v>2328349.6666666665</v>
      </c>
      <c r="T6" s="196">
        <v>4310131.333333333</v>
      </c>
      <c r="U6" s="196">
        <v>6370126.333333333</v>
      </c>
      <c r="V6" s="196">
        <v>9030546.333333334</v>
      </c>
    </row>
    <row r="7" spans="1:22" x14ac:dyDescent="0.25">
      <c r="A7" s="221"/>
      <c r="B7" s="196">
        <v>74111</v>
      </c>
      <c r="C7" s="196">
        <v>1027319</v>
      </c>
      <c r="D7" s="196">
        <v>193133.33333333334</v>
      </c>
      <c r="E7" s="196">
        <v>822657</v>
      </c>
      <c r="F7" s="196">
        <v>938471</v>
      </c>
      <c r="G7" s="196">
        <v>1575492.3333333333</v>
      </c>
      <c r="H7" s="196">
        <v>4500294</v>
      </c>
      <c r="I7" s="196">
        <v>171424</v>
      </c>
      <c r="J7" s="196">
        <v>124472.66666666667</v>
      </c>
      <c r="K7" s="196">
        <v>210862.66666666666</v>
      </c>
      <c r="L7" s="196">
        <v>2072209</v>
      </c>
      <c r="M7" s="196">
        <v>6037776</v>
      </c>
      <c r="N7" s="3"/>
      <c r="O7" s="196">
        <v>1935659.3333333333</v>
      </c>
      <c r="P7" s="196">
        <v>1573993</v>
      </c>
      <c r="Q7" s="196">
        <v>27837.666666666668</v>
      </c>
      <c r="R7" s="196">
        <v>2197179</v>
      </c>
      <c r="S7" s="196">
        <v>1494993.3333333333</v>
      </c>
      <c r="T7" s="196">
        <v>3055352.3333333335</v>
      </c>
      <c r="U7" s="196">
        <v>2093175.3333333333</v>
      </c>
      <c r="V7" s="196">
        <v>6042217</v>
      </c>
    </row>
    <row r="8" spans="1:22" x14ac:dyDescent="0.25">
      <c r="A8" s="221"/>
      <c r="B8" s="196">
        <v>85921</v>
      </c>
      <c r="C8" s="196">
        <v>28565.666666666668</v>
      </c>
      <c r="D8" s="196">
        <v>290064.33333333331</v>
      </c>
      <c r="E8" s="196">
        <v>422893</v>
      </c>
      <c r="F8" s="196">
        <v>664333.33333333337</v>
      </c>
      <c r="G8" s="196">
        <v>3120840.6666666665</v>
      </c>
      <c r="H8" s="196">
        <v>3019742.3333333335</v>
      </c>
      <c r="I8" s="196">
        <v>173327.66666666666</v>
      </c>
      <c r="J8" s="196">
        <v>23375</v>
      </c>
      <c r="K8" s="196">
        <v>70016</v>
      </c>
      <c r="L8" s="196">
        <v>5979815</v>
      </c>
      <c r="M8" s="196">
        <v>2304449</v>
      </c>
      <c r="N8" s="3"/>
      <c r="O8" s="196">
        <v>4102535</v>
      </c>
      <c r="P8" s="196">
        <v>2828195</v>
      </c>
      <c r="Q8" s="196">
        <v>50837.666666666664</v>
      </c>
      <c r="R8" s="196">
        <v>792368</v>
      </c>
      <c r="S8" s="196">
        <v>1507524.3333333333</v>
      </c>
      <c r="T8" s="196">
        <v>755092.66666666663</v>
      </c>
      <c r="U8" s="196">
        <v>3008170</v>
      </c>
      <c r="V8" s="196">
        <v>4745130</v>
      </c>
    </row>
    <row r="9" spans="1:22" x14ac:dyDescent="0.25">
      <c r="A9" s="221"/>
      <c r="B9" s="196">
        <v>47600.333333333336</v>
      </c>
      <c r="C9" s="196">
        <v>47744.666666666664</v>
      </c>
      <c r="D9" s="196">
        <v>140803.33333333334</v>
      </c>
      <c r="E9" s="196">
        <v>231577</v>
      </c>
      <c r="F9" s="196">
        <v>1162960.3333333333</v>
      </c>
      <c r="G9" s="196">
        <v>1255831.6666666667</v>
      </c>
      <c r="H9" s="196">
        <v>5068216</v>
      </c>
      <c r="I9" s="196">
        <v>65441</v>
      </c>
      <c r="J9" s="196">
        <v>292144</v>
      </c>
      <c r="K9" s="196">
        <v>188995</v>
      </c>
      <c r="L9" s="196">
        <v>4630131.333333333</v>
      </c>
      <c r="M9" s="196">
        <v>2625782.5</v>
      </c>
      <c r="N9" s="3"/>
      <c r="O9" s="196">
        <v>325054</v>
      </c>
      <c r="P9" s="196">
        <v>1947757.6666666667</v>
      </c>
      <c r="Q9" s="196">
        <v>141430.33333333334</v>
      </c>
      <c r="R9" s="196">
        <v>1254202.3333333333</v>
      </c>
      <c r="S9" s="196">
        <v>1900013.3333333333</v>
      </c>
      <c r="T9" s="196">
        <v>4078597.6666666665</v>
      </c>
      <c r="U9" s="196">
        <v>1831050</v>
      </c>
      <c r="V9" s="196">
        <v>2005862.6666666667</v>
      </c>
    </row>
    <row r="10" spans="1:22" x14ac:dyDescent="0.25">
      <c r="A10" s="221"/>
      <c r="B10" s="196">
        <v>60751.333333333336</v>
      </c>
      <c r="C10" s="196">
        <v>23735.333333333332</v>
      </c>
      <c r="D10" s="196">
        <v>35458.333333333336</v>
      </c>
      <c r="E10" s="196">
        <v>61407.333333333336</v>
      </c>
      <c r="F10" s="196">
        <v>708408</v>
      </c>
      <c r="G10" s="196">
        <v>1405373.6666666667</v>
      </c>
      <c r="H10" s="196">
        <v>5952251</v>
      </c>
      <c r="I10" s="196">
        <v>70600</v>
      </c>
      <c r="J10" s="196">
        <v>649971.33333333337</v>
      </c>
      <c r="K10" s="196">
        <v>40411.666666666664</v>
      </c>
      <c r="L10" s="196">
        <v>6163406</v>
      </c>
      <c r="M10" s="196">
        <v>5718230.333333333</v>
      </c>
      <c r="N10" s="3"/>
      <c r="O10" s="196">
        <v>1208325.3333333333</v>
      </c>
      <c r="P10" s="196">
        <v>979019.33333333337</v>
      </c>
      <c r="Q10" s="196">
        <v>334744.33333333331</v>
      </c>
      <c r="R10" s="196">
        <v>1539760</v>
      </c>
      <c r="S10" s="196">
        <v>845743</v>
      </c>
      <c r="T10" s="196">
        <v>2470963.3333333335</v>
      </c>
      <c r="U10" s="196">
        <v>2601030.6666666665</v>
      </c>
      <c r="V10" s="196">
        <v>4347486.333333333</v>
      </c>
    </row>
    <row r="11" spans="1:22" x14ac:dyDescent="0.25">
      <c r="A11" s="221"/>
      <c r="B11" s="196">
        <v>192866.66666666666</v>
      </c>
      <c r="C11" s="196">
        <v>222622</v>
      </c>
      <c r="D11" s="196">
        <v>51608.666666666664</v>
      </c>
      <c r="E11" s="196">
        <v>777501</v>
      </c>
      <c r="F11" s="196">
        <v>411451.33333333331</v>
      </c>
      <c r="G11" s="196">
        <v>4031264.3333333335</v>
      </c>
      <c r="H11" s="196">
        <v>2877035.6666666665</v>
      </c>
      <c r="I11" s="196">
        <v>176110.66666666666</v>
      </c>
      <c r="J11" s="196">
        <v>84912</v>
      </c>
      <c r="K11" s="196">
        <v>278319</v>
      </c>
      <c r="L11" s="196">
        <v>398884.33333333331</v>
      </c>
      <c r="M11" s="196">
        <v>2812816.3333333335</v>
      </c>
      <c r="N11" s="3"/>
      <c r="O11" s="196">
        <v>2951276.6666666665</v>
      </c>
      <c r="P11" s="196">
        <v>271974.33333333331</v>
      </c>
      <c r="Q11" s="196">
        <v>52647.333333333336</v>
      </c>
      <c r="R11" s="196">
        <v>1028479.6666666666</v>
      </c>
      <c r="S11" s="196">
        <v>192974.66666666666</v>
      </c>
      <c r="T11" s="196">
        <v>3699569.6666666665</v>
      </c>
      <c r="U11" s="196">
        <v>3278234</v>
      </c>
      <c r="V11" s="196">
        <v>3643058</v>
      </c>
    </row>
    <row r="12" spans="1:22" x14ac:dyDescent="0.25">
      <c r="A12" s="221"/>
      <c r="B12" s="196">
        <v>504452.33333333331</v>
      </c>
      <c r="C12" s="196">
        <v>315803.33333333331</v>
      </c>
      <c r="D12" s="196">
        <v>223321.66666666666</v>
      </c>
      <c r="E12" s="196">
        <v>260741</v>
      </c>
      <c r="F12" s="196">
        <v>1091047.6666666667</v>
      </c>
      <c r="G12" s="196">
        <v>3131078.5</v>
      </c>
      <c r="H12" s="196">
        <v>5024783</v>
      </c>
      <c r="I12" s="196">
        <v>20916</v>
      </c>
      <c r="J12" s="196">
        <v>88272</v>
      </c>
      <c r="K12" s="196">
        <v>190711</v>
      </c>
      <c r="L12" s="196">
        <v>3186956</v>
      </c>
      <c r="M12" s="196">
        <v>2927361</v>
      </c>
      <c r="N12" s="3"/>
      <c r="O12" s="196">
        <v>23987.666666666668</v>
      </c>
      <c r="P12" s="196">
        <v>4776847</v>
      </c>
      <c r="Q12" s="196">
        <v>176803</v>
      </c>
      <c r="R12" s="196">
        <v>2683347</v>
      </c>
      <c r="S12" s="196">
        <v>888700.33333333337</v>
      </c>
      <c r="T12" s="196">
        <v>3790199.3333333335</v>
      </c>
      <c r="U12" s="196">
        <v>2956503.6666666665</v>
      </c>
      <c r="V12" s="196">
        <v>5087034</v>
      </c>
    </row>
    <row r="13" spans="1:22" ht="16.5" x14ac:dyDescent="0.25">
      <c r="A13" s="221"/>
      <c r="B13" s="14"/>
      <c r="C13" s="13"/>
      <c r="D13" s="16"/>
      <c r="E13" s="16"/>
      <c r="F13" s="16"/>
      <c r="G13" s="16"/>
      <c r="H13" s="16"/>
      <c r="I13" s="32"/>
      <c r="J13" s="16"/>
      <c r="K13" s="13"/>
      <c r="L13" s="13"/>
      <c r="M13" s="13"/>
      <c r="N13" s="3"/>
      <c r="O13" s="196">
        <v>357362</v>
      </c>
      <c r="P13" s="13"/>
      <c r="Q13" s="13"/>
      <c r="R13" s="4"/>
      <c r="S13" s="32"/>
      <c r="T13" s="32"/>
      <c r="U13" s="32"/>
      <c r="V13" s="32"/>
    </row>
    <row r="14" spans="1:22" ht="16.5" x14ac:dyDescent="0.25">
      <c r="A14" s="221"/>
      <c r="B14" s="14"/>
      <c r="C14" s="16"/>
      <c r="D14" s="16"/>
      <c r="E14" s="16"/>
      <c r="F14" s="16"/>
      <c r="G14" s="16"/>
      <c r="H14" s="16"/>
      <c r="I14" s="32"/>
      <c r="J14" s="16"/>
      <c r="K14" s="13"/>
      <c r="L14" s="13"/>
      <c r="M14" s="13"/>
      <c r="N14" s="3"/>
      <c r="O14" s="196">
        <v>789491</v>
      </c>
      <c r="P14" s="13"/>
      <c r="Q14" s="13"/>
      <c r="R14" s="4"/>
      <c r="S14" s="32"/>
      <c r="T14" s="32"/>
      <c r="U14" s="32"/>
      <c r="V14" s="32"/>
    </row>
    <row r="15" spans="1:22" ht="16.5" x14ac:dyDescent="0.25">
      <c r="A15" s="221"/>
      <c r="B15" s="14"/>
      <c r="C15" s="16"/>
      <c r="D15" s="16"/>
      <c r="E15" s="16"/>
      <c r="F15" s="16"/>
      <c r="G15" s="16"/>
      <c r="H15" s="16"/>
      <c r="I15" s="32"/>
      <c r="J15" s="16"/>
      <c r="K15" s="13"/>
      <c r="L15" s="13"/>
      <c r="M15" s="13"/>
      <c r="N15" s="3"/>
      <c r="O15" s="196">
        <v>795994.66666666663</v>
      </c>
      <c r="P15" s="13"/>
      <c r="Q15" s="13"/>
      <c r="R15" s="4"/>
      <c r="S15" s="32"/>
      <c r="T15" s="32"/>
      <c r="U15" s="32"/>
      <c r="V15" s="32"/>
    </row>
    <row r="16" spans="1:22" ht="16.5" x14ac:dyDescent="0.25">
      <c r="A16" s="221"/>
      <c r="B16" s="14"/>
      <c r="C16" s="16"/>
      <c r="D16" s="16"/>
      <c r="E16" s="16"/>
      <c r="F16" s="16"/>
      <c r="G16" s="16"/>
      <c r="H16" s="16"/>
      <c r="I16" s="32"/>
      <c r="J16" s="16"/>
      <c r="K16" s="13"/>
      <c r="L16" s="13"/>
      <c r="M16" s="13"/>
      <c r="N16" s="3"/>
      <c r="O16" s="196">
        <v>1644016.3333333333</v>
      </c>
      <c r="P16" s="13"/>
      <c r="Q16" s="13"/>
      <c r="R16" s="4"/>
      <c r="S16" s="32"/>
      <c r="T16" s="32"/>
      <c r="U16" s="32"/>
      <c r="V16" s="32"/>
    </row>
    <row r="17" spans="1:22" s="1" customFormat="1" ht="16.5" x14ac:dyDescent="0.25">
      <c r="A17" s="221"/>
      <c r="B17" s="14"/>
      <c r="C17" s="32"/>
      <c r="D17" s="32"/>
      <c r="E17" s="32"/>
      <c r="F17" s="32"/>
      <c r="G17" s="32"/>
      <c r="H17" s="32"/>
      <c r="I17" s="32"/>
      <c r="J17" s="32"/>
      <c r="K17" s="13"/>
      <c r="L17" s="13"/>
      <c r="M17" s="13"/>
      <c r="N17" s="3"/>
      <c r="O17" s="196">
        <v>582709.33333333337</v>
      </c>
      <c r="P17" s="13"/>
      <c r="Q17" s="13"/>
      <c r="R17" s="32"/>
      <c r="S17" s="32"/>
      <c r="T17" s="32"/>
      <c r="U17" s="32"/>
      <c r="V17" s="32"/>
    </row>
    <row r="18" spans="1:22" s="1" customFormat="1" ht="16.5" x14ac:dyDescent="0.25">
      <c r="A18" s="221"/>
      <c r="B18" s="14"/>
      <c r="C18" s="32"/>
      <c r="D18" s="32"/>
      <c r="E18" s="32"/>
      <c r="F18" s="32"/>
      <c r="G18" s="32"/>
      <c r="H18" s="32"/>
      <c r="I18" s="32"/>
      <c r="J18" s="32"/>
      <c r="K18" s="13"/>
      <c r="L18" s="13"/>
      <c r="M18" s="13"/>
      <c r="N18" s="3"/>
      <c r="O18" s="196">
        <v>781452</v>
      </c>
      <c r="P18" s="13"/>
      <c r="Q18" s="13"/>
      <c r="R18" s="32"/>
      <c r="S18" s="32"/>
      <c r="T18" s="32"/>
      <c r="U18" s="32"/>
      <c r="V18" s="32"/>
    </row>
    <row r="19" spans="1:22" s="1" customFormat="1" ht="16.5" x14ac:dyDescent="0.25">
      <c r="A19" s="221"/>
      <c r="B19" s="14"/>
      <c r="C19" s="32"/>
      <c r="D19" s="32"/>
      <c r="E19" s="32"/>
      <c r="F19" s="32"/>
      <c r="G19" s="32"/>
      <c r="H19" s="32"/>
      <c r="I19" s="32"/>
      <c r="J19" s="32"/>
      <c r="K19" s="13"/>
      <c r="L19" s="13"/>
      <c r="M19" s="13"/>
      <c r="N19" s="3"/>
      <c r="O19" s="196">
        <v>1493717</v>
      </c>
      <c r="P19" s="13"/>
      <c r="Q19" s="13"/>
      <c r="R19" s="32"/>
      <c r="S19" s="32"/>
      <c r="T19" s="32"/>
      <c r="U19" s="32"/>
      <c r="V19" s="32"/>
    </row>
    <row r="20" spans="1:22" ht="16.5" x14ac:dyDescent="0.25">
      <c r="A20" s="221"/>
      <c r="B20" s="14"/>
      <c r="C20" s="16"/>
      <c r="D20" s="16"/>
      <c r="E20" s="16"/>
      <c r="F20" s="16"/>
      <c r="G20" s="16"/>
      <c r="H20" s="16"/>
      <c r="I20" s="32"/>
      <c r="J20" s="16"/>
      <c r="K20" s="13"/>
      <c r="L20" s="13"/>
      <c r="M20" s="13"/>
      <c r="N20" s="3"/>
      <c r="O20" s="196"/>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Estrone-0,04µg/L</v>
      </c>
      <c r="J22" s="68" t="str">
        <f t="shared" si="0"/>
        <v>Estrone-0,2µg/L</v>
      </c>
      <c r="K22" s="68" t="str">
        <f t="shared" si="0"/>
        <v>Estrone-1µg/L</v>
      </c>
      <c r="L22" s="68" t="str">
        <f t="shared" si="0"/>
        <v>Estrone-5µg/L</v>
      </c>
      <c r="M22" s="68" t="str">
        <f t="shared" si="0"/>
        <v>Estrone-25µg/L</v>
      </c>
      <c r="N22" s="68" t="s">
        <v>47</v>
      </c>
      <c r="O22" s="68" t="str">
        <f t="shared" ref="O22:V22" si="1">O4</f>
        <v>Testo -30µg/L</v>
      </c>
      <c r="P22" s="68" t="str">
        <f t="shared" si="1"/>
        <v>Testo 30µg/L + EE2 -64ng/L</v>
      </c>
      <c r="Q22" s="68" t="str">
        <f t="shared" si="1"/>
        <v>Testo 30µg/L + FAD-10µg/L</v>
      </c>
      <c r="R22" s="68" t="str">
        <f t="shared" si="1"/>
        <v>Estrone-0,04µg/L + Testostérone</v>
      </c>
      <c r="S22" s="68" t="str">
        <f t="shared" si="1"/>
        <v>Estrone-0,2µg/L + Testostérone</v>
      </c>
      <c r="T22" s="68" t="str">
        <f t="shared" si="1"/>
        <v>Estrone-1µg/L + Testostérone</v>
      </c>
      <c r="U22" s="68" t="str">
        <f t="shared" si="1"/>
        <v>Estrone-5µg/L + Testostérone</v>
      </c>
      <c r="V22" s="68" t="str">
        <f t="shared" si="1"/>
        <v>Estrone-25µg/L + Testostérone</v>
      </c>
    </row>
    <row r="23" spans="1:22" x14ac:dyDescent="0.25">
      <c r="A23" s="5" t="s">
        <v>0</v>
      </c>
      <c r="B23" s="5">
        <f t="shared" ref="B23:M23" si="2">AVERAGE(B5:B20)</f>
        <v>166841.29166666666</v>
      </c>
      <c r="C23" s="5">
        <f t="shared" si="2"/>
        <v>225981.41666666666</v>
      </c>
      <c r="D23" s="5">
        <f t="shared" si="2"/>
        <v>152021.25</v>
      </c>
      <c r="E23" s="5">
        <f t="shared" si="2"/>
        <v>493427.85416666669</v>
      </c>
      <c r="F23" s="5">
        <f t="shared" si="2"/>
        <v>811012.08333333337</v>
      </c>
      <c r="G23" s="5">
        <f t="shared" si="2"/>
        <v>2514384.1875</v>
      </c>
      <c r="H23" s="5">
        <f t="shared" si="2"/>
        <v>4514683.875</v>
      </c>
      <c r="I23" s="5">
        <f t="shared" si="2"/>
        <v>106309.54166666666</v>
      </c>
      <c r="J23" s="5">
        <f t="shared" si="2"/>
        <v>187042.33333333334</v>
      </c>
      <c r="K23" s="5">
        <f t="shared" si="2"/>
        <v>213212.25</v>
      </c>
      <c r="L23" s="5">
        <f t="shared" si="2"/>
        <v>3633875.125</v>
      </c>
      <c r="M23" s="5">
        <f t="shared" si="2"/>
        <v>4295797.104166666</v>
      </c>
      <c r="N23" s="5" t="s">
        <v>0</v>
      </c>
      <c r="O23" s="5">
        <f t="shared" ref="O23:V23" si="3">AVERAGE(O5:O20)</f>
        <v>1498452.333333333</v>
      </c>
      <c r="P23" s="5">
        <f t="shared" si="3"/>
        <v>2341352.291666667</v>
      </c>
      <c r="Q23" s="5">
        <f t="shared" si="3"/>
        <v>135710.45833333331</v>
      </c>
      <c r="R23" s="5">
        <f t="shared" si="3"/>
        <v>1540669.4166666667</v>
      </c>
      <c r="S23" s="5">
        <f t="shared" si="3"/>
        <v>1227574.8333333333</v>
      </c>
      <c r="T23" s="5">
        <f t="shared" si="3"/>
        <v>3276139.583333333</v>
      </c>
      <c r="U23" s="5">
        <f t="shared" si="3"/>
        <v>3368892</v>
      </c>
      <c r="V23" s="5">
        <f t="shared" si="3"/>
        <v>4766374.333333334</v>
      </c>
    </row>
    <row r="24" spans="1:22" x14ac:dyDescent="0.25">
      <c r="A24" s="3" t="s">
        <v>1</v>
      </c>
      <c r="B24" s="3">
        <f t="shared" ref="B24:M24" si="4">STDEV(B5:B20)</f>
        <v>149277.89107146458</v>
      </c>
      <c r="C24" s="3">
        <f t="shared" si="4"/>
        <v>340925.44987853419</v>
      </c>
      <c r="D24" s="3">
        <f t="shared" si="4"/>
        <v>95718.625283104135</v>
      </c>
      <c r="E24" s="3">
        <f t="shared" si="4"/>
        <v>293778.87441728078</v>
      </c>
      <c r="F24" s="3">
        <f t="shared" si="4"/>
        <v>287072.85126196541</v>
      </c>
      <c r="G24" s="3">
        <f t="shared" si="4"/>
        <v>1035526.5082031807</v>
      </c>
      <c r="H24" s="3">
        <f t="shared" si="4"/>
        <v>1138505.1716464781</v>
      </c>
      <c r="I24" s="3">
        <f t="shared" si="4"/>
        <v>64722.066041134203</v>
      </c>
      <c r="J24" s="3">
        <f t="shared" si="4"/>
        <v>204419.78365080338</v>
      </c>
      <c r="K24" s="3">
        <f t="shared" si="4"/>
        <v>121709.82726841059</v>
      </c>
      <c r="L24" s="3">
        <f t="shared" si="4"/>
        <v>1935544.3322738593</v>
      </c>
      <c r="M24" s="3">
        <f t="shared" si="4"/>
        <v>1774594.7487045445</v>
      </c>
      <c r="N24" s="3" t="s">
        <v>1</v>
      </c>
      <c r="O24" s="3">
        <f t="shared" ref="O24:V24" si="5">STDEV(O5:O20)</f>
        <v>1187232.5160843872</v>
      </c>
      <c r="P24" s="3">
        <f t="shared" si="5"/>
        <v>1453392.6406732362</v>
      </c>
      <c r="Q24" s="3">
        <f t="shared" si="5"/>
        <v>98840.947685315914</v>
      </c>
      <c r="R24" s="3">
        <f t="shared" si="5"/>
        <v>911375.37136142864</v>
      </c>
      <c r="S24" s="3">
        <f t="shared" si="5"/>
        <v>703494.11251861206</v>
      </c>
      <c r="T24" s="3">
        <f t="shared" si="5"/>
        <v>1183638.4655847962</v>
      </c>
      <c r="U24" s="3">
        <f t="shared" si="5"/>
        <v>1511046.7567321737</v>
      </c>
      <c r="V24" s="3">
        <f t="shared" si="5"/>
        <v>2115704.294085165</v>
      </c>
    </row>
    <row r="25" spans="1:22" ht="15.75" thickBot="1" x14ac:dyDescent="0.3"/>
    <row r="26" spans="1:22" ht="15.75" thickBot="1" x14ac:dyDescent="0.3">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Estrone-0,04µg/L</v>
      </c>
      <c r="J27" s="35" t="str">
        <f t="shared" si="6"/>
        <v>Estrone-0,2µg/L</v>
      </c>
      <c r="K27" s="35" t="str">
        <f t="shared" si="6"/>
        <v>Estrone-1µg/L</v>
      </c>
      <c r="L27" s="35" t="str">
        <f t="shared" si="6"/>
        <v>Estrone-5µg/L</v>
      </c>
      <c r="M27" s="35" t="str">
        <f t="shared" si="6"/>
        <v>Estrone-25µg/L</v>
      </c>
      <c r="N27" s="3"/>
      <c r="O27" s="36" t="str">
        <f t="shared" ref="O27:V27" si="7">O4</f>
        <v>Testo -30µg/L</v>
      </c>
      <c r="P27" s="36" t="str">
        <f t="shared" si="7"/>
        <v>Testo 30µg/L + EE2 -64ng/L</v>
      </c>
      <c r="Q27" s="36" t="str">
        <f t="shared" si="7"/>
        <v>Testo 30µg/L + FAD-10µg/L</v>
      </c>
      <c r="R27" s="36" t="str">
        <f t="shared" si="7"/>
        <v>Estrone-0,04µg/L + Testostérone</v>
      </c>
      <c r="S27" s="36" t="str">
        <f t="shared" si="7"/>
        <v>Estrone-0,2µg/L + Testostérone</v>
      </c>
      <c r="T27" s="36" t="str">
        <f t="shared" si="7"/>
        <v>Estrone-1µg/L + Testostérone</v>
      </c>
      <c r="U27" s="36" t="str">
        <f t="shared" si="7"/>
        <v>Estrone-5µg/L + Testostérone</v>
      </c>
      <c r="V27" s="36" t="str">
        <f t="shared" si="7"/>
        <v>Estrone-25µg/L + Testostérone</v>
      </c>
    </row>
    <row r="28" spans="1:22" x14ac:dyDescent="0.25">
      <c r="A28" s="222" t="s">
        <v>34</v>
      </c>
      <c r="B28" s="11">
        <f t="shared" ref="B28:M28" si="8">IF(B5="","",(B5/$O$23))</f>
        <v>0.11882259851664731</v>
      </c>
      <c r="C28" s="11">
        <f t="shared" si="8"/>
        <v>7.6206183402119126E-2</v>
      </c>
      <c r="D28" s="11">
        <f t="shared" si="8"/>
        <v>3.7670200609206353E-2</v>
      </c>
      <c r="E28" s="11">
        <f t="shared" si="8"/>
        <v>0.37970076681340331</v>
      </c>
      <c r="F28" s="11">
        <f t="shared" si="8"/>
        <v>0.31525660809586431</v>
      </c>
      <c r="G28" s="11">
        <f t="shared" si="8"/>
        <v>2.2329374507964554</v>
      </c>
      <c r="H28" s="11">
        <f t="shared" si="8"/>
        <v>2.6873093727594943</v>
      </c>
      <c r="I28" s="11">
        <f t="shared" si="8"/>
        <v>8.9904984187017881E-2</v>
      </c>
      <c r="J28" s="11">
        <f t="shared" si="8"/>
        <v>4.0210377062377928E-2</v>
      </c>
      <c r="K28" s="11">
        <f t="shared" si="8"/>
        <v>0.21651762029133617</v>
      </c>
      <c r="L28" s="11">
        <f t="shared" si="8"/>
        <v>2.2956325826847572</v>
      </c>
      <c r="M28" s="11">
        <f t="shared" si="8"/>
        <v>4.3354752470159772</v>
      </c>
      <c r="N28" s="6"/>
      <c r="O28" s="11">
        <f t="shared" ref="O28:V28" si="9">IF(O5="","",(O5/$O$23))</f>
        <v>1.5956447952854469</v>
      </c>
      <c r="P28" s="11">
        <f t="shared" si="9"/>
        <v>2.395333896729448</v>
      </c>
      <c r="Q28" s="11">
        <f t="shared" si="9"/>
        <v>8.6705015864146071E-2</v>
      </c>
      <c r="R28" s="11">
        <f t="shared" si="9"/>
        <v>1.7807181943503045</v>
      </c>
      <c r="S28" s="11">
        <f t="shared" si="9"/>
        <v>0.44198936814139578</v>
      </c>
      <c r="T28" s="11">
        <f t="shared" si="9"/>
        <v>2.7022616891161264</v>
      </c>
      <c r="U28" s="11">
        <f t="shared" si="9"/>
        <v>3.2118779442878513</v>
      </c>
      <c r="V28" s="11">
        <f t="shared" si="9"/>
        <v>2.1553307112204889</v>
      </c>
    </row>
    <row r="29" spans="1:22" x14ac:dyDescent="0.25">
      <c r="A29" s="223"/>
      <c r="B29" s="11">
        <f t="shared" ref="B29:M29" si="10">IF(B6="","",(B6/$O$23))</f>
        <v>0.12744994446492239</v>
      </c>
      <c r="C29" s="11">
        <f t="shared" si="10"/>
        <v>1.8599190231165182E-2</v>
      </c>
      <c r="D29" s="11">
        <f t="shared" si="10"/>
        <v>0.15037737825939079</v>
      </c>
      <c r="E29" s="11">
        <f t="shared" si="10"/>
        <v>0.5350073420197774</v>
      </c>
      <c r="F29" s="11">
        <f t="shared" si="10"/>
        <v>0.69340076883771429</v>
      </c>
      <c r="G29" s="11">
        <f t="shared" si="10"/>
        <v>1.5010434099004821</v>
      </c>
      <c r="H29" s="11">
        <f t="shared" si="10"/>
        <v>3.7694519033749718</v>
      </c>
      <c r="I29" s="11">
        <f t="shared" si="10"/>
        <v>2.531856757983849E-2</v>
      </c>
      <c r="J29" s="11">
        <f t="shared" si="10"/>
        <v>0.11541130103793762</v>
      </c>
      <c r="K29" s="11">
        <f t="shared" si="10"/>
        <v>0.26823765053587517</v>
      </c>
      <c r="L29" s="11">
        <f t="shared" si="10"/>
        <v>2.1353387506264805</v>
      </c>
      <c r="M29" s="11">
        <f t="shared" si="10"/>
        <v>3.6327206048373921</v>
      </c>
      <c r="N29" s="6"/>
      <c r="O29" s="11">
        <f t="shared" ref="O29:V29" si="11">IF(O6="","",(O6/$O$23))</f>
        <v>2.0649352209401837</v>
      </c>
      <c r="P29" s="11">
        <f t="shared" si="11"/>
        <v>1.8443952282321521</v>
      </c>
      <c r="Q29" s="11">
        <f t="shared" si="11"/>
        <v>0.1144247275577891</v>
      </c>
      <c r="R29" s="11">
        <f t="shared" si="11"/>
        <v>0.10791000581266406</v>
      </c>
      <c r="S29" s="11">
        <f t="shared" si="11"/>
        <v>1.5538363249014486</v>
      </c>
      <c r="T29" s="11">
        <f t="shared" si="11"/>
        <v>2.8763886828120664</v>
      </c>
      <c r="U29" s="11">
        <f t="shared" si="11"/>
        <v>4.2511371176972155</v>
      </c>
      <c r="V29" s="11">
        <f t="shared" si="11"/>
        <v>6.0265823159317504</v>
      </c>
    </row>
    <row r="30" spans="1:22" x14ac:dyDescent="0.25">
      <c r="A30" s="223"/>
      <c r="B30" s="11">
        <f t="shared" ref="B30:M30" si="12">IF(B7="","",(B7/$O$23))</f>
        <v>4.9458363373587472E-2</v>
      </c>
      <c r="C30" s="11">
        <f t="shared" si="12"/>
        <v>0.68558670646180064</v>
      </c>
      <c r="D30" s="11">
        <f t="shared" si="12"/>
        <v>0.12888853988682103</v>
      </c>
      <c r="E30" s="11">
        <f t="shared" si="12"/>
        <v>0.54900445059202208</v>
      </c>
      <c r="F30" s="11">
        <f t="shared" si="12"/>
        <v>0.62629352907900315</v>
      </c>
      <c r="G30" s="11">
        <f t="shared" si="12"/>
        <v>1.0514130468392167</v>
      </c>
      <c r="H30" s="11">
        <f t="shared" si="12"/>
        <v>3.0032947327653852</v>
      </c>
      <c r="I30" s="11">
        <f t="shared" si="12"/>
        <v>0.11440070276954648</v>
      </c>
      <c r="J30" s="11">
        <f t="shared" si="12"/>
        <v>8.3067484962818322E-2</v>
      </c>
      <c r="K30" s="11">
        <f t="shared" si="12"/>
        <v>0.14072030319282763</v>
      </c>
      <c r="L30" s="11">
        <f t="shared" si="12"/>
        <v>1.3828995116516889</v>
      </c>
      <c r="M30" s="11">
        <f t="shared" si="12"/>
        <v>4.0293413849000208</v>
      </c>
      <c r="N30" s="6"/>
      <c r="O30" s="11">
        <f t="shared" ref="O30:V30" si="13">IF(O7="","",(O7/$O$23))</f>
        <v>1.2917723775886989</v>
      </c>
      <c r="P30" s="11">
        <f t="shared" si="13"/>
        <v>1.05041245889926</v>
      </c>
      <c r="Q30" s="11">
        <f t="shared" si="13"/>
        <v>1.8577612412095417E-2</v>
      </c>
      <c r="R30" s="11">
        <f t="shared" si="13"/>
        <v>1.4662988946150441</v>
      </c>
      <c r="S30" s="11">
        <f t="shared" si="13"/>
        <v>0.99769161826302133</v>
      </c>
      <c r="T30" s="11">
        <f t="shared" si="13"/>
        <v>2.0390053559706165</v>
      </c>
      <c r="U30" s="11">
        <f t="shared" si="13"/>
        <v>1.3968915038338447</v>
      </c>
      <c r="V30" s="11">
        <f t="shared" si="13"/>
        <v>4.0323051094718405</v>
      </c>
    </row>
    <row r="31" spans="1:22" x14ac:dyDescent="0.25">
      <c r="A31" s="223"/>
      <c r="B31" s="11">
        <f t="shared" ref="B31:M31" si="14">IF(B8="","",(B8/$O$23))</f>
        <v>5.7339828627626252E-2</v>
      </c>
      <c r="C31" s="11">
        <f t="shared" si="14"/>
        <v>1.9063447018779604E-2</v>
      </c>
      <c r="D31" s="11">
        <f t="shared" si="14"/>
        <v>0.1935759495853166</v>
      </c>
      <c r="E31" s="11">
        <f t="shared" si="14"/>
        <v>0.28221985484133971</v>
      </c>
      <c r="F31" s="11">
        <f t="shared" si="14"/>
        <v>0.4433463237736181</v>
      </c>
      <c r="G31" s="11">
        <f t="shared" si="14"/>
        <v>2.0827093376566093</v>
      </c>
      <c r="H31" s="11">
        <f t="shared" si="14"/>
        <v>2.0152408362672869</v>
      </c>
      <c r="I31" s="11">
        <f t="shared" si="14"/>
        <v>0.11567112467374673</v>
      </c>
      <c r="J31" s="11">
        <f t="shared" si="14"/>
        <v>1.5599428476981919E-2</v>
      </c>
      <c r="K31" s="11">
        <f t="shared" si="14"/>
        <v>4.6725543710988929E-2</v>
      </c>
      <c r="L31" s="11">
        <f t="shared" si="14"/>
        <v>3.9906608084741664</v>
      </c>
      <c r="M31" s="11">
        <f t="shared" si="14"/>
        <v>1.5378860900257758</v>
      </c>
      <c r="N31" s="6"/>
      <c r="O31" s="11">
        <f t="shared" ref="O31:V31" si="15">IF(O8="","",(O8/$O$23))</f>
        <v>2.737848184248771</v>
      </c>
      <c r="P31" s="11">
        <f t="shared" si="15"/>
        <v>1.8874107217735991</v>
      </c>
      <c r="Q31" s="11">
        <f t="shared" si="15"/>
        <v>3.3926782678216666E-2</v>
      </c>
      <c r="R31" s="11">
        <f t="shared" si="15"/>
        <v>0.52879092806199834</v>
      </c>
      <c r="S31" s="11">
        <f t="shared" si="15"/>
        <v>1.0060542466371416</v>
      </c>
      <c r="T31" s="11">
        <f t="shared" si="15"/>
        <v>0.50391503945070448</v>
      </c>
      <c r="U31" s="11">
        <f t="shared" si="15"/>
        <v>2.0075179791059981</v>
      </c>
      <c r="V31" s="11">
        <f t="shared" si="15"/>
        <v>3.1666873176034747</v>
      </c>
    </row>
    <row r="32" spans="1:22" x14ac:dyDescent="0.25">
      <c r="A32" s="223"/>
      <c r="B32" s="11">
        <f t="shared" ref="B32:M32" si="16">IF(B9="","",(B9/$O$23))</f>
        <v>3.1766331350324355E-2</v>
      </c>
      <c r="C32" s="11">
        <f t="shared" si="16"/>
        <v>3.1862652955037839E-2</v>
      </c>
      <c r="D32" s="11">
        <f t="shared" si="16"/>
        <v>9.3965840755250385E-2</v>
      </c>
      <c r="E32" s="11">
        <f t="shared" si="16"/>
        <v>0.15454412185728522</v>
      </c>
      <c r="F32" s="11">
        <f t="shared" si="16"/>
        <v>0.77610765952515015</v>
      </c>
      <c r="G32" s="11">
        <f t="shared" si="16"/>
        <v>0.83808582944580401</v>
      </c>
      <c r="H32" s="11">
        <f t="shared" si="16"/>
        <v>3.3823004491078246</v>
      </c>
      <c r="I32" s="11">
        <f t="shared" si="16"/>
        <v>4.3672393538488723E-2</v>
      </c>
      <c r="J32" s="11">
        <f t="shared" si="16"/>
        <v>0.19496382600981416</v>
      </c>
      <c r="K32" s="11">
        <f t="shared" si="16"/>
        <v>0.12612680149763414</v>
      </c>
      <c r="L32" s="11">
        <f t="shared" si="16"/>
        <v>3.08994235607984</v>
      </c>
      <c r="M32" s="11">
        <f t="shared" si="16"/>
        <v>1.7523296814913703</v>
      </c>
      <c r="N32" s="6"/>
      <c r="O32" s="11">
        <f t="shared" ref="O32:V32" si="17">IF(O9="","",(O9/$O$23))</f>
        <v>0.21692648659494679</v>
      </c>
      <c r="P32" s="11">
        <f t="shared" si="17"/>
        <v>1.2998462636004218</v>
      </c>
      <c r="Q32" s="11">
        <f t="shared" si="17"/>
        <v>9.4384272483809428E-2</v>
      </c>
      <c r="R32" s="11">
        <f t="shared" si="17"/>
        <v>0.83699848532608212</v>
      </c>
      <c r="S32" s="11">
        <f t="shared" si="17"/>
        <v>1.2679838330971269</v>
      </c>
      <c r="T32" s="11">
        <f t="shared" si="17"/>
        <v>2.7218734796813693</v>
      </c>
      <c r="U32" s="11">
        <f t="shared" si="17"/>
        <v>1.2219607919904918</v>
      </c>
      <c r="V32" s="11">
        <f t="shared" si="17"/>
        <v>1.3386229391792468</v>
      </c>
    </row>
    <row r="33" spans="1:22" x14ac:dyDescent="0.25">
      <c r="A33" s="223"/>
      <c r="B33" s="11">
        <f t="shared" ref="B33:M33" si="18">IF(B10="","",(B10/$O$23))</f>
        <v>4.0542719966400902E-2</v>
      </c>
      <c r="C33" s="11">
        <f t="shared" si="18"/>
        <v>1.5839898811151151E-2</v>
      </c>
      <c r="D33" s="11">
        <f t="shared" si="18"/>
        <v>2.3663304160270258E-2</v>
      </c>
      <c r="E33" s="11">
        <f t="shared" si="18"/>
        <v>4.0980504996599838E-2</v>
      </c>
      <c r="F33" s="11">
        <f t="shared" si="18"/>
        <v>0.47275978303836613</v>
      </c>
      <c r="G33" s="11">
        <f t="shared" si="18"/>
        <v>0.93788346509520848</v>
      </c>
      <c r="H33" s="11">
        <f t="shared" si="18"/>
        <v>3.9722658289430637</v>
      </c>
      <c r="I33" s="11">
        <f t="shared" si="18"/>
        <v>4.7115279164702616E-2</v>
      </c>
      <c r="J33" s="11">
        <f t="shared" si="18"/>
        <v>0.43376176797526883</v>
      </c>
      <c r="K33" s="11">
        <f t="shared" si="18"/>
        <v>2.6968937061061005E-2</v>
      </c>
      <c r="L33" s="11">
        <f t="shared" si="18"/>
        <v>4.1131812223144912</v>
      </c>
      <c r="M33" s="11">
        <f t="shared" si="18"/>
        <v>3.8160909133579386</v>
      </c>
      <c r="N33" s="6"/>
      <c r="O33" s="11">
        <f t="shared" ref="O33:V33" si="19">IF(O10="","",(O10/$O$23))</f>
        <v>0.80638222948700189</v>
      </c>
      <c r="P33" s="11">
        <f t="shared" si="19"/>
        <v>0.65335367135468903</v>
      </c>
      <c r="Q33" s="11">
        <f t="shared" si="19"/>
        <v>0.22339338121532953</v>
      </c>
      <c r="R33" s="11">
        <f t="shared" si="19"/>
        <v>1.0275668873462109</v>
      </c>
      <c r="S33" s="11">
        <f t="shared" si="19"/>
        <v>0.56441101340783406</v>
      </c>
      <c r="T33" s="11">
        <f t="shared" si="19"/>
        <v>1.6490103010728629</v>
      </c>
      <c r="U33" s="11">
        <f t="shared" si="19"/>
        <v>1.7358114160899794</v>
      </c>
      <c r="V33" s="11">
        <f t="shared" si="19"/>
        <v>2.9013177373899341</v>
      </c>
    </row>
    <row r="34" spans="1:22" x14ac:dyDescent="0.25">
      <c r="A34" s="223"/>
      <c r="B34" s="11">
        <f t="shared" ref="B34:M34" si="20">IF(B11="","",(B11/$O$23))</f>
        <v>0.1287105784924312</v>
      </c>
      <c r="C34" s="11">
        <f t="shared" si="20"/>
        <v>0.14856795578193235</v>
      </c>
      <c r="D34" s="11">
        <f t="shared" si="20"/>
        <v>3.4441313559746209E-2</v>
      </c>
      <c r="E34" s="11">
        <f t="shared" si="20"/>
        <v>0.51886935787302335</v>
      </c>
      <c r="F34" s="11">
        <f t="shared" si="20"/>
        <v>0.27458419876330181</v>
      </c>
      <c r="G34" s="11">
        <f t="shared" si="20"/>
        <v>2.690285332177178</v>
      </c>
      <c r="H34" s="11">
        <f t="shared" si="20"/>
        <v>1.9200047960595792</v>
      </c>
      <c r="I34" s="11">
        <f t="shared" si="20"/>
        <v>0.11752837427594739</v>
      </c>
      <c r="J34" s="11">
        <f t="shared" si="20"/>
        <v>5.6666467201603801E-2</v>
      </c>
      <c r="K34" s="11">
        <f t="shared" si="20"/>
        <v>0.18573763996941736</v>
      </c>
      <c r="L34" s="11">
        <f t="shared" si="20"/>
        <v>0.26619754560093895</v>
      </c>
      <c r="M34" s="11">
        <f t="shared" si="20"/>
        <v>1.8771476881591389</v>
      </c>
      <c r="N34" s="6"/>
      <c r="O34" s="11">
        <f t="shared" ref="O34:V34" si="21">IF(O11="","",(O11/$O$23))</f>
        <v>1.9695499156129317</v>
      </c>
      <c r="P34" s="11">
        <f t="shared" si="21"/>
        <v>0.18150349349339776</v>
      </c>
      <c r="Q34" s="11">
        <f t="shared" si="21"/>
        <v>3.5134473190894522E-2</v>
      </c>
      <c r="R34" s="11">
        <f t="shared" si="21"/>
        <v>0.68636128343088221</v>
      </c>
      <c r="S34" s="11">
        <f t="shared" si="21"/>
        <v>0.12878265285715909</v>
      </c>
      <c r="T34" s="11">
        <f t="shared" si="21"/>
        <v>2.468927161958439</v>
      </c>
      <c r="U34" s="11">
        <f t="shared" si="21"/>
        <v>2.187746601660336</v>
      </c>
      <c r="V34" s="11">
        <f t="shared" si="21"/>
        <v>2.431213805711093</v>
      </c>
    </row>
    <row r="35" spans="1:22" x14ac:dyDescent="0.25">
      <c r="A35" s="223"/>
      <c r="B35" s="11">
        <f t="shared" ref="B35:M35" si="22">IF(B12="","",(B12/$O$23))</f>
        <v>0.33664890241197759</v>
      </c>
      <c r="C35" s="11">
        <f t="shared" si="22"/>
        <v>0.21075300582356421</v>
      </c>
      <c r="D35" s="11">
        <f t="shared" si="22"/>
        <v>0.14903488199046264</v>
      </c>
      <c r="E35" s="11">
        <f t="shared" si="22"/>
        <v>0.17400686975472696</v>
      </c>
      <c r="F35" s="11">
        <f t="shared" si="22"/>
        <v>0.72811636539656377</v>
      </c>
      <c r="G35" s="11">
        <f t="shared" si="22"/>
        <v>2.0895416092648484</v>
      </c>
      <c r="H35" s="11">
        <f t="shared" si="22"/>
        <v>3.353315209448327</v>
      </c>
      <c r="I35" s="11">
        <f t="shared" si="22"/>
        <v>1.3958401968964871E-2</v>
      </c>
      <c r="J35" s="11">
        <f t="shared" si="22"/>
        <v>5.8908780770915423E-2</v>
      </c>
      <c r="K35" s="11">
        <f t="shared" si="22"/>
        <v>0.12727198307053258</v>
      </c>
      <c r="L35" s="11">
        <f t="shared" si="22"/>
        <v>2.1268317510711614</v>
      </c>
      <c r="M35" s="11">
        <f t="shared" si="22"/>
        <v>1.9535896704088245</v>
      </c>
      <c r="N35" s="6"/>
      <c r="O35" s="11">
        <f t="shared" ref="O35:V35" si="23">IF(O12="","",(O12/$O$23))</f>
        <v>1.6008294780592514E-2</v>
      </c>
      <c r="P35" s="11">
        <f t="shared" si="23"/>
        <v>3.1878538234004559</v>
      </c>
      <c r="Q35" s="11">
        <f t="shared" si="23"/>
        <v>0.11799040654613195</v>
      </c>
      <c r="R35" s="11">
        <f t="shared" si="23"/>
        <v>1.7907456515689415</v>
      </c>
      <c r="S35" s="11">
        <f t="shared" si="23"/>
        <v>0.59307881443008881</v>
      </c>
      <c r="T35" s="11">
        <f t="shared" si="23"/>
        <v>2.5294093439075036</v>
      </c>
      <c r="U35" s="11">
        <f t="shared" si="23"/>
        <v>1.9730381813947149</v>
      </c>
      <c r="V35" s="11">
        <f t="shared" si="23"/>
        <v>3.3948587398064278</v>
      </c>
    </row>
    <row r="36" spans="1:22" s="1" customFormat="1" x14ac:dyDescent="0.2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0.23848739933224442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0.5268709470682752</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0.53121120302569969</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1.0971428965485945</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0.38887412056484066</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0.52150607838265139</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0.99683985053912316</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t="str">
        <f t="shared" ref="O43:R43" si="44">IF(O20="","",(O20/$O$23))</f>
        <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Estrone-0,04µg/L</v>
      </c>
      <c r="J45" s="70" t="str">
        <f t="shared" si="46"/>
        <v>Estrone-0,2µg/L</v>
      </c>
      <c r="K45" s="70" t="str">
        <f t="shared" si="46"/>
        <v>Estrone-1µg/L</v>
      </c>
      <c r="L45" s="70" t="str">
        <f t="shared" si="46"/>
        <v>Estrone-5µg/L</v>
      </c>
      <c r="M45" s="70" t="str">
        <f t="shared" si="46"/>
        <v>Estrone-25µg/L</v>
      </c>
      <c r="N45" s="70" t="str">
        <f>N22</f>
        <v>Nom des groupes</v>
      </c>
      <c r="O45" s="70" t="str">
        <f t="shared" ref="O45:V45" si="47">O4</f>
        <v>Testo -30µg/L</v>
      </c>
      <c r="P45" s="70" t="str">
        <f t="shared" si="47"/>
        <v>Testo 30µg/L + EE2 -64ng/L</v>
      </c>
      <c r="Q45" s="70" t="str">
        <f t="shared" si="47"/>
        <v>Testo 30µg/L + FAD-10µg/L</v>
      </c>
      <c r="R45" s="70" t="str">
        <f t="shared" si="47"/>
        <v>Estrone-0,04µg/L + Testostérone</v>
      </c>
      <c r="S45" s="70" t="str">
        <f t="shared" si="47"/>
        <v>Estrone-0,2µg/L + Testostérone</v>
      </c>
      <c r="T45" s="70" t="str">
        <f t="shared" si="47"/>
        <v>Estrone-1µg/L + Testostérone</v>
      </c>
      <c r="U45" s="70" t="str">
        <f t="shared" si="47"/>
        <v>Estrone-5µg/L + Testostérone</v>
      </c>
      <c r="V45" s="70" t="str">
        <f t="shared" si="47"/>
        <v>Estrone-25µg/L + Testostérone</v>
      </c>
    </row>
    <row r="46" spans="1:22" x14ac:dyDescent="0.25">
      <c r="A46" s="8" t="s">
        <v>0</v>
      </c>
      <c r="B46" s="10">
        <f t="shared" ref="B46:H46" si="48">AVERAGE(B28:B43)</f>
        <v>0.1113424084004897</v>
      </c>
      <c r="C46" s="10">
        <f t="shared" si="48"/>
        <v>0.15080988006069376</v>
      </c>
      <c r="D46" s="10">
        <f t="shared" si="48"/>
        <v>0.10145217610080803</v>
      </c>
      <c r="E46" s="10">
        <f t="shared" si="48"/>
        <v>0.32929165859352222</v>
      </c>
      <c r="F46" s="10">
        <f t="shared" si="48"/>
        <v>0.54123315456369769</v>
      </c>
      <c r="G46" s="10">
        <f t="shared" si="48"/>
        <v>1.6779874351469752</v>
      </c>
      <c r="H46" s="10">
        <f t="shared" si="48"/>
        <v>3.0128978910907414</v>
      </c>
      <c r="I46" s="10">
        <f>AVERAGE(I28:I43)</f>
        <v>7.0946228519781648E-2</v>
      </c>
      <c r="J46" s="9">
        <f>AVERAGE(J28:J43)</f>
        <v>0.12482367918721475</v>
      </c>
      <c r="K46" s="9">
        <f>AVERAGE(K28:K43)</f>
        <v>0.14228830991620914</v>
      </c>
      <c r="L46" s="9">
        <f t="shared" ref="L46:M46" si="49">AVERAGE(L28:L43)</f>
        <v>2.4250855660629407</v>
      </c>
      <c r="M46" s="9">
        <f t="shared" si="49"/>
        <v>2.8668226600245545</v>
      </c>
      <c r="N46" s="8" t="s">
        <v>0</v>
      </c>
      <c r="O46" s="10">
        <f>AVERAGE(O28:O43)</f>
        <v>1.0000000000000002</v>
      </c>
      <c r="P46" s="10">
        <f>AVERAGE(P28:P43)</f>
        <v>1.5625136946854279</v>
      </c>
      <c r="Q46" s="10">
        <f>AVERAGE(Q28:Q43)</f>
        <v>9.0567083993551567E-2</v>
      </c>
      <c r="R46" s="10">
        <f>AVERAGE(R28:R43)</f>
        <v>1.0281737913140161</v>
      </c>
      <c r="S46" s="10">
        <f t="shared" ref="S46:V46" si="50">AVERAGE(S28:S43)</f>
        <v>0.81922848396690195</v>
      </c>
      <c r="T46" s="10">
        <f t="shared" si="50"/>
        <v>2.1863488817462109</v>
      </c>
      <c r="U46" s="10">
        <f t="shared" si="50"/>
        <v>2.2482476920075536</v>
      </c>
      <c r="V46" s="10">
        <f t="shared" si="50"/>
        <v>3.1808648345392818</v>
      </c>
    </row>
    <row r="47" spans="1:22" x14ac:dyDescent="0.25">
      <c r="A47" s="8" t="s">
        <v>1</v>
      </c>
      <c r="B47" s="8">
        <f t="shared" ref="B47:K47" si="51">STDEV(B28:B43)</f>
        <v>9.962138117493087E-2</v>
      </c>
      <c r="C47" s="8">
        <f t="shared" si="51"/>
        <v>0.22751838166259164</v>
      </c>
      <c r="D47" s="8">
        <f t="shared" si="51"/>
        <v>6.3878325091714039E-2</v>
      </c>
      <c r="E47" s="8">
        <f t="shared" si="51"/>
        <v>0.19605486800088237</v>
      </c>
      <c r="F47" s="8">
        <f t="shared" si="51"/>
        <v>0.19157956838264378</v>
      </c>
      <c r="G47" s="8">
        <f t="shared" si="51"/>
        <v>0.69106402997793992</v>
      </c>
      <c r="H47" s="8">
        <f t="shared" si="51"/>
        <v>0.7597873794983222</v>
      </c>
      <c r="I47" s="8">
        <f>STDEV(I28:I43)</f>
        <v>4.3192609201761441E-2</v>
      </c>
      <c r="J47" s="8">
        <f t="shared" si="51"/>
        <v>0.13642061152260215</v>
      </c>
      <c r="K47" s="8">
        <f t="shared" si="51"/>
        <v>8.1223689643610444E-2</v>
      </c>
      <c r="L47" s="8">
        <f t="shared" ref="L47:M47" si="52">STDEV(L28:L43)</f>
        <v>1.291695631030322</v>
      </c>
      <c r="M47" s="8">
        <f t="shared" si="52"/>
        <v>1.1842850848361162</v>
      </c>
      <c r="N47" s="8" t="s">
        <v>1</v>
      </c>
      <c r="O47" s="8">
        <f>STDEV(O28:O43)</f>
        <v>0.79230582760238188</v>
      </c>
      <c r="P47" s="8">
        <f>STDEV(P28:P43)</f>
        <v>0.96992917848787386</v>
      </c>
      <c r="Q47" s="8">
        <f>STDEV(Q28:Q43)</f>
        <v>6.5962023273334641E-2</v>
      </c>
      <c r="R47" s="8">
        <f>STDEV(R28:R43)</f>
        <v>0.60821111962504548</v>
      </c>
      <c r="S47" s="8">
        <f t="shared" ref="S47:V47" si="53">STDEV(S28:S43)</f>
        <v>0.46948047453313185</v>
      </c>
      <c r="T47" s="8">
        <f t="shared" si="53"/>
        <v>0.78990731920832757</v>
      </c>
      <c r="U47" s="8">
        <f t="shared" si="53"/>
        <v>1.0084049543109777</v>
      </c>
      <c r="V47" s="8">
        <f t="shared" si="53"/>
        <v>1.4119263235946564</v>
      </c>
    </row>
    <row r="48" spans="1:22" x14ac:dyDescent="0.25">
      <c r="A48" s="8" t="s">
        <v>2</v>
      </c>
      <c r="B48" s="8">
        <f t="shared" ref="B48:K48" si="54" xml:space="preserve"> B47/SQRT(COUNT(B28:B43))</f>
        <v>3.5221477089981738E-2</v>
      </c>
      <c r="C48" s="8">
        <f t="shared" si="54"/>
        <v>8.0439895259103791E-2</v>
      </c>
      <c r="D48" s="8">
        <f t="shared" si="54"/>
        <v>2.2584398421594893E-2</v>
      </c>
      <c r="E48" s="8">
        <f t="shared" si="54"/>
        <v>6.9315863324028684E-2</v>
      </c>
      <c r="F48" s="8">
        <f t="shared" si="54"/>
        <v>6.7733605970079658E-2</v>
      </c>
      <c r="G48" s="8">
        <f t="shared" si="54"/>
        <v>0.24432803091575242</v>
      </c>
      <c r="H48" s="8">
        <f t="shared" si="54"/>
        <v>0.26862540415161024</v>
      </c>
      <c r="I48" s="8">
        <f xml:space="preserve"> I47/SQRT(COUNT(I28:I43))</f>
        <v>1.5270893431852992E-2</v>
      </c>
      <c r="J48" s="8">
        <f t="shared" si="54"/>
        <v>4.823196975062382E-2</v>
      </c>
      <c r="K48" s="8">
        <f t="shared" si="54"/>
        <v>2.8716910869994245E-2</v>
      </c>
      <c r="L48" s="8">
        <f t="shared" ref="L48:M48" si="55" xml:space="preserve"> L47/SQRT(COUNT(L28:L43))</f>
        <v>0.45668336996528863</v>
      </c>
      <c r="M48" s="8">
        <f t="shared" si="55"/>
        <v>0.41870800717285173</v>
      </c>
      <c r="N48" s="8" t="s">
        <v>2</v>
      </c>
      <c r="O48" s="8">
        <f xml:space="preserve"> O47/SQRT(COUNT(O28:O43))</f>
        <v>0.20457248502714065</v>
      </c>
      <c r="P48" s="8">
        <f xml:space="preserve"> P47/SQRT(COUNT(P28:P43))</f>
        <v>0.34292174968973638</v>
      </c>
      <c r="Q48" s="8">
        <f xml:space="preserve"> Q47/SQRT(COUNT(Q28:Q43))</f>
        <v>2.3321096978679894E-2</v>
      </c>
      <c r="R48" s="8">
        <f xml:space="preserve"> R47/SQRT(COUNT(R28:R43))</f>
        <v>0.21503510353996605</v>
      </c>
      <c r="S48" s="8">
        <f t="shared" ref="S48:V48" si="56" xml:space="preserve"> S47/SQRT(COUNT(S28:S43))</f>
        <v>0.16598641358852786</v>
      </c>
      <c r="T48" s="8">
        <f t="shared" si="56"/>
        <v>0.27927441096054761</v>
      </c>
      <c r="U48" s="8">
        <f t="shared" si="56"/>
        <v>0.35652499068770144</v>
      </c>
      <c r="V48" s="8">
        <f t="shared" si="56"/>
        <v>0.49919133897478657</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Estrone-0,04µg/L</v>
      </c>
      <c r="J52" s="46" t="str">
        <f>J4</f>
        <v>Estrone-0,2µg/L</v>
      </c>
      <c r="K52" s="46" t="str">
        <f>K27</f>
        <v>Estrone-1µg/L</v>
      </c>
      <c r="L52" s="46" t="str">
        <f t="shared" ref="L52:M52" si="58">L27</f>
        <v>Estrone-5µg/L</v>
      </c>
      <c r="M52" s="46" t="str">
        <f t="shared" si="58"/>
        <v>Estrone-25µg/L</v>
      </c>
      <c r="N52" s="47"/>
      <c r="O52" s="46" t="str">
        <f>O27</f>
        <v>Testo -30µg/L</v>
      </c>
      <c r="P52" s="46" t="str">
        <f>P27</f>
        <v>Testo 30µg/L + EE2 -64ng/L</v>
      </c>
      <c r="Q52" s="46" t="str">
        <f>Q27</f>
        <v>Testo 30µg/L + FAD-10µg/L</v>
      </c>
      <c r="R52" s="46" t="str">
        <f>R27</f>
        <v>Estrone-0,04µg/L + Testostérone</v>
      </c>
      <c r="S52" s="46" t="str">
        <f t="shared" ref="S52:V52" si="59">S27</f>
        <v>Estrone-0,2µg/L + Testostérone</v>
      </c>
      <c r="T52" s="46" t="str">
        <f t="shared" si="59"/>
        <v>Estrone-1µg/L + Testostérone</v>
      </c>
      <c r="U52" s="46" t="str">
        <f t="shared" si="59"/>
        <v>Estrone-5µg/L + Testostérone</v>
      </c>
      <c r="V52" s="46" t="str">
        <f t="shared" si="59"/>
        <v>Estrone-25µg/L + Testostérone</v>
      </c>
    </row>
    <row r="53" spans="1:22" s="3" customFormat="1" x14ac:dyDescent="0.25">
      <c r="A53" s="61" t="s">
        <v>32</v>
      </c>
      <c r="B53" s="141">
        <f t="shared" ref="B53:M53" si="60">B46</f>
        <v>0.1113424084004897</v>
      </c>
      <c r="C53" s="141">
        <f t="shared" si="60"/>
        <v>0.15080988006069376</v>
      </c>
      <c r="D53" s="141">
        <f t="shared" si="60"/>
        <v>0.10145217610080803</v>
      </c>
      <c r="E53" s="141">
        <f t="shared" si="60"/>
        <v>0.32929165859352222</v>
      </c>
      <c r="F53" s="141">
        <f t="shared" si="60"/>
        <v>0.54123315456369769</v>
      </c>
      <c r="G53" s="141">
        <f t="shared" si="60"/>
        <v>1.6779874351469752</v>
      </c>
      <c r="H53" s="141">
        <f t="shared" si="60"/>
        <v>3.0128978910907414</v>
      </c>
      <c r="I53" s="141">
        <f t="shared" si="60"/>
        <v>7.0946228519781648E-2</v>
      </c>
      <c r="J53" s="141">
        <f t="shared" si="60"/>
        <v>0.12482367918721475</v>
      </c>
      <c r="K53" s="141">
        <f t="shared" si="60"/>
        <v>0.14228830991620914</v>
      </c>
      <c r="L53" s="141">
        <f t="shared" si="60"/>
        <v>2.4250855660629407</v>
      </c>
      <c r="M53" s="141">
        <f t="shared" si="60"/>
        <v>2.8668226600245545</v>
      </c>
      <c r="N53" s="141"/>
      <c r="O53" s="141">
        <f t="shared" ref="O53:V53" si="61">O46</f>
        <v>1.0000000000000002</v>
      </c>
      <c r="P53" s="141">
        <f t="shared" si="61"/>
        <v>1.5625136946854279</v>
      </c>
      <c r="Q53" s="141">
        <f t="shared" si="61"/>
        <v>9.0567083993551567E-2</v>
      </c>
      <c r="R53" s="141">
        <f t="shared" si="61"/>
        <v>1.0281737913140161</v>
      </c>
      <c r="S53" s="141">
        <f t="shared" si="61"/>
        <v>0.81922848396690195</v>
      </c>
      <c r="T53" s="141">
        <f t="shared" si="61"/>
        <v>2.1863488817462109</v>
      </c>
      <c r="U53" s="141">
        <f t="shared" si="61"/>
        <v>2.2482476920075536</v>
      </c>
      <c r="V53" s="141">
        <f t="shared" si="61"/>
        <v>3.1808648345392818</v>
      </c>
    </row>
    <row r="54" spans="1:22" s="3" customFormat="1" x14ac:dyDescent="0.25">
      <c r="A54" s="61" t="s">
        <v>2</v>
      </c>
      <c r="B54" s="141">
        <f t="shared" ref="B54:M54" si="62">B48</f>
        <v>3.5221477089981738E-2</v>
      </c>
      <c r="C54" s="141">
        <f t="shared" si="62"/>
        <v>8.0439895259103791E-2</v>
      </c>
      <c r="D54" s="141">
        <f t="shared" si="62"/>
        <v>2.2584398421594893E-2</v>
      </c>
      <c r="E54" s="141">
        <f t="shared" si="62"/>
        <v>6.9315863324028684E-2</v>
      </c>
      <c r="F54" s="141">
        <f t="shared" si="62"/>
        <v>6.7733605970079658E-2</v>
      </c>
      <c r="G54" s="141">
        <f t="shared" si="62"/>
        <v>0.24432803091575242</v>
      </c>
      <c r="H54" s="141">
        <f t="shared" si="62"/>
        <v>0.26862540415161024</v>
      </c>
      <c r="I54" s="141">
        <f t="shared" si="62"/>
        <v>1.5270893431852992E-2</v>
      </c>
      <c r="J54" s="141">
        <f t="shared" si="62"/>
        <v>4.823196975062382E-2</v>
      </c>
      <c r="K54" s="141">
        <f t="shared" si="62"/>
        <v>2.8716910869994245E-2</v>
      </c>
      <c r="L54" s="141">
        <f t="shared" si="62"/>
        <v>0.45668336996528863</v>
      </c>
      <c r="M54" s="141">
        <f t="shared" si="62"/>
        <v>0.41870800717285173</v>
      </c>
      <c r="N54" s="141"/>
      <c r="O54" s="141">
        <f t="shared" ref="O54:V54" si="63">O48</f>
        <v>0.20457248502714065</v>
      </c>
      <c r="P54" s="141">
        <f t="shared" si="63"/>
        <v>0.34292174968973638</v>
      </c>
      <c r="Q54" s="141">
        <f t="shared" si="63"/>
        <v>2.3321096978679894E-2</v>
      </c>
      <c r="R54" s="141">
        <f t="shared" si="63"/>
        <v>0.21503510353996605</v>
      </c>
      <c r="S54" s="141">
        <f t="shared" si="63"/>
        <v>0.16598641358852786</v>
      </c>
      <c r="T54" s="141">
        <f t="shared" si="63"/>
        <v>0.27927441096054761</v>
      </c>
      <c r="U54" s="141">
        <f t="shared" si="63"/>
        <v>0.35652499068770144</v>
      </c>
      <c r="V54" s="141">
        <f t="shared" si="63"/>
        <v>0.49919133897478657</v>
      </c>
    </row>
    <row r="55" spans="1:22" s="3" customFormat="1" x14ac:dyDescent="0.25">
      <c r="A55" s="61" t="s">
        <v>79</v>
      </c>
      <c r="B55" s="141">
        <f t="shared" ref="B55:M55" si="64">(B53*100/$B$53)-100</f>
        <v>0</v>
      </c>
      <c r="C55" s="141">
        <f t="shared" si="64"/>
        <v>35.446935473357769</v>
      </c>
      <c r="D55" s="141">
        <f t="shared" si="64"/>
        <v>-8.8827181320771302</v>
      </c>
      <c r="E55" s="141">
        <f t="shared" si="64"/>
        <v>195.74684374446673</v>
      </c>
      <c r="F55" s="141">
        <f t="shared" si="64"/>
        <v>386.0979408824403</v>
      </c>
      <c r="G55" s="141">
        <f t="shared" si="64"/>
        <v>1407.0514992916169</v>
      </c>
      <c r="H55" s="141">
        <f t="shared" si="64"/>
        <v>2605.9751395475387</v>
      </c>
      <c r="I55" s="141">
        <f t="shared" si="64"/>
        <v>-36.281036543961072</v>
      </c>
      <c r="J55" s="141">
        <f t="shared" si="64"/>
        <v>12.10793890701018</v>
      </c>
      <c r="K55" s="141">
        <f t="shared" si="64"/>
        <v>27.793454408143859</v>
      </c>
      <c r="L55" s="141">
        <f t="shared" si="64"/>
        <v>2078.0430304148827</v>
      </c>
      <c r="M55" s="141">
        <f t="shared" si="64"/>
        <v>2474.7805361932028</v>
      </c>
      <c r="N55" s="141"/>
      <c r="O55" s="141">
        <f>(O53*100/$O$53)-100</f>
        <v>0</v>
      </c>
      <c r="P55" s="141">
        <f t="shared" ref="P55:V55" si="65">(P53*100/$O$53)-100</f>
        <v>56.251369468542748</v>
      </c>
      <c r="Q55" s="141">
        <f t="shared" si="65"/>
        <v>-90.943291600644841</v>
      </c>
      <c r="R55" s="141">
        <f t="shared" si="65"/>
        <v>2.8173791314015801</v>
      </c>
      <c r="S55" s="141">
        <f t="shared" si="65"/>
        <v>-18.077151603309815</v>
      </c>
      <c r="T55" s="141">
        <f t="shared" si="65"/>
        <v>118.63488817462104</v>
      </c>
      <c r="U55" s="141">
        <f t="shared" si="65"/>
        <v>124.8247692007553</v>
      </c>
      <c r="V55" s="141">
        <f t="shared" si="65"/>
        <v>218.08648345392811</v>
      </c>
    </row>
    <row r="56" spans="1:22" s="3" customFormat="1" x14ac:dyDescent="0.25">
      <c r="A56" s="61" t="s">
        <v>81</v>
      </c>
      <c r="B56" s="141">
        <f>[1]!SWTEST(B28:B43)</f>
        <v>1.0034021335913468E-2</v>
      </c>
      <c r="C56" s="141">
        <f>[1]!SWTEST(C28:C43)</f>
        <v>9.2049065265620289E-4</v>
      </c>
      <c r="D56" s="141">
        <f>[1]!SWTEST(D28:D43)</f>
        <v>0.33314729405055188</v>
      </c>
      <c r="E56" s="141">
        <f>[1]!SWTEST(E28:E43)</f>
        <v>0.32410501849832052</v>
      </c>
      <c r="F56" s="141">
        <f>[1]!SWTEST(F28:F43)</f>
        <v>0.43994888480577732</v>
      </c>
      <c r="G56" s="141">
        <f>[1]!SWTEST(G28:G43)</f>
        <v>0.3599609857325734</v>
      </c>
      <c r="H56" s="141">
        <f>[1]!SWTEST(H28:H43)</f>
        <v>0.51172174442729612</v>
      </c>
      <c r="I56" s="141">
        <f>[1]!SWTEST(I28:I43)</f>
        <v>0.12329175750255428</v>
      </c>
      <c r="J56" s="141">
        <f>[1]!SWTEST(J28:J43)</f>
        <v>9.2699533761984032E-3</v>
      </c>
      <c r="K56" s="141">
        <f>[1]!SWTEST(K28:K43)</f>
        <v>0.83826327586173699</v>
      </c>
      <c r="L56" s="141">
        <f>[1]!SWTEST(L28:L43)</f>
        <v>0.70682158619260083</v>
      </c>
      <c r="M56" s="141">
        <f>[1]!SWTEST(M28:M43)</f>
        <v>5.363484674396235E-2</v>
      </c>
      <c r="N56" s="141"/>
      <c r="O56" s="141">
        <f>[1]!SWTEST(O28:O43)</f>
        <v>0.20288433754249557</v>
      </c>
      <c r="P56" s="141">
        <f>[1]!SWTEST(P28:P43)</f>
        <v>0.98445963915737211</v>
      </c>
      <c r="Q56" s="141">
        <f>[1]!SWTEST(Q28:Q43)</f>
        <v>0.24468952779879405</v>
      </c>
      <c r="R56" s="141">
        <f>[1]!SWTEST(R28:R43)</f>
        <v>0.62765736531436744</v>
      </c>
      <c r="S56" s="141">
        <f>[1]!SWTEST(S28:S43)</f>
        <v>0.90225672854573746</v>
      </c>
      <c r="T56" s="141">
        <f>[1]!SWTEST(T28:T43)</f>
        <v>4.8576713089292567E-2</v>
      </c>
      <c r="U56" s="141">
        <f>[1]!SWTEST(U28:U43)</f>
        <v>0.14948369875013345</v>
      </c>
      <c r="V56" s="141">
        <f>[1]!SWTEST(V28:V43)</f>
        <v>0.57138610894221908</v>
      </c>
    </row>
    <row r="57" spans="1:22" s="3" customFormat="1" x14ac:dyDescent="0.25">
      <c r="A57" s="61" t="s">
        <v>85</v>
      </c>
      <c r="B57" s="141" t="str">
        <f t="shared" ref="B57:M57" si="66">IF(B56&gt;0.05,"Oui","Non")</f>
        <v>Non</v>
      </c>
      <c r="C57" s="141" t="str">
        <f t="shared" si="66"/>
        <v>Non</v>
      </c>
      <c r="D57" s="141" t="str">
        <f t="shared" si="66"/>
        <v>Oui</v>
      </c>
      <c r="E57" s="141" t="str">
        <f t="shared" si="66"/>
        <v>Oui</v>
      </c>
      <c r="F57" s="141" t="str">
        <f t="shared" si="66"/>
        <v>Oui</v>
      </c>
      <c r="G57" s="141" t="str">
        <f t="shared" si="66"/>
        <v>Oui</v>
      </c>
      <c r="H57" s="141" t="str">
        <f t="shared" si="66"/>
        <v>Oui</v>
      </c>
      <c r="I57" s="141" t="str">
        <f t="shared" si="66"/>
        <v>Oui</v>
      </c>
      <c r="J57" s="141" t="str">
        <f t="shared" si="66"/>
        <v>Non</v>
      </c>
      <c r="K57" s="141" t="str">
        <f t="shared" si="66"/>
        <v>Oui</v>
      </c>
      <c r="L57" s="141" t="str">
        <f t="shared" si="66"/>
        <v>Oui</v>
      </c>
      <c r="M57" s="141" t="str">
        <f t="shared" si="66"/>
        <v>Oui</v>
      </c>
      <c r="N57" s="141"/>
      <c r="O57" s="141" t="str">
        <f t="shared" ref="O57:V57" si="67">IF(O56&gt;0.05,"Oui","Non")</f>
        <v>Oui</v>
      </c>
      <c r="P57" s="141" t="str">
        <f t="shared" si="67"/>
        <v>Oui</v>
      </c>
      <c r="Q57" s="141" t="str">
        <f t="shared" si="67"/>
        <v>Oui</v>
      </c>
      <c r="R57" s="141" t="str">
        <f t="shared" si="67"/>
        <v>Oui</v>
      </c>
      <c r="S57" s="141" t="str">
        <f t="shared" si="67"/>
        <v>Oui</v>
      </c>
      <c r="T57" s="141" t="str">
        <f t="shared" si="67"/>
        <v>Non</v>
      </c>
      <c r="U57" s="141" t="str">
        <f t="shared" si="67"/>
        <v>Oui</v>
      </c>
      <c r="V57" s="141" t="str">
        <f t="shared" si="67"/>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1722</v>
      </c>
      <c r="D59" s="150" t="s">
        <v>1722</v>
      </c>
      <c r="E59" s="150" t="s">
        <v>1722</v>
      </c>
      <c r="F59" s="150" t="s">
        <v>1722</v>
      </c>
      <c r="G59" s="150" t="s">
        <v>1722</v>
      </c>
      <c r="H59" s="150" t="s">
        <v>1722</v>
      </c>
      <c r="I59" s="150" t="s">
        <v>1722</v>
      </c>
      <c r="J59" s="150" t="s">
        <v>1722</v>
      </c>
      <c r="K59" s="150" t="s">
        <v>1722</v>
      </c>
      <c r="L59" s="150" t="s">
        <v>1722</v>
      </c>
      <c r="M59" s="150" t="s">
        <v>1722</v>
      </c>
      <c r="N59" s="150"/>
      <c r="O59" s="150" t="str">
        <f>IF($B57="Non",IF(O$57="Non","Mann Withney",IF(O$57="Oui","Mann Withney","")),IF($B$57="Oui",IF(O$57="Oui","T-Test Welch",IF(O$57="Non","Mann Withney",""))))</f>
        <v>Mann Withney</v>
      </c>
      <c r="P59" s="150" t="str">
        <f>IF($O57="Non",IF(P$57="Non","Mann Withney",IF(P$57="Oui","Mann Withney","")),IF($O$57="Oui",IF(P$57="Oui","T-Test Welch",IF(P$57="Non","Mann Withney",""))))</f>
        <v>T-Test Welch</v>
      </c>
      <c r="Q59" s="150" t="str">
        <f t="shared" ref="Q59" si="68">IF($O57="Non",IF(Q$57="Non","Mann Withney",IF(Q$57="Oui","Mann Withney","")),IF($O$57="Oui",IF(Q$57="Oui","T-Test Welch",IF(Q$57="Non","Mann Withney",""))))</f>
        <v>T-Test Welch</v>
      </c>
      <c r="R59" s="150" t="s">
        <v>1722</v>
      </c>
      <c r="S59" s="150" t="s">
        <v>1722</v>
      </c>
      <c r="T59" s="150" t="s">
        <v>1722</v>
      </c>
      <c r="U59" s="150" t="s">
        <v>1722</v>
      </c>
      <c r="V59" s="150" t="s">
        <v>1722</v>
      </c>
    </row>
    <row r="60" spans="1:22" s="3" customFormat="1" ht="15.75" x14ac:dyDescent="0.25">
      <c r="A60" s="61" t="s">
        <v>83</v>
      </c>
      <c r="B60" s="151"/>
      <c r="C60" s="197">
        <v>0.99990000000000001</v>
      </c>
      <c r="D60" s="197">
        <v>0.99990000000000001</v>
      </c>
      <c r="E60" s="197">
        <v>0.75190000000000001</v>
      </c>
      <c r="F60" s="197">
        <v>0.1007</v>
      </c>
      <c r="G60" s="197">
        <v>6.9999999999999999E-4</v>
      </c>
      <c r="H60" s="197">
        <v>1E-4</v>
      </c>
      <c r="I60" s="197">
        <v>0.99990000000000001</v>
      </c>
      <c r="J60" s="197">
        <v>0.99990000000000001</v>
      </c>
      <c r="K60" s="197">
        <v>0.99990000000000001</v>
      </c>
      <c r="L60" s="197">
        <v>6.4999999999999997E-3</v>
      </c>
      <c r="M60" s="197">
        <v>3.7000000000000002E-3</v>
      </c>
      <c r="N60" s="151"/>
      <c r="O60" s="151">
        <v>5.9999999999999995E-4</v>
      </c>
      <c r="P60" s="197">
        <v>0.18410000000000001</v>
      </c>
      <c r="Q60" s="197">
        <v>5.9999999999999995E-4</v>
      </c>
      <c r="R60" s="197">
        <v>0.99990000000000001</v>
      </c>
      <c r="S60" s="197">
        <v>0.99990000000000001</v>
      </c>
      <c r="T60" s="197">
        <v>0.03</v>
      </c>
      <c r="U60" s="197">
        <v>3.3399999999999999E-2</v>
      </c>
      <c r="V60" s="197">
        <v>5.0000000000000001E-4</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NS</v>
      </c>
      <c r="G61" s="142" t="str">
        <f t="shared" si="69"/>
        <v>***</v>
      </c>
      <c r="H61" s="142" t="str">
        <f t="shared" si="69"/>
        <v>***</v>
      </c>
      <c r="I61" s="142" t="str">
        <f t="shared" si="69"/>
        <v>NS</v>
      </c>
      <c r="J61" s="142" t="str">
        <f t="shared" si="69"/>
        <v>NS</v>
      </c>
      <c r="K61" s="142" t="str">
        <f t="shared" si="69"/>
        <v>NS</v>
      </c>
      <c r="L61" s="142" t="str">
        <f t="shared" si="69"/>
        <v>**</v>
      </c>
      <c r="M61" s="142" t="str">
        <f t="shared" si="69"/>
        <v>**</v>
      </c>
      <c r="N61" s="142"/>
      <c r="O61" s="142" t="str">
        <f>IF(O60&gt;0.05,"NS",IF(O60&gt;0.01,"*",IF(O60&gt;0.001,"**","***")))</f>
        <v>***</v>
      </c>
      <c r="P61" s="142" t="str">
        <f>IF(P60&gt;0.05,"NS",IF(P60&gt;0.01,"*",IF(P60&gt;0.001,"**","***")))</f>
        <v>NS</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v>
      </c>
      <c r="U61" s="142" t="str">
        <f t="shared" ref="U61" si="74">IF(U60&gt;0.05,"NS",IF(U60&gt;0.01,"*",IF(U60&gt;0.001,"**","***")))</f>
        <v>*</v>
      </c>
      <c r="V61" s="142" t="str">
        <f t="shared" ref="V61" si="75">IF(V60&gt;0.05,"NS",IF(V60&gt;0.01,"*",IF(V60&gt;0.001,"**","***")))</f>
        <v>***</v>
      </c>
    </row>
    <row r="63" spans="1:22" x14ac:dyDescent="0.25">
      <c r="A63" s="2" t="s">
        <v>39</v>
      </c>
    </row>
    <row r="64" spans="1:22" x14ac:dyDescent="0.25">
      <c r="A64" s="1" t="s">
        <v>23</v>
      </c>
      <c r="B64" s="1">
        <f>B46+(3*B47)</f>
        <v>0.41020655192528233</v>
      </c>
    </row>
    <row r="65" spans="1:22" x14ac:dyDescent="0.25">
      <c r="A65" s="1" t="s">
        <v>24</v>
      </c>
      <c r="B65" s="1">
        <f>B46+(10*B47)</f>
        <v>1.1075562201497984</v>
      </c>
    </row>
    <row r="66" spans="1:22" ht="15.75" thickBot="1" x14ac:dyDescent="0.3"/>
    <row r="67" spans="1:22" s="1" customFormat="1" ht="27" thickBot="1" x14ac:dyDescent="0.4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97"/>
      <c r="D69" s="12"/>
      <c r="E69" s="12"/>
      <c r="F69" s="12"/>
      <c r="I69" s="197"/>
      <c r="N69" s="12"/>
      <c r="O69" s="12"/>
      <c r="P69" s="12"/>
      <c r="Q69" s="12"/>
      <c r="R69" s="12"/>
      <c r="S69" s="197"/>
      <c r="T69" s="12"/>
      <c r="U69" s="12"/>
      <c r="V69" s="12"/>
    </row>
    <row r="70" spans="1:22" ht="16.5" x14ac:dyDescent="0.25">
      <c r="A70" s="12"/>
      <c r="B70" s="12"/>
      <c r="C70" s="197"/>
      <c r="D70" s="12"/>
      <c r="E70" s="12"/>
      <c r="F70" s="12"/>
      <c r="I70" s="197"/>
      <c r="N70" s="12"/>
      <c r="O70" s="12"/>
      <c r="P70" s="12"/>
      <c r="Q70" s="12"/>
      <c r="R70" s="12"/>
      <c r="S70" s="197"/>
      <c r="T70" s="12"/>
      <c r="U70" s="12"/>
      <c r="V70" s="12"/>
    </row>
    <row r="71" spans="1:22" ht="16.5" x14ac:dyDescent="0.25">
      <c r="A71" s="12"/>
      <c r="B71" s="12"/>
      <c r="C71" s="197"/>
      <c r="D71" s="12"/>
      <c r="E71" s="12"/>
      <c r="F71" s="12"/>
      <c r="I71" s="197"/>
      <c r="N71" s="12"/>
      <c r="O71" s="12"/>
      <c r="P71" s="12"/>
      <c r="Q71" s="12"/>
      <c r="R71" s="12"/>
      <c r="S71" s="197"/>
      <c r="T71" s="12"/>
      <c r="U71" s="12"/>
      <c r="V71" s="12"/>
    </row>
    <row r="72" spans="1:22" ht="16.5" x14ac:dyDescent="0.25">
      <c r="A72" s="12"/>
      <c r="B72" s="12"/>
      <c r="C72" s="197"/>
      <c r="D72" s="12"/>
      <c r="E72" s="12"/>
      <c r="F72" s="12"/>
      <c r="I72" s="197"/>
      <c r="N72" s="12"/>
      <c r="O72" s="12"/>
      <c r="P72" s="12"/>
      <c r="Q72" s="12"/>
      <c r="R72" s="12"/>
      <c r="S72" s="197"/>
      <c r="T72" s="12"/>
      <c r="U72" s="12"/>
      <c r="V72" s="12"/>
    </row>
    <row r="73" spans="1:22" ht="16.5" x14ac:dyDescent="0.25">
      <c r="A73" s="12"/>
      <c r="B73" s="12"/>
      <c r="C73" s="197"/>
      <c r="D73" s="12"/>
      <c r="E73" s="12"/>
      <c r="F73" s="12"/>
      <c r="I73" s="197"/>
      <c r="N73" s="12"/>
      <c r="O73" s="12"/>
      <c r="P73" s="12"/>
      <c r="Q73" s="12"/>
      <c r="R73" s="12"/>
      <c r="S73" s="197"/>
      <c r="T73" s="12"/>
      <c r="U73" s="12"/>
      <c r="V73" s="12"/>
    </row>
    <row r="74" spans="1:22" ht="16.5" x14ac:dyDescent="0.25">
      <c r="A74" s="12"/>
      <c r="B74" s="12"/>
      <c r="C74" s="197"/>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O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1688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1723</v>
      </c>
      <c r="D2" s="1" t="s">
        <v>210</v>
      </c>
      <c r="E2" s="1" t="s">
        <v>1724</v>
      </c>
      <c r="F2" s="1" t="s">
        <v>112</v>
      </c>
      <c r="G2" s="1">
        <v>82237</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1725</v>
      </c>
      <c r="D3" s="1" t="s">
        <v>1726</v>
      </c>
      <c r="E3" s="1" t="s">
        <v>1727</v>
      </c>
      <c r="F3" s="1" t="s">
        <v>112</v>
      </c>
      <c r="G3" s="1">
        <v>68048</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1728</v>
      </c>
      <c r="D4" s="1" t="s">
        <v>732</v>
      </c>
      <c r="E4" s="1" t="s">
        <v>1729</v>
      </c>
      <c r="F4" s="1" t="s">
        <v>112</v>
      </c>
      <c r="G4" s="1">
        <v>163630</v>
      </c>
      <c r="K4" s="118" t="s">
        <v>100</v>
      </c>
      <c r="L4" s="1" t="s">
        <v>1689</v>
      </c>
      <c r="M4" s="1" t="s">
        <v>1690</v>
      </c>
      <c r="N4" s="1" t="s">
        <v>1691</v>
      </c>
      <c r="O4" s="1" t="s">
        <v>1692</v>
      </c>
      <c r="P4" s="1" t="s">
        <v>1693</v>
      </c>
      <c r="Q4" s="1" t="s">
        <v>1694</v>
      </c>
      <c r="R4" s="1" t="s">
        <v>1695</v>
      </c>
      <c r="S4" s="1" t="s">
        <v>3116</v>
      </c>
      <c r="T4" s="1" t="s">
        <v>3117</v>
      </c>
      <c r="U4" s="1" t="s">
        <v>3118</v>
      </c>
      <c r="V4" s="1" t="s">
        <v>3119</v>
      </c>
      <c r="W4" s="1" t="s">
        <v>3120</v>
      </c>
      <c r="X4" s="1" t="s">
        <v>1701</v>
      </c>
      <c r="Y4" s="1" t="s">
        <v>1702</v>
      </c>
      <c r="Z4" s="1" t="s">
        <v>1703</v>
      </c>
      <c r="AA4" s="1" t="s">
        <v>1704</v>
      </c>
      <c r="AB4" s="1" t="s">
        <v>1705</v>
      </c>
      <c r="AC4" s="1" t="s">
        <v>1706</v>
      </c>
      <c r="AD4" s="1" t="s">
        <v>1707</v>
      </c>
      <c r="AE4" s="1" t="s">
        <v>1708</v>
      </c>
      <c r="AF4" s="1" t="s">
        <v>1709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1730</v>
      </c>
      <c r="D5" s="1" t="s">
        <v>1731</v>
      </c>
      <c r="E5" s="1" t="s">
        <v>1732</v>
      </c>
      <c r="F5" s="1" t="s">
        <v>112</v>
      </c>
      <c r="G5" s="1">
        <v>134127</v>
      </c>
      <c r="K5" s="145" t="s">
        <v>163</v>
      </c>
      <c r="L5" s="44">
        <v>104638.33333333333</v>
      </c>
      <c r="M5" s="44">
        <v>267972.66666666669</v>
      </c>
      <c r="N5" s="44">
        <v>130853.66666666667</v>
      </c>
      <c r="O5" s="44">
        <v>163889.66666666666</v>
      </c>
      <c r="P5" s="44">
        <v>738891.66666666663</v>
      </c>
      <c r="Q5" s="44">
        <v>3703470.3333333335</v>
      </c>
      <c r="R5" s="44">
        <v>4551816.666666667</v>
      </c>
      <c r="S5" s="44">
        <v>262378</v>
      </c>
      <c r="T5" s="44">
        <v>105027.33333333333</v>
      </c>
      <c r="U5" s="44">
        <v>236703</v>
      </c>
      <c r="V5" s="44">
        <v>5518053</v>
      </c>
      <c r="W5" s="44">
        <v>7686637</v>
      </c>
      <c r="X5" s="44">
        <v>662848</v>
      </c>
      <c r="Y5" s="44">
        <v>209442.5</v>
      </c>
      <c r="Z5" s="44">
        <v>3237331.6666666665</v>
      </c>
      <c r="AA5" s="44">
        <v>97716.666666666672</v>
      </c>
      <c r="AB5" s="44">
        <v>366439</v>
      </c>
      <c r="AC5" s="44">
        <v>2369598.3333333335</v>
      </c>
      <c r="AD5" s="44">
        <v>2938183.3333333335</v>
      </c>
      <c r="AE5" s="44">
        <v>7013457.333333333</v>
      </c>
      <c r="AF5" s="44">
        <v>5142630</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1733</v>
      </c>
      <c r="D6" s="1" t="s">
        <v>1734</v>
      </c>
      <c r="E6" s="1" t="s">
        <v>1735</v>
      </c>
      <c r="F6" s="1" t="s">
        <v>112</v>
      </c>
      <c r="G6" s="1">
        <v>79901</v>
      </c>
      <c r="K6" s="145" t="s">
        <v>1710</v>
      </c>
      <c r="L6" s="44">
        <v>107014</v>
      </c>
      <c r="M6" s="44">
        <v>138049</v>
      </c>
      <c r="N6" s="44">
        <v>122526.33333333333</v>
      </c>
      <c r="O6" s="44">
        <v>346867.5</v>
      </c>
      <c r="P6" s="44">
        <v>680267.66666666663</v>
      </c>
      <c r="Q6" s="44">
        <v>712460</v>
      </c>
      <c r="R6" s="44">
        <v>5988005.666666667</v>
      </c>
      <c r="S6" s="44">
        <v>318053.33333333331</v>
      </c>
      <c r="T6" s="44">
        <v>203364.33333333334</v>
      </c>
      <c r="U6" s="44">
        <v>391559</v>
      </c>
      <c r="V6" s="44">
        <v>5564319.333333333</v>
      </c>
      <c r="W6" s="44">
        <v>5813899.666666667</v>
      </c>
      <c r="X6" s="44">
        <v>1305811</v>
      </c>
      <c r="Y6" s="44">
        <v>103477.5</v>
      </c>
      <c r="Z6" s="44">
        <v>1965429</v>
      </c>
      <c r="AA6" s="44">
        <v>50325.333333333336</v>
      </c>
      <c r="AB6" s="44">
        <v>1643828.6666666667</v>
      </c>
      <c r="AC6" s="44">
        <v>2278334.3333333335</v>
      </c>
      <c r="AD6" s="44">
        <v>4581334.333333333</v>
      </c>
      <c r="AE6" s="44">
        <v>5648546</v>
      </c>
      <c r="AF6" s="44">
        <v>8242569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1736</v>
      </c>
      <c r="K7" s="145" t="s">
        <v>1711</v>
      </c>
      <c r="L7" s="44">
        <v>565203.66666666663</v>
      </c>
      <c r="M7" s="44">
        <v>204821</v>
      </c>
      <c r="N7" s="44">
        <v>351911</v>
      </c>
      <c r="O7" s="44">
        <v>33930.333333333336</v>
      </c>
      <c r="P7" s="44">
        <v>276350.66666666669</v>
      </c>
      <c r="Q7" s="44">
        <v>2102779</v>
      </c>
      <c r="R7" s="44">
        <v>6745563.666666667</v>
      </c>
      <c r="S7" s="44">
        <v>118654.33333333333</v>
      </c>
      <c r="T7" s="44">
        <v>159138.33333333334</v>
      </c>
      <c r="U7" s="44">
        <v>523998.66666666669</v>
      </c>
      <c r="V7" s="44">
        <v>3831757.6666666665</v>
      </c>
      <c r="W7" s="44">
        <v>5911262.666666667</v>
      </c>
      <c r="X7" s="44">
        <v>607000</v>
      </c>
      <c r="Y7" s="44">
        <v>363915.66666666669</v>
      </c>
      <c r="Z7" s="44">
        <v>1559587.6666666667</v>
      </c>
      <c r="AA7" s="44">
        <v>30577.666666666668</v>
      </c>
      <c r="AB7" s="44">
        <v>747947</v>
      </c>
      <c r="AC7" s="44">
        <v>1528779.3333333333</v>
      </c>
      <c r="AD7" s="44">
        <v>1823839.6666666667</v>
      </c>
      <c r="AE7" s="44">
        <v>4826422.333333333</v>
      </c>
      <c r="AF7" s="44">
        <v>8059450.333333333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1737</v>
      </c>
      <c r="D8" s="1" t="s">
        <v>1738</v>
      </c>
      <c r="E8" s="1" t="s">
        <v>1739</v>
      </c>
      <c r="F8" s="1" t="s">
        <v>112</v>
      </c>
      <c r="G8" s="1">
        <v>1228881</v>
      </c>
      <c r="K8" s="145" t="s">
        <v>1712</v>
      </c>
      <c r="L8" s="44">
        <v>441141.66666666669</v>
      </c>
      <c r="M8" s="44">
        <v>54283.666666666664</v>
      </c>
      <c r="N8" s="44">
        <v>260863.66666666666</v>
      </c>
      <c r="O8" s="44">
        <v>418927.66666666669</v>
      </c>
      <c r="P8" s="44">
        <v>1136405.6666666667</v>
      </c>
      <c r="Q8" s="44">
        <v>2727623.3333333335</v>
      </c>
      <c r="R8" s="44">
        <v>4709989</v>
      </c>
      <c r="S8" s="44">
        <v>100701.33333333333</v>
      </c>
      <c r="T8" s="44">
        <v>109750.33333333333</v>
      </c>
      <c r="U8" s="44">
        <v>178497</v>
      </c>
      <c r="V8" s="44">
        <v>2075640.6666666667</v>
      </c>
      <c r="W8" s="44">
        <v>5487251.666666667</v>
      </c>
      <c r="X8" s="44">
        <v>1060694</v>
      </c>
      <c r="Y8" s="44">
        <v>533014.5</v>
      </c>
      <c r="Z8" s="44">
        <v>2872753</v>
      </c>
      <c r="AA8" s="44">
        <v>13692</v>
      </c>
      <c r="AB8" s="44">
        <v>384046</v>
      </c>
      <c r="AC8" s="44">
        <v>2784084.6666666665</v>
      </c>
      <c r="AD8" s="44">
        <v>2250013.3333333335</v>
      </c>
      <c r="AE8" s="44">
        <v>3374682</v>
      </c>
      <c r="AF8" s="44">
        <v>4499104.666666667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1740</v>
      </c>
      <c r="D9" s="1" t="s">
        <v>1741</v>
      </c>
      <c r="E9" s="1" t="s">
        <v>1742</v>
      </c>
      <c r="F9" s="1" t="s">
        <v>112</v>
      </c>
      <c r="G9" s="1">
        <v>74169</v>
      </c>
      <c r="K9" s="145" t="s">
        <v>1713</v>
      </c>
      <c r="L9" s="44">
        <v>91357.666666666672</v>
      </c>
      <c r="M9" s="44">
        <v>166240.33333333334</v>
      </c>
      <c r="N9" s="44">
        <v>158720</v>
      </c>
      <c r="O9" s="44">
        <v>131509.66666666666</v>
      </c>
      <c r="P9" s="44">
        <v>1231808.3333333333</v>
      </c>
      <c r="Q9" s="44">
        <v>3017701.6666666665</v>
      </c>
      <c r="R9" s="44">
        <v>5166891.666666667</v>
      </c>
      <c r="S9" s="44">
        <v>244850.33333333334</v>
      </c>
      <c r="T9" s="44">
        <v>500422</v>
      </c>
      <c r="U9" s="44">
        <v>148806.33333333334</v>
      </c>
      <c r="V9" s="44">
        <v>5409925</v>
      </c>
      <c r="W9" s="44">
        <v>6900657.333333333</v>
      </c>
      <c r="X9" s="44">
        <v>111394</v>
      </c>
      <c r="Y9" s="44">
        <v>1184287</v>
      </c>
      <c r="Z9" s="44">
        <v>2774971</v>
      </c>
      <c r="AA9" s="44">
        <v>33295.333333333336</v>
      </c>
      <c r="AB9" s="44">
        <v>1309329.6666666667</v>
      </c>
      <c r="AC9" s="44">
        <v>4679426</v>
      </c>
      <c r="AD9" s="44">
        <v>3881513.6666666665</v>
      </c>
      <c r="AE9" s="44">
        <v>4628545.333333333</v>
      </c>
      <c r="AF9" s="44">
        <v>4306721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1743</v>
      </c>
      <c r="D10" s="1" t="s">
        <v>1744</v>
      </c>
      <c r="E10" s="1" t="s">
        <v>1745</v>
      </c>
      <c r="F10" s="1" t="s">
        <v>112</v>
      </c>
      <c r="G10" s="1">
        <v>392561</v>
      </c>
      <c r="K10" s="145" t="s">
        <v>1714</v>
      </c>
      <c r="L10" s="44">
        <v>135605</v>
      </c>
      <c r="M10" s="44">
        <v>377586</v>
      </c>
      <c r="N10" s="44">
        <v>321586.33333333331</v>
      </c>
      <c r="O10" s="44">
        <v>194395.33333333334</v>
      </c>
      <c r="P10" s="44">
        <v>479124</v>
      </c>
      <c r="Q10" s="44">
        <v>2493155.6666666665</v>
      </c>
      <c r="R10" s="44">
        <v>6019657.333333333</v>
      </c>
      <c r="S10" s="44"/>
      <c r="T10" s="44">
        <v>141394.66666666666</v>
      </c>
      <c r="U10" s="44">
        <v>51414</v>
      </c>
      <c r="V10" s="44">
        <v>3993426.3333333335</v>
      </c>
      <c r="W10" s="44">
        <v>7827729</v>
      </c>
      <c r="X10" s="44">
        <v>879954.66666666663</v>
      </c>
      <c r="Y10" s="44">
        <v>2100017.6666666665</v>
      </c>
      <c r="Z10" s="44">
        <v>3096009.3333333335</v>
      </c>
      <c r="AA10" s="44">
        <v>50188.333333333336</v>
      </c>
      <c r="AB10" s="44">
        <v>724983.66666666663</v>
      </c>
      <c r="AC10" s="44">
        <v>2892594.6666666665</v>
      </c>
      <c r="AD10" s="44">
        <v>4437019.666666667</v>
      </c>
      <c r="AE10" s="44">
        <v>2518246</v>
      </c>
      <c r="AF10" s="44">
        <v>7869683.666666667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1746</v>
      </c>
      <c r="D11" s="1" t="s">
        <v>1747</v>
      </c>
      <c r="E11" s="1" t="s">
        <v>1748</v>
      </c>
      <c r="F11" s="1" t="s">
        <v>112</v>
      </c>
      <c r="G11" s="1">
        <v>312725</v>
      </c>
      <c r="K11" s="145" t="s">
        <v>1715</v>
      </c>
      <c r="L11" s="44">
        <v>91696.666666666672</v>
      </c>
      <c r="M11" s="44">
        <v>128827.66666666667</v>
      </c>
      <c r="N11" s="44">
        <v>126866.66666666667</v>
      </c>
      <c r="O11" s="44">
        <v>285219</v>
      </c>
      <c r="P11" s="44">
        <v>1179420.6666666667</v>
      </c>
      <c r="Q11" s="44">
        <v>1696000</v>
      </c>
      <c r="R11" s="44">
        <v>3730854</v>
      </c>
      <c r="S11" s="44">
        <v>173717</v>
      </c>
      <c r="T11" s="44">
        <v>310800</v>
      </c>
      <c r="U11" s="44">
        <v>353273.66666666669</v>
      </c>
      <c r="V11" s="44">
        <v>6134916</v>
      </c>
      <c r="W11" s="44">
        <v>9467274.666666666</v>
      </c>
      <c r="X11" s="44">
        <v>3867973</v>
      </c>
      <c r="Y11" s="44">
        <v>3645855.6666666665</v>
      </c>
      <c r="Z11" s="44">
        <v>2308832.3333333335</v>
      </c>
      <c r="AA11" s="44">
        <v>55343.333333333336</v>
      </c>
      <c r="AB11" s="44">
        <v>2079772</v>
      </c>
      <c r="AC11" s="44">
        <v>2150704</v>
      </c>
      <c r="AD11" s="44">
        <v>4951797</v>
      </c>
      <c r="AE11" s="44">
        <v>3763515</v>
      </c>
      <c r="AF11" s="44">
        <v>7077374</v>
      </c>
      <c r="AG11"/>
    </row>
    <row r="12" spans="1:144" x14ac:dyDescent="0.2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1749</v>
      </c>
      <c r="D12" s="1" t="s">
        <v>1750</v>
      </c>
      <c r="E12" s="1" t="s">
        <v>1751</v>
      </c>
      <c r="F12" s="1" t="s">
        <v>112</v>
      </c>
      <c r="G12" s="1">
        <v>349020</v>
      </c>
      <c r="K12" s="145" t="s">
        <v>1716</v>
      </c>
      <c r="L12" s="44">
        <v>130024.66666666667</v>
      </c>
      <c r="M12" s="44">
        <v>864489.33333333337</v>
      </c>
      <c r="N12" s="44">
        <v>861237.33333333337</v>
      </c>
      <c r="O12" s="44">
        <v>100687.33333333333</v>
      </c>
      <c r="P12" s="44">
        <v>835865.66666666663</v>
      </c>
      <c r="Q12" s="44">
        <v>2523314.6666666665</v>
      </c>
      <c r="R12" s="44">
        <v>6969894.666666667</v>
      </c>
      <c r="S12" s="44">
        <v>233228</v>
      </c>
      <c r="T12" s="44">
        <v>24766.333333333332</v>
      </c>
      <c r="U12" s="44">
        <v>226811</v>
      </c>
      <c r="V12" s="44">
        <v>5833171.666666667</v>
      </c>
      <c r="W12" s="44">
        <v>6658655</v>
      </c>
      <c r="X12" s="44">
        <v>254670.5</v>
      </c>
      <c r="Y12" s="44">
        <v>1340541.6666666667</v>
      </c>
      <c r="Z12" s="44">
        <v>2666266.6666666665</v>
      </c>
      <c r="AA12" s="44">
        <v>253409</v>
      </c>
      <c r="AB12" s="44">
        <v>764033</v>
      </c>
      <c r="AC12" s="44">
        <v>1370758.6666666667</v>
      </c>
      <c r="AD12" s="44">
        <v>4084957</v>
      </c>
      <c r="AE12" s="44">
        <v>5750841</v>
      </c>
      <c r="AF12" s="44">
        <v>6047740.333333333</v>
      </c>
      <c r="AG12"/>
    </row>
    <row r="13" spans="1:144" x14ac:dyDescent="0.2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1752</v>
      </c>
      <c r="D13" s="1" t="s">
        <v>1753</v>
      </c>
      <c r="E13" s="1" t="s">
        <v>1754</v>
      </c>
      <c r="F13" s="1" t="s">
        <v>112</v>
      </c>
      <c r="G13" s="1">
        <v>661680</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1755</v>
      </c>
      <c r="D14" s="1" t="s">
        <v>1756</v>
      </c>
      <c r="E14" s="1" t="s">
        <v>1757</v>
      </c>
      <c r="F14" s="1" t="s">
        <v>112</v>
      </c>
      <c r="G14" s="1">
        <v>169211</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1758</v>
      </c>
      <c r="D15" s="1" t="s">
        <v>325</v>
      </c>
      <c r="E15" s="1" t="s">
        <v>1759</v>
      </c>
      <c r="F15" s="1" t="s">
        <v>112</v>
      </c>
      <c r="G15" s="1">
        <v>63376</v>
      </c>
    </row>
    <row r="16" spans="1:144" x14ac:dyDescent="0.2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1760</v>
      </c>
      <c r="D16" s="1" t="s">
        <v>1761</v>
      </c>
      <c r="E16" s="1" t="s">
        <v>1762</v>
      </c>
      <c r="F16" s="1" t="s">
        <v>112</v>
      </c>
      <c r="G16" s="1">
        <v>41486</v>
      </c>
    </row>
    <row r="17" spans="1:10" x14ac:dyDescent="0.2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1763</v>
      </c>
      <c r="D17" s="1" t="s">
        <v>1450</v>
      </c>
      <c r="E17" s="1" t="s">
        <v>1764</v>
      </c>
      <c r="F17" s="1" t="s">
        <v>112</v>
      </c>
      <c r="G17" s="1">
        <v>166961</v>
      </c>
    </row>
    <row r="18" spans="1:10" x14ac:dyDescent="0.2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1765</v>
      </c>
      <c r="D18" s="1" t="s">
        <v>1766</v>
      </c>
      <c r="E18" s="1" t="s">
        <v>1767</v>
      </c>
      <c r="F18" s="1" t="s">
        <v>112</v>
      </c>
      <c r="G18" s="1">
        <v>181648</v>
      </c>
    </row>
    <row r="19" spans="1:10" x14ac:dyDescent="0.2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1768</v>
      </c>
      <c r="D19" s="1" t="s">
        <v>754</v>
      </c>
      <c r="E19" s="1" t="s">
        <v>1769</v>
      </c>
      <c r="F19" s="1" t="s">
        <v>112</v>
      </c>
      <c r="G19" s="1">
        <v>58206</v>
      </c>
    </row>
    <row r="20" spans="1:10" x14ac:dyDescent="0.2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1770</v>
      </c>
      <c r="D20" s="1" t="s">
        <v>864</v>
      </c>
      <c r="E20" s="1" t="s">
        <v>1771</v>
      </c>
      <c r="F20" s="1" t="s">
        <v>112</v>
      </c>
      <c r="G20" s="1">
        <v>182059</v>
      </c>
    </row>
    <row r="21" spans="1:10" x14ac:dyDescent="0.2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1772</v>
      </c>
      <c r="D21" s="1" t="s">
        <v>178</v>
      </c>
      <c r="E21" s="1" t="s">
        <v>342</v>
      </c>
      <c r="F21" s="1" t="s">
        <v>112</v>
      </c>
      <c r="G21" s="1">
        <v>8090</v>
      </c>
    </row>
    <row r="22" spans="1:10" x14ac:dyDescent="0.2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1773</v>
      </c>
      <c r="D22" s="1" t="s">
        <v>1774</v>
      </c>
      <c r="E22" s="1" t="s">
        <v>1775</v>
      </c>
      <c r="F22" s="1" t="s">
        <v>112</v>
      </c>
      <c r="G22" s="1">
        <v>84941</v>
      </c>
    </row>
    <row r="23" spans="1:10" x14ac:dyDescent="0.2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1776</v>
      </c>
      <c r="D23" s="1" t="s">
        <v>294</v>
      </c>
      <c r="E23" s="1" t="s">
        <v>1777</v>
      </c>
      <c r="F23" s="1" t="s">
        <v>112</v>
      </c>
      <c r="G23" s="1">
        <v>26259</v>
      </c>
    </row>
    <row r="24" spans="1:10" x14ac:dyDescent="0.2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1778</v>
      </c>
      <c r="D24" s="1" t="s">
        <v>1779</v>
      </c>
      <c r="E24" s="1" t="s">
        <v>1780</v>
      </c>
      <c r="F24" s="1" t="s">
        <v>112</v>
      </c>
      <c r="G24" s="1">
        <v>265399</v>
      </c>
    </row>
    <row r="25" spans="1:10" x14ac:dyDescent="0.2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1781</v>
      </c>
      <c r="D25" s="1" t="s">
        <v>1782</v>
      </c>
      <c r="E25" s="1" t="s">
        <v>1783</v>
      </c>
      <c r="F25" s="1" t="s">
        <v>112</v>
      </c>
      <c r="G25" s="1">
        <v>98416</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242</v>
      </c>
      <c r="D27" s="1" t="s">
        <v>112</v>
      </c>
      <c r="E27" s="1" t="s">
        <v>243</v>
      </c>
      <c r="F27" s="1" t="s">
        <v>244</v>
      </c>
      <c r="G27" s="1" t="s">
        <v>245</v>
      </c>
      <c r="H27" s="1" t="s">
        <v>246</v>
      </c>
      <c r="I27" s="1" t="s">
        <v>247</v>
      </c>
      <c r="J27" s="1" t="s">
        <v>248</v>
      </c>
    </row>
    <row r="28" spans="1:10" x14ac:dyDescent="0.2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1784</v>
      </c>
      <c r="D28" s="1" t="s">
        <v>112</v>
      </c>
      <c r="E28" s="1" t="s">
        <v>1785</v>
      </c>
      <c r="F28" s="1" t="s">
        <v>1786</v>
      </c>
      <c r="G28" s="1" t="s">
        <v>1787</v>
      </c>
      <c r="H28" s="1" t="s">
        <v>1788</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254</v>
      </c>
      <c r="D34" s="1" t="s">
        <v>110</v>
      </c>
      <c r="E34" s="1" t="s">
        <v>111</v>
      </c>
      <c r="F34" s="1" t="s">
        <v>112</v>
      </c>
      <c r="G34" s="1" t="s">
        <v>113</v>
      </c>
    </row>
    <row r="35" spans="1:7" x14ac:dyDescent="0.2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1789</v>
      </c>
      <c r="D35" s="1" t="s">
        <v>774</v>
      </c>
      <c r="E35" s="1" t="s">
        <v>1790</v>
      </c>
      <c r="F35" s="1" t="s">
        <v>112</v>
      </c>
      <c r="G35" s="1">
        <v>138366</v>
      </c>
    </row>
    <row r="36" spans="1:7" x14ac:dyDescent="0.2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1791</v>
      </c>
      <c r="D36" s="1" t="s">
        <v>261</v>
      </c>
      <c r="E36" s="1" t="s">
        <v>1792</v>
      </c>
      <c r="F36" s="1" t="s">
        <v>112</v>
      </c>
      <c r="G36" s="1">
        <v>260792</v>
      </c>
    </row>
    <row r="37" spans="1:7" x14ac:dyDescent="0.2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1793</v>
      </c>
      <c r="D37" s="1" t="s">
        <v>867</v>
      </c>
      <c r="E37" s="1" t="s">
        <v>1794</v>
      </c>
      <c r="F37" s="1" t="s">
        <v>112</v>
      </c>
      <c r="G37" s="1">
        <v>404760</v>
      </c>
    </row>
    <row r="38" spans="1:7" x14ac:dyDescent="0.2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1795</v>
      </c>
      <c r="D38" s="1" t="s">
        <v>1796</v>
      </c>
      <c r="E38" s="1" t="s">
        <v>1797</v>
      </c>
      <c r="F38" s="1" t="s">
        <v>112</v>
      </c>
      <c r="G38" s="1">
        <v>163154</v>
      </c>
    </row>
    <row r="39" spans="1:7" x14ac:dyDescent="0.2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1798</v>
      </c>
      <c r="D39" s="1" t="s">
        <v>432</v>
      </c>
      <c r="E39" s="1" t="s">
        <v>1799</v>
      </c>
      <c r="F39" s="1" t="s">
        <v>112</v>
      </c>
      <c r="G39" s="1">
        <v>235917</v>
      </c>
    </row>
    <row r="40" spans="1:7" x14ac:dyDescent="0.2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1800</v>
      </c>
      <c r="D40" s="1" t="s">
        <v>369</v>
      </c>
      <c r="E40" s="1" t="s">
        <v>1801</v>
      </c>
      <c r="F40" s="1" t="s">
        <v>112</v>
      </c>
      <c r="G40" s="1">
        <v>15076</v>
      </c>
    </row>
    <row r="41" spans="1:7" x14ac:dyDescent="0.2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1802</v>
      </c>
      <c r="D41" s="1" t="s">
        <v>1803</v>
      </c>
      <c r="E41" s="1" t="s">
        <v>1804</v>
      </c>
      <c r="F41" s="1" t="s">
        <v>112</v>
      </c>
      <c r="G41" s="1">
        <v>254822</v>
      </c>
    </row>
    <row r="42" spans="1:7" x14ac:dyDescent="0.2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1805</v>
      </c>
      <c r="D42" s="1" t="s">
        <v>754</v>
      </c>
      <c r="E42" s="1" t="s">
        <v>1806</v>
      </c>
      <c r="F42" s="1" t="s">
        <v>112</v>
      </c>
      <c r="G42" s="1">
        <v>60975</v>
      </c>
    </row>
    <row r="43" spans="1:7" x14ac:dyDescent="0.2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1807</v>
      </c>
      <c r="D43" s="1" t="s">
        <v>349</v>
      </c>
      <c r="E43" s="1" t="s">
        <v>1808</v>
      </c>
      <c r="F43" s="1" t="s">
        <v>112</v>
      </c>
      <c r="G43" s="1">
        <v>298666</v>
      </c>
    </row>
    <row r="44" spans="1:7" x14ac:dyDescent="0.2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1809</v>
      </c>
      <c r="D44" s="1" t="s">
        <v>856</v>
      </c>
      <c r="E44" s="1" t="s">
        <v>1810</v>
      </c>
      <c r="F44" s="1" t="s">
        <v>112</v>
      </c>
      <c r="G44" s="1">
        <v>36814</v>
      </c>
    </row>
    <row r="45" spans="1:7" x14ac:dyDescent="0.2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1811</v>
      </c>
      <c r="D45" s="1" t="s">
        <v>202</v>
      </c>
      <c r="E45" s="1" t="s">
        <v>1812</v>
      </c>
      <c r="F45" s="1" t="s">
        <v>112</v>
      </c>
      <c r="G45" s="1">
        <v>103131</v>
      </c>
    </row>
    <row r="46" spans="1:7" x14ac:dyDescent="0.2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1813</v>
      </c>
      <c r="D46" s="1" t="s">
        <v>264</v>
      </c>
      <c r="E46" s="1" t="s">
        <v>1814</v>
      </c>
      <c r="F46" s="1" t="s">
        <v>112</v>
      </c>
      <c r="G46" s="1">
        <v>22906</v>
      </c>
    </row>
    <row r="47" spans="1:7" x14ac:dyDescent="0.2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1815</v>
      </c>
      <c r="D47" s="1" t="s">
        <v>1258</v>
      </c>
      <c r="E47" s="1" t="s">
        <v>1816</v>
      </c>
      <c r="F47" s="1" t="s">
        <v>112</v>
      </c>
      <c r="G47" s="1">
        <v>259624</v>
      </c>
    </row>
    <row r="48" spans="1:7" x14ac:dyDescent="0.2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1817</v>
      </c>
      <c r="D48" s="1" t="s">
        <v>1818</v>
      </c>
      <c r="E48" s="1" t="s">
        <v>1819</v>
      </c>
      <c r="F48" s="1" t="s">
        <v>112</v>
      </c>
      <c r="G48" s="1">
        <v>175397</v>
      </c>
    </row>
    <row r="49" spans="1:10" x14ac:dyDescent="0.2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1820</v>
      </c>
      <c r="D49" s="1" t="s">
        <v>325</v>
      </c>
      <c r="E49" s="1" t="s">
        <v>1821</v>
      </c>
      <c r="F49" s="1" t="s">
        <v>112</v>
      </c>
      <c r="G49" s="1">
        <v>63700</v>
      </c>
    </row>
    <row r="50" spans="1:10" x14ac:dyDescent="0.2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1822</v>
      </c>
      <c r="D50" s="1" t="s">
        <v>1070</v>
      </c>
      <c r="E50" s="1" t="s">
        <v>1823</v>
      </c>
      <c r="F50" s="1" t="s">
        <v>112</v>
      </c>
      <c r="G50" s="1">
        <v>407248</v>
      </c>
    </row>
    <row r="51" spans="1:10" x14ac:dyDescent="0.2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1824</v>
      </c>
      <c r="D51" s="1" t="s">
        <v>1825</v>
      </c>
      <c r="E51" s="1" t="s">
        <v>1826</v>
      </c>
      <c r="F51" s="1" t="s">
        <v>112</v>
      </c>
      <c r="G51" s="1">
        <v>342899</v>
      </c>
    </row>
    <row r="52" spans="1:10" x14ac:dyDescent="0.2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1827</v>
      </c>
      <c r="D52" s="1" t="s">
        <v>469</v>
      </c>
      <c r="E52" s="1" t="s">
        <v>1828</v>
      </c>
      <c r="F52" s="1" t="s">
        <v>112</v>
      </c>
      <c r="G52" s="1">
        <v>382611</v>
      </c>
    </row>
    <row r="53" spans="1:10" x14ac:dyDescent="0.2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1829</v>
      </c>
      <c r="D53" s="1" t="s">
        <v>199</v>
      </c>
      <c r="E53" s="1" t="s">
        <v>334</v>
      </c>
      <c r="F53" s="1" t="s">
        <v>112</v>
      </c>
      <c r="G53" s="1">
        <v>136723</v>
      </c>
    </row>
    <row r="54" spans="1:10" x14ac:dyDescent="0.2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1830</v>
      </c>
      <c r="D54" s="1" t="s">
        <v>302</v>
      </c>
      <c r="E54" s="1" t="s">
        <v>1831</v>
      </c>
      <c r="F54" s="1" t="s">
        <v>112</v>
      </c>
      <c r="G54" s="1">
        <v>237496</v>
      </c>
    </row>
    <row r="55" spans="1:10" x14ac:dyDescent="0.2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1832</v>
      </c>
      <c r="D55" s="1" t="s">
        <v>205</v>
      </c>
      <c r="E55" s="1">
        <v>63</v>
      </c>
      <c r="F55" s="1" t="s">
        <v>112</v>
      </c>
      <c r="G55" s="1">
        <v>12264</v>
      </c>
    </row>
    <row r="56" spans="1:10" x14ac:dyDescent="0.2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1833</v>
      </c>
      <c r="D56" s="1" t="s">
        <v>1834</v>
      </c>
      <c r="E56" s="1" t="s">
        <v>1835</v>
      </c>
      <c r="F56" s="1" t="s">
        <v>112</v>
      </c>
      <c r="G56" s="1">
        <v>980245</v>
      </c>
    </row>
    <row r="57" spans="1:10" x14ac:dyDescent="0.2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1836</v>
      </c>
      <c r="D57" s="1" t="s">
        <v>1837</v>
      </c>
      <c r="E57" s="1" t="s">
        <v>1838</v>
      </c>
      <c r="F57" s="1" t="s">
        <v>112</v>
      </c>
      <c r="G57" s="1">
        <v>708466</v>
      </c>
    </row>
    <row r="58" spans="1:10" x14ac:dyDescent="0.2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1839</v>
      </c>
      <c r="D58" s="1" t="s">
        <v>1840</v>
      </c>
      <c r="E58" s="1" t="s">
        <v>1841</v>
      </c>
      <c r="F58" s="1" t="s">
        <v>112</v>
      </c>
      <c r="G58" s="1">
        <v>904757</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242</v>
      </c>
      <c r="D60" s="1" t="s">
        <v>112</v>
      </c>
      <c r="E60" s="1" t="s">
        <v>243</v>
      </c>
      <c r="F60" s="1" t="s">
        <v>244</v>
      </c>
      <c r="G60" s="1" t="s">
        <v>245</v>
      </c>
      <c r="H60" s="1" t="s">
        <v>246</v>
      </c>
      <c r="I60" s="1" t="s">
        <v>247</v>
      </c>
      <c r="J60" s="1" t="s">
        <v>248</v>
      </c>
    </row>
    <row r="61" spans="1:10" x14ac:dyDescent="0.2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1842</v>
      </c>
      <c r="D61" s="1" t="s">
        <v>112</v>
      </c>
      <c r="E61" s="1" t="s">
        <v>1843</v>
      </c>
      <c r="F61" s="1" t="s">
        <v>1844</v>
      </c>
      <c r="G61" s="1" t="s">
        <v>1845</v>
      </c>
      <c r="H61" s="1" t="s">
        <v>1846</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254</v>
      </c>
      <c r="D67" s="1" t="s">
        <v>110</v>
      </c>
      <c r="E67" s="1" t="s">
        <v>111</v>
      </c>
      <c r="F67" s="1" t="s">
        <v>112</v>
      </c>
      <c r="G67" s="1" t="s">
        <v>113</v>
      </c>
    </row>
    <row r="68" spans="1:7" x14ac:dyDescent="0.2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1847</v>
      </c>
      <c r="D68" s="1" t="s">
        <v>1848</v>
      </c>
      <c r="E68" s="1" t="s">
        <v>1849</v>
      </c>
      <c r="F68" s="1" t="s">
        <v>112</v>
      </c>
      <c r="G68" s="1">
        <v>189240</v>
      </c>
    </row>
    <row r="69" spans="1:7" x14ac:dyDescent="0.2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1850</v>
      </c>
      <c r="D69" s="1" t="s">
        <v>184</v>
      </c>
      <c r="E69" s="1" t="s">
        <v>1851</v>
      </c>
      <c r="F69" s="1" t="s">
        <v>112</v>
      </c>
      <c r="G69" s="1">
        <v>63938</v>
      </c>
    </row>
    <row r="70" spans="1:7" x14ac:dyDescent="0.2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1852</v>
      </c>
      <c r="D70" s="1" t="s">
        <v>199</v>
      </c>
      <c r="E70" s="1" t="s">
        <v>1853</v>
      </c>
      <c r="F70" s="1" t="s">
        <v>112</v>
      </c>
      <c r="G70" s="1">
        <v>139383</v>
      </c>
    </row>
    <row r="71" spans="1:7" x14ac:dyDescent="0.2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1854</v>
      </c>
      <c r="D71" s="1" t="s">
        <v>461</v>
      </c>
      <c r="E71" s="1">
        <v>64</v>
      </c>
      <c r="F71" s="1" t="s">
        <v>112</v>
      </c>
      <c r="G71" s="1">
        <v>65063</v>
      </c>
    </row>
    <row r="72" spans="1:7" x14ac:dyDescent="0.2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1855</v>
      </c>
      <c r="D72" s="1" t="s">
        <v>256</v>
      </c>
      <c r="E72" s="1" t="s">
        <v>1856</v>
      </c>
      <c r="F72" s="1" t="s">
        <v>112</v>
      </c>
      <c r="G72" s="1">
        <v>73477</v>
      </c>
    </row>
    <row r="73" spans="1:7" x14ac:dyDescent="0.2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1857</v>
      </c>
      <c r="D73" s="1" t="s">
        <v>1858</v>
      </c>
      <c r="E73" s="1" t="s">
        <v>1859</v>
      </c>
      <c r="F73" s="1" t="s">
        <v>112</v>
      </c>
      <c r="G73" s="1">
        <v>229039</v>
      </c>
    </row>
    <row r="74" spans="1:7" x14ac:dyDescent="0.2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1860</v>
      </c>
      <c r="D74" s="1" t="s">
        <v>1861</v>
      </c>
      <c r="E74" s="1" t="s">
        <v>1862</v>
      </c>
      <c r="F74" s="1" t="s">
        <v>112</v>
      </c>
      <c r="G74" s="1">
        <v>285688</v>
      </c>
    </row>
    <row r="75" spans="1:7" x14ac:dyDescent="0.2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1863</v>
      </c>
      <c r="D75" s="1" t="s">
        <v>1864</v>
      </c>
      <c r="E75" s="1" t="s">
        <v>1865</v>
      </c>
      <c r="F75" s="1" t="s">
        <v>112</v>
      </c>
      <c r="G75" s="1">
        <v>247359</v>
      </c>
    </row>
    <row r="76" spans="1:7" x14ac:dyDescent="0.2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1866</v>
      </c>
      <c r="D76" s="1" t="s">
        <v>1867</v>
      </c>
      <c r="E76" s="1" t="s">
        <v>1868</v>
      </c>
      <c r="F76" s="1" t="s">
        <v>112</v>
      </c>
      <c r="G76" s="1">
        <v>522686</v>
      </c>
    </row>
    <row r="77" spans="1:7" x14ac:dyDescent="0.2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1869</v>
      </c>
      <c r="D77" s="1" t="s">
        <v>1870</v>
      </c>
      <c r="E77" s="1" t="s">
        <v>1871</v>
      </c>
      <c r="F77" s="1" t="s">
        <v>112</v>
      </c>
      <c r="G77" s="1">
        <v>148857</v>
      </c>
    </row>
    <row r="78" spans="1:7" x14ac:dyDescent="0.2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1872</v>
      </c>
      <c r="D78" s="1" t="s">
        <v>1873</v>
      </c>
      <c r="E78" s="1" t="s">
        <v>1874</v>
      </c>
      <c r="F78" s="1" t="s">
        <v>112</v>
      </c>
      <c r="G78" s="1">
        <v>297973</v>
      </c>
    </row>
    <row r="79" spans="1:7" x14ac:dyDescent="0.2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1875</v>
      </c>
      <c r="D79" s="1" t="s">
        <v>146</v>
      </c>
      <c r="E79" s="1" t="s">
        <v>1876</v>
      </c>
      <c r="F79" s="1" t="s">
        <v>112</v>
      </c>
      <c r="G79" s="1">
        <v>335761</v>
      </c>
    </row>
    <row r="80" spans="1:7" x14ac:dyDescent="0.2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1877</v>
      </c>
      <c r="D80" s="1" t="s">
        <v>360</v>
      </c>
      <c r="E80" s="1" t="s">
        <v>1878</v>
      </c>
      <c r="F80" s="1" t="s">
        <v>112</v>
      </c>
      <c r="G80" s="1">
        <v>189283</v>
      </c>
    </row>
    <row r="81" spans="1:10" x14ac:dyDescent="0.2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1879</v>
      </c>
      <c r="D81" s="1" t="s">
        <v>1266</v>
      </c>
      <c r="E81" s="1">
        <v>63</v>
      </c>
      <c r="F81" s="1" t="s">
        <v>112</v>
      </c>
      <c r="G81" s="1">
        <v>13627</v>
      </c>
    </row>
    <row r="82" spans="1:10" x14ac:dyDescent="0.2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1880</v>
      </c>
      <c r="D82" s="1" t="s">
        <v>1881</v>
      </c>
      <c r="E82" s="1" t="s">
        <v>1882</v>
      </c>
      <c r="F82" s="1" t="s">
        <v>112</v>
      </c>
      <c r="G82" s="1">
        <v>273250</v>
      </c>
    </row>
    <row r="83" spans="1:10" x14ac:dyDescent="0.2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1883</v>
      </c>
      <c r="D83" s="1" t="s">
        <v>1279</v>
      </c>
      <c r="E83" s="1" t="s">
        <v>1884</v>
      </c>
      <c r="F83" s="1" t="s">
        <v>112</v>
      </c>
      <c r="G83" s="1">
        <v>158223</v>
      </c>
    </row>
    <row r="84" spans="1:10" x14ac:dyDescent="0.2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1885</v>
      </c>
      <c r="D84" s="1" t="s">
        <v>1886</v>
      </c>
      <c r="E84" s="1" t="s">
        <v>1887</v>
      </c>
      <c r="F84" s="1" t="s">
        <v>112</v>
      </c>
      <c r="G84" s="1">
        <v>276106</v>
      </c>
    </row>
    <row r="85" spans="1:10" x14ac:dyDescent="0.2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1888</v>
      </c>
      <c r="D85" s="1" t="s">
        <v>1889</v>
      </c>
      <c r="E85" s="1" t="s">
        <v>1890</v>
      </c>
      <c r="F85" s="1" t="s">
        <v>112</v>
      </c>
      <c r="G85" s="1">
        <v>530430</v>
      </c>
    </row>
    <row r="86" spans="1:10" x14ac:dyDescent="0.2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1891</v>
      </c>
      <c r="D86" s="1" t="s">
        <v>213</v>
      </c>
      <c r="E86" s="1" t="s">
        <v>1892</v>
      </c>
      <c r="F86" s="1" t="s">
        <v>112</v>
      </c>
      <c r="G86" s="1">
        <v>18861</v>
      </c>
    </row>
    <row r="87" spans="1:10" x14ac:dyDescent="0.2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1893</v>
      </c>
      <c r="D87" s="1" t="s">
        <v>707</v>
      </c>
      <c r="E87" s="1" t="s">
        <v>1894</v>
      </c>
      <c r="F87" s="1" t="s">
        <v>112</v>
      </c>
      <c r="G87" s="1">
        <v>287094</v>
      </c>
    </row>
    <row r="88" spans="1:10" x14ac:dyDescent="0.2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1895</v>
      </c>
      <c r="D88" s="1" t="s">
        <v>256</v>
      </c>
      <c r="E88" s="1" t="s">
        <v>1896</v>
      </c>
      <c r="F88" s="1" t="s">
        <v>112</v>
      </c>
      <c r="G88" s="1">
        <v>74645</v>
      </c>
    </row>
    <row r="89" spans="1:10" x14ac:dyDescent="0.2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1897</v>
      </c>
      <c r="D89" s="1" t="s">
        <v>1898</v>
      </c>
      <c r="E89" s="1" t="s">
        <v>1899</v>
      </c>
      <c r="F89" s="1" t="s">
        <v>112</v>
      </c>
      <c r="G89" s="1">
        <v>915831</v>
      </c>
    </row>
    <row r="90" spans="1:10" x14ac:dyDescent="0.2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1900</v>
      </c>
      <c r="D90" s="1" t="s">
        <v>1901</v>
      </c>
      <c r="E90" s="1" t="s">
        <v>1902</v>
      </c>
      <c r="F90" s="1" t="s">
        <v>112</v>
      </c>
      <c r="G90" s="1">
        <v>854662</v>
      </c>
    </row>
    <row r="91" spans="1:10" x14ac:dyDescent="0.2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1903</v>
      </c>
      <c r="D91" s="1" t="s">
        <v>1904</v>
      </c>
      <c r="E91" s="1" t="s">
        <v>1905</v>
      </c>
      <c r="F91" s="1" t="s">
        <v>112</v>
      </c>
      <c r="G91" s="1">
        <v>813219</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242</v>
      </c>
      <c r="D93" s="1" t="s">
        <v>112</v>
      </c>
      <c r="E93" s="1" t="s">
        <v>243</v>
      </c>
      <c r="F93" s="1" t="s">
        <v>244</v>
      </c>
      <c r="G93" s="1" t="s">
        <v>245</v>
      </c>
      <c r="H93" s="1" t="s">
        <v>246</v>
      </c>
      <c r="I93" s="1" t="s">
        <v>247</v>
      </c>
      <c r="J93" s="1" t="s">
        <v>248</v>
      </c>
    </row>
    <row r="94" spans="1:10" x14ac:dyDescent="0.2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1906</v>
      </c>
      <c r="D94" s="1" t="s">
        <v>112</v>
      </c>
      <c r="E94" s="1" t="s">
        <v>1907</v>
      </c>
      <c r="F94" s="1" t="s">
        <v>1908</v>
      </c>
      <c r="G94" s="1" t="s">
        <v>1909</v>
      </c>
      <c r="H94" s="1" t="s">
        <v>1910</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254</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1911</v>
      </c>
      <c r="D101" s="1" t="s">
        <v>1310</v>
      </c>
      <c r="E101" s="1" t="s">
        <v>1912</v>
      </c>
      <c r="F101" s="1" t="s">
        <v>112</v>
      </c>
      <c r="G101" s="1">
        <v>200920</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1913</v>
      </c>
      <c r="D102" s="1" t="s">
        <v>1282</v>
      </c>
      <c r="E102" s="1" t="s">
        <v>1914</v>
      </c>
      <c r="F102" s="1" t="s">
        <v>112</v>
      </c>
      <c r="G102" s="1">
        <v>182362</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1915</v>
      </c>
      <c r="D103" s="1" t="s">
        <v>1916</v>
      </c>
      <c r="E103" s="1" t="s">
        <v>1917</v>
      </c>
      <c r="F103" s="1" t="s">
        <v>112</v>
      </c>
      <c r="G103" s="1">
        <v>108387</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1918</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1919</v>
      </c>
      <c r="D105" s="1" t="s">
        <v>1920</v>
      </c>
      <c r="E105" s="1" t="s">
        <v>1921</v>
      </c>
      <c r="F105" s="1" t="s">
        <v>112</v>
      </c>
      <c r="G105" s="1">
        <v>392193</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1922</v>
      </c>
      <c r="D106" s="1" t="s">
        <v>1873</v>
      </c>
      <c r="E106" s="1" t="s">
        <v>1923</v>
      </c>
      <c r="F106" s="1" t="s">
        <v>112</v>
      </c>
      <c r="G106" s="1">
        <v>301542</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1924</v>
      </c>
      <c r="D107" s="1" t="s">
        <v>196</v>
      </c>
      <c r="E107" s="1" t="s">
        <v>1925</v>
      </c>
      <c r="F107" s="1" t="s">
        <v>112</v>
      </c>
      <c r="G107" s="1">
        <v>16915</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1926</v>
      </c>
      <c r="D108" s="1" t="s">
        <v>1927</v>
      </c>
      <c r="E108" s="1" t="s">
        <v>1742</v>
      </c>
      <c r="F108" s="1" t="s">
        <v>112</v>
      </c>
      <c r="G108" s="1">
        <v>35711</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1928</v>
      </c>
      <c r="D109" s="1" t="s">
        <v>698</v>
      </c>
      <c r="E109" s="1" t="s">
        <v>1929</v>
      </c>
      <c r="F109" s="1" t="s">
        <v>112</v>
      </c>
      <c r="G109" s="1">
        <v>49165</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1930</v>
      </c>
      <c r="D110" s="1" t="s">
        <v>1931</v>
      </c>
      <c r="E110" s="1" t="s">
        <v>1932</v>
      </c>
      <c r="F110" s="1" t="s">
        <v>112</v>
      </c>
      <c r="G110" s="1">
        <v>545181</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1933</v>
      </c>
      <c r="D111" s="1" t="s">
        <v>1934</v>
      </c>
      <c r="E111" s="1" t="s">
        <v>1935</v>
      </c>
      <c r="F111" s="1" t="s">
        <v>112</v>
      </c>
      <c r="G111" s="1">
        <v>373289</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1936</v>
      </c>
      <c r="D112" s="1" t="s">
        <v>1937</v>
      </c>
      <c r="E112" s="1" t="s">
        <v>1938</v>
      </c>
      <c r="F112" s="1" t="s">
        <v>112</v>
      </c>
      <c r="G112" s="1">
        <v>338313</v>
      </c>
    </row>
    <row r="113" spans="1:10"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1939</v>
      </c>
      <c r="D113" s="1" t="s">
        <v>305</v>
      </c>
      <c r="E113" s="1" t="s">
        <v>1940</v>
      </c>
      <c r="F113" s="1" t="s">
        <v>112</v>
      </c>
      <c r="G113" s="1">
        <v>114811</v>
      </c>
    </row>
    <row r="114" spans="1:10"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1941</v>
      </c>
      <c r="D114" s="1" t="s">
        <v>187</v>
      </c>
      <c r="E114" s="1" t="s">
        <v>1942</v>
      </c>
      <c r="F114" s="1" t="s">
        <v>112</v>
      </c>
      <c r="G114" s="1">
        <v>183465</v>
      </c>
    </row>
    <row r="115" spans="1:10"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1943</v>
      </c>
      <c r="D115" s="1" t="s">
        <v>740</v>
      </c>
      <c r="E115" s="1" t="s">
        <v>1944</v>
      </c>
      <c r="F115" s="1" t="s">
        <v>112</v>
      </c>
      <c r="G115" s="1">
        <v>96253</v>
      </c>
    </row>
    <row r="116" spans="1:10"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1945</v>
      </c>
      <c r="D116" s="1" t="s">
        <v>864</v>
      </c>
      <c r="E116" s="1" t="s">
        <v>1946</v>
      </c>
      <c r="F116" s="1" t="s">
        <v>112</v>
      </c>
      <c r="G116" s="1">
        <v>180307</v>
      </c>
    </row>
    <row r="117" spans="1:10"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1947</v>
      </c>
      <c r="D117" s="1" t="s">
        <v>1731</v>
      </c>
      <c r="E117" s="1" t="s">
        <v>1948</v>
      </c>
      <c r="F117" s="1" t="s">
        <v>112</v>
      </c>
      <c r="G117" s="1">
        <v>137761</v>
      </c>
    </row>
    <row r="118" spans="1:10"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1949</v>
      </c>
      <c r="D118" s="1" t="s">
        <v>1331</v>
      </c>
      <c r="E118" s="1" t="s">
        <v>1950</v>
      </c>
      <c r="F118" s="1" t="s">
        <v>112</v>
      </c>
      <c r="G118" s="1">
        <v>265118</v>
      </c>
    </row>
    <row r="119" spans="1:10"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1951</v>
      </c>
      <c r="D119" s="1" t="s">
        <v>1952</v>
      </c>
      <c r="E119" s="1" t="s">
        <v>1953</v>
      </c>
      <c r="F119" s="1" t="s">
        <v>112</v>
      </c>
      <c r="G119" s="1">
        <v>401343</v>
      </c>
    </row>
    <row r="120" spans="1:10"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1954</v>
      </c>
      <c r="D120" s="1" t="s">
        <v>1955</v>
      </c>
      <c r="E120" s="1" t="s">
        <v>1956</v>
      </c>
      <c r="F120" s="1" t="s">
        <v>112</v>
      </c>
      <c r="G120" s="1">
        <v>200963</v>
      </c>
    </row>
    <row r="121" spans="1:10"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1957</v>
      </c>
      <c r="D121" s="1" t="s">
        <v>787</v>
      </c>
      <c r="E121" s="1" t="s">
        <v>1958</v>
      </c>
      <c r="F121" s="1" t="s">
        <v>112</v>
      </c>
      <c r="G121" s="1">
        <v>253351</v>
      </c>
    </row>
    <row r="122" spans="1:10"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1959</v>
      </c>
      <c r="D122" s="1" t="s">
        <v>1960</v>
      </c>
      <c r="E122" s="1" t="s">
        <v>1961</v>
      </c>
      <c r="F122" s="1" t="s">
        <v>112</v>
      </c>
      <c r="G122" s="1">
        <v>93463</v>
      </c>
    </row>
    <row r="123" spans="1:10"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1962</v>
      </c>
      <c r="D123" s="1" t="s">
        <v>1279</v>
      </c>
      <c r="E123" s="1" t="s">
        <v>1963</v>
      </c>
      <c r="F123" s="1" t="s">
        <v>112</v>
      </c>
      <c r="G123" s="1">
        <v>153724</v>
      </c>
    </row>
    <row r="124" spans="1:10"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1964</v>
      </c>
      <c r="D124" s="1" t="s">
        <v>805</v>
      </c>
      <c r="E124" s="1" t="s">
        <v>1965</v>
      </c>
      <c r="F124" s="1" t="s">
        <v>112</v>
      </c>
      <c r="G124" s="1">
        <v>54875</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242</v>
      </c>
      <c r="D126" s="1" t="s">
        <v>112</v>
      </c>
      <c r="E126" s="1" t="s">
        <v>243</v>
      </c>
      <c r="F126" s="1" t="s">
        <v>244</v>
      </c>
      <c r="G126" s="1" t="s">
        <v>245</v>
      </c>
      <c r="H126" s="1" t="s">
        <v>246</v>
      </c>
      <c r="I126" s="1" t="s">
        <v>247</v>
      </c>
      <c r="J126" s="1" t="s">
        <v>248</v>
      </c>
    </row>
    <row r="127" spans="1:10"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1966</v>
      </c>
      <c r="D127" s="1" t="s">
        <v>112</v>
      </c>
      <c r="E127" s="1" t="s">
        <v>1967</v>
      </c>
      <c r="F127" s="1" t="s">
        <v>1968</v>
      </c>
      <c r="G127" s="1">
        <v>195984</v>
      </c>
      <c r="H127" s="1" t="s">
        <v>1969</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254</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1970</v>
      </c>
      <c r="D134" s="1" t="s">
        <v>1971</v>
      </c>
      <c r="E134" s="1" t="s">
        <v>1972</v>
      </c>
      <c r="F134" s="1" t="s">
        <v>112</v>
      </c>
      <c r="G134" s="1">
        <v>697110</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1973</v>
      </c>
      <c r="D135" s="1" t="s">
        <v>1974</v>
      </c>
      <c r="E135" s="1" t="s">
        <v>1975</v>
      </c>
      <c r="F135" s="1" t="s">
        <v>112</v>
      </c>
      <c r="G135" s="1">
        <v>932746</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1976</v>
      </c>
      <c r="D136" s="1" t="s">
        <v>1977</v>
      </c>
      <c r="E136" s="1" t="s">
        <v>1978</v>
      </c>
      <c r="F136" s="1" t="s">
        <v>112</v>
      </c>
      <c r="G136" s="1">
        <v>586819</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1979</v>
      </c>
      <c r="D137" s="1" t="s">
        <v>1980</v>
      </c>
      <c r="E137" s="1" t="s">
        <v>1981</v>
      </c>
      <c r="F137" s="1" t="s">
        <v>112</v>
      </c>
      <c r="G137" s="1">
        <v>649373</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1982</v>
      </c>
      <c r="D138" s="1" t="s">
        <v>1983</v>
      </c>
      <c r="E138" s="1" t="s">
        <v>1984</v>
      </c>
      <c r="F138" s="1" t="s">
        <v>112</v>
      </c>
      <c r="G138" s="1">
        <v>638385</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1985</v>
      </c>
      <c r="D139" s="1" t="s">
        <v>1986</v>
      </c>
      <c r="E139" s="1" t="s">
        <v>1987</v>
      </c>
      <c r="F139" s="1" t="s">
        <v>112</v>
      </c>
      <c r="G139" s="1">
        <v>753045</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1988</v>
      </c>
      <c r="D140" s="1" t="s">
        <v>1331</v>
      </c>
      <c r="E140" s="1" t="s">
        <v>1989</v>
      </c>
      <c r="F140" s="1" t="s">
        <v>112</v>
      </c>
      <c r="G140" s="1">
        <v>269335</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1990</v>
      </c>
      <c r="D141" s="1" t="s">
        <v>1991</v>
      </c>
      <c r="E141" s="1" t="s">
        <v>1992</v>
      </c>
      <c r="F141" s="1" t="s">
        <v>112</v>
      </c>
      <c r="G141" s="1">
        <v>257785</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1993</v>
      </c>
      <c r="D142" s="1" t="s">
        <v>1994</v>
      </c>
      <c r="E142" s="1" t="s">
        <v>1995</v>
      </c>
      <c r="F142" s="1" t="s">
        <v>112</v>
      </c>
      <c r="G142" s="1">
        <v>301932</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1996</v>
      </c>
      <c r="D143" s="1" t="s">
        <v>1997</v>
      </c>
      <c r="E143" s="1" t="s">
        <v>1998</v>
      </c>
      <c r="F143" s="1" t="s">
        <v>112</v>
      </c>
      <c r="G143" s="1">
        <v>811337</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1999</v>
      </c>
      <c r="D144" s="1" t="s">
        <v>2000</v>
      </c>
      <c r="E144" s="1" t="s">
        <v>2001</v>
      </c>
      <c r="F144" s="1" t="s">
        <v>112</v>
      </c>
      <c r="G144" s="1">
        <v>1036180</v>
      </c>
    </row>
    <row r="145" spans="1:10"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2002</v>
      </c>
      <c r="D145" s="1" t="s">
        <v>505</v>
      </c>
      <c r="E145" s="1" t="s">
        <v>2003</v>
      </c>
      <c r="F145" s="1" t="s">
        <v>112</v>
      </c>
      <c r="G145" s="1">
        <v>1561700</v>
      </c>
    </row>
    <row r="146" spans="1:10"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2004</v>
      </c>
      <c r="D146" s="1" t="s">
        <v>1076</v>
      </c>
      <c r="E146" s="1" t="s">
        <v>2005</v>
      </c>
      <c r="F146" s="1" t="s">
        <v>112</v>
      </c>
      <c r="G146" s="1">
        <v>1338458</v>
      </c>
    </row>
    <row r="147" spans="1:10"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2006</v>
      </c>
      <c r="D147" s="1" t="s">
        <v>2007</v>
      </c>
      <c r="E147" s="1" t="s">
        <v>2008</v>
      </c>
      <c r="F147" s="1" t="s">
        <v>112</v>
      </c>
      <c r="G147" s="1">
        <v>1124560</v>
      </c>
    </row>
    <row r="148" spans="1:10"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2009</v>
      </c>
      <c r="D148" s="1" t="s">
        <v>2010</v>
      </c>
      <c r="E148" s="1" t="s">
        <v>2011</v>
      </c>
      <c r="F148" s="1" t="s">
        <v>112</v>
      </c>
      <c r="G148" s="1">
        <v>1232407</v>
      </c>
    </row>
    <row r="149" spans="1:10"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2012</v>
      </c>
    </row>
    <row r="150" spans="1:10"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2013</v>
      </c>
    </row>
    <row r="151" spans="1:10"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2014</v>
      </c>
      <c r="D151" s="1" t="s">
        <v>1867</v>
      </c>
      <c r="E151" s="1" t="s">
        <v>2015</v>
      </c>
      <c r="F151" s="1" t="s">
        <v>112</v>
      </c>
      <c r="G151" s="1">
        <v>479124</v>
      </c>
    </row>
    <row r="152" spans="1:10"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2016</v>
      </c>
      <c r="D152" s="1" t="s">
        <v>2017</v>
      </c>
      <c r="E152" s="1" t="s">
        <v>2018</v>
      </c>
      <c r="F152" s="1" t="s">
        <v>112</v>
      </c>
      <c r="G152" s="1">
        <v>1153263</v>
      </c>
    </row>
    <row r="153" spans="1:10"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2019</v>
      </c>
      <c r="D153" s="1" t="s">
        <v>2020</v>
      </c>
      <c r="E153" s="1" t="s">
        <v>2021</v>
      </c>
      <c r="F153" s="1" t="s">
        <v>112</v>
      </c>
      <c r="G153" s="1">
        <v>1182398</v>
      </c>
    </row>
    <row r="154" spans="1:10"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2022</v>
      </c>
      <c r="D154" s="1" t="s">
        <v>2023</v>
      </c>
      <c r="E154" s="1" t="s">
        <v>2024</v>
      </c>
      <c r="F154" s="1" t="s">
        <v>112</v>
      </c>
      <c r="G154" s="1">
        <v>1202601</v>
      </c>
    </row>
    <row r="155" spans="1:10"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2025</v>
      </c>
      <c r="D155" s="1" t="s">
        <v>1834</v>
      </c>
      <c r="E155" s="1" t="s">
        <v>2026</v>
      </c>
      <c r="F155" s="1" t="s">
        <v>112</v>
      </c>
      <c r="G155" s="1">
        <v>864569</v>
      </c>
    </row>
    <row r="156" spans="1:10"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2027</v>
      </c>
      <c r="D156" s="1" t="s">
        <v>402</v>
      </c>
      <c r="E156" s="1" t="s">
        <v>2028</v>
      </c>
      <c r="F156" s="1" t="s">
        <v>112</v>
      </c>
      <c r="G156" s="1">
        <v>916891</v>
      </c>
    </row>
    <row r="157" spans="1:10"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2029</v>
      </c>
      <c r="D157" s="1" t="s">
        <v>1342</v>
      </c>
      <c r="E157" s="1" t="s">
        <v>2030</v>
      </c>
      <c r="F157" s="1" t="s">
        <v>112</v>
      </c>
      <c r="G157" s="1">
        <v>726137</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242</v>
      </c>
      <c r="D159" s="1" t="s">
        <v>112</v>
      </c>
      <c r="E159" s="1" t="s">
        <v>243</v>
      </c>
      <c r="F159" s="1" t="s">
        <v>244</v>
      </c>
      <c r="G159" s="1" t="s">
        <v>245</v>
      </c>
      <c r="H159" s="1" t="s">
        <v>246</v>
      </c>
      <c r="I159" s="1" t="s">
        <v>247</v>
      </c>
      <c r="J159" s="1" t="s">
        <v>248</v>
      </c>
    </row>
    <row r="160" spans="1:10"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2031</v>
      </c>
      <c r="D160" s="1" t="s">
        <v>112</v>
      </c>
      <c r="E160" s="1" t="s">
        <v>2032</v>
      </c>
      <c r="F160" s="1" t="s">
        <v>2033</v>
      </c>
      <c r="G160" s="1" t="s">
        <v>2034</v>
      </c>
      <c r="H160" s="1" t="s">
        <v>2035</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254</v>
      </c>
      <c r="D166" s="1" t="s">
        <v>110</v>
      </c>
      <c r="E166" s="1" t="s">
        <v>111</v>
      </c>
      <c r="F166" s="1" t="s">
        <v>112</v>
      </c>
      <c r="G166" s="1" t="s">
        <v>113</v>
      </c>
    </row>
    <row r="167" spans="1:7" x14ac:dyDescent="0.2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2036</v>
      </c>
      <c r="D167" s="1" t="s">
        <v>2037</v>
      </c>
      <c r="E167" s="1" t="s">
        <v>2038</v>
      </c>
      <c r="F167" s="1" t="s">
        <v>112</v>
      </c>
      <c r="G167" s="1">
        <v>3981739</v>
      </c>
    </row>
    <row r="168" spans="1:7" x14ac:dyDescent="0.2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2039</v>
      </c>
      <c r="D168" s="1" t="s">
        <v>2040</v>
      </c>
      <c r="E168" s="1" t="s">
        <v>2041</v>
      </c>
      <c r="F168" s="1" t="s">
        <v>112</v>
      </c>
      <c r="G168" s="1">
        <v>3173776</v>
      </c>
    </row>
    <row r="169" spans="1:7" x14ac:dyDescent="0.2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2042</v>
      </c>
      <c r="D169" s="1" t="s">
        <v>2043</v>
      </c>
      <c r="E169" s="1" t="s">
        <v>2044</v>
      </c>
      <c r="F169" s="1" t="s">
        <v>112</v>
      </c>
      <c r="G169" s="1">
        <v>3954896</v>
      </c>
    </row>
    <row r="170" spans="1:7" x14ac:dyDescent="0.2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2045</v>
      </c>
      <c r="D170" s="1" t="s">
        <v>2046</v>
      </c>
      <c r="E170" s="1" t="s">
        <v>2047</v>
      </c>
      <c r="F170" s="1" t="s">
        <v>112</v>
      </c>
      <c r="G170" s="1">
        <v>524417</v>
      </c>
    </row>
    <row r="171" spans="1:7" x14ac:dyDescent="0.2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2048</v>
      </c>
      <c r="D171" s="1" t="s">
        <v>2049</v>
      </c>
      <c r="E171" s="1" t="s">
        <v>2050</v>
      </c>
      <c r="F171" s="1" t="s">
        <v>112</v>
      </c>
      <c r="G171" s="1">
        <v>805303</v>
      </c>
    </row>
    <row r="172" spans="1:7" x14ac:dyDescent="0.2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2051</v>
      </c>
      <c r="D172" s="1" t="s">
        <v>2052</v>
      </c>
      <c r="E172" s="1" t="s">
        <v>2053</v>
      </c>
      <c r="F172" s="1" t="s">
        <v>112</v>
      </c>
      <c r="G172" s="1">
        <v>807660</v>
      </c>
    </row>
    <row r="173" spans="1:7" x14ac:dyDescent="0.2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2054</v>
      </c>
      <c r="D173" s="1" t="s">
        <v>2055</v>
      </c>
      <c r="E173" s="1" t="s">
        <v>2056</v>
      </c>
      <c r="F173" s="1" t="s">
        <v>112</v>
      </c>
      <c r="G173" s="1">
        <v>2264607</v>
      </c>
    </row>
    <row r="174" spans="1:7" x14ac:dyDescent="0.2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2057</v>
      </c>
      <c r="D174" s="1" t="s">
        <v>2058</v>
      </c>
      <c r="E174" s="1" t="s">
        <v>2059</v>
      </c>
      <c r="F174" s="1" t="s">
        <v>112</v>
      </c>
      <c r="G174" s="1">
        <v>1612876</v>
      </c>
    </row>
    <row r="175" spans="1:7" x14ac:dyDescent="0.2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2060</v>
      </c>
      <c r="D175" s="1" t="s">
        <v>2061</v>
      </c>
      <c r="E175" s="1" t="s">
        <v>2062</v>
      </c>
      <c r="F175" s="1" t="s">
        <v>112</v>
      </c>
      <c r="G175" s="1">
        <v>2430854</v>
      </c>
    </row>
    <row r="176" spans="1:7" x14ac:dyDescent="0.2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2063</v>
      </c>
      <c r="D176" s="1" t="s">
        <v>2064</v>
      </c>
      <c r="E176" s="1" t="s">
        <v>2065</v>
      </c>
      <c r="F176" s="1" t="s">
        <v>112</v>
      </c>
      <c r="G176" s="1">
        <v>2302286</v>
      </c>
    </row>
    <row r="177" spans="1:10" x14ac:dyDescent="0.2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2066</v>
      </c>
      <c r="D177" s="1" t="s">
        <v>2067</v>
      </c>
      <c r="E177" s="1" t="s">
        <v>2068</v>
      </c>
      <c r="F177" s="1" t="s">
        <v>112</v>
      </c>
      <c r="G177" s="1">
        <v>3106161</v>
      </c>
    </row>
    <row r="178" spans="1:10" x14ac:dyDescent="0.2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2069</v>
      </c>
      <c r="D178" s="1" t="s">
        <v>2070</v>
      </c>
      <c r="E178" s="1" t="s">
        <v>2071</v>
      </c>
      <c r="F178" s="1" t="s">
        <v>112</v>
      </c>
      <c r="G178" s="1">
        <v>2774423</v>
      </c>
    </row>
    <row r="179" spans="1:10" x14ac:dyDescent="0.2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2072</v>
      </c>
      <c r="D179" s="1" t="s">
        <v>2073</v>
      </c>
      <c r="E179" s="1" t="s">
        <v>2074</v>
      </c>
      <c r="F179" s="1" t="s">
        <v>112</v>
      </c>
      <c r="G179" s="1">
        <v>3144251</v>
      </c>
    </row>
    <row r="180" spans="1:10" x14ac:dyDescent="0.2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2075</v>
      </c>
      <c r="D180" s="1" t="s">
        <v>2076</v>
      </c>
      <c r="E180" s="1" t="s">
        <v>2077</v>
      </c>
      <c r="F180" s="1" t="s">
        <v>112</v>
      </c>
      <c r="G180" s="1">
        <v>3051502</v>
      </c>
    </row>
    <row r="181" spans="1:10" x14ac:dyDescent="0.2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2078</v>
      </c>
      <c r="D181" s="1" t="s">
        <v>2079</v>
      </c>
      <c r="E181" s="1" t="s">
        <v>2080</v>
      </c>
      <c r="F181" s="1" t="s">
        <v>112</v>
      </c>
      <c r="G181" s="1">
        <v>2857352</v>
      </c>
    </row>
    <row r="182" spans="1:10" x14ac:dyDescent="0.2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2081</v>
      </c>
      <c r="D182" s="1" t="s">
        <v>2082</v>
      </c>
      <c r="E182" s="1" t="s">
        <v>2083</v>
      </c>
      <c r="F182" s="1" t="s">
        <v>112</v>
      </c>
      <c r="G182" s="1">
        <v>2343102</v>
      </c>
    </row>
    <row r="183" spans="1:10" x14ac:dyDescent="0.2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2084</v>
      </c>
      <c r="D183" s="1" t="s">
        <v>2085</v>
      </c>
      <c r="E183" s="1" t="s">
        <v>2086</v>
      </c>
      <c r="F183" s="1" t="s">
        <v>112</v>
      </c>
      <c r="G183" s="1">
        <v>2564830</v>
      </c>
    </row>
    <row r="184" spans="1:10" x14ac:dyDescent="0.2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2087</v>
      </c>
      <c r="D184" s="1" t="s">
        <v>2088</v>
      </c>
      <c r="E184" s="1" t="s">
        <v>2089</v>
      </c>
      <c r="F184" s="1" t="s">
        <v>112</v>
      </c>
      <c r="G184" s="1">
        <v>2571535</v>
      </c>
    </row>
    <row r="185" spans="1:10" x14ac:dyDescent="0.2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2090</v>
      </c>
      <c r="D185" s="1" t="s">
        <v>1425</v>
      </c>
      <c r="E185" s="1" t="s">
        <v>2091</v>
      </c>
      <c r="F185" s="1" t="s">
        <v>112</v>
      </c>
      <c r="G185" s="1">
        <v>1487163</v>
      </c>
    </row>
    <row r="186" spans="1:10" x14ac:dyDescent="0.2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2092</v>
      </c>
      <c r="D186" s="1" t="s">
        <v>1428</v>
      </c>
      <c r="E186" s="1" t="s">
        <v>2093</v>
      </c>
      <c r="F186" s="1" t="s">
        <v>112</v>
      </c>
      <c r="G186" s="1">
        <v>1787862</v>
      </c>
    </row>
    <row r="187" spans="1:10" x14ac:dyDescent="0.2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2094</v>
      </c>
      <c r="D187" s="1" t="s">
        <v>2095</v>
      </c>
      <c r="E187" s="1" t="s">
        <v>2096</v>
      </c>
      <c r="F187" s="1" t="s">
        <v>112</v>
      </c>
      <c r="G187" s="1">
        <v>1812975</v>
      </c>
    </row>
    <row r="188" spans="1:10" x14ac:dyDescent="0.2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2097</v>
      </c>
      <c r="D188" s="1" t="s">
        <v>2098</v>
      </c>
      <c r="E188" s="1" t="s">
        <v>2099</v>
      </c>
      <c r="F188" s="1" t="s">
        <v>112</v>
      </c>
      <c r="G188" s="1">
        <v>2966259</v>
      </c>
    </row>
    <row r="189" spans="1:10" x14ac:dyDescent="0.2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2100</v>
      </c>
      <c r="D189" s="1" t="s">
        <v>2101</v>
      </c>
      <c r="E189" s="1" t="s">
        <v>2102</v>
      </c>
      <c r="F189" s="1" t="s">
        <v>112</v>
      </c>
      <c r="G189" s="1">
        <v>2370355</v>
      </c>
    </row>
    <row r="190" spans="1:10" x14ac:dyDescent="0.2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2103</v>
      </c>
      <c r="D190" s="1" t="s">
        <v>2055</v>
      </c>
      <c r="E190" s="1" t="s">
        <v>2104</v>
      </c>
      <c r="F190" s="1" t="s">
        <v>112</v>
      </c>
      <c r="G190" s="1">
        <v>2233330</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242</v>
      </c>
      <c r="D192" s="1" t="s">
        <v>112</v>
      </c>
      <c r="E192" s="1" t="s">
        <v>243</v>
      </c>
      <c r="F192" s="1" t="s">
        <v>244</v>
      </c>
      <c r="G192" s="1" t="s">
        <v>245</v>
      </c>
      <c r="H192" s="1" t="s">
        <v>246</v>
      </c>
      <c r="I192" s="1" t="s">
        <v>247</v>
      </c>
      <c r="J192" s="1" t="s">
        <v>248</v>
      </c>
    </row>
    <row r="193" spans="1:10" x14ac:dyDescent="0.2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2105</v>
      </c>
      <c r="D193" s="1" t="s">
        <v>112</v>
      </c>
      <c r="E193" s="1" t="s">
        <v>2106</v>
      </c>
      <c r="F193" s="1" t="s">
        <v>2107</v>
      </c>
      <c r="G193" s="1" t="s">
        <v>2108</v>
      </c>
      <c r="H193" s="1" t="s">
        <v>2109</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254</v>
      </c>
      <c r="D199" s="1" t="s">
        <v>110</v>
      </c>
      <c r="E199" s="1" t="s">
        <v>111</v>
      </c>
      <c r="F199" s="1" t="s">
        <v>112</v>
      </c>
      <c r="G199" s="1" t="s">
        <v>113</v>
      </c>
    </row>
    <row r="200" spans="1:10"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2110</v>
      </c>
      <c r="D200" s="1" t="s">
        <v>2111</v>
      </c>
      <c r="E200" s="1" t="s">
        <v>2112</v>
      </c>
      <c r="F200" s="1" t="s">
        <v>112</v>
      </c>
      <c r="G200" s="1">
        <v>4693168</v>
      </c>
    </row>
    <row r="201" spans="1:10"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2113</v>
      </c>
      <c r="D201" s="1" t="s">
        <v>2114</v>
      </c>
      <c r="E201" s="1" t="s">
        <v>2115</v>
      </c>
      <c r="F201" s="1" t="s">
        <v>112</v>
      </c>
      <c r="G201" s="1">
        <v>4567369</v>
      </c>
    </row>
    <row r="202" spans="1:10"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2116</v>
      </c>
      <c r="D202" s="1" t="s">
        <v>2117</v>
      </c>
      <c r="E202" s="1" t="s">
        <v>2118</v>
      </c>
      <c r="F202" s="1" t="s">
        <v>112</v>
      </c>
      <c r="G202" s="1">
        <v>4394913</v>
      </c>
    </row>
    <row r="203" spans="1:10"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2119</v>
      </c>
      <c r="D203" s="1" t="s">
        <v>2120</v>
      </c>
      <c r="E203" s="1" t="s">
        <v>2121</v>
      </c>
      <c r="F203" s="1" t="s">
        <v>112</v>
      </c>
      <c r="G203" s="1">
        <v>6435586</v>
      </c>
    </row>
    <row r="204" spans="1:10"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2122</v>
      </c>
      <c r="D204" s="1" t="s">
        <v>2123</v>
      </c>
      <c r="E204" s="1" t="s">
        <v>2124</v>
      </c>
      <c r="F204" s="1" t="s">
        <v>112</v>
      </c>
      <c r="G204" s="1">
        <v>5615791</v>
      </c>
    </row>
    <row r="205" spans="1:10"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2125</v>
      </c>
      <c r="D205" s="1" t="s">
        <v>2126</v>
      </c>
      <c r="E205" s="1" t="s">
        <v>2127</v>
      </c>
      <c r="F205" s="1" t="s">
        <v>112</v>
      </c>
      <c r="G205" s="1">
        <v>5912640</v>
      </c>
    </row>
    <row r="206" spans="1:10"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2128</v>
      </c>
      <c r="D206" s="1" t="s">
        <v>2129</v>
      </c>
      <c r="E206" s="1" t="s">
        <v>2130</v>
      </c>
      <c r="F206" s="1" t="s">
        <v>112</v>
      </c>
      <c r="G206" s="1">
        <v>6768621</v>
      </c>
    </row>
    <row r="207" spans="1:10"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2131</v>
      </c>
      <c r="D207" s="1" t="s">
        <v>2132</v>
      </c>
      <c r="E207" s="1" t="s">
        <v>2133</v>
      </c>
      <c r="F207" s="1" t="s">
        <v>112</v>
      </c>
      <c r="G207" s="1">
        <v>6807144</v>
      </c>
    </row>
    <row r="208" spans="1:10"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2134</v>
      </c>
      <c r="D208" s="1" t="s">
        <v>2135</v>
      </c>
      <c r="E208" s="1" t="s">
        <v>2136</v>
      </c>
      <c r="F208" s="1" t="s">
        <v>112</v>
      </c>
      <c r="G208" s="1">
        <v>6660926</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2137</v>
      </c>
      <c r="D209" s="1" t="s">
        <v>2138</v>
      </c>
      <c r="E209" s="1" t="s">
        <v>2139</v>
      </c>
      <c r="F209" s="1" t="s">
        <v>112</v>
      </c>
      <c r="G209" s="1">
        <v>4514743</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2140</v>
      </c>
      <c r="D210" s="1" t="s">
        <v>2141</v>
      </c>
      <c r="E210" s="1" t="s">
        <v>2142</v>
      </c>
      <c r="F210" s="1" t="s">
        <v>112</v>
      </c>
      <c r="G210" s="1">
        <v>4607038</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2143</v>
      </c>
      <c r="D211" s="1" t="s">
        <v>2144</v>
      </c>
      <c r="E211" s="1" t="s">
        <v>2145</v>
      </c>
      <c r="F211" s="1" t="s">
        <v>112</v>
      </c>
      <c r="G211" s="1">
        <v>5008186</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2146</v>
      </c>
      <c r="D212" s="1" t="s">
        <v>2147</v>
      </c>
      <c r="E212" s="1" t="s">
        <v>2148</v>
      </c>
      <c r="F212" s="1" t="s">
        <v>112</v>
      </c>
      <c r="G212" s="1">
        <v>5074741</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2149</v>
      </c>
      <c r="D213" s="1" t="s">
        <v>2150</v>
      </c>
      <c r="E213" s="1" t="s">
        <v>2151</v>
      </c>
      <c r="F213" s="1" t="s">
        <v>112</v>
      </c>
      <c r="G213" s="1">
        <v>5108830</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2152</v>
      </c>
      <c r="D214" s="1" t="s">
        <v>2153</v>
      </c>
      <c r="E214" s="1" t="s">
        <v>2154</v>
      </c>
      <c r="F214" s="1" t="s">
        <v>112</v>
      </c>
      <c r="G214" s="1">
        <v>5317104</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2155</v>
      </c>
      <c r="D215" s="1" t="s">
        <v>2156</v>
      </c>
      <c r="E215" s="1" t="s">
        <v>2157</v>
      </c>
      <c r="F215" s="1" t="s">
        <v>112</v>
      </c>
      <c r="G215" s="1">
        <v>5862718</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2158</v>
      </c>
      <c r="D216" s="1" t="s">
        <v>2159</v>
      </c>
      <c r="E216" s="1" t="s">
        <v>2160</v>
      </c>
      <c r="F216" s="1" t="s">
        <v>112</v>
      </c>
      <c r="G216" s="1">
        <v>6441599</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2161</v>
      </c>
      <c r="D217" s="1" t="s">
        <v>2162</v>
      </c>
      <c r="E217" s="1" t="s">
        <v>2163</v>
      </c>
      <c r="F217" s="1" t="s">
        <v>112</v>
      </c>
      <c r="G217" s="1">
        <v>5754655</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2164</v>
      </c>
      <c r="D218" s="1" t="s">
        <v>2165</v>
      </c>
      <c r="E218" s="1" t="s">
        <v>2166</v>
      </c>
      <c r="F218" s="1" t="s">
        <v>112</v>
      </c>
      <c r="G218" s="1">
        <v>3777466</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2167</v>
      </c>
      <c r="D219" s="1" t="s">
        <v>2168</v>
      </c>
      <c r="E219" s="1" t="s">
        <v>2169</v>
      </c>
      <c r="F219" s="1" t="s">
        <v>112</v>
      </c>
      <c r="G219" s="1">
        <v>3594175</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2170</v>
      </c>
      <c r="D220" s="1" t="s">
        <v>2171</v>
      </c>
      <c r="E220" s="1" t="s">
        <v>2172</v>
      </c>
      <c r="F220" s="1" t="s">
        <v>112</v>
      </c>
      <c r="G220" s="1">
        <v>3820921</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2173</v>
      </c>
      <c r="D221" s="1" t="s">
        <v>2174</v>
      </c>
      <c r="E221" s="1" t="s">
        <v>2175</v>
      </c>
      <c r="F221" s="1" t="s">
        <v>112</v>
      </c>
      <c r="G221" s="1">
        <v>7010573</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2176</v>
      </c>
      <c r="D222" s="1" t="s">
        <v>2177</v>
      </c>
      <c r="E222" s="1" t="s">
        <v>2178</v>
      </c>
      <c r="F222" s="1" t="s">
        <v>112</v>
      </c>
      <c r="G222" s="1">
        <v>7286311</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2179</v>
      </c>
      <c r="D223" s="1" t="s">
        <v>2180</v>
      </c>
      <c r="E223" s="1" t="s">
        <v>2181</v>
      </c>
      <c r="F223" s="1" t="s">
        <v>112</v>
      </c>
      <c r="G223" s="1">
        <v>6612800</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242</v>
      </c>
      <c r="D225" s="1" t="s">
        <v>112</v>
      </c>
      <c r="E225" s="1" t="s">
        <v>243</v>
      </c>
      <c r="F225" s="1" t="s">
        <v>244</v>
      </c>
      <c r="G225" s="1" t="s">
        <v>245</v>
      </c>
      <c r="H225" s="1" t="s">
        <v>246</v>
      </c>
      <c r="I225" s="1" t="s">
        <v>247</v>
      </c>
      <c r="J225" s="1" t="s">
        <v>248</v>
      </c>
    </row>
    <row r="226" spans="1:10"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2182</v>
      </c>
      <c r="D226" s="1" t="s">
        <v>112</v>
      </c>
      <c r="E226" s="1" t="s">
        <v>2183</v>
      </c>
      <c r="F226" s="1" t="s">
        <v>2184</v>
      </c>
      <c r="G226" s="1" t="s">
        <v>2185</v>
      </c>
      <c r="H226" s="1" t="s">
        <v>2186</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254</v>
      </c>
      <c r="D232" s="1" t="s">
        <v>110</v>
      </c>
      <c r="E232" s="1" t="s">
        <v>111</v>
      </c>
      <c r="F232" s="1" t="s">
        <v>112</v>
      </c>
      <c r="G232" s="1" t="s">
        <v>113</v>
      </c>
    </row>
    <row r="233" spans="1:10" x14ac:dyDescent="0.25">
      <c r="A233" s="1" t="str">
        <f t="shared" si="3"/>
        <v>08 Estrone 0.04 µg_L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2187</v>
      </c>
      <c r="D233" s="1" t="s">
        <v>2188</v>
      </c>
      <c r="E233" s="1" t="s">
        <v>2189</v>
      </c>
      <c r="F233" s="1" t="s">
        <v>112</v>
      </c>
      <c r="G233" s="1">
        <v>289689</v>
      </c>
    </row>
    <row r="234" spans="1:10" x14ac:dyDescent="0.25">
      <c r="A234" s="1" t="str">
        <f t="shared" si="3"/>
        <v>08 Estrone 0.04 µg_L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2190</v>
      </c>
      <c r="D234" s="1" t="s">
        <v>2191</v>
      </c>
      <c r="E234" s="1" t="s">
        <v>2192</v>
      </c>
      <c r="F234" s="1" t="s">
        <v>112</v>
      </c>
      <c r="G234" s="1">
        <v>313677</v>
      </c>
    </row>
    <row r="235" spans="1:10" x14ac:dyDescent="0.25">
      <c r="A235" s="1" t="str">
        <f t="shared" si="3"/>
        <v>08 Estrone 0.04 µg_L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2193</v>
      </c>
      <c r="D235" s="1" t="s">
        <v>187</v>
      </c>
      <c r="E235" s="1" t="s">
        <v>2194</v>
      </c>
      <c r="F235" s="1" t="s">
        <v>112</v>
      </c>
      <c r="G235" s="1">
        <v>183768</v>
      </c>
    </row>
    <row r="236" spans="1:10" x14ac:dyDescent="0.25">
      <c r="A236" s="1" t="str">
        <f t="shared" si="3"/>
        <v>08 Estrone 0.04 µg_L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2195</v>
      </c>
      <c r="D236" s="1" t="s">
        <v>455</v>
      </c>
      <c r="E236" s="1" t="s">
        <v>2196</v>
      </c>
      <c r="F236" s="1" t="s">
        <v>112</v>
      </c>
      <c r="G236" s="1">
        <v>443110</v>
      </c>
    </row>
    <row r="237" spans="1:10" x14ac:dyDescent="0.25">
      <c r="A237" s="1" t="str">
        <f t="shared" si="3"/>
        <v>08 Estrone 0.04 µg_L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2197</v>
      </c>
      <c r="D237" s="1" t="s">
        <v>2198</v>
      </c>
      <c r="E237" s="1" t="s">
        <v>2199</v>
      </c>
      <c r="F237" s="1" t="s">
        <v>112</v>
      </c>
      <c r="G237" s="1">
        <v>252443</v>
      </c>
    </row>
    <row r="238" spans="1:10" x14ac:dyDescent="0.25">
      <c r="A238" s="1" t="str">
        <f t="shared" si="3"/>
        <v>08 Estrone 0.04 µg_L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2200</v>
      </c>
      <c r="D238" s="1" t="s">
        <v>787</v>
      </c>
      <c r="E238" s="1" t="s">
        <v>2201</v>
      </c>
      <c r="F238" s="1" t="s">
        <v>112</v>
      </c>
      <c r="G238" s="1">
        <v>258607</v>
      </c>
    </row>
    <row r="239" spans="1:10" x14ac:dyDescent="0.25">
      <c r="A239" s="1" t="str">
        <f t="shared" si="3"/>
        <v>08 Estrone 0.04 µg_L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2202</v>
      </c>
      <c r="D239" s="1" t="s">
        <v>363</v>
      </c>
      <c r="E239" s="1" t="s">
        <v>2203</v>
      </c>
      <c r="F239" s="1" t="s">
        <v>112</v>
      </c>
      <c r="G239" s="1">
        <v>52842</v>
      </c>
    </row>
    <row r="240" spans="1:10" x14ac:dyDescent="0.25">
      <c r="A240" s="1" t="str">
        <f t="shared" si="3"/>
        <v>08 Estrone 0.04 µg_L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2204</v>
      </c>
      <c r="D240" s="1" t="s">
        <v>208</v>
      </c>
      <c r="E240" s="1" t="s">
        <v>2205</v>
      </c>
      <c r="F240" s="1" t="s">
        <v>112</v>
      </c>
      <c r="G240" s="1">
        <v>43606</v>
      </c>
    </row>
    <row r="241" spans="1:7" x14ac:dyDescent="0.25">
      <c r="A241" s="1" t="str">
        <f t="shared" si="3"/>
        <v>08 Estrone 0.04 µg_L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2206</v>
      </c>
      <c r="D241" s="1" t="s">
        <v>2207</v>
      </c>
      <c r="E241" s="1" t="s">
        <v>2208</v>
      </c>
      <c r="F241" s="1" t="s">
        <v>112</v>
      </c>
      <c r="G241" s="1">
        <v>259515</v>
      </c>
    </row>
    <row r="242" spans="1:7" x14ac:dyDescent="0.25">
      <c r="A242" s="1" t="str">
        <f t="shared" si="3"/>
        <v>08 Estrone 0.04 µg_L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2209</v>
      </c>
      <c r="D242" s="1" t="s">
        <v>225</v>
      </c>
      <c r="E242" s="1" t="s">
        <v>2210</v>
      </c>
      <c r="F242" s="1" t="s">
        <v>112</v>
      </c>
      <c r="G242" s="1">
        <v>213379</v>
      </c>
    </row>
    <row r="243" spans="1:7" x14ac:dyDescent="0.25">
      <c r="A243" s="1" t="str">
        <f t="shared" si="3"/>
        <v>08 Estrone 0.04 µg_L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2211</v>
      </c>
      <c r="D243" s="1" t="s">
        <v>2212</v>
      </c>
      <c r="E243" s="1" t="s">
        <v>2213</v>
      </c>
      <c r="F243" s="1" t="s">
        <v>112</v>
      </c>
      <c r="G243" s="1">
        <v>61342</v>
      </c>
    </row>
    <row r="244" spans="1:7" x14ac:dyDescent="0.25">
      <c r="A244" s="1" t="str">
        <f t="shared" si="3"/>
        <v>08 Estrone 0.04 µg_L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2214</v>
      </c>
      <c r="D244" s="1" t="s">
        <v>279</v>
      </c>
      <c r="E244" s="1" t="s">
        <v>280</v>
      </c>
      <c r="F244" s="1" t="s">
        <v>112</v>
      </c>
      <c r="G244" s="1">
        <v>27383</v>
      </c>
    </row>
    <row r="245" spans="1:7" x14ac:dyDescent="0.25">
      <c r="A245" s="1" t="str">
        <f t="shared" si="3"/>
        <v>08 Estrone 0.04 µg_L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2215</v>
      </c>
      <c r="D245" s="1" t="s">
        <v>1108</v>
      </c>
      <c r="E245" s="1" t="s">
        <v>2216</v>
      </c>
      <c r="F245" s="1" t="s">
        <v>112</v>
      </c>
      <c r="G245" s="1">
        <v>588441</v>
      </c>
    </row>
    <row r="246" spans="1:7" x14ac:dyDescent="0.25">
      <c r="A246" s="1" t="str">
        <f t="shared" si="3"/>
        <v>08 Estrone 0.04 µg_L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2217</v>
      </c>
      <c r="D246" s="1" t="s">
        <v>289</v>
      </c>
      <c r="E246" s="1" t="s">
        <v>1925</v>
      </c>
      <c r="F246" s="1" t="s">
        <v>112</v>
      </c>
      <c r="G246" s="1">
        <v>33829</v>
      </c>
    </row>
    <row r="247" spans="1:7" x14ac:dyDescent="0.25">
      <c r="A247" s="1" t="str">
        <f t="shared" si="3"/>
        <v>08 Estrone 0.04 µg_L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2218</v>
      </c>
      <c r="D247" s="1" t="s">
        <v>2219</v>
      </c>
      <c r="E247" s="1" t="s">
        <v>2220</v>
      </c>
      <c r="F247" s="1" t="s">
        <v>112</v>
      </c>
      <c r="G247" s="1">
        <v>112281</v>
      </c>
    </row>
    <row r="248" spans="1:7" x14ac:dyDescent="0.25">
      <c r="A248" s="1" t="str">
        <f t="shared" si="3"/>
        <v>08 Estrone 0.04 µg_L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2221</v>
      </c>
    </row>
    <row r="249" spans="1:7" x14ac:dyDescent="0.25">
      <c r="A249" s="1" t="str">
        <f t="shared" si="3"/>
        <v>08 Estrone 0.04 µg_L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2222</v>
      </c>
    </row>
    <row r="250" spans="1:7" x14ac:dyDescent="0.25">
      <c r="A250" s="1" t="str">
        <f t="shared" si="3"/>
        <v>08 Estrone 0.04 µg_L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2223</v>
      </c>
    </row>
    <row r="251" spans="1:7" x14ac:dyDescent="0.25">
      <c r="A251" s="1" t="str">
        <f t="shared" si="3"/>
        <v>08 Estrone 0.04 µg_L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2224</v>
      </c>
      <c r="D251" s="1" t="s">
        <v>1731</v>
      </c>
      <c r="E251" s="1" t="s">
        <v>2225</v>
      </c>
      <c r="F251" s="1" t="s">
        <v>112</v>
      </c>
      <c r="G251" s="1">
        <v>134365</v>
      </c>
    </row>
    <row r="252" spans="1:7" x14ac:dyDescent="0.25">
      <c r="A252" s="1" t="str">
        <f t="shared" si="3"/>
        <v>08 Estrone 0.04 µg_L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2226</v>
      </c>
      <c r="D252" s="1" t="s">
        <v>1858</v>
      </c>
      <c r="E252" s="1" t="s">
        <v>2227</v>
      </c>
      <c r="F252" s="1" t="s">
        <v>112</v>
      </c>
      <c r="G252" s="1">
        <v>222485</v>
      </c>
    </row>
    <row r="253" spans="1:7" x14ac:dyDescent="0.25">
      <c r="A253" s="1" t="str">
        <f t="shared" si="3"/>
        <v>08 Estrone 0.04 µg_L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2228</v>
      </c>
      <c r="D253" s="1" t="s">
        <v>1233</v>
      </c>
      <c r="E253" s="1" t="s">
        <v>2229</v>
      </c>
      <c r="F253" s="1" t="s">
        <v>112</v>
      </c>
      <c r="G253" s="1">
        <v>164301</v>
      </c>
    </row>
    <row r="254" spans="1:7" x14ac:dyDescent="0.25">
      <c r="A254" s="1" t="str">
        <f t="shared" si="3"/>
        <v>08 Estrone 0.04 µg_L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2230</v>
      </c>
      <c r="D254" s="1" t="s">
        <v>2191</v>
      </c>
      <c r="E254" s="1" t="s">
        <v>2231</v>
      </c>
      <c r="F254" s="1" t="s">
        <v>112</v>
      </c>
      <c r="G254" s="1">
        <v>314391</v>
      </c>
    </row>
    <row r="255" spans="1:7" x14ac:dyDescent="0.25">
      <c r="A255" s="1" t="str">
        <f t="shared" si="3"/>
        <v>08 Estrone 0.04 µg_L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2232</v>
      </c>
      <c r="D255" s="1" t="s">
        <v>2233</v>
      </c>
      <c r="E255" s="1" t="s">
        <v>2234</v>
      </c>
      <c r="F255" s="1" t="s">
        <v>112</v>
      </c>
      <c r="G255" s="1">
        <v>246256</v>
      </c>
    </row>
    <row r="256" spans="1:7" x14ac:dyDescent="0.25">
      <c r="A256" s="1" t="str">
        <f t="shared" si="3"/>
        <v>08 Estrone 0.04 µg_L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2235</v>
      </c>
      <c r="D256" s="1" t="s">
        <v>2236</v>
      </c>
      <c r="E256" s="1" t="s">
        <v>2237</v>
      </c>
      <c r="F256" s="1" t="s">
        <v>112</v>
      </c>
      <c r="G256" s="1">
        <v>139037</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242</v>
      </c>
      <c r="D258" s="1" t="s">
        <v>112</v>
      </c>
      <c r="E258" s="1" t="s">
        <v>243</v>
      </c>
      <c r="F258" s="1" t="s">
        <v>244</v>
      </c>
      <c r="G258" s="1" t="s">
        <v>245</v>
      </c>
      <c r="H258" s="1" t="s">
        <v>246</v>
      </c>
      <c r="I258" s="1" t="s">
        <v>247</v>
      </c>
      <c r="J258" s="1" t="s">
        <v>248</v>
      </c>
    </row>
    <row r="259" spans="1:10" x14ac:dyDescent="0.25">
      <c r="A259" s="1" t="str">
        <f t="shared" si="4"/>
        <v>08 Estrone 0.04 µg_L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2238</v>
      </c>
      <c r="D259" s="1" t="s">
        <v>112</v>
      </c>
      <c r="E259" s="1" t="s">
        <v>2239</v>
      </c>
      <c r="F259" s="1" t="s">
        <v>2240</v>
      </c>
      <c r="G259" s="1" t="s">
        <v>2241</v>
      </c>
      <c r="H259" s="1" t="s">
        <v>2242</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254</v>
      </c>
      <c r="D265" s="1" t="s">
        <v>110</v>
      </c>
      <c r="E265" s="1" t="s">
        <v>111</v>
      </c>
      <c r="F265" s="1" t="s">
        <v>112</v>
      </c>
      <c r="G265" s="1" t="s">
        <v>113</v>
      </c>
    </row>
    <row r="266" spans="1:10" x14ac:dyDescent="0.25">
      <c r="A266" s="1" t="str">
        <f t="shared" si="4"/>
        <v>09 Estrone 0.2 µg_L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2243</v>
      </c>
      <c r="D266" s="1" t="s">
        <v>2244</v>
      </c>
      <c r="E266" s="1" t="s">
        <v>2245</v>
      </c>
      <c r="F266" s="1" t="s">
        <v>112</v>
      </c>
      <c r="G266" s="1">
        <v>173558</v>
      </c>
    </row>
    <row r="267" spans="1:10" x14ac:dyDescent="0.25">
      <c r="A267" s="1" t="str">
        <f t="shared" si="4"/>
        <v>09 Estrone 0.2 µg_L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2246</v>
      </c>
      <c r="D267" s="1" t="s">
        <v>208</v>
      </c>
      <c r="E267" s="1" t="s">
        <v>2247</v>
      </c>
      <c r="F267" s="1" t="s">
        <v>112</v>
      </c>
      <c r="G267" s="1">
        <v>41940</v>
      </c>
    </row>
    <row r="268" spans="1:10" x14ac:dyDescent="0.25">
      <c r="A268" s="1" t="str">
        <f t="shared" si="4"/>
        <v>09 Estrone 0.2 µg_L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2248</v>
      </c>
      <c r="D268" s="1" t="s">
        <v>740</v>
      </c>
      <c r="E268" s="1" t="s">
        <v>2249</v>
      </c>
      <c r="F268" s="1" t="s">
        <v>112</v>
      </c>
      <c r="G268" s="1">
        <v>99584</v>
      </c>
    </row>
    <row r="269" spans="1:10" x14ac:dyDescent="0.25">
      <c r="A269" s="1" t="str">
        <f t="shared" si="4"/>
        <v>09 Estrone 0.2 µg_L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2250</v>
      </c>
      <c r="D269" s="1" t="s">
        <v>339</v>
      </c>
      <c r="E269" s="1" t="s">
        <v>2251</v>
      </c>
      <c r="F269" s="1" t="s">
        <v>112</v>
      </c>
      <c r="G269" s="1">
        <v>360419</v>
      </c>
    </row>
    <row r="270" spans="1:10" x14ac:dyDescent="0.25">
      <c r="A270" s="1" t="str">
        <f t="shared" si="4"/>
        <v>09 Estrone 0.2 µg_L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2252</v>
      </c>
      <c r="D270" s="1" t="s">
        <v>1233</v>
      </c>
      <c r="E270" s="1" t="s">
        <v>2253</v>
      </c>
      <c r="F270" s="1" t="s">
        <v>112</v>
      </c>
      <c r="G270" s="1">
        <v>165793</v>
      </c>
    </row>
    <row r="271" spans="1:10" x14ac:dyDescent="0.25">
      <c r="A271" s="1" t="str">
        <f t="shared" si="4"/>
        <v>09 Estrone 0.2 µg_L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2254</v>
      </c>
      <c r="D271" s="1" t="s">
        <v>366</v>
      </c>
      <c r="E271" s="1" t="s">
        <v>2255</v>
      </c>
      <c r="F271" s="1" t="s">
        <v>112</v>
      </c>
      <c r="G271" s="1">
        <v>83881</v>
      </c>
    </row>
    <row r="272" spans="1:10" x14ac:dyDescent="0.25">
      <c r="A272" s="1" t="str">
        <f t="shared" si="4"/>
        <v>09 Estrone 0.2 µg_L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2256</v>
      </c>
      <c r="D272" s="1" t="s">
        <v>2257</v>
      </c>
      <c r="E272" s="1" t="s">
        <v>2258</v>
      </c>
      <c r="F272" s="1" t="s">
        <v>112</v>
      </c>
      <c r="G272" s="1">
        <v>267735</v>
      </c>
    </row>
    <row r="273" spans="1:7" x14ac:dyDescent="0.25">
      <c r="A273" s="1" t="str">
        <f t="shared" si="4"/>
        <v>09 Estrone 0.2 µg_L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2259</v>
      </c>
      <c r="D273" s="1" t="s">
        <v>1395</v>
      </c>
      <c r="E273" s="1" t="s">
        <v>2260</v>
      </c>
      <c r="F273" s="1" t="s">
        <v>112</v>
      </c>
      <c r="G273" s="1">
        <v>49749</v>
      </c>
    </row>
    <row r="274" spans="1:7" x14ac:dyDescent="0.25">
      <c r="A274" s="1" t="str">
        <f t="shared" si="4"/>
        <v>09 Estrone 0.2 µg_L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2261</v>
      </c>
      <c r="D274" s="1" t="s">
        <v>1279</v>
      </c>
      <c r="E274" s="1" t="s">
        <v>2262</v>
      </c>
      <c r="F274" s="1" t="s">
        <v>112</v>
      </c>
      <c r="G274" s="1">
        <v>159931</v>
      </c>
    </row>
    <row r="275" spans="1:7" x14ac:dyDescent="0.25">
      <c r="A275" s="1" t="str">
        <f t="shared" si="4"/>
        <v>09 Estrone 0.2 µg_L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2263</v>
      </c>
      <c r="D275" s="1" t="s">
        <v>328</v>
      </c>
      <c r="E275" s="1" t="s">
        <v>2264</v>
      </c>
      <c r="F275" s="1" t="s">
        <v>112</v>
      </c>
      <c r="G275" s="1">
        <v>44493</v>
      </c>
    </row>
    <row r="276" spans="1:7" x14ac:dyDescent="0.25">
      <c r="A276" s="1" t="str">
        <f t="shared" si="4"/>
        <v>09 Estrone 0.2 µg_L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2265</v>
      </c>
      <c r="D276" s="1" t="s">
        <v>216</v>
      </c>
      <c r="E276" s="1" t="s">
        <v>2266</v>
      </c>
      <c r="F276" s="1" t="s">
        <v>112</v>
      </c>
      <c r="G276" s="1">
        <v>78798</v>
      </c>
    </row>
    <row r="277" spans="1:7" x14ac:dyDescent="0.25">
      <c r="A277" s="1" t="str">
        <f t="shared" si="4"/>
        <v>09 Estrone 0.2 µg_L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2267</v>
      </c>
      <c r="D277" s="1" t="s">
        <v>225</v>
      </c>
      <c r="E277" s="1" t="s">
        <v>2268</v>
      </c>
      <c r="F277" s="1" t="s">
        <v>112</v>
      </c>
      <c r="G277" s="1">
        <v>205960</v>
      </c>
    </row>
    <row r="278" spans="1:7" x14ac:dyDescent="0.25">
      <c r="A278" s="1" t="str">
        <f t="shared" si="4"/>
        <v>09 Estrone 0.2 µg_L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2269</v>
      </c>
      <c r="D278" s="1" t="s">
        <v>2046</v>
      </c>
      <c r="E278" s="1" t="s">
        <v>2270</v>
      </c>
      <c r="F278" s="1" t="s">
        <v>112</v>
      </c>
      <c r="G278" s="1">
        <v>635054</v>
      </c>
    </row>
    <row r="279" spans="1:7" x14ac:dyDescent="0.25">
      <c r="A279" s="1" t="str">
        <f t="shared" si="4"/>
        <v>09 Estrone 0.2 µg_L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2271</v>
      </c>
      <c r="D279" s="1" t="s">
        <v>2272</v>
      </c>
      <c r="E279" s="1" t="s">
        <v>2273</v>
      </c>
      <c r="F279" s="1" t="s">
        <v>112</v>
      </c>
      <c r="G279" s="1">
        <v>590215</v>
      </c>
    </row>
    <row r="280" spans="1:7" x14ac:dyDescent="0.25">
      <c r="A280" s="1" t="str">
        <f t="shared" si="4"/>
        <v>09 Estrone 0.2 µg_L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2274</v>
      </c>
      <c r="D280" s="1" t="s">
        <v>1779</v>
      </c>
      <c r="E280" s="1" t="s">
        <v>2275</v>
      </c>
      <c r="F280" s="1" t="s">
        <v>112</v>
      </c>
      <c r="G280" s="1">
        <v>275997</v>
      </c>
    </row>
    <row r="281" spans="1:7" x14ac:dyDescent="0.25">
      <c r="A281" s="1" t="str">
        <f t="shared" si="4"/>
        <v>09 Estrone 0.2 µg_L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2276</v>
      </c>
      <c r="D281" s="1" t="s">
        <v>702</v>
      </c>
      <c r="E281" s="1" t="s">
        <v>2277</v>
      </c>
      <c r="F281" s="1" t="s">
        <v>112</v>
      </c>
      <c r="G281" s="1">
        <v>46526</v>
      </c>
    </row>
    <row r="282" spans="1:7" x14ac:dyDescent="0.25">
      <c r="A282" s="1" t="str">
        <f t="shared" si="4"/>
        <v>09 Estrone 0.2 µg_L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2278</v>
      </c>
      <c r="D282" s="1" t="s">
        <v>2279</v>
      </c>
      <c r="E282" s="1" t="s">
        <v>2280</v>
      </c>
      <c r="F282" s="1" t="s">
        <v>112</v>
      </c>
      <c r="G282" s="1">
        <v>328493</v>
      </c>
    </row>
    <row r="283" spans="1:7" x14ac:dyDescent="0.25">
      <c r="A283" s="1" t="str">
        <f t="shared" si="4"/>
        <v>09 Estrone 0.2 µg_L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2281</v>
      </c>
      <c r="D283" s="1" t="s">
        <v>1395</v>
      </c>
      <c r="E283" s="1" t="s">
        <v>2282</v>
      </c>
      <c r="F283" s="1" t="s">
        <v>112</v>
      </c>
      <c r="G283" s="1">
        <v>49165</v>
      </c>
    </row>
    <row r="284" spans="1:7" x14ac:dyDescent="0.25">
      <c r="A284" s="1" t="str">
        <f t="shared" si="4"/>
        <v>09 Estrone 0.2 µg_L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2283</v>
      </c>
      <c r="D284" s="1" t="s">
        <v>2284</v>
      </c>
      <c r="E284" s="1" t="s">
        <v>2285</v>
      </c>
      <c r="F284" s="1" t="s">
        <v>112</v>
      </c>
      <c r="G284" s="1">
        <v>358559</v>
      </c>
    </row>
    <row r="285" spans="1:7" x14ac:dyDescent="0.25">
      <c r="A285" s="1" t="str">
        <f t="shared" si="4"/>
        <v>09 Estrone 0.2 µg_L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2286</v>
      </c>
      <c r="D285" s="1" t="s">
        <v>2287</v>
      </c>
      <c r="E285" s="1" t="s">
        <v>2288</v>
      </c>
      <c r="F285" s="1" t="s">
        <v>112</v>
      </c>
      <c r="G285" s="1">
        <v>333187</v>
      </c>
    </row>
    <row r="286" spans="1:7" x14ac:dyDescent="0.25">
      <c r="A286" s="1" t="str">
        <f t="shared" si="4"/>
        <v>09 Estrone 0.2 µg_L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2289</v>
      </c>
      <c r="D286" s="1" t="s">
        <v>853</v>
      </c>
      <c r="E286" s="1" t="s">
        <v>2290</v>
      </c>
      <c r="F286" s="1" t="s">
        <v>112</v>
      </c>
      <c r="G286" s="1">
        <v>240654</v>
      </c>
    </row>
    <row r="287" spans="1:7" x14ac:dyDescent="0.25">
      <c r="A287" s="1" t="str">
        <f t="shared" si="4"/>
        <v>09 Estrone 0.2 µg_L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2291</v>
      </c>
      <c r="D287" s="1" t="s">
        <v>768</v>
      </c>
      <c r="E287" s="1" t="s">
        <v>2292</v>
      </c>
      <c r="F287" s="1" t="s">
        <v>112</v>
      </c>
      <c r="G287" s="1">
        <v>9669</v>
      </c>
    </row>
    <row r="288" spans="1:7" x14ac:dyDescent="0.25">
      <c r="A288" s="1" t="str">
        <f t="shared" si="4"/>
        <v>09 Estrone 0.2 µg_L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2293</v>
      </c>
      <c r="D288" s="1" t="s">
        <v>193</v>
      </c>
      <c r="E288" s="1" t="s">
        <v>2294</v>
      </c>
      <c r="F288" s="1" t="s">
        <v>112</v>
      </c>
      <c r="G288" s="1">
        <v>56086</v>
      </c>
    </row>
    <row r="289" spans="1:10" x14ac:dyDescent="0.25">
      <c r="A289" s="1" t="str">
        <f t="shared" si="4"/>
        <v>09 Estrone 0.2 µg_L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2295</v>
      </c>
      <c r="D289" s="1" t="s">
        <v>178</v>
      </c>
      <c r="E289" s="1" t="s">
        <v>2296</v>
      </c>
      <c r="F289" s="1" t="s">
        <v>112</v>
      </c>
      <c r="G289" s="1">
        <v>8544</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242</v>
      </c>
      <c r="D291" s="1" t="s">
        <v>112</v>
      </c>
      <c r="E291" s="1" t="s">
        <v>243</v>
      </c>
      <c r="F291" s="1" t="s">
        <v>244</v>
      </c>
      <c r="G291" s="1" t="s">
        <v>245</v>
      </c>
      <c r="H291" s="1" t="s">
        <v>246</v>
      </c>
      <c r="I291" s="1" t="s">
        <v>247</v>
      </c>
      <c r="J291" s="1" t="s">
        <v>248</v>
      </c>
    </row>
    <row r="292" spans="1:10" x14ac:dyDescent="0.25">
      <c r="A292" s="1" t="str">
        <f t="shared" si="4"/>
        <v>09 Estrone 0.2 µg_L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2297</v>
      </c>
      <c r="D292" s="1" t="s">
        <v>112</v>
      </c>
      <c r="E292" s="1" t="s">
        <v>2298</v>
      </c>
      <c r="F292" s="1" t="s">
        <v>2299</v>
      </c>
      <c r="G292" s="1" t="s">
        <v>2300</v>
      </c>
      <c r="H292" s="1" t="s">
        <v>2301</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254</v>
      </c>
      <c r="D298" s="1" t="s">
        <v>110</v>
      </c>
      <c r="E298" s="1" t="s">
        <v>111</v>
      </c>
      <c r="F298" s="1" t="s">
        <v>112</v>
      </c>
      <c r="G298" s="1" t="s">
        <v>113</v>
      </c>
    </row>
    <row r="299" spans="1:10" x14ac:dyDescent="0.25">
      <c r="A299" s="1" t="str">
        <f t="shared" si="4"/>
        <v>10 Estrone 1 µg_L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2302</v>
      </c>
      <c r="D299" s="1" t="s">
        <v>2303</v>
      </c>
      <c r="E299" s="1" t="s">
        <v>2304</v>
      </c>
      <c r="F299" s="1" t="s">
        <v>112</v>
      </c>
      <c r="G299" s="1">
        <v>515094</v>
      </c>
    </row>
    <row r="300" spans="1:10" x14ac:dyDescent="0.25">
      <c r="A300" s="1" t="str">
        <f t="shared" si="4"/>
        <v>10 Estrone 1 µg_L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2305</v>
      </c>
      <c r="D300" s="1" t="s">
        <v>369</v>
      </c>
      <c r="E300" s="1" t="s">
        <v>2306</v>
      </c>
      <c r="F300" s="1" t="s">
        <v>112</v>
      </c>
      <c r="G300" s="1">
        <v>14730</v>
      </c>
    </row>
    <row r="301" spans="1:10" x14ac:dyDescent="0.25">
      <c r="A301" s="1" t="str">
        <f t="shared" si="4"/>
        <v>10 Estrone 1 µg_L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2307</v>
      </c>
      <c r="D301" s="1" t="s">
        <v>864</v>
      </c>
      <c r="E301" s="1" t="s">
        <v>2308</v>
      </c>
      <c r="F301" s="1" t="s">
        <v>112</v>
      </c>
      <c r="G301" s="1">
        <v>180285</v>
      </c>
    </row>
    <row r="302" spans="1:10" x14ac:dyDescent="0.25">
      <c r="A302" s="1" t="str">
        <f t="shared" si="4"/>
        <v>10 Estrone 1 µg_L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2309</v>
      </c>
      <c r="D302" s="1" t="s">
        <v>344</v>
      </c>
      <c r="E302" s="1" t="s">
        <v>2310</v>
      </c>
      <c r="F302" s="1" t="s">
        <v>112</v>
      </c>
      <c r="G302" s="1">
        <v>520848</v>
      </c>
    </row>
    <row r="303" spans="1:10" x14ac:dyDescent="0.25">
      <c r="A303" s="1" t="str">
        <f t="shared" si="4"/>
        <v>10 Estrone 1 µg_L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2311</v>
      </c>
      <c r="D303" s="1" t="s">
        <v>2284</v>
      </c>
      <c r="E303" s="1" t="s">
        <v>2312</v>
      </c>
      <c r="F303" s="1" t="s">
        <v>112</v>
      </c>
      <c r="G303" s="1">
        <v>382395</v>
      </c>
    </row>
    <row r="304" spans="1:10" x14ac:dyDescent="0.25">
      <c r="A304" s="1" t="str">
        <f t="shared" si="4"/>
        <v>10 Estrone 1 µg_L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2313</v>
      </c>
      <c r="D304" s="1" t="s">
        <v>2207</v>
      </c>
      <c r="E304" s="1" t="s">
        <v>2314</v>
      </c>
      <c r="F304" s="1" t="s">
        <v>112</v>
      </c>
      <c r="G304" s="1">
        <v>271434</v>
      </c>
    </row>
    <row r="305" spans="1:7" x14ac:dyDescent="0.25">
      <c r="A305" s="1" t="str">
        <f t="shared" si="4"/>
        <v>10 Estrone 1 µg_L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2315</v>
      </c>
      <c r="D305" s="1" t="s">
        <v>2316</v>
      </c>
      <c r="E305" s="1" t="s">
        <v>2317</v>
      </c>
      <c r="F305" s="1" t="s">
        <v>112</v>
      </c>
      <c r="G305" s="1">
        <v>512802</v>
      </c>
    </row>
    <row r="306" spans="1:7" x14ac:dyDescent="0.25">
      <c r="A306" s="1" t="str">
        <f t="shared" si="4"/>
        <v>10 Estrone 1 µg_L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2318</v>
      </c>
      <c r="D306" s="1" t="s">
        <v>314</v>
      </c>
      <c r="E306" s="1" t="s">
        <v>2319</v>
      </c>
      <c r="F306" s="1" t="s">
        <v>112</v>
      </c>
      <c r="G306" s="1">
        <v>553444</v>
      </c>
    </row>
    <row r="307" spans="1:7" x14ac:dyDescent="0.25">
      <c r="A307" s="1" t="str">
        <f t="shared" si="4"/>
        <v>10 Estrone 1 µg_L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2320</v>
      </c>
      <c r="D307" s="1" t="s">
        <v>526</v>
      </c>
      <c r="E307" s="1" t="s">
        <v>2321</v>
      </c>
      <c r="F307" s="1" t="s">
        <v>112</v>
      </c>
      <c r="G307" s="1">
        <v>505750</v>
      </c>
    </row>
    <row r="308" spans="1:7" x14ac:dyDescent="0.25">
      <c r="A308" s="1" t="str">
        <f t="shared" si="4"/>
        <v>10 Estrone 1 µg_L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2322</v>
      </c>
      <c r="D308" s="1" t="s">
        <v>2323</v>
      </c>
      <c r="E308" s="1" t="s">
        <v>2324</v>
      </c>
      <c r="F308" s="1" t="s">
        <v>112</v>
      </c>
      <c r="G308" s="1">
        <v>164863</v>
      </c>
    </row>
    <row r="309" spans="1:7" x14ac:dyDescent="0.25">
      <c r="A309" s="1" t="str">
        <f t="shared" si="4"/>
        <v>10 Estrone 1 µg_L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2325</v>
      </c>
      <c r="D309" s="1" t="s">
        <v>261</v>
      </c>
      <c r="E309" s="1" t="s">
        <v>2326</v>
      </c>
      <c r="F309" s="1" t="s">
        <v>112</v>
      </c>
      <c r="G309" s="1">
        <v>244245</v>
      </c>
    </row>
    <row r="310" spans="1:7" x14ac:dyDescent="0.25">
      <c r="A310" s="1" t="str">
        <f t="shared" si="4"/>
        <v>10 Estrone 1 µg_L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2327</v>
      </c>
      <c r="D310" s="1" t="s">
        <v>2328</v>
      </c>
      <c r="E310" s="1" t="s">
        <v>2329</v>
      </c>
      <c r="F310" s="1" t="s">
        <v>112</v>
      </c>
      <c r="G310" s="1">
        <v>126383</v>
      </c>
    </row>
    <row r="311" spans="1:7" x14ac:dyDescent="0.25">
      <c r="A311" s="1" t="str">
        <f t="shared" si="4"/>
        <v>10 Estrone 1 µg_L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2330</v>
      </c>
      <c r="D311" s="1" t="s">
        <v>2331</v>
      </c>
      <c r="E311" s="1" t="s">
        <v>2332</v>
      </c>
      <c r="F311" s="1" t="s">
        <v>112</v>
      </c>
      <c r="G311" s="1">
        <v>105878</v>
      </c>
    </row>
    <row r="312" spans="1:7" x14ac:dyDescent="0.25">
      <c r="A312" s="1" t="str">
        <f t="shared" si="4"/>
        <v>10 Estrone 1 µg_L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2333</v>
      </c>
      <c r="D312" s="1" t="s">
        <v>2334</v>
      </c>
      <c r="E312" s="1" t="s">
        <v>2335</v>
      </c>
      <c r="F312" s="1" t="s">
        <v>112</v>
      </c>
      <c r="G312" s="1">
        <v>247619</v>
      </c>
    </row>
    <row r="313" spans="1:7" x14ac:dyDescent="0.25">
      <c r="A313" s="1" t="str">
        <f t="shared" si="4"/>
        <v>10 Estrone 1 µg_L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2336</v>
      </c>
      <c r="D313" s="1" t="s">
        <v>2337</v>
      </c>
      <c r="E313" s="1" t="s">
        <v>2338</v>
      </c>
      <c r="F313" s="1" t="s">
        <v>112</v>
      </c>
      <c r="G313" s="1">
        <v>92922</v>
      </c>
    </row>
    <row r="314" spans="1:7" x14ac:dyDescent="0.25">
      <c r="A314" s="1" t="str">
        <f t="shared" si="4"/>
        <v>10 Estrone 1 µg_L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2339</v>
      </c>
    </row>
    <row r="315" spans="1:7" x14ac:dyDescent="0.25">
      <c r="A315" s="1" t="str">
        <f t="shared" si="4"/>
        <v>10 Estrone 1 µg_L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2340</v>
      </c>
      <c r="D315" s="1" t="s">
        <v>1395</v>
      </c>
      <c r="E315" s="1" t="s">
        <v>2341</v>
      </c>
      <c r="F315" s="1" t="s">
        <v>112</v>
      </c>
      <c r="G315" s="1">
        <v>50311</v>
      </c>
    </row>
    <row r="316" spans="1:7" x14ac:dyDescent="0.25">
      <c r="A316" s="1" t="str">
        <f t="shared" si="4"/>
        <v>10 Estrone 1 µg_L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2342</v>
      </c>
      <c r="D316" s="1" t="s">
        <v>2343</v>
      </c>
      <c r="E316" s="1" t="s">
        <v>1777</v>
      </c>
      <c r="F316" s="1" t="s">
        <v>112</v>
      </c>
      <c r="G316" s="1">
        <v>52517</v>
      </c>
    </row>
    <row r="317" spans="1:7" x14ac:dyDescent="0.25">
      <c r="A317" s="1" t="str">
        <f t="shared" si="4"/>
        <v>10 Estrone 1 µg_L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2344</v>
      </c>
      <c r="D317" s="1" t="s">
        <v>2345</v>
      </c>
      <c r="E317" s="1" t="s">
        <v>2346</v>
      </c>
      <c r="F317" s="1" t="s">
        <v>112</v>
      </c>
      <c r="G317" s="1">
        <v>477761</v>
      </c>
    </row>
    <row r="318" spans="1:7" x14ac:dyDescent="0.25">
      <c r="A318" s="1" t="str">
        <f t="shared" si="4"/>
        <v>10 Estrone 1 µg_L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2347</v>
      </c>
      <c r="D318" s="1" t="s">
        <v>2348</v>
      </c>
      <c r="E318" s="1" t="s">
        <v>2349</v>
      </c>
      <c r="F318" s="1" t="s">
        <v>112</v>
      </c>
      <c r="G318" s="1">
        <v>445489</v>
      </c>
    </row>
    <row r="319" spans="1:7" x14ac:dyDescent="0.25">
      <c r="A319" s="1" t="str">
        <f t="shared" si="4"/>
        <v>10 Estrone 1 µg_L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2350</v>
      </c>
      <c r="D319" s="1" t="s">
        <v>1731</v>
      </c>
      <c r="E319" s="1" t="s">
        <v>2351</v>
      </c>
      <c r="F319" s="1" t="s">
        <v>112</v>
      </c>
      <c r="G319" s="1">
        <v>136571</v>
      </c>
    </row>
    <row r="320" spans="1:7" x14ac:dyDescent="0.25">
      <c r="A320" s="1" t="str">
        <f t="shared" si="4"/>
        <v>10 Estrone 1 µg_L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2352</v>
      </c>
      <c r="D320" s="1" t="s">
        <v>1873</v>
      </c>
      <c r="E320" s="1" t="s">
        <v>2353</v>
      </c>
      <c r="F320" s="1" t="s">
        <v>112</v>
      </c>
      <c r="G320" s="1">
        <v>306474</v>
      </c>
    </row>
    <row r="321" spans="1:10" x14ac:dyDescent="0.25">
      <c r="A321" s="1" t="str">
        <f t="shared" si="4"/>
        <v>10 Estrone 1 µg_L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2354</v>
      </c>
      <c r="D321" s="1" t="s">
        <v>2355</v>
      </c>
      <c r="E321" s="1" t="s">
        <v>2356</v>
      </c>
      <c r="F321" s="1" t="s">
        <v>112</v>
      </c>
      <c r="G321" s="1">
        <v>184416</v>
      </c>
    </row>
    <row r="322" spans="1:10" x14ac:dyDescent="0.25">
      <c r="A322" s="1" t="str">
        <f t="shared" ref="A322:A385" si="5">IFERROR(LEFT(RIGHT(C322,LEN(C322)-SEARCH("@",C322)),SEARCH("/",RIGHT(C322,LEN(C322)-SEARCH("@",C322)-1))),"")</f>
        <v>10 Estrone 1 µg_L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2357</v>
      </c>
      <c r="D322" s="1" t="s">
        <v>848</v>
      </c>
      <c r="E322" s="1" t="s">
        <v>2358</v>
      </c>
      <c r="F322" s="1" t="s">
        <v>112</v>
      </c>
      <c r="G322" s="1">
        <v>189543</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242</v>
      </c>
      <c r="D324" s="1" t="s">
        <v>112</v>
      </c>
      <c r="E324" s="1" t="s">
        <v>243</v>
      </c>
      <c r="F324" s="1" t="s">
        <v>244</v>
      </c>
      <c r="G324" s="1" t="s">
        <v>245</v>
      </c>
      <c r="H324" s="1" t="s">
        <v>246</v>
      </c>
      <c r="I324" s="1" t="s">
        <v>247</v>
      </c>
      <c r="J324" s="1" t="s">
        <v>248</v>
      </c>
    </row>
    <row r="325" spans="1:10" x14ac:dyDescent="0.25">
      <c r="A325" s="1" t="str">
        <f t="shared" si="5"/>
        <v>10 Estrone 1 µg_L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2359</v>
      </c>
      <c r="D325" s="1" t="s">
        <v>112</v>
      </c>
      <c r="E325" s="1" t="s">
        <v>2360</v>
      </c>
      <c r="F325" s="1" t="s">
        <v>2361</v>
      </c>
      <c r="G325" s="1" t="s">
        <v>2362</v>
      </c>
      <c r="H325" s="1" t="s">
        <v>2363</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254</v>
      </c>
      <c r="D331" s="1" t="s">
        <v>110</v>
      </c>
      <c r="E331" s="1" t="s">
        <v>111</v>
      </c>
      <c r="F331" s="1" t="s">
        <v>112</v>
      </c>
      <c r="G331" s="1" t="s">
        <v>113</v>
      </c>
    </row>
    <row r="332" spans="1:10" x14ac:dyDescent="0.25">
      <c r="A332" s="1" t="str">
        <f t="shared" si="5"/>
        <v>11 Estrone 5 µg_L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2364</v>
      </c>
      <c r="D332" s="1" t="s">
        <v>2365</v>
      </c>
      <c r="E332" s="1" t="s">
        <v>2366</v>
      </c>
      <c r="F332" s="1" t="s">
        <v>112</v>
      </c>
      <c r="G332" s="1">
        <v>5846885</v>
      </c>
    </row>
    <row r="333" spans="1:10" x14ac:dyDescent="0.25">
      <c r="A333" s="1" t="str">
        <f t="shared" si="5"/>
        <v>11 Estrone 5 µg_L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2367</v>
      </c>
      <c r="D333" s="1" t="s">
        <v>2368</v>
      </c>
      <c r="E333" s="1" t="s">
        <v>2369</v>
      </c>
      <c r="F333" s="1" t="s">
        <v>112</v>
      </c>
      <c r="G333" s="1">
        <v>5635518</v>
      </c>
    </row>
    <row r="334" spans="1:10" x14ac:dyDescent="0.25">
      <c r="A334" s="1" t="str">
        <f t="shared" si="5"/>
        <v>11 Estrone 5 µg_L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2370</v>
      </c>
      <c r="D334" s="1" t="s">
        <v>2371</v>
      </c>
      <c r="E334" s="1" t="s">
        <v>2372</v>
      </c>
      <c r="F334" s="1" t="s">
        <v>112</v>
      </c>
      <c r="G334" s="1">
        <v>5071756</v>
      </c>
    </row>
    <row r="335" spans="1:10" x14ac:dyDescent="0.25">
      <c r="A335" s="1" t="str">
        <f t="shared" si="5"/>
        <v>11 Estrone 5 µg_L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2373</v>
      </c>
      <c r="D335" s="1" t="s">
        <v>2374</v>
      </c>
      <c r="E335" s="1" t="s">
        <v>2375</v>
      </c>
      <c r="F335" s="1" t="s">
        <v>112</v>
      </c>
      <c r="G335" s="1">
        <v>5727726</v>
      </c>
    </row>
    <row r="336" spans="1:10" x14ac:dyDescent="0.25">
      <c r="A336" s="1" t="str">
        <f t="shared" si="5"/>
        <v>11 Estrone 5 µg_L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2376</v>
      </c>
      <c r="D336" s="1" t="s">
        <v>2377</v>
      </c>
      <c r="E336" s="1" t="s">
        <v>2378</v>
      </c>
      <c r="F336" s="1" t="s">
        <v>112</v>
      </c>
      <c r="G336" s="1">
        <v>5358525</v>
      </c>
    </row>
    <row r="337" spans="1:7" x14ac:dyDescent="0.25">
      <c r="A337" s="1" t="str">
        <f t="shared" si="5"/>
        <v>11 Estrone 5 µg_L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2379</v>
      </c>
      <c r="D337" s="1" t="s">
        <v>2380</v>
      </c>
      <c r="E337" s="1" t="s">
        <v>2381</v>
      </c>
      <c r="F337" s="1" t="s">
        <v>112</v>
      </c>
      <c r="G337" s="1">
        <v>5606707</v>
      </c>
    </row>
    <row r="338" spans="1:7" x14ac:dyDescent="0.25">
      <c r="A338" s="1" t="str">
        <f t="shared" si="5"/>
        <v>11 Estrone 5 µg_L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2382</v>
      </c>
      <c r="D338" s="1" t="s">
        <v>2383</v>
      </c>
      <c r="E338" s="1" t="s">
        <v>2384</v>
      </c>
      <c r="F338" s="1" t="s">
        <v>112</v>
      </c>
      <c r="G338" s="1">
        <v>3925523</v>
      </c>
    </row>
    <row r="339" spans="1:7" x14ac:dyDescent="0.25">
      <c r="A339" s="1" t="str">
        <f t="shared" si="5"/>
        <v>11 Estrone 5 µg_L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2385</v>
      </c>
      <c r="D339" s="1" t="s">
        <v>1473</v>
      </c>
      <c r="E339" s="1" t="s">
        <v>2386</v>
      </c>
      <c r="F339" s="1" t="s">
        <v>112</v>
      </c>
      <c r="G339" s="1">
        <v>3828816</v>
      </c>
    </row>
    <row r="340" spans="1:7" x14ac:dyDescent="0.25">
      <c r="A340" s="1" t="str">
        <f t="shared" si="5"/>
        <v>11 Estrone 5 µg_L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2387</v>
      </c>
      <c r="D340" s="1" t="s">
        <v>2388</v>
      </c>
      <c r="E340" s="1" t="s">
        <v>2389</v>
      </c>
      <c r="F340" s="1" t="s">
        <v>112</v>
      </c>
      <c r="G340" s="1">
        <v>3740934</v>
      </c>
    </row>
    <row r="341" spans="1:7" x14ac:dyDescent="0.25">
      <c r="A341" s="1" t="str">
        <f t="shared" si="5"/>
        <v>11 Estrone 5 µg_L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2390</v>
      </c>
      <c r="D341" s="1" t="s">
        <v>2391</v>
      </c>
      <c r="E341" s="1" t="s">
        <v>2392</v>
      </c>
      <c r="F341" s="1" t="s">
        <v>112</v>
      </c>
      <c r="G341" s="1">
        <v>3190042</v>
      </c>
    </row>
    <row r="342" spans="1:7" x14ac:dyDescent="0.25">
      <c r="A342" s="1" t="str">
        <f t="shared" si="5"/>
        <v>11 Estrone 5 µg_L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2393</v>
      </c>
      <c r="D342" s="1" t="s">
        <v>2394</v>
      </c>
      <c r="E342" s="1" t="s">
        <v>2395</v>
      </c>
      <c r="F342" s="1" t="s">
        <v>112</v>
      </c>
      <c r="G342" s="1">
        <v>2759693</v>
      </c>
    </row>
    <row r="343" spans="1:7" x14ac:dyDescent="0.25">
      <c r="A343" s="1" t="str">
        <f t="shared" si="5"/>
        <v>11 Estrone 5 µg_L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2396</v>
      </c>
      <c r="D343" s="1" t="s">
        <v>2188</v>
      </c>
      <c r="E343" s="1" t="s">
        <v>2397</v>
      </c>
      <c r="F343" s="1" t="s">
        <v>112</v>
      </c>
      <c r="G343" s="1">
        <v>277187</v>
      </c>
    </row>
    <row r="344" spans="1:7" x14ac:dyDescent="0.25">
      <c r="A344" s="1" t="str">
        <f t="shared" si="5"/>
        <v>11 Estrone 5 µg_L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2398</v>
      </c>
      <c r="D344" s="1" t="s">
        <v>2399</v>
      </c>
      <c r="E344" s="1" t="s">
        <v>2400</v>
      </c>
      <c r="F344" s="1" t="s">
        <v>112</v>
      </c>
      <c r="G344" s="1">
        <v>5087286</v>
      </c>
    </row>
    <row r="345" spans="1:7" x14ac:dyDescent="0.25">
      <c r="A345" s="1" t="str">
        <f t="shared" si="5"/>
        <v>11 Estrone 5 µg_L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2401</v>
      </c>
      <c r="D345" s="1" t="s">
        <v>2402</v>
      </c>
      <c r="E345" s="1" t="s">
        <v>2403</v>
      </c>
      <c r="F345" s="1" t="s">
        <v>112</v>
      </c>
      <c r="G345" s="1">
        <v>5393155</v>
      </c>
    </row>
    <row r="346" spans="1:7" x14ac:dyDescent="0.25">
      <c r="A346" s="1" t="str">
        <f t="shared" si="5"/>
        <v>11 Estrone 5 µg_L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2404</v>
      </c>
      <c r="D346" s="1" t="s">
        <v>2405</v>
      </c>
      <c r="E346" s="1" t="s">
        <v>2406</v>
      </c>
      <c r="F346" s="1" t="s">
        <v>112</v>
      </c>
      <c r="G346" s="1">
        <v>5749334</v>
      </c>
    </row>
    <row r="347" spans="1:7" x14ac:dyDescent="0.25">
      <c r="A347" s="1" t="str">
        <f t="shared" si="5"/>
        <v>11 Estrone 5 µg_L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2407</v>
      </c>
      <c r="D347" s="1" t="s">
        <v>2408</v>
      </c>
      <c r="E347" s="1" t="s">
        <v>2409</v>
      </c>
      <c r="F347" s="1" t="s">
        <v>112</v>
      </c>
      <c r="G347" s="1">
        <v>3917520</v>
      </c>
    </row>
    <row r="348" spans="1:7" x14ac:dyDescent="0.25">
      <c r="A348" s="1" t="str">
        <f t="shared" si="5"/>
        <v>11 Estrone 5 µg_L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2410</v>
      </c>
      <c r="D348" s="1" t="s">
        <v>2411</v>
      </c>
      <c r="E348" s="1" t="s">
        <v>2412</v>
      </c>
      <c r="F348" s="1" t="s">
        <v>112</v>
      </c>
      <c r="G348" s="1">
        <v>4042584</v>
      </c>
    </row>
    <row r="349" spans="1:7" x14ac:dyDescent="0.25">
      <c r="A349" s="1" t="str">
        <f t="shared" si="5"/>
        <v>11 Estrone 5 µg_L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2413</v>
      </c>
      <c r="D349" s="1" t="s">
        <v>2414</v>
      </c>
      <c r="E349" s="1" t="s">
        <v>2415</v>
      </c>
      <c r="F349" s="1" t="s">
        <v>112</v>
      </c>
      <c r="G349" s="1">
        <v>4020175</v>
      </c>
    </row>
    <row r="350" spans="1:7" x14ac:dyDescent="0.25">
      <c r="A350" s="1" t="str">
        <f t="shared" si="5"/>
        <v>11 Estrone 5 µg_L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2416</v>
      </c>
      <c r="D350" s="1" t="s">
        <v>2417</v>
      </c>
      <c r="E350" s="1" t="s">
        <v>2418</v>
      </c>
      <c r="F350" s="1" t="s">
        <v>112</v>
      </c>
      <c r="G350" s="1">
        <v>5865595</v>
      </c>
    </row>
    <row r="351" spans="1:7" x14ac:dyDescent="0.25">
      <c r="A351" s="1" t="str">
        <f t="shared" si="5"/>
        <v>11 Estrone 5 µg_L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2419</v>
      </c>
      <c r="D351" s="1" t="s">
        <v>2420</v>
      </c>
      <c r="E351" s="1" t="s">
        <v>2421</v>
      </c>
      <c r="F351" s="1" t="s">
        <v>112</v>
      </c>
      <c r="G351" s="1">
        <v>6109991</v>
      </c>
    </row>
    <row r="352" spans="1:7" x14ac:dyDescent="0.25">
      <c r="A352" s="1" t="str">
        <f t="shared" si="5"/>
        <v>11 Estrone 5 µg_L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2422</v>
      </c>
      <c r="D352" s="1" t="s">
        <v>2423</v>
      </c>
      <c r="E352" s="1" t="s">
        <v>2424</v>
      </c>
      <c r="F352" s="1" t="s">
        <v>112</v>
      </c>
      <c r="G352" s="1">
        <v>6429162</v>
      </c>
    </row>
    <row r="353" spans="1:10" x14ac:dyDescent="0.25">
      <c r="A353" s="1" t="str">
        <f t="shared" si="5"/>
        <v>11 Estrone 5 µg_L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2425</v>
      </c>
      <c r="D353" s="1" t="s">
        <v>2426</v>
      </c>
      <c r="E353" s="1" t="s">
        <v>2427</v>
      </c>
      <c r="F353" s="1" t="s">
        <v>112</v>
      </c>
      <c r="G353" s="1">
        <v>5494166</v>
      </c>
    </row>
    <row r="354" spans="1:10" x14ac:dyDescent="0.25">
      <c r="A354" s="1" t="str">
        <f t="shared" si="5"/>
        <v>11 Estrone 5 µg_L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2428</v>
      </c>
      <c r="D354" s="1" t="s">
        <v>2429</v>
      </c>
      <c r="E354" s="1" t="s">
        <v>2430</v>
      </c>
      <c r="F354" s="1" t="s">
        <v>112</v>
      </c>
      <c r="G354" s="1">
        <v>6189589</v>
      </c>
    </row>
    <row r="355" spans="1:10" x14ac:dyDescent="0.25">
      <c r="A355" s="1" t="str">
        <f t="shared" si="5"/>
        <v>11 Estrone 5 µg_L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2431</v>
      </c>
      <c r="D355" s="1" t="s">
        <v>2432</v>
      </c>
      <c r="E355" s="1" t="s">
        <v>2433</v>
      </c>
      <c r="F355" s="1" t="s">
        <v>112</v>
      </c>
      <c r="G355" s="1">
        <v>5815760</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242</v>
      </c>
      <c r="D357" s="1" t="s">
        <v>112</v>
      </c>
      <c r="E357" s="1" t="s">
        <v>243</v>
      </c>
      <c r="F357" s="1" t="s">
        <v>244</v>
      </c>
      <c r="G357" s="1" t="s">
        <v>245</v>
      </c>
      <c r="H357" s="1" t="s">
        <v>246</v>
      </c>
      <c r="I357" s="1" t="s">
        <v>247</v>
      </c>
      <c r="J357" s="1" t="s">
        <v>248</v>
      </c>
    </row>
    <row r="358" spans="1:10" x14ac:dyDescent="0.25">
      <c r="A358" s="1" t="str">
        <f t="shared" si="5"/>
        <v>11 Estrone 5 µg_L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2434</v>
      </c>
      <c r="D358" s="1" t="s">
        <v>112</v>
      </c>
      <c r="E358" s="1" t="s">
        <v>2435</v>
      </c>
      <c r="F358" s="1" t="s">
        <v>2436</v>
      </c>
      <c r="G358" s="1" t="s">
        <v>2437</v>
      </c>
      <c r="H358" s="1" t="s">
        <v>2438</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254</v>
      </c>
      <c r="D364" s="1" t="s">
        <v>110</v>
      </c>
      <c r="E364" s="1" t="s">
        <v>111</v>
      </c>
      <c r="F364" s="1" t="s">
        <v>112</v>
      </c>
      <c r="G364" s="1" t="s">
        <v>113</v>
      </c>
    </row>
    <row r="365" spans="1:10" x14ac:dyDescent="0.25">
      <c r="A365" s="1" t="str">
        <f t="shared" si="5"/>
        <v>12 Estrone 25 µg_L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2439</v>
      </c>
      <c r="D365" s="1" t="s">
        <v>2440</v>
      </c>
      <c r="E365" s="1" t="s">
        <v>2441</v>
      </c>
      <c r="F365" s="1" t="s">
        <v>112</v>
      </c>
      <c r="G365" s="1">
        <v>7733812</v>
      </c>
    </row>
    <row r="366" spans="1:10" x14ac:dyDescent="0.25">
      <c r="A366" s="1" t="str">
        <f t="shared" si="5"/>
        <v>12 Estrone 25 µg_L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2442</v>
      </c>
      <c r="D366" s="1" t="s">
        <v>2443</v>
      </c>
      <c r="E366" s="1" t="s">
        <v>2444</v>
      </c>
      <c r="F366" s="1" t="s">
        <v>112</v>
      </c>
      <c r="G366" s="1">
        <v>7644610</v>
      </c>
    </row>
    <row r="367" spans="1:10" x14ac:dyDescent="0.25">
      <c r="A367" s="1" t="str">
        <f t="shared" si="5"/>
        <v>12 Estrone 25 µg_L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2445</v>
      </c>
      <c r="D367" s="1" t="s">
        <v>2446</v>
      </c>
      <c r="E367" s="1" t="s">
        <v>2447</v>
      </c>
      <c r="F367" s="1" t="s">
        <v>112</v>
      </c>
      <c r="G367" s="1">
        <v>7681489</v>
      </c>
    </row>
    <row r="368" spans="1:10" x14ac:dyDescent="0.25">
      <c r="A368" s="1" t="str">
        <f t="shared" si="5"/>
        <v>12 Estrone 25 µg_L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2448</v>
      </c>
      <c r="D368" s="1" t="s">
        <v>630</v>
      </c>
      <c r="E368" s="1" t="s">
        <v>2449</v>
      </c>
      <c r="F368" s="1" t="s">
        <v>112</v>
      </c>
      <c r="G368" s="1">
        <v>5997516</v>
      </c>
    </row>
    <row r="369" spans="1:7" x14ac:dyDescent="0.25">
      <c r="A369" s="1" t="str">
        <f t="shared" si="5"/>
        <v>12 Estrone 25 µg_L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2450</v>
      </c>
      <c r="D369" s="1" t="s">
        <v>2451</v>
      </c>
      <c r="E369" s="1" t="s">
        <v>2452</v>
      </c>
      <c r="F369" s="1" t="s">
        <v>112</v>
      </c>
      <c r="G369" s="1">
        <v>5772716</v>
      </c>
    </row>
    <row r="370" spans="1:7" x14ac:dyDescent="0.25">
      <c r="A370" s="1" t="str">
        <f t="shared" si="5"/>
        <v>12 Estrone 25 µg_L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2453</v>
      </c>
      <c r="D370" s="1" t="s">
        <v>2454</v>
      </c>
      <c r="E370" s="1" t="s">
        <v>2455</v>
      </c>
      <c r="F370" s="1" t="s">
        <v>112</v>
      </c>
      <c r="G370" s="1">
        <v>5671467</v>
      </c>
    </row>
    <row r="371" spans="1:7" x14ac:dyDescent="0.25">
      <c r="A371" s="1" t="str">
        <f t="shared" si="5"/>
        <v>12 Estrone 25 µg_L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2456</v>
      </c>
      <c r="D371" s="1" t="s">
        <v>2457</v>
      </c>
      <c r="E371" s="1" t="s">
        <v>2458</v>
      </c>
      <c r="F371" s="1" t="s">
        <v>112</v>
      </c>
      <c r="G371" s="1">
        <v>6282749</v>
      </c>
    </row>
    <row r="372" spans="1:7" x14ac:dyDescent="0.25">
      <c r="A372" s="1" t="str">
        <f t="shared" si="5"/>
        <v>12 Estrone 25 µg_L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2459</v>
      </c>
      <c r="D372" s="1" t="s">
        <v>2460</v>
      </c>
      <c r="E372" s="1" t="s">
        <v>2461</v>
      </c>
      <c r="F372" s="1" t="s">
        <v>112</v>
      </c>
      <c r="G372" s="1">
        <v>5783185</v>
      </c>
    </row>
    <row r="373" spans="1:7" x14ac:dyDescent="0.25">
      <c r="A373" s="1" t="str">
        <f t="shared" si="5"/>
        <v>12 Estrone 25 µg_L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2462</v>
      </c>
      <c r="D373" s="1" t="s">
        <v>2463</v>
      </c>
      <c r="E373" s="1" t="s">
        <v>2464</v>
      </c>
      <c r="F373" s="1" t="s">
        <v>112</v>
      </c>
      <c r="G373" s="1">
        <v>5667854</v>
      </c>
    </row>
    <row r="374" spans="1:7" x14ac:dyDescent="0.25">
      <c r="A374" s="1" t="str">
        <f t="shared" si="5"/>
        <v>12 Estrone 25 µg_L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2465</v>
      </c>
      <c r="D374" s="1" t="s">
        <v>2466</v>
      </c>
      <c r="E374" s="1" t="s">
        <v>2467</v>
      </c>
      <c r="F374" s="1" t="s">
        <v>112</v>
      </c>
      <c r="G374" s="1">
        <v>5654876</v>
      </c>
    </row>
    <row r="375" spans="1:7" x14ac:dyDescent="0.25">
      <c r="A375" s="1" t="str">
        <f t="shared" si="5"/>
        <v>12 Estrone 25 µg_L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2468</v>
      </c>
      <c r="D375" s="1" t="s">
        <v>2469</v>
      </c>
      <c r="E375" s="1" t="s">
        <v>2470</v>
      </c>
      <c r="F375" s="1" t="s">
        <v>112</v>
      </c>
      <c r="G375" s="1">
        <v>5204239</v>
      </c>
    </row>
    <row r="376" spans="1:7" x14ac:dyDescent="0.25">
      <c r="A376" s="1" t="str">
        <f t="shared" si="5"/>
        <v>12 Estrone 25 µg_L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2471</v>
      </c>
      <c r="D376" s="1" t="s">
        <v>2472</v>
      </c>
      <c r="E376" s="1" t="s">
        <v>2473</v>
      </c>
      <c r="F376" s="1" t="s">
        <v>112</v>
      </c>
      <c r="G376" s="1">
        <v>5602640</v>
      </c>
    </row>
    <row r="377" spans="1:7" x14ac:dyDescent="0.25">
      <c r="A377" s="1" t="str">
        <f t="shared" si="5"/>
        <v>12 Estrone 25 µg_L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2474</v>
      </c>
      <c r="D377" s="1" t="s">
        <v>2475</v>
      </c>
      <c r="E377" s="1" t="s">
        <v>2476</v>
      </c>
      <c r="F377" s="1" t="s">
        <v>112</v>
      </c>
      <c r="G377" s="1">
        <v>6967270</v>
      </c>
    </row>
    <row r="378" spans="1:7" x14ac:dyDescent="0.25">
      <c r="A378" s="1" t="str">
        <f t="shared" si="5"/>
        <v>12 Estrone 25 µg_L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2477</v>
      </c>
      <c r="D378" s="1" t="s">
        <v>2478</v>
      </c>
      <c r="E378" s="1" t="s">
        <v>2479</v>
      </c>
      <c r="F378" s="1" t="s">
        <v>112</v>
      </c>
      <c r="G378" s="1">
        <v>7255640</v>
      </c>
    </row>
    <row r="379" spans="1:7" x14ac:dyDescent="0.25">
      <c r="A379" s="1" t="str">
        <f t="shared" si="5"/>
        <v>12 Estrone 25 µg_L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2480</v>
      </c>
      <c r="D379" s="1" t="s">
        <v>2156</v>
      </c>
      <c r="E379" s="1" t="s">
        <v>2481</v>
      </c>
      <c r="F379" s="1" t="s">
        <v>112</v>
      </c>
      <c r="G379" s="1">
        <v>6479062</v>
      </c>
    </row>
    <row r="380" spans="1:7" x14ac:dyDescent="0.25">
      <c r="A380" s="1" t="str">
        <f t="shared" si="5"/>
        <v>12 Estrone 25 µg_L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2482</v>
      </c>
      <c r="D380" s="1" t="s">
        <v>2483</v>
      </c>
      <c r="E380" s="1" t="s">
        <v>2484</v>
      </c>
      <c r="F380" s="1" t="s">
        <v>112</v>
      </c>
      <c r="G380" s="1">
        <v>8072579</v>
      </c>
    </row>
    <row r="381" spans="1:7" x14ac:dyDescent="0.25">
      <c r="A381" s="1" t="str">
        <f t="shared" si="5"/>
        <v>12 Estrone 25 µg_L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2485</v>
      </c>
      <c r="D381" s="1" t="s">
        <v>2486</v>
      </c>
      <c r="E381" s="1" t="s">
        <v>2487</v>
      </c>
      <c r="F381" s="1" t="s">
        <v>112</v>
      </c>
      <c r="G381" s="1">
        <v>7765803</v>
      </c>
    </row>
    <row r="382" spans="1:7" x14ac:dyDescent="0.25">
      <c r="A382" s="1" t="str">
        <f t="shared" si="5"/>
        <v>12 Estrone 25 µg_L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2488</v>
      </c>
      <c r="D382" s="1" t="s">
        <v>2489</v>
      </c>
      <c r="E382" s="1" t="s">
        <v>2490</v>
      </c>
      <c r="F382" s="1" t="s">
        <v>112</v>
      </c>
      <c r="G382" s="1">
        <v>7644805</v>
      </c>
    </row>
    <row r="383" spans="1:7" x14ac:dyDescent="0.25">
      <c r="A383" s="1" t="str">
        <f t="shared" si="5"/>
        <v>12 Estrone 25 µg_L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2491</v>
      </c>
      <c r="D383" s="1" t="s">
        <v>2492</v>
      </c>
      <c r="E383" s="1" t="s">
        <v>2493</v>
      </c>
      <c r="F383" s="1" t="s">
        <v>112</v>
      </c>
      <c r="G383" s="1">
        <v>9428860</v>
      </c>
    </row>
    <row r="384" spans="1:7" x14ac:dyDescent="0.25">
      <c r="A384" s="1" t="str">
        <f t="shared" si="5"/>
        <v>12 Estrone 25 µg_L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2494</v>
      </c>
      <c r="D384" s="1" t="s">
        <v>2495</v>
      </c>
      <c r="E384" s="1" t="s">
        <v>2496</v>
      </c>
      <c r="F384" s="1" t="s">
        <v>112</v>
      </c>
      <c r="G384" s="1">
        <v>9408463</v>
      </c>
    </row>
    <row r="385" spans="1:10" x14ac:dyDescent="0.25">
      <c r="A385" s="1" t="str">
        <f t="shared" si="5"/>
        <v>12 Estrone 25 µg_L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2497</v>
      </c>
      <c r="D385" s="1" t="s">
        <v>2498</v>
      </c>
      <c r="E385" s="1" t="s">
        <v>2499</v>
      </c>
      <c r="F385" s="1" t="s">
        <v>112</v>
      </c>
      <c r="G385" s="1">
        <v>9564501</v>
      </c>
    </row>
    <row r="386" spans="1:10" x14ac:dyDescent="0.25">
      <c r="A386" s="1" t="str">
        <f t="shared" ref="A386:A449" si="6">IFERROR(LEFT(RIGHT(C386,LEN(C386)-SEARCH("@",C386)),SEARCH("/",RIGHT(C386,LEN(C386)-SEARCH("@",C386)-1))),"")</f>
        <v>12 Estrone 25 µg_L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2500</v>
      </c>
      <c r="D386" s="1" t="s">
        <v>2174</v>
      </c>
      <c r="E386" s="1" t="s">
        <v>2501</v>
      </c>
      <c r="F386" s="1" t="s">
        <v>112</v>
      </c>
      <c r="G386" s="1">
        <v>6658655</v>
      </c>
    </row>
    <row r="387" spans="1:10" x14ac:dyDescent="0.25">
      <c r="A387" s="1" t="str">
        <f t="shared" si="6"/>
        <v>12 Estrone 25 µg_L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2502</v>
      </c>
    </row>
    <row r="388" spans="1:10" x14ac:dyDescent="0.25">
      <c r="A388" s="1" t="str">
        <f t="shared" si="6"/>
        <v>12 Estrone 25 µg_L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2503</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242</v>
      </c>
      <c r="D390" s="1" t="s">
        <v>112</v>
      </c>
      <c r="E390" s="1" t="s">
        <v>243</v>
      </c>
      <c r="F390" s="1" t="s">
        <v>244</v>
      </c>
      <c r="G390" s="1" t="s">
        <v>245</v>
      </c>
      <c r="H390" s="1" t="s">
        <v>246</v>
      </c>
      <c r="I390" s="1" t="s">
        <v>247</v>
      </c>
      <c r="J390" s="1" t="s">
        <v>248</v>
      </c>
    </row>
    <row r="391" spans="1:10" x14ac:dyDescent="0.25">
      <c r="A391" s="1" t="str">
        <f t="shared" si="6"/>
        <v>12 Estrone 25 µg_L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2504</v>
      </c>
      <c r="D391" s="1" t="s">
        <v>112</v>
      </c>
      <c r="E391" s="1" t="s">
        <v>2505</v>
      </c>
      <c r="F391" s="1" t="s">
        <v>2506</v>
      </c>
      <c r="G391" s="1" t="s">
        <v>2507</v>
      </c>
      <c r="H391" s="1" t="s">
        <v>2508</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254</v>
      </c>
      <c r="D397" s="1" t="s">
        <v>110</v>
      </c>
      <c r="E397" s="1" t="s">
        <v>111</v>
      </c>
      <c r="F397" s="1" t="s">
        <v>112</v>
      </c>
      <c r="G397" s="1" t="s">
        <v>113</v>
      </c>
    </row>
    <row r="398" spans="1:10" x14ac:dyDescent="0.2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2509</v>
      </c>
    </row>
    <row r="399" spans="1:10" x14ac:dyDescent="0.2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2510</v>
      </c>
    </row>
    <row r="400" spans="1:10" x14ac:dyDescent="0.2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2511</v>
      </c>
      <c r="D400" s="1" t="s">
        <v>2512</v>
      </c>
      <c r="E400" s="1" t="s">
        <v>2513</v>
      </c>
      <c r="F400" s="1" t="s">
        <v>112</v>
      </c>
      <c r="G400" s="1">
        <v>662848</v>
      </c>
    </row>
    <row r="401" spans="1:7" x14ac:dyDescent="0.2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2514</v>
      </c>
      <c r="D401" s="1" t="s">
        <v>2515</v>
      </c>
      <c r="E401" s="1" t="s">
        <v>2516</v>
      </c>
      <c r="F401" s="1" t="s">
        <v>112</v>
      </c>
      <c r="G401" s="1">
        <v>1223473</v>
      </c>
    </row>
    <row r="402" spans="1:7" x14ac:dyDescent="0.2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2517</v>
      </c>
      <c r="D402" s="1" t="s">
        <v>2518</v>
      </c>
      <c r="E402" s="1" t="s">
        <v>2519</v>
      </c>
      <c r="F402" s="1" t="s">
        <v>112</v>
      </c>
      <c r="G402" s="1">
        <v>1202168</v>
      </c>
    </row>
    <row r="403" spans="1:7" x14ac:dyDescent="0.2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2520</v>
      </c>
      <c r="D403" s="1" t="s">
        <v>2521</v>
      </c>
      <c r="E403" s="1" t="s">
        <v>2522</v>
      </c>
      <c r="F403" s="1" t="s">
        <v>112</v>
      </c>
      <c r="G403" s="1">
        <v>1491792</v>
      </c>
    </row>
    <row r="404" spans="1:7" x14ac:dyDescent="0.2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2523</v>
      </c>
      <c r="D404" s="1" t="s">
        <v>2524</v>
      </c>
      <c r="E404" s="1" t="s">
        <v>2525</v>
      </c>
      <c r="F404" s="1" t="s">
        <v>112</v>
      </c>
      <c r="G404" s="1">
        <v>329726</v>
      </c>
    </row>
    <row r="405" spans="1:7" x14ac:dyDescent="0.2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2526</v>
      </c>
      <c r="D405" s="1" t="s">
        <v>2527</v>
      </c>
      <c r="E405" s="1" t="s">
        <v>2528</v>
      </c>
      <c r="F405" s="1" t="s">
        <v>112</v>
      </c>
      <c r="G405" s="1">
        <v>477502</v>
      </c>
    </row>
    <row r="406" spans="1:7" x14ac:dyDescent="0.2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2529</v>
      </c>
      <c r="D406" s="1" t="s">
        <v>2530</v>
      </c>
      <c r="E406" s="1" t="s">
        <v>2531</v>
      </c>
      <c r="F406" s="1" t="s">
        <v>112</v>
      </c>
      <c r="G406" s="1">
        <v>1013772</v>
      </c>
    </row>
    <row r="407" spans="1:7" x14ac:dyDescent="0.2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2532</v>
      </c>
      <c r="D407" s="1" t="s">
        <v>2530</v>
      </c>
      <c r="E407" s="1" t="s">
        <v>2533</v>
      </c>
      <c r="F407" s="1" t="s">
        <v>112</v>
      </c>
      <c r="G407" s="1">
        <v>1002502</v>
      </c>
    </row>
    <row r="408" spans="1:7" x14ac:dyDescent="0.2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2534</v>
      </c>
      <c r="D408" s="1" t="s">
        <v>2535</v>
      </c>
      <c r="E408" s="1" t="s">
        <v>2536</v>
      </c>
      <c r="F408" s="1" t="s">
        <v>112</v>
      </c>
      <c r="G408" s="1">
        <v>923813</v>
      </c>
    </row>
    <row r="409" spans="1:7" x14ac:dyDescent="0.2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2537</v>
      </c>
      <c r="D409" s="1" t="s">
        <v>2538</v>
      </c>
      <c r="E409" s="1" t="s">
        <v>2539</v>
      </c>
      <c r="F409" s="1" t="s">
        <v>112</v>
      </c>
      <c r="G409" s="1">
        <v>1255767</v>
      </c>
    </row>
    <row r="410" spans="1:7" x14ac:dyDescent="0.2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2540</v>
      </c>
    </row>
    <row r="411" spans="1:7" x14ac:dyDescent="0.2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2541</v>
      </c>
    </row>
    <row r="412" spans="1:7" x14ac:dyDescent="0.2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2542</v>
      </c>
      <c r="D412" s="1" t="s">
        <v>2219</v>
      </c>
      <c r="E412" s="1" t="s">
        <v>2543</v>
      </c>
      <c r="F412" s="1" t="s">
        <v>112</v>
      </c>
      <c r="G412" s="1">
        <v>111394</v>
      </c>
    </row>
    <row r="413" spans="1:7" x14ac:dyDescent="0.2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2544</v>
      </c>
      <c r="D413" s="1" t="s">
        <v>2545</v>
      </c>
      <c r="E413" s="1" t="s">
        <v>2546</v>
      </c>
      <c r="F413" s="1" t="s">
        <v>112</v>
      </c>
      <c r="G413" s="1">
        <v>754148</v>
      </c>
    </row>
    <row r="414" spans="1:7" x14ac:dyDescent="0.2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2547</v>
      </c>
      <c r="D414" s="1" t="s">
        <v>2548</v>
      </c>
      <c r="E414" s="1" t="s">
        <v>2549</v>
      </c>
      <c r="F414" s="1" t="s">
        <v>112</v>
      </c>
      <c r="G414" s="1">
        <v>887280</v>
      </c>
    </row>
    <row r="415" spans="1:7" x14ac:dyDescent="0.2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2550</v>
      </c>
      <c r="D415" s="1" t="s">
        <v>2551</v>
      </c>
      <c r="E415" s="1" t="s">
        <v>2552</v>
      </c>
      <c r="F415" s="1" t="s">
        <v>112</v>
      </c>
      <c r="G415" s="1">
        <v>998436</v>
      </c>
    </row>
    <row r="416" spans="1:7" x14ac:dyDescent="0.2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2553</v>
      </c>
      <c r="D416" s="1" t="s">
        <v>1641</v>
      </c>
      <c r="E416" s="1" t="s">
        <v>2554</v>
      </c>
      <c r="F416" s="1" t="s">
        <v>112</v>
      </c>
      <c r="G416" s="1">
        <v>3973044</v>
      </c>
    </row>
    <row r="417" spans="1:10" x14ac:dyDescent="0.2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2555</v>
      </c>
      <c r="D417" s="1" t="s">
        <v>2556</v>
      </c>
      <c r="E417" s="1" t="s">
        <v>2557</v>
      </c>
      <c r="F417" s="1" t="s">
        <v>112</v>
      </c>
      <c r="G417" s="1">
        <v>3489075</v>
      </c>
    </row>
    <row r="418" spans="1:10" x14ac:dyDescent="0.2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2558</v>
      </c>
      <c r="D418" s="1" t="s">
        <v>2559</v>
      </c>
      <c r="E418" s="1" t="s">
        <v>2560</v>
      </c>
      <c r="F418" s="1" t="s">
        <v>112</v>
      </c>
      <c r="G418" s="1">
        <v>4141800</v>
      </c>
    </row>
    <row r="419" spans="1:10" x14ac:dyDescent="0.2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2561</v>
      </c>
    </row>
    <row r="420" spans="1:10" x14ac:dyDescent="0.2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2562</v>
      </c>
      <c r="D420" s="1" t="s">
        <v>2257</v>
      </c>
      <c r="E420" s="1" t="s">
        <v>2563</v>
      </c>
      <c r="F420" s="1" t="s">
        <v>112</v>
      </c>
      <c r="G420" s="1">
        <v>264555</v>
      </c>
    </row>
    <row r="421" spans="1:10" x14ac:dyDescent="0.2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2564</v>
      </c>
      <c r="D421" s="1" t="s">
        <v>2565</v>
      </c>
      <c r="E421" s="1" t="s">
        <v>2566</v>
      </c>
      <c r="F421" s="1" t="s">
        <v>112</v>
      </c>
      <c r="G421" s="1">
        <v>244786</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242</v>
      </c>
      <c r="D423" s="1" t="s">
        <v>112</v>
      </c>
      <c r="E423" s="1" t="s">
        <v>243</v>
      </c>
      <c r="F423" s="1" t="s">
        <v>244</v>
      </c>
      <c r="G423" s="1" t="s">
        <v>245</v>
      </c>
      <c r="H423" s="1" t="s">
        <v>246</v>
      </c>
      <c r="I423" s="1" t="s">
        <v>247</v>
      </c>
      <c r="J423" s="1" t="s">
        <v>248</v>
      </c>
    </row>
    <row r="424" spans="1:10" x14ac:dyDescent="0.2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2567</v>
      </c>
      <c r="D424" s="1" t="s">
        <v>112</v>
      </c>
      <c r="E424" s="1" t="s">
        <v>2568</v>
      </c>
      <c r="F424" s="1" t="s">
        <v>2569</v>
      </c>
      <c r="G424" s="1" t="s">
        <v>2570</v>
      </c>
      <c r="H424" s="1" t="s">
        <v>2571</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254</v>
      </c>
      <c r="D430" s="1" t="s">
        <v>110</v>
      </c>
      <c r="E430" s="1" t="s">
        <v>111</v>
      </c>
      <c r="F430" s="1" t="s">
        <v>112</v>
      </c>
      <c r="G430" s="1" t="s">
        <v>113</v>
      </c>
    </row>
    <row r="431" spans="1:10" x14ac:dyDescent="0.2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2572</v>
      </c>
      <c r="D431" s="1" t="s">
        <v>2565</v>
      </c>
      <c r="E431" s="1" t="s">
        <v>2573</v>
      </c>
      <c r="F431" s="1" t="s">
        <v>112</v>
      </c>
      <c r="G431" s="1">
        <v>231094</v>
      </c>
    </row>
    <row r="432" spans="1:10" x14ac:dyDescent="0.2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2574</v>
      </c>
      <c r="D432" s="1" t="s">
        <v>848</v>
      </c>
      <c r="E432" s="1" t="s">
        <v>2575</v>
      </c>
      <c r="F432" s="1" t="s">
        <v>112</v>
      </c>
      <c r="G432" s="1">
        <v>187791</v>
      </c>
    </row>
    <row r="433" spans="1:7" x14ac:dyDescent="0.2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2576</v>
      </c>
    </row>
    <row r="434" spans="1:7" x14ac:dyDescent="0.2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2577</v>
      </c>
      <c r="D434" s="1" t="s">
        <v>2212</v>
      </c>
      <c r="E434" s="1" t="s">
        <v>472</v>
      </c>
      <c r="F434" s="1" t="s">
        <v>112</v>
      </c>
      <c r="G434" s="1">
        <v>60737</v>
      </c>
    </row>
    <row r="435" spans="1:7" x14ac:dyDescent="0.2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2578</v>
      </c>
    </row>
    <row r="436" spans="1:7" x14ac:dyDescent="0.2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2579</v>
      </c>
      <c r="D436" s="1" t="s">
        <v>190</v>
      </c>
      <c r="E436" s="1" t="s">
        <v>2580</v>
      </c>
      <c r="F436" s="1" t="s">
        <v>112</v>
      </c>
      <c r="G436" s="1">
        <v>146218</v>
      </c>
    </row>
    <row r="437" spans="1:7" x14ac:dyDescent="0.2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2581</v>
      </c>
      <c r="D437" s="1" t="s">
        <v>2355</v>
      </c>
      <c r="E437" s="1" t="s">
        <v>2582</v>
      </c>
      <c r="F437" s="1" t="s">
        <v>112</v>
      </c>
      <c r="G437" s="1">
        <v>184265</v>
      </c>
    </row>
    <row r="438" spans="1:7" x14ac:dyDescent="0.2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2583</v>
      </c>
      <c r="D438" s="1" t="s">
        <v>2584</v>
      </c>
      <c r="E438" s="1" t="s">
        <v>2585</v>
      </c>
      <c r="F438" s="1" t="s">
        <v>112</v>
      </c>
      <c r="G438" s="1">
        <v>273077</v>
      </c>
    </row>
    <row r="439" spans="1:7" x14ac:dyDescent="0.2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2586</v>
      </c>
      <c r="D439" s="1" t="s">
        <v>2587</v>
      </c>
      <c r="E439" s="1" t="s">
        <v>2588</v>
      </c>
      <c r="F439" s="1" t="s">
        <v>112</v>
      </c>
      <c r="G439" s="1">
        <v>634405</v>
      </c>
    </row>
    <row r="440" spans="1:7" x14ac:dyDescent="0.2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2589</v>
      </c>
      <c r="D440" s="1" t="s">
        <v>2590</v>
      </c>
      <c r="E440" s="1" t="s">
        <v>2591</v>
      </c>
      <c r="F440" s="1" t="s">
        <v>112</v>
      </c>
      <c r="G440" s="1">
        <v>348198</v>
      </c>
    </row>
    <row r="441" spans="1:7" x14ac:dyDescent="0.2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2592</v>
      </c>
      <c r="D441" s="1" t="s">
        <v>2593</v>
      </c>
      <c r="E441" s="1" t="s">
        <v>2594</v>
      </c>
      <c r="F441" s="1" t="s">
        <v>112</v>
      </c>
      <c r="G441" s="1">
        <v>717831</v>
      </c>
    </row>
    <row r="442" spans="1:7" x14ac:dyDescent="0.2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2595</v>
      </c>
    </row>
    <row r="443" spans="1:7" x14ac:dyDescent="0.2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2596</v>
      </c>
      <c r="D443" s="1" t="s">
        <v>2597</v>
      </c>
      <c r="E443" s="1" t="s">
        <v>2598</v>
      </c>
      <c r="F443" s="1" t="s">
        <v>112</v>
      </c>
      <c r="G443" s="1">
        <v>1041544</v>
      </c>
    </row>
    <row r="444" spans="1:7" x14ac:dyDescent="0.2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2599</v>
      </c>
      <c r="D444" s="1" t="s">
        <v>2600</v>
      </c>
      <c r="E444" s="1" t="s">
        <v>2601</v>
      </c>
      <c r="F444" s="1" t="s">
        <v>112</v>
      </c>
      <c r="G444" s="1">
        <v>1217763</v>
      </c>
    </row>
    <row r="445" spans="1:7" x14ac:dyDescent="0.2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2602</v>
      </c>
      <c r="D445" s="1" t="s">
        <v>2603</v>
      </c>
      <c r="E445" s="1" t="s">
        <v>2604</v>
      </c>
      <c r="F445" s="1" t="s">
        <v>112</v>
      </c>
      <c r="G445" s="1">
        <v>1293554</v>
      </c>
    </row>
    <row r="446" spans="1:7" x14ac:dyDescent="0.2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2605</v>
      </c>
      <c r="D446" s="1" t="s">
        <v>2606</v>
      </c>
      <c r="E446" s="1" t="s">
        <v>2607</v>
      </c>
      <c r="F446" s="1" t="s">
        <v>112</v>
      </c>
      <c r="G446" s="1">
        <v>2061502</v>
      </c>
    </row>
    <row r="447" spans="1:7" x14ac:dyDescent="0.2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2608</v>
      </c>
      <c r="D447" s="1" t="s">
        <v>2609</v>
      </c>
      <c r="E447" s="1" t="s">
        <v>2610</v>
      </c>
      <c r="F447" s="1" t="s">
        <v>112</v>
      </c>
      <c r="G447" s="1">
        <v>2079455</v>
      </c>
    </row>
    <row r="448" spans="1:7" x14ac:dyDescent="0.2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2611</v>
      </c>
      <c r="D448" s="1" t="s">
        <v>2612</v>
      </c>
      <c r="E448" s="1" t="s">
        <v>2613</v>
      </c>
      <c r="F448" s="1" t="s">
        <v>112</v>
      </c>
      <c r="G448" s="1">
        <v>2159096</v>
      </c>
    </row>
    <row r="449" spans="1:10" x14ac:dyDescent="0.2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2614</v>
      </c>
      <c r="D449" s="1" t="s">
        <v>2615</v>
      </c>
      <c r="E449" s="1" t="s">
        <v>2616</v>
      </c>
      <c r="F449" s="1" t="s">
        <v>112</v>
      </c>
      <c r="G449" s="1">
        <v>3898940</v>
      </c>
    </row>
    <row r="450" spans="1:10" x14ac:dyDescent="0.2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2617</v>
      </c>
      <c r="D450" s="1" t="s">
        <v>2618</v>
      </c>
      <c r="E450" s="1" t="s">
        <v>2619</v>
      </c>
      <c r="F450" s="1" t="s">
        <v>112</v>
      </c>
      <c r="G450" s="1">
        <v>3421373</v>
      </c>
    </row>
    <row r="451" spans="1:10" x14ac:dyDescent="0.2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2620</v>
      </c>
      <c r="D451" s="1" t="s">
        <v>2621</v>
      </c>
      <c r="E451" s="1" t="s">
        <v>2622</v>
      </c>
      <c r="F451" s="1" t="s">
        <v>112</v>
      </c>
      <c r="G451" s="1">
        <v>3617254</v>
      </c>
    </row>
    <row r="452" spans="1:10" x14ac:dyDescent="0.2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2623</v>
      </c>
      <c r="D452" s="1" t="s">
        <v>2624</v>
      </c>
      <c r="E452" s="1" t="s">
        <v>2625</v>
      </c>
      <c r="F452" s="1" t="s">
        <v>112</v>
      </c>
      <c r="G452" s="1">
        <v>1454221</v>
      </c>
    </row>
    <row r="453" spans="1:10" x14ac:dyDescent="0.2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2626</v>
      </c>
      <c r="D453" s="1" t="s">
        <v>2627</v>
      </c>
      <c r="E453" s="1" t="s">
        <v>2628</v>
      </c>
      <c r="F453" s="1" t="s">
        <v>112</v>
      </c>
      <c r="G453" s="1">
        <v>1218715</v>
      </c>
    </row>
    <row r="454" spans="1:10" x14ac:dyDescent="0.2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2629</v>
      </c>
      <c r="D454" s="1" t="s">
        <v>2630</v>
      </c>
      <c r="E454" s="1" t="s">
        <v>2631</v>
      </c>
      <c r="F454" s="1" t="s">
        <v>112</v>
      </c>
      <c r="G454" s="1">
        <v>1348689</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242</v>
      </c>
      <c r="D456" s="1" t="s">
        <v>112</v>
      </c>
      <c r="E456" s="1" t="s">
        <v>243</v>
      </c>
      <c r="F456" s="1" t="s">
        <v>244</v>
      </c>
      <c r="G456" s="1" t="s">
        <v>245</v>
      </c>
      <c r="H456" s="1" t="s">
        <v>246</v>
      </c>
      <c r="I456" s="1" t="s">
        <v>247</v>
      </c>
      <c r="J456" s="1" t="s">
        <v>248</v>
      </c>
    </row>
    <row r="457" spans="1:10" x14ac:dyDescent="0.2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2632</v>
      </c>
      <c r="D457" s="1" t="s">
        <v>112</v>
      </c>
      <c r="E457" s="1" t="s">
        <v>2633</v>
      </c>
      <c r="F457" s="1" t="s">
        <v>2634</v>
      </c>
      <c r="G457" s="1" t="s">
        <v>2635</v>
      </c>
      <c r="H457" s="1" t="s">
        <v>2636</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254</v>
      </c>
      <c r="D463" s="1" t="s">
        <v>110</v>
      </c>
      <c r="E463" s="1" t="s">
        <v>111</v>
      </c>
      <c r="F463" s="1" t="s">
        <v>112</v>
      </c>
      <c r="G463" s="1" t="s">
        <v>113</v>
      </c>
    </row>
    <row r="464" spans="1:10" x14ac:dyDescent="0.2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2637</v>
      </c>
      <c r="D464" s="1" t="s">
        <v>2638</v>
      </c>
      <c r="E464" s="1" t="s">
        <v>2639</v>
      </c>
      <c r="F464" s="1" t="s">
        <v>112</v>
      </c>
      <c r="G464" s="1">
        <v>3025892</v>
      </c>
    </row>
    <row r="465" spans="1:7" x14ac:dyDescent="0.2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2640</v>
      </c>
      <c r="D465" s="1" t="s">
        <v>2641</v>
      </c>
      <c r="E465" s="1" t="s">
        <v>2642</v>
      </c>
      <c r="F465" s="1" t="s">
        <v>112</v>
      </c>
      <c r="G465" s="1">
        <v>2914996</v>
      </c>
    </row>
    <row r="466" spans="1:7" x14ac:dyDescent="0.2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2643</v>
      </c>
      <c r="D466" s="1" t="s">
        <v>2644</v>
      </c>
      <c r="E466" s="1" t="s">
        <v>2645</v>
      </c>
      <c r="F466" s="1" t="s">
        <v>112</v>
      </c>
      <c r="G466" s="1">
        <v>3771107</v>
      </c>
    </row>
    <row r="467" spans="1:7" x14ac:dyDescent="0.2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2646</v>
      </c>
      <c r="D467" s="1" t="s">
        <v>2647</v>
      </c>
      <c r="E467" s="1" t="s">
        <v>2648</v>
      </c>
      <c r="F467" s="1" t="s">
        <v>112</v>
      </c>
      <c r="G467" s="1">
        <v>1271924</v>
      </c>
    </row>
    <row r="468" spans="1:7" x14ac:dyDescent="0.2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2649</v>
      </c>
      <c r="D468" s="1" t="s">
        <v>2650</v>
      </c>
      <c r="E468" s="1" t="s">
        <v>2651</v>
      </c>
      <c r="F468" s="1" t="s">
        <v>112</v>
      </c>
      <c r="G468" s="1">
        <v>2036952</v>
      </c>
    </row>
    <row r="469" spans="1:7" x14ac:dyDescent="0.2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2652</v>
      </c>
      <c r="D469" s="1" t="s">
        <v>2653</v>
      </c>
      <c r="E469" s="1" t="s">
        <v>2654</v>
      </c>
      <c r="F469" s="1" t="s">
        <v>112</v>
      </c>
      <c r="G469" s="1">
        <v>2587411</v>
      </c>
    </row>
    <row r="470" spans="1:7" x14ac:dyDescent="0.2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2655</v>
      </c>
      <c r="D470" s="1" t="s">
        <v>2521</v>
      </c>
      <c r="E470" s="1" t="s">
        <v>2656</v>
      </c>
      <c r="F470" s="1" t="s">
        <v>112</v>
      </c>
      <c r="G470" s="1">
        <v>1546343</v>
      </c>
    </row>
    <row r="471" spans="1:7" x14ac:dyDescent="0.2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2657</v>
      </c>
      <c r="D471" s="1" t="s">
        <v>2658</v>
      </c>
      <c r="E471" s="1" t="s">
        <v>2659</v>
      </c>
      <c r="F471" s="1" t="s">
        <v>112</v>
      </c>
      <c r="G471" s="1">
        <v>1675625</v>
      </c>
    </row>
    <row r="472" spans="1:7" x14ac:dyDescent="0.2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2660</v>
      </c>
      <c r="D472" s="1" t="s">
        <v>2661</v>
      </c>
      <c r="E472" s="1" t="s">
        <v>2662</v>
      </c>
      <c r="F472" s="1" t="s">
        <v>112</v>
      </c>
      <c r="G472" s="1">
        <v>1456795</v>
      </c>
    </row>
    <row r="473" spans="1:7" x14ac:dyDescent="0.2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2663</v>
      </c>
      <c r="D473" s="1" t="s">
        <v>2664</v>
      </c>
      <c r="E473" s="1" t="s">
        <v>2665</v>
      </c>
      <c r="F473" s="1" t="s">
        <v>112</v>
      </c>
      <c r="G473" s="1">
        <v>1613655</v>
      </c>
    </row>
    <row r="474" spans="1:7" x14ac:dyDescent="0.2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2666</v>
      </c>
      <c r="D474" s="1" t="s">
        <v>2667</v>
      </c>
      <c r="E474" s="1" t="s">
        <v>2668</v>
      </c>
      <c r="F474" s="1" t="s">
        <v>112</v>
      </c>
      <c r="G474" s="1">
        <v>3252682</v>
      </c>
    </row>
    <row r="475" spans="1:7" x14ac:dyDescent="0.2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2669</v>
      </c>
      <c r="D475" s="1" t="s">
        <v>2670</v>
      </c>
      <c r="E475" s="1" t="s">
        <v>2671</v>
      </c>
      <c r="F475" s="1" t="s">
        <v>112</v>
      </c>
      <c r="G475" s="1">
        <v>3751922</v>
      </c>
    </row>
    <row r="476" spans="1:7" x14ac:dyDescent="0.2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2672</v>
      </c>
      <c r="D476" s="1" t="s">
        <v>2673</v>
      </c>
      <c r="E476" s="1" t="s">
        <v>2674</v>
      </c>
      <c r="F476" s="1" t="s">
        <v>112</v>
      </c>
      <c r="G476" s="1">
        <v>2570799</v>
      </c>
    </row>
    <row r="477" spans="1:7" x14ac:dyDescent="0.2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2675</v>
      </c>
      <c r="D477" s="1" t="s">
        <v>2676</v>
      </c>
      <c r="E477" s="1" t="s">
        <v>2677</v>
      </c>
      <c r="F477" s="1" t="s">
        <v>112</v>
      </c>
      <c r="G477" s="1">
        <v>2871606</v>
      </c>
    </row>
    <row r="478" spans="1:7" x14ac:dyDescent="0.2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2678</v>
      </c>
      <c r="D478" s="1" t="s">
        <v>1091</v>
      </c>
      <c r="E478" s="1" t="s">
        <v>2679</v>
      </c>
      <c r="F478" s="1" t="s">
        <v>112</v>
      </c>
      <c r="G478" s="1">
        <v>2882508</v>
      </c>
    </row>
    <row r="479" spans="1:7" x14ac:dyDescent="0.2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2680</v>
      </c>
      <c r="D479" s="1" t="s">
        <v>2067</v>
      </c>
      <c r="E479" s="1" t="s">
        <v>2681</v>
      </c>
      <c r="F479" s="1" t="s">
        <v>112</v>
      </c>
      <c r="G479" s="1">
        <v>3100256</v>
      </c>
    </row>
    <row r="480" spans="1:7" x14ac:dyDescent="0.2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2682</v>
      </c>
      <c r="D480" s="1" t="s">
        <v>2683</v>
      </c>
      <c r="E480" s="1" t="s">
        <v>2684</v>
      </c>
      <c r="F480" s="1" t="s">
        <v>112</v>
      </c>
      <c r="G480" s="1">
        <v>2958602</v>
      </c>
    </row>
    <row r="481" spans="1:10" x14ac:dyDescent="0.2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2685</v>
      </c>
      <c r="D481" s="1" t="s">
        <v>2686</v>
      </c>
      <c r="E481" s="1" t="s">
        <v>2687</v>
      </c>
      <c r="F481" s="1" t="s">
        <v>112</v>
      </c>
      <c r="G481" s="1">
        <v>3229170</v>
      </c>
    </row>
    <row r="482" spans="1:10" x14ac:dyDescent="0.2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2688</v>
      </c>
      <c r="D482" s="1" t="s">
        <v>2689</v>
      </c>
      <c r="E482" s="1" t="s">
        <v>2690</v>
      </c>
      <c r="F482" s="1" t="s">
        <v>112</v>
      </c>
      <c r="G482" s="1">
        <v>1763896</v>
      </c>
    </row>
    <row r="483" spans="1:10" x14ac:dyDescent="0.2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2691</v>
      </c>
      <c r="D483" s="1" t="s">
        <v>2692</v>
      </c>
      <c r="E483" s="1" t="s">
        <v>2693</v>
      </c>
      <c r="F483" s="1" t="s">
        <v>112</v>
      </c>
      <c r="G483" s="1">
        <v>2645552</v>
      </c>
    </row>
    <row r="484" spans="1:10" x14ac:dyDescent="0.2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2694</v>
      </c>
      <c r="D484" s="1" t="s">
        <v>2695</v>
      </c>
      <c r="E484" s="1" t="s">
        <v>2696</v>
      </c>
      <c r="F484" s="1" t="s">
        <v>112</v>
      </c>
      <c r="G484" s="1">
        <v>2517049</v>
      </c>
    </row>
    <row r="485" spans="1:10" x14ac:dyDescent="0.2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2697</v>
      </c>
      <c r="D485" s="1" t="s">
        <v>949</v>
      </c>
      <c r="E485" s="1" t="s">
        <v>2698</v>
      </c>
      <c r="F485" s="1" t="s">
        <v>112</v>
      </c>
      <c r="G485" s="1">
        <v>2740291</v>
      </c>
    </row>
    <row r="486" spans="1:10" x14ac:dyDescent="0.2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2699</v>
      </c>
      <c r="D486" s="1" t="s">
        <v>2700</v>
      </c>
      <c r="E486" s="1" t="s">
        <v>2701</v>
      </c>
      <c r="F486" s="1" t="s">
        <v>112</v>
      </c>
      <c r="G486" s="1">
        <v>2497453</v>
      </c>
    </row>
    <row r="487" spans="1:10" x14ac:dyDescent="0.2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2702</v>
      </c>
      <c r="D487" s="1" t="s">
        <v>2703</v>
      </c>
      <c r="E487" s="1" t="s">
        <v>2704</v>
      </c>
      <c r="F487" s="1" t="s">
        <v>112</v>
      </c>
      <c r="G487" s="1">
        <v>2761056</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242</v>
      </c>
      <c r="D489" s="1" t="s">
        <v>112</v>
      </c>
      <c r="E489" s="1" t="s">
        <v>243</v>
      </c>
      <c r="F489" s="1" t="s">
        <v>244</v>
      </c>
      <c r="G489" s="1" t="s">
        <v>245</v>
      </c>
      <c r="H489" s="1" t="s">
        <v>246</v>
      </c>
      <c r="I489" s="1" t="s">
        <v>247</v>
      </c>
      <c r="J489" s="1" t="s">
        <v>248</v>
      </c>
    </row>
    <row r="490" spans="1:10" x14ac:dyDescent="0.2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2705</v>
      </c>
      <c r="D490" s="1" t="s">
        <v>112</v>
      </c>
      <c r="E490" s="1" t="s">
        <v>2706</v>
      </c>
      <c r="F490" s="1" t="s">
        <v>2707</v>
      </c>
      <c r="G490" s="1" t="s">
        <v>2708</v>
      </c>
      <c r="H490" s="1" t="s">
        <v>2709</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254</v>
      </c>
      <c r="D496" s="1" t="s">
        <v>110</v>
      </c>
      <c r="E496" s="1" t="s">
        <v>111</v>
      </c>
      <c r="F496" s="1" t="s">
        <v>112</v>
      </c>
      <c r="G496" s="1" t="s">
        <v>113</v>
      </c>
    </row>
    <row r="497" spans="1:7" x14ac:dyDescent="0.2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2710</v>
      </c>
      <c r="D497" s="1" t="s">
        <v>369</v>
      </c>
      <c r="E497" s="1" t="s">
        <v>2711</v>
      </c>
      <c r="F497" s="1" t="s">
        <v>112</v>
      </c>
      <c r="G497" s="1">
        <v>15033</v>
      </c>
    </row>
    <row r="498" spans="1:7" x14ac:dyDescent="0.2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2712</v>
      </c>
      <c r="D498" s="1" t="s">
        <v>196</v>
      </c>
      <c r="E498" s="1" t="s">
        <v>2713</v>
      </c>
      <c r="F498" s="1" t="s">
        <v>112</v>
      </c>
      <c r="G498" s="1">
        <v>16287</v>
      </c>
    </row>
    <row r="499" spans="1:7" x14ac:dyDescent="0.2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2714</v>
      </c>
      <c r="D499" s="1" t="s">
        <v>2715</v>
      </c>
      <c r="E499" s="1" t="s">
        <v>2716</v>
      </c>
      <c r="F499" s="1" t="s">
        <v>112</v>
      </c>
      <c r="G499" s="1">
        <v>261830</v>
      </c>
    </row>
    <row r="500" spans="1:7" x14ac:dyDescent="0.2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2717</v>
      </c>
      <c r="D500" s="1" t="s">
        <v>208</v>
      </c>
      <c r="E500" s="1" t="s">
        <v>2718</v>
      </c>
      <c r="F500" s="1" t="s">
        <v>112</v>
      </c>
      <c r="G500" s="1">
        <v>43043</v>
      </c>
    </row>
    <row r="501" spans="1:7" x14ac:dyDescent="0.2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2719</v>
      </c>
      <c r="D501" s="1" t="s">
        <v>710</v>
      </c>
      <c r="E501" s="1" t="s">
        <v>2720</v>
      </c>
      <c r="F501" s="1" t="s">
        <v>112</v>
      </c>
      <c r="G501" s="1">
        <v>11118</v>
      </c>
    </row>
    <row r="502" spans="1:7" x14ac:dyDescent="0.2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2721</v>
      </c>
      <c r="D502" s="1" t="s">
        <v>740</v>
      </c>
      <c r="E502" s="1" t="s">
        <v>2722</v>
      </c>
      <c r="F502" s="1" t="s">
        <v>112</v>
      </c>
      <c r="G502" s="1">
        <v>96815</v>
      </c>
    </row>
    <row r="503" spans="1:7" x14ac:dyDescent="0.2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2723</v>
      </c>
      <c r="D503" s="1" t="s">
        <v>754</v>
      </c>
      <c r="E503" s="1" t="s">
        <v>284</v>
      </c>
      <c r="F503" s="1" t="s">
        <v>112</v>
      </c>
      <c r="G503" s="1">
        <v>57103</v>
      </c>
    </row>
    <row r="504" spans="1:7" x14ac:dyDescent="0.2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2724</v>
      </c>
      <c r="D504" s="1" t="s">
        <v>713</v>
      </c>
      <c r="E504" s="1" t="s">
        <v>2720</v>
      </c>
      <c r="F504" s="1" t="s">
        <v>112</v>
      </c>
      <c r="G504" s="1">
        <v>22236</v>
      </c>
    </row>
    <row r="505" spans="1:7" x14ac:dyDescent="0.2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2725</v>
      </c>
      <c r="D505" s="1" t="s">
        <v>205</v>
      </c>
      <c r="E505" s="1" t="s">
        <v>2726</v>
      </c>
      <c r="F505" s="1" t="s">
        <v>112</v>
      </c>
      <c r="G505" s="1">
        <v>12394</v>
      </c>
    </row>
    <row r="506" spans="1:7" x14ac:dyDescent="0.2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2727</v>
      </c>
      <c r="D506" s="1" t="s">
        <v>768</v>
      </c>
      <c r="E506" s="1" t="s">
        <v>1892</v>
      </c>
      <c r="F506" s="1" t="s">
        <v>112</v>
      </c>
      <c r="G506" s="1">
        <v>9431</v>
      </c>
    </row>
    <row r="507" spans="1:7" x14ac:dyDescent="0.2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2728</v>
      </c>
      <c r="D507" s="1" t="s">
        <v>178</v>
      </c>
      <c r="E507" s="1" t="s">
        <v>342</v>
      </c>
      <c r="F507" s="1" t="s">
        <v>112</v>
      </c>
      <c r="G507" s="1">
        <v>8090</v>
      </c>
    </row>
    <row r="508" spans="1:7" x14ac:dyDescent="0.2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2729</v>
      </c>
      <c r="D508" s="1" t="s">
        <v>264</v>
      </c>
      <c r="E508" s="1" t="s">
        <v>2730</v>
      </c>
      <c r="F508" s="1" t="s">
        <v>112</v>
      </c>
      <c r="G508" s="1">
        <v>23555</v>
      </c>
    </row>
    <row r="509" spans="1:7" x14ac:dyDescent="0.2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2731</v>
      </c>
      <c r="D509" s="1" t="s">
        <v>178</v>
      </c>
      <c r="E509" s="1" t="s">
        <v>711</v>
      </c>
      <c r="F509" s="1" t="s">
        <v>112</v>
      </c>
      <c r="G509" s="1">
        <v>7981</v>
      </c>
    </row>
    <row r="510" spans="1:7" x14ac:dyDescent="0.2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2732</v>
      </c>
      <c r="D510" s="1" t="s">
        <v>196</v>
      </c>
      <c r="E510" s="1" t="s">
        <v>730</v>
      </c>
      <c r="F510" s="1" t="s">
        <v>112</v>
      </c>
      <c r="G510" s="1">
        <v>16222</v>
      </c>
    </row>
    <row r="511" spans="1:7" x14ac:dyDescent="0.2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2733</v>
      </c>
      <c r="D511" s="1" t="s">
        <v>1741</v>
      </c>
      <c r="E511" s="1" t="s">
        <v>2734</v>
      </c>
      <c r="F511" s="1" t="s">
        <v>112</v>
      </c>
      <c r="G511" s="1">
        <v>75683</v>
      </c>
    </row>
    <row r="512" spans="1:7" x14ac:dyDescent="0.2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2735</v>
      </c>
      <c r="D512" s="1" t="s">
        <v>441</v>
      </c>
      <c r="E512" s="1" t="s">
        <v>2736</v>
      </c>
      <c r="F512" s="1" t="s">
        <v>112</v>
      </c>
      <c r="G512" s="1">
        <v>56908</v>
      </c>
    </row>
    <row r="513" spans="1:10" x14ac:dyDescent="0.2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2737</v>
      </c>
      <c r="D513" s="1" t="s">
        <v>279</v>
      </c>
      <c r="E513" s="1" t="s">
        <v>2720</v>
      </c>
      <c r="F513" s="1" t="s">
        <v>112</v>
      </c>
      <c r="G513" s="1">
        <v>27794</v>
      </c>
    </row>
    <row r="514" spans="1:10" x14ac:dyDescent="0.2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2738</v>
      </c>
      <c r="D514" s="1" t="s">
        <v>859</v>
      </c>
      <c r="E514" s="1" t="s">
        <v>329</v>
      </c>
      <c r="F514" s="1" t="s">
        <v>112</v>
      </c>
      <c r="G514" s="1">
        <v>65863</v>
      </c>
    </row>
    <row r="515" spans="1:10" x14ac:dyDescent="0.2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2739</v>
      </c>
      <c r="D515" s="1" t="s">
        <v>300</v>
      </c>
      <c r="E515" s="1" t="s">
        <v>2740</v>
      </c>
      <c r="F515" s="1" t="s">
        <v>112</v>
      </c>
      <c r="G515" s="1">
        <v>17693</v>
      </c>
    </row>
    <row r="516" spans="1:10" x14ac:dyDescent="0.2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2741</v>
      </c>
      <c r="D516" s="1" t="s">
        <v>328</v>
      </c>
      <c r="E516" s="1" t="s">
        <v>2742</v>
      </c>
      <c r="F516" s="1" t="s">
        <v>112</v>
      </c>
      <c r="G516" s="1">
        <v>44103</v>
      </c>
    </row>
    <row r="517" spans="1:10" x14ac:dyDescent="0.2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2743</v>
      </c>
      <c r="D517" s="1" t="s">
        <v>175</v>
      </c>
      <c r="E517" s="1" t="s">
        <v>2744</v>
      </c>
      <c r="F517" s="1" t="s">
        <v>112</v>
      </c>
      <c r="G517" s="1">
        <v>104234</v>
      </c>
    </row>
    <row r="518" spans="1:10" x14ac:dyDescent="0.2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2745</v>
      </c>
      <c r="D518" s="1" t="s">
        <v>2746</v>
      </c>
      <c r="E518" s="1" t="s">
        <v>2747</v>
      </c>
      <c r="F518" s="1" t="s">
        <v>112</v>
      </c>
      <c r="G518" s="1">
        <v>492340</v>
      </c>
    </row>
    <row r="519" spans="1:10" x14ac:dyDescent="0.2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2748</v>
      </c>
      <c r="D519" s="1" t="s">
        <v>713</v>
      </c>
      <c r="E519" s="1" t="s">
        <v>2749</v>
      </c>
      <c r="F519" s="1" t="s">
        <v>112</v>
      </c>
      <c r="G519" s="1">
        <v>21652</v>
      </c>
    </row>
    <row r="520" spans="1:10" x14ac:dyDescent="0.2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2750</v>
      </c>
      <c r="D520" s="1" t="s">
        <v>2751</v>
      </c>
      <c r="E520" s="1" t="s">
        <v>2752</v>
      </c>
      <c r="F520" s="1" t="s">
        <v>112</v>
      </c>
      <c r="G520" s="1">
        <v>246235</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242</v>
      </c>
      <c r="D522" s="1" t="s">
        <v>112</v>
      </c>
      <c r="E522" s="1" t="s">
        <v>243</v>
      </c>
      <c r="F522" s="1" t="s">
        <v>244</v>
      </c>
      <c r="G522" s="1" t="s">
        <v>245</v>
      </c>
      <c r="H522" s="1" t="s">
        <v>246</v>
      </c>
      <c r="I522" s="1" t="s">
        <v>247</v>
      </c>
      <c r="J522" s="1" t="s">
        <v>248</v>
      </c>
    </row>
    <row r="523" spans="1:10" x14ac:dyDescent="0.2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2753</v>
      </c>
      <c r="D523" s="1" t="s">
        <v>112</v>
      </c>
      <c r="E523" s="1" t="s">
        <v>2754</v>
      </c>
      <c r="F523" s="1" t="s">
        <v>2755</v>
      </c>
      <c r="G523" s="1" t="s">
        <v>2756</v>
      </c>
      <c r="H523" s="1" t="s">
        <v>2757</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254</v>
      </c>
      <c r="D529" s="1" t="s">
        <v>110</v>
      </c>
      <c r="E529" s="1" t="s">
        <v>111</v>
      </c>
      <c r="F529" s="1" t="s">
        <v>112</v>
      </c>
      <c r="G529" s="1" t="s">
        <v>113</v>
      </c>
    </row>
    <row r="530" spans="1:7" x14ac:dyDescent="0.25">
      <c r="A530" s="1" t="str">
        <f t="shared" si="8"/>
        <v>05 Estrone 0.04 µg_LL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2758</v>
      </c>
      <c r="D530" s="1" t="s">
        <v>1766</v>
      </c>
      <c r="E530" s="1" t="s">
        <v>2759</v>
      </c>
      <c r="F530" s="1" t="s">
        <v>112</v>
      </c>
      <c r="G530" s="1">
        <v>174337</v>
      </c>
    </row>
    <row r="531" spans="1:7" x14ac:dyDescent="0.25">
      <c r="A531" s="1" t="str">
        <f t="shared" si="8"/>
        <v>05 Estrone 0.04 µg_LL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2760</v>
      </c>
      <c r="D531" s="1" t="s">
        <v>2355</v>
      </c>
      <c r="E531" s="1" t="s">
        <v>2761</v>
      </c>
      <c r="F531" s="1" t="s">
        <v>112</v>
      </c>
      <c r="G531" s="1">
        <v>184892</v>
      </c>
    </row>
    <row r="532" spans="1:7" x14ac:dyDescent="0.25">
      <c r="A532" s="1" t="str">
        <f t="shared" si="8"/>
        <v>05 Estrone 0.04 µg_LL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2762</v>
      </c>
      <c r="D532" s="1" t="s">
        <v>2763</v>
      </c>
      <c r="E532" s="1" t="s">
        <v>2764</v>
      </c>
      <c r="F532" s="1" t="s">
        <v>112</v>
      </c>
      <c r="G532" s="1">
        <v>740088</v>
      </c>
    </row>
    <row r="533" spans="1:7" x14ac:dyDescent="0.25">
      <c r="A533" s="1" t="str">
        <f t="shared" si="8"/>
        <v>05 Estrone 0.04 µg_LL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2765</v>
      </c>
      <c r="D533" s="1" t="s">
        <v>1372</v>
      </c>
      <c r="E533" s="1" t="s">
        <v>2766</v>
      </c>
      <c r="F533" s="1" t="s">
        <v>112</v>
      </c>
      <c r="G533" s="1">
        <v>947281</v>
      </c>
    </row>
    <row r="534" spans="1:7" x14ac:dyDescent="0.25">
      <c r="A534" s="1" t="str">
        <f t="shared" si="8"/>
        <v>05 Estrone 0.04 µg_LL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2767</v>
      </c>
      <c r="D534" s="1" t="s">
        <v>2768</v>
      </c>
      <c r="E534" s="1" t="s">
        <v>2769</v>
      </c>
      <c r="F534" s="1" t="s">
        <v>112</v>
      </c>
      <c r="G534" s="1">
        <v>1105461</v>
      </c>
    </row>
    <row r="535" spans="1:7" x14ac:dyDescent="0.25">
      <c r="A535" s="1" t="str">
        <f t="shared" si="8"/>
        <v>05 Estrone 0.04 µg_LL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2770</v>
      </c>
      <c r="D535" s="1" t="s">
        <v>2771</v>
      </c>
      <c r="E535" s="1" t="s">
        <v>2772</v>
      </c>
      <c r="F535" s="1" t="s">
        <v>112</v>
      </c>
      <c r="G535" s="1">
        <v>2878744</v>
      </c>
    </row>
    <row r="536" spans="1:7" x14ac:dyDescent="0.25">
      <c r="A536" s="1" t="str">
        <f t="shared" si="8"/>
        <v>05 Estrone 0.04 µg_LL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2773</v>
      </c>
      <c r="D536" s="1" t="s">
        <v>794</v>
      </c>
      <c r="E536" s="1" t="s">
        <v>2774</v>
      </c>
      <c r="F536" s="1" t="s">
        <v>112</v>
      </c>
      <c r="G536" s="1">
        <v>808006</v>
      </c>
    </row>
    <row r="537" spans="1:7" x14ac:dyDescent="0.25">
      <c r="A537" s="1" t="str">
        <f t="shared" si="8"/>
        <v>05 Estrone 0.04 µg_LL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2775</v>
      </c>
      <c r="D537" s="1" t="s">
        <v>2776</v>
      </c>
      <c r="E537" s="1" t="s">
        <v>2777</v>
      </c>
      <c r="F537" s="1" t="s">
        <v>112</v>
      </c>
      <c r="G537" s="1">
        <v>584764</v>
      </c>
    </row>
    <row r="538" spans="1:7" x14ac:dyDescent="0.25">
      <c r="A538" s="1" t="str">
        <f t="shared" si="8"/>
        <v>05 Estrone 0.04 µg_LL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2778</v>
      </c>
      <c r="D538" s="1" t="s">
        <v>2779</v>
      </c>
      <c r="E538" s="1" t="s">
        <v>2780</v>
      </c>
      <c r="F538" s="1" t="s">
        <v>112</v>
      </c>
      <c r="G538" s="1">
        <v>851071</v>
      </c>
    </row>
    <row r="539" spans="1:7" x14ac:dyDescent="0.25">
      <c r="A539" s="1" t="str">
        <f t="shared" si="8"/>
        <v>05 Estrone 0.04 µg_LL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2781</v>
      </c>
      <c r="D539" s="1" t="s">
        <v>520</v>
      </c>
      <c r="E539" s="1" t="s">
        <v>2782</v>
      </c>
      <c r="F539" s="1" t="s">
        <v>112</v>
      </c>
      <c r="G539" s="1">
        <v>403960</v>
      </c>
    </row>
    <row r="540" spans="1:7" x14ac:dyDescent="0.25">
      <c r="A540" s="1" t="str">
        <f t="shared" si="8"/>
        <v>05 Estrone 0.04 µg_LL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2783</v>
      </c>
      <c r="D540" s="1" t="s">
        <v>148</v>
      </c>
      <c r="E540" s="1" t="s">
        <v>472</v>
      </c>
      <c r="F540" s="1" t="s">
        <v>112</v>
      </c>
      <c r="G540" s="1">
        <v>334052</v>
      </c>
    </row>
    <row r="541" spans="1:7" x14ac:dyDescent="0.25">
      <c r="A541" s="1" t="str">
        <f t="shared" si="8"/>
        <v>05 Estrone 0.04 µg_LL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2784</v>
      </c>
      <c r="D541" s="1" t="s">
        <v>831</v>
      </c>
      <c r="E541" s="1" t="s">
        <v>2785</v>
      </c>
      <c r="F541" s="1" t="s">
        <v>112</v>
      </c>
      <c r="G541" s="1">
        <v>414126</v>
      </c>
    </row>
    <row r="542" spans="1:7" x14ac:dyDescent="0.25">
      <c r="A542" s="1" t="str">
        <f t="shared" si="8"/>
        <v>05 Estrone 0.04 µg_LL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2786</v>
      </c>
      <c r="D542" s="1" t="s">
        <v>1357</v>
      </c>
      <c r="E542" s="1" t="s">
        <v>2787</v>
      </c>
      <c r="F542" s="1" t="s">
        <v>112</v>
      </c>
      <c r="G542" s="1">
        <v>1286633</v>
      </c>
    </row>
    <row r="543" spans="1:7" x14ac:dyDescent="0.25">
      <c r="A543" s="1" t="str">
        <f t="shared" si="8"/>
        <v>05 Estrone 0.04 µg_LL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2788</v>
      </c>
      <c r="D543" s="1" t="s">
        <v>2789</v>
      </c>
      <c r="E543" s="1" t="s">
        <v>2790</v>
      </c>
      <c r="F543" s="1" t="s">
        <v>112</v>
      </c>
      <c r="G543" s="1">
        <v>1217525</v>
      </c>
    </row>
    <row r="544" spans="1:7" x14ac:dyDescent="0.25">
      <c r="A544" s="1" t="str">
        <f t="shared" si="8"/>
        <v>05 Estrone 0.04 µg_LL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2791</v>
      </c>
      <c r="D544" s="1" t="s">
        <v>2792</v>
      </c>
      <c r="E544" s="1" t="s">
        <v>2793</v>
      </c>
      <c r="F544" s="1" t="s">
        <v>112</v>
      </c>
      <c r="G544" s="1">
        <v>1423831</v>
      </c>
    </row>
    <row r="545" spans="1:10" x14ac:dyDescent="0.25">
      <c r="A545" s="1" t="str">
        <f t="shared" si="8"/>
        <v>05 Estrone 0.04 µg_LL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2794</v>
      </c>
      <c r="D545" s="1" t="s">
        <v>1127</v>
      </c>
      <c r="E545" s="1" t="s">
        <v>2795</v>
      </c>
      <c r="F545" s="1" t="s">
        <v>112</v>
      </c>
      <c r="G545" s="1">
        <v>756030</v>
      </c>
    </row>
    <row r="546" spans="1:10" x14ac:dyDescent="0.25">
      <c r="A546" s="1" t="str">
        <f t="shared" si="8"/>
        <v>05 Estrone 0.04 µg_LL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2796</v>
      </c>
      <c r="D546" s="1" t="s">
        <v>2797</v>
      </c>
      <c r="E546" s="1" t="s">
        <v>2798</v>
      </c>
      <c r="F546" s="1" t="s">
        <v>112</v>
      </c>
      <c r="G546" s="1">
        <v>640115</v>
      </c>
    </row>
    <row r="547" spans="1:10" x14ac:dyDescent="0.25">
      <c r="A547" s="1" t="str">
        <f t="shared" si="8"/>
        <v>05 Estrone 0.04 µg_LL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2799</v>
      </c>
      <c r="D547" s="1" t="s">
        <v>2800</v>
      </c>
      <c r="E547" s="1" t="s">
        <v>2801</v>
      </c>
      <c r="F547" s="1" t="s">
        <v>112</v>
      </c>
      <c r="G547" s="1">
        <v>778806</v>
      </c>
    </row>
    <row r="548" spans="1:10" x14ac:dyDescent="0.25">
      <c r="A548" s="1" t="str">
        <f t="shared" si="8"/>
        <v>05 Estrone 0.04 µg_LL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2802</v>
      </c>
      <c r="D548" s="1" t="s">
        <v>2803</v>
      </c>
      <c r="E548" s="1" t="s">
        <v>2804</v>
      </c>
      <c r="F548" s="1" t="s">
        <v>112</v>
      </c>
      <c r="G548" s="1">
        <v>2222061</v>
      </c>
    </row>
    <row r="549" spans="1:10" x14ac:dyDescent="0.25">
      <c r="A549" s="1" t="str">
        <f t="shared" si="8"/>
        <v>05 Estrone 0.04 µg_LL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2805</v>
      </c>
      <c r="D549" s="1" t="s">
        <v>2806</v>
      </c>
      <c r="E549" s="1" t="s">
        <v>2807</v>
      </c>
      <c r="F549" s="1" t="s">
        <v>112</v>
      </c>
      <c r="G549" s="1">
        <v>1791020</v>
      </c>
    </row>
    <row r="550" spans="1:10" x14ac:dyDescent="0.25">
      <c r="A550" s="1" t="str">
        <f t="shared" si="8"/>
        <v>05 Estrone 0.04 µg_LL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2808</v>
      </c>
      <c r="D550" s="1" t="s">
        <v>2809</v>
      </c>
      <c r="E550" s="1" t="s">
        <v>2810</v>
      </c>
      <c r="F550" s="1" t="s">
        <v>112</v>
      </c>
      <c r="G550" s="1">
        <v>2226235</v>
      </c>
    </row>
    <row r="551" spans="1:10" x14ac:dyDescent="0.25">
      <c r="A551" s="1" t="str">
        <f t="shared" si="8"/>
        <v>05 Estrone 0.04 µg_LL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2811</v>
      </c>
      <c r="D551" s="1" t="s">
        <v>414</v>
      </c>
      <c r="E551" s="1" t="s">
        <v>2812</v>
      </c>
      <c r="F551" s="1" t="s">
        <v>112</v>
      </c>
      <c r="G551" s="1">
        <v>810472</v>
      </c>
    </row>
    <row r="552" spans="1:10" x14ac:dyDescent="0.25">
      <c r="A552" s="1" t="str">
        <f t="shared" si="8"/>
        <v>05 Estrone 0.04 µg_LL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2813</v>
      </c>
      <c r="D552" s="1" t="s">
        <v>2814</v>
      </c>
      <c r="E552" s="1" t="s">
        <v>2815</v>
      </c>
      <c r="F552" s="1" t="s">
        <v>112</v>
      </c>
      <c r="G552" s="1">
        <v>771993</v>
      </c>
    </row>
    <row r="553" spans="1:10" x14ac:dyDescent="0.25">
      <c r="A553" s="1" t="str">
        <f t="shared" si="8"/>
        <v>05 Estrone 0.04 µg_LL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2816</v>
      </c>
      <c r="D553" s="1" t="s">
        <v>2817</v>
      </c>
      <c r="E553" s="1" t="s">
        <v>2818</v>
      </c>
      <c r="F553" s="1" t="s">
        <v>112</v>
      </c>
      <c r="G553" s="1">
        <v>709634</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242</v>
      </c>
      <c r="D555" s="1" t="s">
        <v>112</v>
      </c>
      <c r="E555" s="1" t="s">
        <v>243</v>
      </c>
      <c r="F555" s="1" t="s">
        <v>244</v>
      </c>
      <c r="G555" s="1" t="s">
        <v>245</v>
      </c>
      <c r="H555" s="1" t="s">
        <v>246</v>
      </c>
      <c r="I555" s="1" t="s">
        <v>247</v>
      </c>
      <c r="J555" s="1" t="s">
        <v>248</v>
      </c>
    </row>
    <row r="556" spans="1:10" x14ac:dyDescent="0.25">
      <c r="A556" s="1" t="str">
        <f t="shared" si="8"/>
        <v>05 Estrone 0.04 µg_LL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2819</v>
      </c>
      <c r="D556" s="1" t="s">
        <v>112</v>
      </c>
      <c r="E556" s="1" t="s">
        <v>2820</v>
      </c>
      <c r="F556" s="1" t="s">
        <v>2821</v>
      </c>
      <c r="G556" s="1" t="s">
        <v>2822</v>
      </c>
      <c r="H556" s="1" t="s">
        <v>2823</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254</v>
      </c>
      <c r="D562" s="1" t="s">
        <v>110</v>
      </c>
      <c r="E562" s="1" t="s">
        <v>111</v>
      </c>
      <c r="F562" s="1" t="s">
        <v>112</v>
      </c>
      <c r="G562" s="1" t="s">
        <v>113</v>
      </c>
    </row>
    <row r="563" spans="1:7" x14ac:dyDescent="0.25">
      <c r="A563" s="1" t="str">
        <f t="shared" si="8"/>
        <v>06 Estrone 0.2 µg_LL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2824</v>
      </c>
      <c r="D563" s="1" t="s">
        <v>2825</v>
      </c>
      <c r="E563" s="1" t="s">
        <v>2826</v>
      </c>
      <c r="F563" s="1" t="s">
        <v>112</v>
      </c>
      <c r="G563" s="1">
        <v>2044631</v>
      </c>
    </row>
    <row r="564" spans="1:7" x14ac:dyDescent="0.25">
      <c r="A564" s="1" t="str">
        <f t="shared" si="8"/>
        <v>06 Estrone 0.2 µg_LL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2827</v>
      </c>
      <c r="D564" s="1" t="s">
        <v>2828</v>
      </c>
      <c r="E564" s="1" t="s">
        <v>2829</v>
      </c>
      <c r="F564" s="1" t="s">
        <v>112</v>
      </c>
      <c r="G564" s="1">
        <v>2085533</v>
      </c>
    </row>
    <row r="565" spans="1:7" x14ac:dyDescent="0.25">
      <c r="A565" s="1" t="str">
        <f t="shared" si="8"/>
        <v>06 Estrone 0.2 µg_LL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2830</v>
      </c>
      <c r="D565" s="1" t="s">
        <v>2831</v>
      </c>
      <c r="E565" s="1" t="s">
        <v>2832</v>
      </c>
      <c r="F565" s="1" t="s">
        <v>112</v>
      </c>
      <c r="G565" s="1">
        <v>2978631</v>
      </c>
    </row>
    <row r="566" spans="1:7" x14ac:dyDescent="0.25">
      <c r="A566" s="1" t="str">
        <f t="shared" si="8"/>
        <v>06 Estrone 0.2 µg_LL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2833</v>
      </c>
      <c r="D566" s="1" t="s">
        <v>2834</v>
      </c>
      <c r="E566" s="1" t="s">
        <v>2835</v>
      </c>
      <c r="F566" s="1" t="s">
        <v>112</v>
      </c>
      <c r="G566" s="1">
        <v>1914051</v>
      </c>
    </row>
    <row r="567" spans="1:7" x14ac:dyDescent="0.25">
      <c r="A567" s="1" t="str">
        <f t="shared" si="8"/>
        <v>06 Estrone 0.2 µg_LL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2836</v>
      </c>
      <c r="D567" s="1" t="s">
        <v>555</v>
      </c>
      <c r="E567" s="1" t="s">
        <v>2837</v>
      </c>
      <c r="F567" s="1" t="s">
        <v>112</v>
      </c>
      <c r="G567" s="1">
        <v>2219054</v>
      </c>
    </row>
    <row r="568" spans="1:7" x14ac:dyDescent="0.25">
      <c r="A568" s="1" t="str">
        <f t="shared" si="8"/>
        <v>06 Estrone 0.2 µg_LL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2838</v>
      </c>
      <c r="D568" s="1" t="s">
        <v>2839</v>
      </c>
      <c r="E568" s="1" t="s">
        <v>2840</v>
      </c>
      <c r="F568" s="1" t="s">
        <v>112</v>
      </c>
      <c r="G568" s="1">
        <v>2701898</v>
      </c>
    </row>
    <row r="569" spans="1:7" x14ac:dyDescent="0.25">
      <c r="A569" s="1" t="str">
        <f t="shared" si="8"/>
        <v>06 Estrone 0.2 µg_LL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2841</v>
      </c>
      <c r="D569" s="1" t="s">
        <v>2842</v>
      </c>
      <c r="E569" s="1" t="s">
        <v>2843</v>
      </c>
      <c r="F569" s="1" t="s">
        <v>112</v>
      </c>
      <c r="G569" s="1">
        <v>1336360</v>
      </c>
    </row>
    <row r="570" spans="1:7" x14ac:dyDescent="0.25">
      <c r="A570" s="1" t="str">
        <f t="shared" si="8"/>
        <v>06 Estrone 0.2 µg_LL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2844</v>
      </c>
      <c r="D570" s="1" t="s">
        <v>2845</v>
      </c>
      <c r="E570" s="1" t="s">
        <v>2846</v>
      </c>
      <c r="F570" s="1" t="s">
        <v>112</v>
      </c>
      <c r="G570" s="1">
        <v>1536501</v>
      </c>
    </row>
    <row r="571" spans="1:7" x14ac:dyDescent="0.25">
      <c r="A571" s="1" t="str">
        <f t="shared" si="8"/>
        <v>06 Estrone 0.2 µg_LL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2847</v>
      </c>
      <c r="D571" s="1" t="s">
        <v>2848</v>
      </c>
      <c r="E571" s="1" t="s">
        <v>2849</v>
      </c>
      <c r="F571" s="1" t="s">
        <v>112</v>
      </c>
      <c r="G571" s="1">
        <v>1713477</v>
      </c>
    </row>
    <row r="572" spans="1:7" x14ac:dyDescent="0.25">
      <c r="A572" s="1" t="str">
        <f t="shared" si="8"/>
        <v>06 Estrone 0.2 µg_LL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2850</v>
      </c>
      <c r="D572" s="1" t="s">
        <v>2851</v>
      </c>
      <c r="E572" s="1" t="s">
        <v>2852</v>
      </c>
      <c r="F572" s="1" t="s">
        <v>112</v>
      </c>
      <c r="G572" s="1">
        <v>2903467</v>
      </c>
    </row>
    <row r="573" spans="1:7" x14ac:dyDescent="0.25">
      <c r="A573" s="1" t="str">
        <f t="shared" si="8"/>
        <v>06 Estrone 0.2 µg_LL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2853</v>
      </c>
      <c r="D573" s="1" t="s">
        <v>2854</v>
      </c>
      <c r="E573" s="1" t="s">
        <v>2855</v>
      </c>
      <c r="F573" s="1" t="s">
        <v>112</v>
      </c>
      <c r="G573" s="1">
        <v>3010384</v>
      </c>
    </row>
    <row r="574" spans="1:7" x14ac:dyDescent="0.25">
      <c r="A574" s="1" t="str">
        <f t="shared" si="8"/>
        <v>06 Estrone 0.2 µg_LL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2856</v>
      </c>
      <c r="D574" s="1" t="s">
        <v>2857</v>
      </c>
      <c r="E574" s="1" t="s">
        <v>2858</v>
      </c>
      <c r="F574" s="1" t="s">
        <v>112</v>
      </c>
      <c r="G574" s="1">
        <v>2438403</v>
      </c>
    </row>
    <row r="575" spans="1:7" x14ac:dyDescent="0.25">
      <c r="A575" s="1" t="str">
        <f t="shared" si="8"/>
        <v>06 Estrone 0.2 µg_LL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2859</v>
      </c>
      <c r="D575" s="1" t="s">
        <v>2860</v>
      </c>
      <c r="E575" s="1" t="s">
        <v>2861</v>
      </c>
      <c r="F575" s="1" t="s">
        <v>112</v>
      </c>
      <c r="G575" s="1">
        <v>4641040</v>
      </c>
    </row>
    <row r="576" spans="1:7" x14ac:dyDescent="0.25">
      <c r="A576" s="1" t="str">
        <f t="shared" si="8"/>
        <v>06 Estrone 0.2 µg_LL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2862</v>
      </c>
      <c r="D576" s="1" t="s">
        <v>2863</v>
      </c>
      <c r="E576" s="1" t="s">
        <v>2864</v>
      </c>
      <c r="F576" s="1" t="s">
        <v>112</v>
      </c>
      <c r="G576" s="1">
        <v>4378475</v>
      </c>
    </row>
    <row r="577" spans="1:10" x14ac:dyDescent="0.25">
      <c r="A577" s="1" t="str">
        <f t="shared" si="8"/>
        <v>06 Estrone 0.2 µg_LL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2865</v>
      </c>
      <c r="D577" s="1" t="s">
        <v>2866</v>
      </c>
      <c r="E577" s="1" t="s">
        <v>2867</v>
      </c>
      <c r="F577" s="1" t="s">
        <v>112</v>
      </c>
      <c r="G577" s="1">
        <v>5018763</v>
      </c>
    </row>
    <row r="578" spans="1:10" x14ac:dyDescent="0.25">
      <c r="A578" s="1" t="str">
        <f t="shared" ref="A578:A641" si="9">IFERROR(LEFT(RIGHT(C578,LEN(C578)-SEARCH("@",C578)),SEARCH("/",RIGHT(C578,LEN(C578)-SEARCH("@",C578)-1))),"")</f>
        <v>06 Estrone 0.2 µg_LL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2868</v>
      </c>
      <c r="D578" s="1" t="s">
        <v>2869</v>
      </c>
      <c r="E578" s="1" t="s">
        <v>2870</v>
      </c>
      <c r="F578" s="1" t="s">
        <v>112</v>
      </c>
      <c r="G578" s="1">
        <v>3067249</v>
      </c>
    </row>
    <row r="579" spans="1:10" x14ac:dyDescent="0.25">
      <c r="A579" s="1" t="str">
        <f t="shared" si="9"/>
        <v>06 Estrone 0.2 µg_LL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2871</v>
      </c>
      <c r="D579" s="1" t="s">
        <v>2872</v>
      </c>
      <c r="E579" s="1" t="s">
        <v>2873</v>
      </c>
      <c r="F579" s="1" t="s">
        <v>112</v>
      </c>
      <c r="G579" s="1">
        <v>2825816</v>
      </c>
    </row>
    <row r="580" spans="1:10" x14ac:dyDescent="0.25">
      <c r="A580" s="1" t="str">
        <f t="shared" si="9"/>
        <v>06 Estrone 0.2 µg_LL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2874</v>
      </c>
      <c r="D580" s="1" t="s">
        <v>2875</v>
      </c>
      <c r="E580" s="1" t="s">
        <v>2876</v>
      </c>
      <c r="F580" s="1" t="s">
        <v>112</v>
      </c>
      <c r="G580" s="1">
        <v>2784719</v>
      </c>
    </row>
    <row r="581" spans="1:10" x14ac:dyDescent="0.25">
      <c r="A581" s="1" t="str">
        <f t="shared" si="9"/>
        <v>06 Estrone 0.2 µg_LL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2877</v>
      </c>
      <c r="D581" s="1" t="s">
        <v>2878</v>
      </c>
      <c r="E581" s="1" t="s">
        <v>2879</v>
      </c>
      <c r="F581" s="1" t="s">
        <v>112</v>
      </c>
      <c r="G581" s="1">
        <v>2374768</v>
      </c>
    </row>
    <row r="582" spans="1:10" x14ac:dyDescent="0.25">
      <c r="A582" s="1" t="str">
        <f t="shared" si="9"/>
        <v>06 Estrone 0.2 µg_LL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2880</v>
      </c>
      <c r="D582" s="1" t="s">
        <v>2881</v>
      </c>
      <c r="E582" s="1" t="s">
        <v>2882</v>
      </c>
      <c r="F582" s="1" t="s">
        <v>112</v>
      </c>
      <c r="G582" s="1">
        <v>2020795</v>
      </c>
    </row>
    <row r="583" spans="1:10" x14ac:dyDescent="0.25">
      <c r="A583" s="1" t="str">
        <f t="shared" si="9"/>
        <v>06 Estrone 0.2 µg_LL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2883</v>
      </c>
      <c r="D583" s="1" t="s">
        <v>2828</v>
      </c>
      <c r="E583" s="1" t="s">
        <v>2884</v>
      </c>
      <c r="F583" s="1" t="s">
        <v>112</v>
      </c>
      <c r="G583" s="1">
        <v>2056549</v>
      </c>
    </row>
    <row r="584" spans="1:10" x14ac:dyDescent="0.25">
      <c r="A584" s="1" t="str">
        <f t="shared" si="9"/>
        <v>06 Estrone 0.2 µg_LL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2885</v>
      </c>
      <c r="D584" s="1" t="s">
        <v>2886</v>
      </c>
      <c r="E584" s="1" t="s">
        <v>2887</v>
      </c>
      <c r="F584" s="1" t="s">
        <v>112</v>
      </c>
      <c r="G584" s="1">
        <v>1562717</v>
      </c>
    </row>
    <row r="585" spans="1:10" x14ac:dyDescent="0.25">
      <c r="A585" s="1" t="str">
        <f t="shared" si="9"/>
        <v>06 Estrone 0.2 µg_LL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2888</v>
      </c>
      <c r="D585" s="1" t="s">
        <v>2889</v>
      </c>
      <c r="E585" s="1" t="s">
        <v>2890</v>
      </c>
      <c r="F585" s="1" t="s">
        <v>112</v>
      </c>
      <c r="G585" s="1">
        <v>1347067</v>
      </c>
    </row>
    <row r="586" spans="1:10" x14ac:dyDescent="0.25">
      <c r="A586" s="1" t="str">
        <f t="shared" si="9"/>
        <v>06 Estrone 0.2 µg_LL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2891</v>
      </c>
      <c r="D586" s="1" t="s">
        <v>1082</v>
      </c>
      <c r="E586" s="1" t="s">
        <v>2892</v>
      </c>
      <c r="F586" s="1" t="s">
        <v>112</v>
      </c>
      <c r="G586" s="1">
        <v>1202492</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242</v>
      </c>
      <c r="D588" s="1" t="s">
        <v>112</v>
      </c>
      <c r="E588" s="1" t="s">
        <v>243</v>
      </c>
      <c r="F588" s="1" t="s">
        <v>244</v>
      </c>
      <c r="G588" s="1" t="s">
        <v>245</v>
      </c>
      <c r="H588" s="1" t="s">
        <v>246</v>
      </c>
      <c r="I588" s="1" t="s">
        <v>247</v>
      </c>
      <c r="J588" s="1" t="s">
        <v>248</v>
      </c>
    </row>
    <row r="589" spans="1:10" x14ac:dyDescent="0.25">
      <c r="A589" s="1" t="str">
        <f t="shared" si="9"/>
        <v>06 Estrone 0.2 µg_LL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2893</v>
      </c>
      <c r="D589" s="1" t="s">
        <v>112</v>
      </c>
      <c r="E589" s="1" t="s">
        <v>2894</v>
      </c>
      <c r="F589" s="1" t="s">
        <v>2895</v>
      </c>
      <c r="G589" s="1">
        <v>2506785</v>
      </c>
      <c r="H589" s="1" t="s">
        <v>2896</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254</v>
      </c>
      <c r="D595" s="1" t="s">
        <v>110</v>
      </c>
      <c r="E595" s="1" t="s">
        <v>111</v>
      </c>
      <c r="F595" s="1" t="s">
        <v>112</v>
      </c>
      <c r="G595" s="1" t="s">
        <v>113</v>
      </c>
    </row>
    <row r="596" spans="1:7" x14ac:dyDescent="0.25">
      <c r="A596" s="1" t="str">
        <f t="shared" si="9"/>
        <v>07 Estrone 1 µg_LL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2897</v>
      </c>
      <c r="D596" s="1" t="s">
        <v>2898</v>
      </c>
      <c r="E596" s="1" t="s">
        <v>2899</v>
      </c>
      <c r="F596" s="1" t="s">
        <v>112</v>
      </c>
      <c r="G596" s="1">
        <v>2796053</v>
      </c>
    </row>
    <row r="597" spans="1:7" x14ac:dyDescent="0.25">
      <c r="A597" s="1" t="str">
        <f t="shared" si="9"/>
        <v>07 Estrone 1 µg_LL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2900</v>
      </c>
      <c r="D597" s="1" t="s">
        <v>2901</v>
      </c>
      <c r="E597" s="1" t="s">
        <v>2902</v>
      </c>
      <c r="F597" s="1" t="s">
        <v>112</v>
      </c>
      <c r="G597" s="1">
        <v>2676440</v>
      </c>
    </row>
    <row r="598" spans="1:7" x14ac:dyDescent="0.25">
      <c r="A598" s="1" t="str">
        <f t="shared" si="9"/>
        <v>07 Estrone 1 µg_LL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2903</v>
      </c>
      <c r="D598" s="1" t="s">
        <v>2904</v>
      </c>
      <c r="E598" s="1" t="s">
        <v>2905</v>
      </c>
      <c r="F598" s="1" t="s">
        <v>112</v>
      </c>
      <c r="G598" s="1">
        <v>3342057</v>
      </c>
    </row>
    <row r="599" spans="1:7" x14ac:dyDescent="0.25">
      <c r="A599" s="1" t="str">
        <f t="shared" si="9"/>
        <v>07 Estrone 1 µg_LL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2906</v>
      </c>
      <c r="D599" s="1" t="s">
        <v>2907</v>
      </c>
      <c r="E599" s="1" t="s">
        <v>2908</v>
      </c>
      <c r="F599" s="1" t="s">
        <v>112</v>
      </c>
      <c r="G599" s="1">
        <v>4469169</v>
      </c>
    </row>
    <row r="600" spans="1:7" x14ac:dyDescent="0.25">
      <c r="A600" s="1" t="str">
        <f t="shared" si="9"/>
        <v>07 Estrone 1 µg_LL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2909</v>
      </c>
      <c r="D600" s="1" t="s">
        <v>2910</v>
      </c>
      <c r="E600" s="1" t="s">
        <v>2911</v>
      </c>
      <c r="F600" s="1" t="s">
        <v>112</v>
      </c>
      <c r="G600" s="1">
        <v>4068475</v>
      </c>
    </row>
    <row r="601" spans="1:7" x14ac:dyDescent="0.25">
      <c r="A601" s="1" t="str">
        <f t="shared" si="9"/>
        <v>07 Estrone 1 µg_LL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2912</v>
      </c>
      <c r="D601" s="1" t="s">
        <v>2913</v>
      </c>
      <c r="E601" s="1" t="s">
        <v>2914</v>
      </c>
      <c r="F601" s="1" t="s">
        <v>112</v>
      </c>
      <c r="G601" s="1">
        <v>5206359</v>
      </c>
    </row>
    <row r="602" spans="1:7" x14ac:dyDescent="0.25">
      <c r="A602" s="1" t="str">
        <f t="shared" si="9"/>
        <v>07 Estrone 1 µg_LL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2915</v>
      </c>
      <c r="D602" s="1" t="s">
        <v>2916</v>
      </c>
      <c r="E602" s="1" t="s">
        <v>2917</v>
      </c>
      <c r="F602" s="1" t="s">
        <v>112</v>
      </c>
      <c r="G602" s="1">
        <v>1670736</v>
      </c>
    </row>
    <row r="603" spans="1:7" x14ac:dyDescent="0.25">
      <c r="A603" s="1" t="str">
        <f t="shared" si="9"/>
        <v>07 Estrone 1 µg_LL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2918</v>
      </c>
      <c r="D603" s="1" t="s">
        <v>1210</v>
      </c>
      <c r="E603" s="1" t="s">
        <v>2919</v>
      </c>
      <c r="F603" s="1" t="s">
        <v>112</v>
      </c>
      <c r="G603" s="1">
        <v>1770147</v>
      </c>
    </row>
    <row r="604" spans="1:7" x14ac:dyDescent="0.25">
      <c r="A604" s="1" t="str">
        <f t="shared" si="9"/>
        <v>07 Estrone 1 µg_LL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2920</v>
      </c>
      <c r="D604" s="1" t="s">
        <v>2921</v>
      </c>
      <c r="E604" s="1" t="s">
        <v>2922</v>
      </c>
      <c r="F604" s="1" t="s">
        <v>112</v>
      </c>
      <c r="G604" s="1">
        <v>2030636</v>
      </c>
    </row>
    <row r="605" spans="1:7" x14ac:dyDescent="0.25">
      <c r="A605" s="1" t="str">
        <f t="shared" si="9"/>
        <v>07 Estrone 1 µg_LL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2923</v>
      </c>
      <c r="D605" s="1" t="s">
        <v>2924</v>
      </c>
      <c r="E605" s="1" t="s">
        <v>2925</v>
      </c>
      <c r="F605" s="1" t="s">
        <v>112</v>
      </c>
      <c r="G605" s="1">
        <v>2270641</v>
      </c>
    </row>
    <row r="606" spans="1:7" x14ac:dyDescent="0.25">
      <c r="A606" s="1" t="str">
        <f t="shared" si="9"/>
        <v>07 Estrone 1 µg_LL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2926</v>
      </c>
      <c r="D606" s="1" t="s">
        <v>2612</v>
      </c>
      <c r="E606" s="1" t="s">
        <v>2927</v>
      </c>
      <c r="F606" s="1" t="s">
        <v>112</v>
      </c>
      <c r="G606" s="1">
        <v>2089058</v>
      </c>
    </row>
    <row r="607" spans="1:7" x14ac:dyDescent="0.25">
      <c r="A607" s="1" t="str">
        <f t="shared" si="9"/>
        <v>07 Estrone 1 µg_LL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2928</v>
      </c>
      <c r="D607" s="1" t="s">
        <v>2929</v>
      </c>
      <c r="E607" s="1" t="s">
        <v>2930</v>
      </c>
      <c r="F607" s="1" t="s">
        <v>112</v>
      </c>
      <c r="G607" s="1">
        <v>2390341</v>
      </c>
    </row>
    <row r="608" spans="1:7" x14ac:dyDescent="0.25">
      <c r="A608" s="1" t="str">
        <f t="shared" si="9"/>
        <v>07 Estrone 1 µg_LL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2931</v>
      </c>
      <c r="D608" s="1" t="s">
        <v>2932</v>
      </c>
      <c r="E608" s="1" t="s">
        <v>2933</v>
      </c>
      <c r="F608" s="1" t="s">
        <v>112</v>
      </c>
      <c r="G608" s="1">
        <v>3038806</v>
      </c>
    </row>
    <row r="609" spans="1:10" x14ac:dyDescent="0.25">
      <c r="A609" s="1" t="str">
        <f t="shared" si="9"/>
        <v>07 Estrone 1 µg_LL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2934</v>
      </c>
      <c r="D609" s="1" t="s">
        <v>2935</v>
      </c>
      <c r="E609" s="1" t="s">
        <v>2936</v>
      </c>
      <c r="F609" s="1" t="s">
        <v>112</v>
      </c>
      <c r="G609" s="1">
        <v>4247830</v>
      </c>
    </row>
    <row r="610" spans="1:10" x14ac:dyDescent="0.25">
      <c r="A610" s="1" t="str">
        <f t="shared" si="9"/>
        <v>07 Estrone 1 µg_LL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2937</v>
      </c>
      <c r="D610" s="1" t="s">
        <v>2938</v>
      </c>
      <c r="E610" s="1" t="s">
        <v>2939</v>
      </c>
      <c r="F610" s="1" t="s">
        <v>112</v>
      </c>
      <c r="G610" s="1">
        <v>4357905</v>
      </c>
    </row>
    <row r="611" spans="1:10" x14ac:dyDescent="0.25">
      <c r="A611" s="1" t="str">
        <f t="shared" si="9"/>
        <v>07 Estrone 1 µg_LL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2940</v>
      </c>
      <c r="D611" s="1" t="s">
        <v>2941</v>
      </c>
      <c r="E611" s="1" t="s">
        <v>2942</v>
      </c>
      <c r="F611" s="1" t="s">
        <v>112</v>
      </c>
      <c r="G611" s="1">
        <v>4332576</v>
      </c>
    </row>
    <row r="612" spans="1:10" x14ac:dyDescent="0.25">
      <c r="A612" s="1" t="str">
        <f t="shared" si="9"/>
        <v>07 Estrone 1 µg_LL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2943</v>
      </c>
      <c r="D612" s="1" t="s">
        <v>2944</v>
      </c>
      <c r="E612" s="1" t="s">
        <v>2945</v>
      </c>
      <c r="F612" s="1" t="s">
        <v>112</v>
      </c>
      <c r="G612" s="1">
        <v>4268552</v>
      </c>
    </row>
    <row r="613" spans="1:10" x14ac:dyDescent="0.25">
      <c r="A613" s="1" t="str">
        <f t="shared" si="9"/>
        <v>07 Estrone 1 µg_LL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2946</v>
      </c>
      <c r="D613" s="1" t="s">
        <v>963</v>
      </c>
      <c r="E613" s="1" t="s">
        <v>2947</v>
      </c>
      <c r="F613" s="1" t="s">
        <v>112</v>
      </c>
      <c r="G613" s="1">
        <v>4709931</v>
      </c>
    </row>
    <row r="614" spans="1:10" x14ac:dyDescent="0.25">
      <c r="A614" s="1" t="str">
        <f t="shared" si="9"/>
        <v>07 Estrone 1 µg_LL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2948</v>
      </c>
      <c r="D614" s="1" t="s">
        <v>2949</v>
      </c>
      <c r="E614" s="1" t="s">
        <v>2950</v>
      </c>
      <c r="F614" s="1" t="s">
        <v>112</v>
      </c>
      <c r="G614" s="1">
        <v>4858334</v>
      </c>
    </row>
    <row r="615" spans="1:10" x14ac:dyDescent="0.25">
      <c r="A615" s="1" t="str">
        <f t="shared" si="9"/>
        <v>07 Estrone 1 µg_LL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2951</v>
      </c>
      <c r="D615" s="1" t="s">
        <v>2952</v>
      </c>
      <c r="E615" s="1" t="s">
        <v>2953</v>
      </c>
      <c r="F615" s="1" t="s">
        <v>112</v>
      </c>
      <c r="G615" s="1">
        <v>5015562</v>
      </c>
    </row>
    <row r="616" spans="1:10" x14ac:dyDescent="0.25">
      <c r="A616" s="1" t="str">
        <f t="shared" si="9"/>
        <v>07 Estrone 1 µg_LL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2954</v>
      </c>
      <c r="D616" s="1" t="s">
        <v>2955</v>
      </c>
      <c r="E616" s="1" t="s">
        <v>2956</v>
      </c>
      <c r="F616" s="1" t="s">
        <v>112</v>
      </c>
      <c r="G616" s="1">
        <v>4981495</v>
      </c>
    </row>
    <row r="617" spans="1:10" x14ac:dyDescent="0.25">
      <c r="A617" s="1" t="str">
        <f t="shared" si="9"/>
        <v>07 Estrone 1 µg_LL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2957</v>
      </c>
      <c r="D617" s="1" t="s">
        <v>2958</v>
      </c>
      <c r="E617" s="1" t="s">
        <v>2959</v>
      </c>
      <c r="F617" s="1" t="s">
        <v>112</v>
      </c>
      <c r="G617" s="1">
        <v>3924593</v>
      </c>
    </row>
    <row r="618" spans="1:10" x14ac:dyDescent="0.25">
      <c r="A618" s="1" t="str">
        <f t="shared" si="9"/>
        <v>07 Estrone 1 µg_LL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2960</v>
      </c>
      <c r="D618" s="1" t="s">
        <v>2961</v>
      </c>
      <c r="E618" s="1" t="s">
        <v>2962</v>
      </c>
      <c r="F618" s="1" t="s">
        <v>112</v>
      </c>
      <c r="G618" s="1">
        <v>4182205</v>
      </c>
    </row>
    <row r="619" spans="1:10" x14ac:dyDescent="0.25">
      <c r="A619" s="1" t="str">
        <f t="shared" si="9"/>
        <v>07 Estrone 1 µg_LL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2963</v>
      </c>
      <c r="D619" s="1" t="s">
        <v>2961</v>
      </c>
      <c r="E619" s="1" t="s">
        <v>2964</v>
      </c>
      <c r="F619" s="1" t="s">
        <v>112</v>
      </c>
      <c r="G619" s="1">
        <v>4148073</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242</v>
      </c>
      <c r="D621" s="1" t="s">
        <v>112</v>
      </c>
      <c r="E621" s="1" t="s">
        <v>243</v>
      </c>
      <c r="F621" s="1" t="s">
        <v>244</v>
      </c>
      <c r="G621" s="1" t="s">
        <v>245</v>
      </c>
      <c r="H621" s="1" t="s">
        <v>246</v>
      </c>
      <c r="I621" s="1" t="s">
        <v>247</v>
      </c>
      <c r="J621" s="1" t="s">
        <v>248</v>
      </c>
    </row>
    <row r="622" spans="1:10" x14ac:dyDescent="0.25">
      <c r="A622" s="1" t="str">
        <f t="shared" si="9"/>
        <v>07 Estrone 1 µg_LL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2965</v>
      </c>
      <c r="D622" s="1" t="s">
        <v>112</v>
      </c>
      <c r="E622" s="1" t="s">
        <v>2966</v>
      </c>
      <c r="F622" s="1" t="s">
        <v>2967</v>
      </c>
      <c r="G622" s="1" t="s">
        <v>2968</v>
      </c>
      <c r="H622" s="1" t="s">
        <v>2969</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254</v>
      </c>
      <c r="D628" s="1" t="s">
        <v>110</v>
      </c>
      <c r="E628" s="1" t="s">
        <v>111</v>
      </c>
      <c r="F628" s="1" t="s">
        <v>112</v>
      </c>
      <c r="G628" s="1" t="s">
        <v>113</v>
      </c>
    </row>
    <row r="629" spans="1:7" x14ac:dyDescent="0.25">
      <c r="A629" s="1" t="str">
        <f t="shared" si="9"/>
        <v>08 Estrone 5 µg_LL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2970</v>
      </c>
      <c r="D629" s="1" t="s">
        <v>2971</v>
      </c>
      <c r="E629" s="1" t="s">
        <v>2972</v>
      </c>
      <c r="F629" s="1" t="s">
        <v>112</v>
      </c>
      <c r="G629" s="1">
        <v>6944213</v>
      </c>
    </row>
    <row r="630" spans="1:7" x14ac:dyDescent="0.25">
      <c r="A630" s="1" t="str">
        <f t="shared" si="9"/>
        <v>08 Estrone 5 µg_LL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2973</v>
      </c>
      <c r="D630" s="1" t="s">
        <v>2974</v>
      </c>
      <c r="E630" s="1" t="s">
        <v>2975</v>
      </c>
      <c r="F630" s="1" t="s">
        <v>112</v>
      </c>
      <c r="G630" s="1">
        <v>6959570</v>
      </c>
    </row>
    <row r="631" spans="1:7" x14ac:dyDescent="0.25">
      <c r="A631" s="1" t="str">
        <f t="shared" si="9"/>
        <v>08 Estrone 5 µg_LL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2976</v>
      </c>
      <c r="D631" s="1" t="s">
        <v>2977</v>
      </c>
      <c r="E631" s="1" t="s">
        <v>2978</v>
      </c>
      <c r="F631" s="1" t="s">
        <v>112</v>
      </c>
      <c r="G631" s="1">
        <v>7136589</v>
      </c>
    </row>
    <row r="632" spans="1:7" x14ac:dyDescent="0.25">
      <c r="A632" s="1" t="str">
        <f t="shared" si="9"/>
        <v>08 Estrone 5 µg_LL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2979</v>
      </c>
      <c r="D632" s="1" t="s">
        <v>2980</v>
      </c>
      <c r="E632" s="1" t="s">
        <v>2981</v>
      </c>
      <c r="F632" s="1" t="s">
        <v>112</v>
      </c>
      <c r="G632" s="1">
        <v>5701921</v>
      </c>
    </row>
    <row r="633" spans="1:7" x14ac:dyDescent="0.25">
      <c r="A633" s="1" t="str">
        <f t="shared" si="9"/>
        <v>08 Estrone 5 µg_LL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2982</v>
      </c>
      <c r="D633" s="1" t="s">
        <v>2983</v>
      </c>
      <c r="E633" s="1" t="s">
        <v>2984</v>
      </c>
      <c r="F633" s="1" t="s">
        <v>112</v>
      </c>
      <c r="G633" s="1">
        <v>5323961</v>
      </c>
    </row>
    <row r="634" spans="1:7" x14ac:dyDescent="0.25">
      <c r="A634" s="1" t="str">
        <f t="shared" si="9"/>
        <v>08 Estrone 5 µg_LL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2985</v>
      </c>
      <c r="D634" s="1" t="s">
        <v>2986</v>
      </c>
      <c r="E634" s="1" t="s">
        <v>2987</v>
      </c>
      <c r="F634" s="1" t="s">
        <v>112</v>
      </c>
      <c r="G634" s="1">
        <v>5919756</v>
      </c>
    </row>
    <row r="635" spans="1:7" x14ac:dyDescent="0.25">
      <c r="A635" s="1" t="str">
        <f t="shared" si="9"/>
        <v>08 Estrone 5 µg_LL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2988</v>
      </c>
      <c r="D635" s="1" t="s">
        <v>2989</v>
      </c>
      <c r="E635" s="1" t="s">
        <v>2990</v>
      </c>
      <c r="F635" s="1" t="s">
        <v>112</v>
      </c>
      <c r="G635" s="1">
        <v>4790286</v>
      </c>
    </row>
    <row r="636" spans="1:7" x14ac:dyDescent="0.25">
      <c r="A636" s="1" t="str">
        <f t="shared" si="9"/>
        <v>08 Estrone 5 µg_LL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2991</v>
      </c>
      <c r="D636" s="1" t="s">
        <v>2992</v>
      </c>
      <c r="E636" s="1" t="s">
        <v>2993</v>
      </c>
      <c r="F636" s="1" t="s">
        <v>112</v>
      </c>
      <c r="G636" s="1">
        <v>4719167</v>
      </c>
    </row>
    <row r="637" spans="1:7" x14ac:dyDescent="0.25">
      <c r="A637" s="1" t="str">
        <f t="shared" si="9"/>
        <v>08 Estrone 5 µg_LL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2994</v>
      </c>
      <c r="D637" s="1" t="s">
        <v>2995</v>
      </c>
      <c r="E637" s="1" t="s">
        <v>2996</v>
      </c>
      <c r="F637" s="1" t="s">
        <v>112</v>
      </c>
      <c r="G637" s="1">
        <v>4969814</v>
      </c>
    </row>
    <row r="638" spans="1:7" x14ac:dyDescent="0.25">
      <c r="A638" s="1" t="str">
        <f t="shared" si="9"/>
        <v>08 Estrone 5 µg_LL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2997</v>
      </c>
      <c r="D638" s="1" t="s">
        <v>2998</v>
      </c>
      <c r="E638" s="1" t="s">
        <v>2999</v>
      </c>
      <c r="F638" s="1" t="s">
        <v>112</v>
      </c>
      <c r="G638" s="1">
        <v>3289972</v>
      </c>
    </row>
    <row r="639" spans="1:7" x14ac:dyDescent="0.25">
      <c r="A639" s="1" t="str">
        <f t="shared" si="9"/>
        <v>08 Estrone 5 µg_LL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3000</v>
      </c>
      <c r="D639" s="1" t="s">
        <v>3001</v>
      </c>
      <c r="E639" s="1" t="s">
        <v>3002</v>
      </c>
      <c r="F639" s="1" t="s">
        <v>112</v>
      </c>
      <c r="G639" s="1">
        <v>3178773</v>
      </c>
    </row>
    <row r="640" spans="1:7" x14ac:dyDescent="0.25">
      <c r="A640" s="1" t="str">
        <f t="shared" si="9"/>
        <v>08 Estrone 5 µg_LL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3003</v>
      </c>
      <c r="D640" s="1" t="s">
        <v>3004</v>
      </c>
      <c r="E640" s="1" t="s">
        <v>3005</v>
      </c>
      <c r="F640" s="1" t="s">
        <v>112</v>
      </c>
      <c r="G640" s="1">
        <v>3655301</v>
      </c>
    </row>
    <row r="641" spans="1:10" x14ac:dyDescent="0.25">
      <c r="A641" s="1" t="str">
        <f t="shared" si="9"/>
        <v>08 Estrone 5 µg_LL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3006</v>
      </c>
      <c r="D641" s="1" t="s">
        <v>2644</v>
      </c>
      <c r="E641" s="1" t="s">
        <v>3007</v>
      </c>
      <c r="F641" s="1" t="s">
        <v>112</v>
      </c>
      <c r="G641" s="1">
        <v>4722758</v>
      </c>
    </row>
    <row r="642" spans="1:10" x14ac:dyDescent="0.25">
      <c r="A642" s="1" t="str">
        <f t="shared" ref="A642:A705" si="10">IFERROR(LEFT(RIGHT(C642,LEN(C642)-SEARCH("@",C642)),SEARCH("/",RIGHT(C642,LEN(C642)-SEARCH("@",C642)-1))),"")</f>
        <v>08 Estrone 5 µg_LL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3008</v>
      </c>
      <c r="D642" s="1" t="s">
        <v>3009</v>
      </c>
      <c r="E642" s="1" t="s">
        <v>3010</v>
      </c>
      <c r="F642" s="1" t="s">
        <v>112</v>
      </c>
      <c r="G642" s="1">
        <v>4576540</v>
      </c>
    </row>
    <row r="643" spans="1:10" x14ac:dyDescent="0.25">
      <c r="A643" s="1" t="str">
        <f t="shared" si="10"/>
        <v>08 Estrone 5 µg_LL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3011</v>
      </c>
      <c r="D643" s="1" t="s">
        <v>3012</v>
      </c>
      <c r="E643" s="1" t="s">
        <v>3013</v>
      </c>
      <c r="F643" s="1" t="s">
        <v>112</v>
      </c>
      <c r="G643" s="1">
        <v>4586338</v>
      </c>
    </row>
    <row r="644" spans="1:10" x14ac:dyDescent="0.25">
      <c r="A644" s="1" t="str">
        <f t="shared" si="10"/>
        <v>08 Estrone 5 µg_LL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3014</v>
      </c>
      <c r="D644" s="1" t="s">
        <v>3015</v>
      </c>
      <c r="E644" s="1" t="s">
        <v>3016</v>
      </c>
      <c r="F644" s="1" t="s">
        <v>112</v>
      </c>
      <c r="G644" s="1">
        <v>604209</v>
      </c>
    </row>
    <row r="645" spans="1:10" x14ac:dyDescent="0.25">
      <c r="A645" s="1" t="str">
        <f t="shared" si="10"/>
        <v>08 Estrone 5 µg_LL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3017</v>
      </c>
      <c r="D645" s="1" t="s">
        <v>3018</v>
      </c>
      <c r="E645" s="1" t="s">
        <v>3019</v>
      </c>
      <c r="F645" s="1" t="s">
        <v>112</v>
      </c>
      <c r="G645" s="1">
        <v>5565264</v>
      </c>
    </row>
    <row r="646" spans="1:10" x14ac:dyDescent="0.25">
      <c r="A646" s="1" t="str">
        <f t="shared" si="10"/>
        <v>08 Estrone 5 µg_LL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3020</v>
      </c>
      <c r="D646" s="1" t="s">
        <v>3021</v>
      </c>
      <c r="E646" s="1" t="s">
        <v>3022</v>
      </c>
      <c r="F646" s="1" t="s">
        <v>112</v>
      </c>
      <c r="G646" s="1">
        <v>1385265</v>
      </c>
    </row>
    <row r="647" spans="1:10" x14ac:dyDescent="0.25">
      <c r="A647" s="1" t="str">
        <f t="shared" si="10"/>
        <v>08 Estrone 5 µg_LL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3023</v>
      </c>
    </row>
    <row r="648" spans="1:10" x14ac:dyDescent="0.25">
      <c r="A648" s="1" t="str">
        <f t="shared" si="10"/>
        <v>08 Estrone 5 µg_LL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3024</v>
      </c>
    </row>
    <row r="649" spans="1:10" x14ac:dyDescent="0.25">
      <c r="A649" s="1" t="str">
        <f t="shared" si="10"/>
        <v>08 Estrone 5 µg_LL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3025</v>
      </c>
      <c r="D649" s="1" t="s">
        <v>3026</v>
      </c>
      <c r="E649" s="1" t="s">
        <v>3027</v>
      </c>
      <c r="F649" s="1" t="s">
        <v>112</v>
      </c>
      <c r="G649" s="1">
        <v>3763515</v>
      </c>
    </row>
    <row r="650" spans="1:10" x14ac:dyDescent="0.25">
      <c r="A650" s="1" t="str">
        <f t="shared" si="10"/>
        <v>08 Estrone 5 µg_LL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3028</v>
      </c>
      <c r="D650" s="1" t="s">
        <v>3029</v>
      </c>
      <c r="E650" s="1" t="s">
        <v>3030</v>
      </c>
      <c r="F650" s="1" t="s">
        <v>112</v>
      </c>
      <c r="G650" s="1">
        <v>5535458</v>
      </c>
    </row>
    <row r="651" spans="1:10" x14ac:dyDescent="0.25">
      <c r="A651" s="1" t="str">
        <f t="shared" si="10"/>
        <v>08 Estrone 5 µg_LL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3031</v>
      </c>
      <c r="D651" s="1" t="s">
        <v>3032</v>
      </c>
      <c r="E651" s="1" t="s">
        <v>3033</v>
      </c>
      <c r="F651" s="1" t="s">
        <v>112</v>
      </c>
      <c r="G651" s="1">
        <v>6145702</v>
      </c>
    </row>
    <row r="652" spans="1:10" x14ac:dyDescent="0.25">
      <c r="A652" s="1" t="str">
        <f t="shared" si="10"/>
        <v>08 Estrone 5 µg_LL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3034</v>
      </c>
      <c r="D652" s="1" t="s">
        <v>3035</v>
      </c>
      <c r="E652" s="1" t="s">
        <v>3036</v>
      </c>
      <c r="F652" s="1" t="s">
        <v>112</v>
      </c>
      <c r="G652" s="1">
        <v>5571363</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242</v>
      </c>
      <c r="D654" s="1" t="s">
        <v>112</v>
      </c>
      <c r="E654" s="1" t="s">
        <v>243</v>
      </c>
      <c r="F654" s="1" t="s">
        <v>244</v>
      </c>
      <c r="G654" s="1" t="s">
        <v>245</v>
      </c>
      <c r="H654" s="1" t="s">
        <v>246</v>
      </c>
      <c r="I654" s="1" t="s">
        <v>247</v>
      </c>
      <c r="J654" s="1" t="s">
        <v>248</v>
      </c>
    </row>
    <row r="655" spans="1:10" x14ac:dyDescent="0.25">
      <c r="A655" s="1" t="str">
        <f t="shared" si="10"/>
        <v>08 Estrone 5 µg_LL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3037</v>
      </c>
      <c r="D655" s="1" t="s">
        <v>112</v>
      </c>
      <c r="E655" s="1" t="s">
        <v>3038</v>
      </c>
      <c r="F655" s="1" t="s">
        <v>3039</v>
      </c>
      <c r="G655" s="1" t="s">
        <v>3040</v>
      </c>
      <c r="H655" s="1" t="s">
        <v>3041</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254</v>
      </c>
      <c r="D661" s="1" t="s">
        <v>110</v>
      </c>
      <c r="E661" s="1" t="s">
        <v>111</v>
      </c>
      <c r="F661" s="1" t="s">
        <v>112</v>
      </c>
      <c r="G661" s="1" t="s">
        <v>113</v>
      </c>
    </row>
    <row r="662" spans="1:7" x14ac:dyDescent="0.25">
      <c r="A662" s="1" t="str">
        <f t="shared" si="10"/>
        <v>09 Estrone 25 µg_LL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3042</v>
      </c>
      <c r="D662" s="1" t="s">
        <v>3043</v>
      </c>
      <c r="E662" s="1" t="s">
        <v>3044</v>
      </c>
      <c r="F662" s="1" t="s">
        <v>112</v>
      </c>
      <c r="G662" s="1">
        <v>5011387</v>
      </c>
    </row>
    <row r="663" spans="1:7" x14ac:dyDescent="0.25">
      <c r="A663" s="1" t="str">
        <f t="shared" si="10"/>
        <v>09 Estrone 25 µg_LL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3045</v>
      </c>
      <c r="D663" s="1" t="s">
        <v>3046</v>
      </c>
      <c r="E663" s="1" t="s">
        <v>3047</v>
      </c>
      <c r="F663" s="1" t="s">
        <v>112</v>
      </c>
      <c r="G663" s="1">
        <v>5178911</v>
      </c>
    </row>
    <row r="664" spans="1:7" x14ac:dyDescent="0.25">
      <c r="A664" s="1" t="str">
        <f t="shared" si="10"/>
        <v>09 Estrone 25 µg_LL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3048</v>
      </c>
      <c r="D664" s="1" t="s">
        <v>3049</v>
      </c>
      <c r="E664" s="1" t="s">
        <v>3050</v>
      </c>
      <c r="F664" s="1" t="s">
        <v>112</v>
      </c>
      <c r="G664" s="1">
        <v>5237592</v>
      </c>
    </row>
    <row r="665" spans="1:7" x14ac:dyDescent="0.25">
      <c r="A665" s="1" t="str">
        <f t="shared" si="10"/>
        <v>09 Estrone 25 µg_LL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3051</v>
      </c>
      <c r="D665" s="1" t="s">
        <v>3052</v>
      </c>
      <c r="E665" s="1" t="s">
        <v>3053</v>
      </c>
      <c r="F665" s="1" t="s">
        <v>112</v>
      </c>
      <c r="G665" s="1">
        <v>8296168</v>
      </c>
    </row>
    <row r="666" spans="1:7" x14ac:dyDescent="0.25">
      <c r="A666" s="1" t="str">
        <f t="shared" si="10"/>
        <v>09 Estrone 25 µg_LL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3054</v>
      </c>
      <c r="D666" s="1" t="s">
        <v>3055</v>
      </c>
      <c r="E666" s="1" t="s">
        <v>3056</v>
      </c>
      <c r="F666" s="1" t="s">
        <v>112</v>
      </c>
      <c r="G666" s="1">
        <v>8336962</v>
      </c>
    </row>
    <row r="667" spans="1:7" x14ac:dyDescent="0.25">
      <c r="A667" s="1" t="str">
        <f t="shared" si="10"/>
        <v>09 Estrone 25 µg_LL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3057</v>
      </c>
      <c r="D667" s="1" t="s">
        <v>3058</v>
      </c>
      <c r="E667" s="1" t="s">
        <v>3059</v>
      </c>
      <c r="F667" s="1" t="s">
        <v>112</v>
      </c>
      <c r="G667" s="1">
        <v>8094577</v>
      </c>
    </row>
    <row r="668" spans="1:7" x14ac:dyDescent="0.25">
      <c r="A668" s="1" t="str">
        <f t="shared" si="10"/>
        <v>09 Estrone 25 µg_LL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3060</v>
      </c>
      <c r="D668" s="1" t="s">
        <v>1623</v>
      </c>
      <c r="E668" s="1" t="s">
        <v>3061</v>
      </c>
      <c r="F668" s="1" t="s">
        <v>112</v>
      </c>
      <c r="G668" s="1">
        <v>8191436</v>
      </c>
    </row>
    <row r="669" spans="1:7" x14ac:dyDescent="0.25">
      <c r="A669" s="1" t="str">
        <f t="shared" si="10"/>
        <v>09 Estrone 25 µg_LL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3062</v>
      </c>
      <c r="D669" s="1" t="s">
        <v>3063</v>
      </c>
      <c r="E669" s="1" t="s">
        <v>3064</v>
      </c>
      <c r="F669" s="1" t="s">
        <v>112</v>
      </c>
      <c r="G669" s="1">
        <v>7802163</v>
      </c>
    </row>
    <row r="670" spans="1:7" x14ac:dyDescent="0.25">
      <c r="A670" s="1" t="str">
        <f t="shared" si="10"/>
        <v>09 Estrone 25 µg_LL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3065</v>
      </c>
      <c r="D670" s="1" t="s">
        <v>3066</v>
      </c>
      <c r="E670" s="1" t="s">
        <v>3067</v>
      </c>
      <c r="F670" s="1" t="s">
        <v>112</v>
      </c>
      <c r="G670" s="1">
        <v>8184752</v>
      </c>
    </row>
    <row r="671" spans="1:7" x14ac:dyDescent="0.25">
      <c r="A671" s="1" t="str">
        <f t="shared" si="10"/>
        <v>09 Estrone 25 µg_LL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3068</v>
      </c>
      <c r="D671" s="1" t="s">
        <v>3069</v>
      </c>
      <c r="E671" s="1" t="s">
        <v>3070</v>
      </c>
      <c r="F671" s="1" t="s">
        <v>112</v>
      </c>
      <c r="G671" s="1">
        <v>4395346</v>
      </c>
    </row>
    <row r="672" spans="1:7" x14ac:dyDescent="0.25">
      <c r="A672" s="1" t="str">
        <f t="shared" si="10"/>
        <v>09 Estrone 25 µg_LL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3071</v>
      </c>
      <c r="D672" s="1" t="s">
        <v>3072</v>
      </c>
      <c r="E672" s="1" t="s">
        <v>3073</v>
      </c>
      <c r="F672" s="1" t="s">
        <v>112</v>
      </c>
      <c r="G672" s="1">
        <v>4532393</v>
      </c>
    </row>
    <row r="673" spans="1:10" x14ac:dyDescent="0.25">
      <c r="A673" s="1" t="str">
        <f t="shared" si="10"/>
        <v>09 Estrone 25 µg_LL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3074</v>
      </c>
      <c r="D673" s="1" t="s">
        <v>3075</v>
      </c>
      <c r="E673" s="1" t="s">
        <v>3076</v>
      </c>
      <c r="F673" s="1" t="s">
        <v>112</v>
      </c>
      <c r="G673" s="1">
        <v>4569575</v>
      </c>
    </row>
    <row r="674" spans="1:10" x14ac:dyDescent="0.25">
      <c r="A674" s="1" t="str">
        <f t="shared" si="10"/>
        <v>09 Estrone 25 µg_LL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3077</v>
      </c>
      <c r="D674" s="1" t="s">
        <v>3078</v>
      </c>
      <c r="E674" s="1" t="s">
        <v>3079</v>
      </c>
      <c r="F674" s="1" t="s">
        <v>112</v>
      </c>
      <c r="G674" s="1">
        <v>4208593</v>
      </c>
    </row>
    <row r="675" spans="1:10" x14ac:dyDescent="0.25">
      <c r="A675" s="1" t="str">
        <f t="shared" si="10"/>
        <v>09 Estrone 25 µg_LL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3080</v>
      </c>
      <c r="D675" s="1" t="s">
        <v>3081</v>
      </c>
      <c r="E675" s="1" t="s">
        <v>3082</v>
      </c>
      <c r="F675" s="1" t="s">
        <v>112</v>
      </c>
      <c r="G675" s="1">
        <v>4378215</v>
      </c>
    </row>
    <row r="676" spans="1:10" x14ac:dyDescent="0.25">
      <c r="A676" s="1" t="str">
        <f t="shared" si="10"/>
        <v>09 Estrone 25 µg_LL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3083</v>
      </c>
      <c r="D676" s="1" t="s">
        <v>549</v>
      </c>
      <c r="E676" s="1" t="s">
        <v>3084</v>
      </c>
      <c r="F676" s="1" t="s">
        <v>112</v>
      </c>
      <c r="G676" s="1">
        <v>4333355</v>
      </c>
    </row>
    <row r="677" spans="1:10" x14ac:dyDescent="0.25">
      <c r="A677" s="1" t="str">
        <f t="shared" si="10"/>
        <v>09 Estrone 25 µg_LL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3085</v>
      </c>
      <c r="D677" s="1" t="s">
        <v>3086</v>
      </c>
      <c r="E677" s="1" t="s">
        <v>3087</v>
      </c>
      <c r="F677" s="1" t="s">
        <v>112</v>
      </c>
      <c r="G677" s="1">
        <v>7864413</v>
      </c>
    </row>
    <row r="678" spans="1:10" x14ac:dyDescent="0.25">
      <c r="A678" s="1" t="str">
        <f t="shared" si="10"/>
        <v>09 Estrone 25 µg_LL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3088</v>
      </c>
      <c r="D678" s="1" t="s">
        <v>3089</v>
      </c>
      <c r="E678" s="1" t="s">
        <v>3090</v>
      </c>
      <c r="F678" s="1" t="s">
        <v>112</v>
      </c>
      <c r="G678" s="1">
        <v>7762839</v>
      </c>
    </row>
    <row r="679" spans="1:10" x14ac:dyDescent="0.25">
      <c r="A679" s="1" t="str">
        <f t="shared" si="10"/>
        <v>09 Estrone 25 µg_LL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3091</v>
      </c>
      <c r="D679" s="1" t="s">
        <v>3092</v>
      </c>
      <c r="E679" s="1" t="s">
        <v>3093</v>
      </c>
      <c r="F679" s="1" t="s">
        <v>112</v>
      </c>
      <c r="G679" s="1">
        <v>7981799</v>
      </c>
    </row>
    <row r="680" spans="1:10" x14ac:dyDescent="0.25">
      <c r="A680" s="1" t="str">
        <f t="shared" si="10"/>
        <v>09 Estrone 25 µg_LL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3094</v>
      </c>
      <c r="D680" s="1" t="s">
        <v>3095</v>
      </c>
      <c r="E680" s="1" t="s">
        <v>3096</v>
      </c>
      <c r="F680" s="1" t="s">
        <v>112</v>
      </c>
      <c r="G680" s="1">
        <v>6797714</v>
      </c>
    </row>
    <row r="681" spans="1:10" x14ac:dyDescent="0.25">
      <c r="A681" s="1" t="str">
        <f t="shared" si="10"/>
        <v>09 Estrone 25 µg_LL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3097</v>
      </c>
      <c r="D681" s="1" t="s">
        <v>3098</v>
      </c>
      <c r="E681" s="1" t="s">
        <v>3099</v>
      </c>
      <c r="F681" s="1" t="s">
        <v>112</v>
      </c>
      <c r="G681" s="1">
        <v>7184824</v>
      </c>
    </row>
    <row r="682" spans="1:10" x14ac:dyDescent="0.25">
      <c r="A682" s="1" t="str">
        <f t="shared" si="10"/>
        <v>09 Estrone 25 µg_LL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3100</v>
      </c>
      <c r="D682" s="1" t="s">
        <v>3101</v>
      </c>
      <c r="E682" s="1" t="s">
        <v>3102</v>
      </c>
      <c r="F682" s="1" t="s">
        <v>112</v>
      </c>
      <c r="G682" s="1">
        <v>7249584</v>
      </c>
    </row>
    <row r="683" spans="1:10" x14ac:dyDescent="0.25">
      <c r="A683" s="1" t="str">
        <f t="shared" si="10"/>
        <v>09 Estrone 25 µg_LL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3103</v>
      </c>
      <c r="D683" s="1" t="s">
        <v>3104</v>
      </c>
      <c r="E683" s="1" t="s">
        <v>3105</v>
      </c>
      <c r="F683" s="1" t="s">
        <v>112</v>
      </c>
      <c r="G683" s="1">
        <v>6192639</v>
      </c>
    </row>
    <row r="684" spans="1:10" x14ac:dyDescent="0.25">
      <c r="A684" s="1" t="str">
        <f t="shared" si="10"/>
        <v>09 Estrone 25 µg_LL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3106</v>
      </c>
      <c r="D684" s="1" t="s">
        <v>2952</v>
      </c>
      <c r="E684" s="1" t="s">
        <v>3107</v>
      </c>
      <c r="F684" s="1" t="s">
        <v>112</v>
      </c>
      <c r="G684" s="1">
        <v>6371345</v>
      </c>
    </row>
    <row r="685" spans="1:10" x14ac:dyDescent="0.25">
      <c r="A685" s="1" t="str">
        <f t="shared" si="10"/>
        <v>09 Estrone 25 µg_LL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3108</v>
      </c>
      <c r="D685" s="1" t="s">
        <v>3109</v>
      </c>
      <c r="E685" s="1" t="s">
        <v>3110</v>
      </c>
      <c r="F685" s="1" t="s">
        <v>112</v>
      </c>
      <c r="G685" s="1">
        <v>5579237</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242</v>
      </c>
      <c r="D687" s="1" t="s">
        <v>112</v>
      </c>
      <c r="E687" s="1" t="s">
        <v>243</v>
      </c>
      <c r="F687" s="1" t="s">
        <v>244</v>
      </c>
      <c r="G687" s="1" t="s">
        <v>245</v>
      </c>
      <c r="H687" s="1" t="s">
        <v>246</v>
      </c>
      <c r="I687" s="1" t="s">
        <v>247</v>
      </c>
      <c r="J687" s="1" t="s">
        <v>248</v>
      </c>
    </row>
    <row r="688" spans="1:10" x14ac:dyDescent="0.25">
      <c r="A688" s="1" t="str">
        <f t="shared" si="10"/>
        <v>09 Estrone 25 µg_LL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3111</v>
      </c>
      <c r="D688" s="1" t="s">
        <v>112</v>
      </c>
      <c r="E688" s="1" t="s">
        <v>3112</v>
      </c>
      <c r="F688" s="1" t="s">
        <v>3113</v>
      </c>
      <c r="G688" s="1" t="s">
        <v>3114</v>
      </c>
      <c r="H688" s="1" t="s">
        <v>3115</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5"/>
  <sheetViews>
    <sheetView showGridLines="0" topLeftCell="P49" zoomScale="115" zoomScaleNormal="115" zoomScaleSheetLayoutView="40" zoomScalePageLayoutView="30" workbookViewId="0">
      <selection activeCell="T74" sqref="T7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75" thickBot="1" x14ac:dyDescent="0.3"/>
    <row r="3" spans="1:22" ht="15.75" thickBot="1" x14ac:dyDescent="0.3">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Estrone-0,04µg/L</v>
      </c>
      <c r="J4" s="35" t="str">
        <f>'Page de garde'!A16</f>
        <v>Estrone-0,2µg/L</v>
      </c>
      <c r="K4" s="35" t="str">
        <f>'Page de garde'!A17</f>
        <v>Estrone-1µg/L</v>
      </c>
      <c r="L4" s="35" t="str">
        <f>'Page de garde'!A18</f>
        <v>Estrone-5µg/L</v>
      </c>
      <c r="M4" s="35" t="str">
        <f>'Page de garde'!A19</f>
        <v>Estrone-25µg/L</v>
      </c>
      <c r="N4" s="3"/>
      <c r="O4" s="36" t="str">
        <f>'Page de garde'!A36</f>
        <v>Testo -30µg/L</v>
      </c>
      <c r="P4" s="36" t="str">
        <f>'Page de garde'!A37</f>
        <v>Testo 30µg/L + EE2 -64ng/L</v>
      </c>
      <c r="Q4" s="36" t="str">
        <f>'Page de garde'!A38</f>
        <v>Testo 30µg/L + FAD-10µg/L</v>
      </c>
      <c r="R4" s="36" t="str">
        <f>'Page de garde'!A39</f>
        <v>Estrone-0,04µg/L + Testostérone</v>
      </c>
      <c r="S4" s="36" t="str">
        <f>'Page de garde'!A40</f>
        <v>Estrone-0,2µg/L + Testostérone</v>
      </c>
      <c r="T4" s="36" t="str">
        <f>'Page de garde'!A41</f>
        <v>Estrone-1µg/L + Testostérone</v>
      </c>
      <c r="U4" s="36" t="str">
        <f>'Page de garde'!A42</f>
        <v>Estrone-5µg/L + Testostérone</v>
      </c>
      <c r="V4" s="36" t="str">
        <f>'Page de garde'!A43</f>
        <v>Estrone-25µg/L + Testostérone</v>
      </c>
    </row>
    <row r="5" spans="1:22" x14ac:dyDescent="0.25">
      <c r="A5" s="226" t="s">
        <v>33</v>
      </c>
      <c r="B5" s="196">
        <v>104638.33333333333</v>
      </c>
      <c r="C5" s="196">
        <v>267972.66666666669</v>
      </c>
      <c r="D5" s="196">
        <v>130853.66666666667</v>
      </c>
      <c r="E5" s="196">
        <v>163889.66666666666</v>
      </c>
      <c r="F5" s="196">
        <v>738891.66666666663</v>
      </c>
      <c r="G5" s="196">
        <v>3703470.3333333335</v>
      </c>
      <c r="H5" s="196">
        <v>4551816.666666667</v>
      </c>
      <c r="I5" s="196">
        <v>262378</v>
      </c>
      <c r="J5" s="196">
        <v>105027.33333333333</v>
      </c>
      <c r="K5" s="196">
        <v>236703</v>
      </c>
      <c r="L5" s="196">
        <v>5518053</v>
      </c>
      <c r="M5" s="196">
        <v>7686637</v>
      </c>
      <c r="N5" s="3"/>
      <c r="O5" s="196">
        <v>662848</v>
      </c>
      <c r="P5" s="196">
        <v>3237331.6666666665</v>
      </c>
      <c r="Q5" s="196">
        <v>97716.666666666672</v>
      </c>
      <c r="R5" s="196">
        <v>366439</v>
      </c>
      <c r="S5" s="196">
        <v>2369598.3333333335</v>
      </c>
      <c r="T5" s="196">
        <v>2938183.3333333335</v>
      </c>
      <c r="U5" s="196">
        <v>7013457.333333333</v>
      </c>
      <c r="V5" s="196">
        <v>5142630</v>
      </c>
    </row>
    <row r="6" spans="1:22" x14ac:dyDescent="0.25">
      <c r="A6" s="226"/>
      <c r="B6" s="196">
        <v>107014</v>
      </c>
      <c r="C6" s="196">
        <v>138049</v>
      </c>
      <c r="D6" s="196">
        <v>122526.33333333333</v>
      </c>
      <c r="E6" s="196">
        <v>346867.5</v>
      </c>
      <c r="F6" s="196">
        <v>680267.66666666663</v>
      </c>
      <c r="G6" s="196">
        <v>712460</v>
      </c>
      <c r="H6" s="196">
        <v>5988005.666666667</v>
      </c>
      <c r="I6" s="196">
        <v>318053.33333333331</v>
      </c>
      <c r="J6" s="196">
        <v>203364.33333333334</v>
      </c>
      <c r="K6" s="196">
        <v>391559</v>
      </c>
      <c r="L6" s="196">
        <v>5564319.333333333</v>
      </c>
      <c r="M6" s="196">
        <v>5813899.666666667</v>
      </c>
      <c r="N6" s="3"/>
      <c r="O6" s="196">
        <v>1305811</v>
      </c>
      <c r="P6" s="196">
        <v>1965429</v>
      </c>
      <c r="Q6" s="196">
        <v>50325.333333333336</v>
      </c>
      <c r="R6" s="196">
        <v>1643828.6666666667</v>
      </c>
      <c r="S6" s="196">
        <v>2278334.3333333335</v>
      </c>
      <c r="T6" s="196">
        <v>4581334.333333333</v>
      </c>
      <c r="U6" s="196">
        <v>5648546</v>
      </c>
      <c r="V6" s="196">
        <v>8242569</v>
      </c>
    </row>
    <row r="7" spans="1:22" x14ac:dyDescent="0.25">
      <c r="A7" s="226"/>
      <c r="B7" s="196">
        <v>565203.66666666663</v>
      </c>
      <c r="C7" s="196">
        <v>204821</v>
      </c>
      <c r="D7" s="196">
        <v>351911</v>
      </c>
      <c r="E7" s="196">
        <v>33930.333333333336</v>
      </c>
      <c r="F7" s="196">
        <v>276350.66666666669</v>
      </c>
      <c r="G7" s="196">
        <v>2102779</v>
      </c>
      <c r="H7" s="196">
        <v>6745563.666666667</v>
      </c>
      <c r="I7" s="196">
        <v>118654.33333333333</v>
      </c>
      <c r="J7" s="196">
        <v>159138.33333333334</v>
      </c>
      <c r="K7" s="196">
        <v>523998.66666666669</v>
      </c>
      <c r="L7" s="196">
        <v>3831757.6666666665</v>
      </c>
      <c r="M7" s="196">
        <v>5911262.666666667</v>
      </c>
      <c r="N7" s="3"/>
      <c r="O7" s="196">
        <v>607000</v>
      </c>
      <c r="P7" s="196">
        <v>1559587.6666666667</v>
      </c>
      <c r="Q7" s="196">
        <v>30577.666666666668</v>
      </c>
      <c r="R7" s="196">
        <v>747947</v>
      </c>
      <c r="S7" s="196">
        <v>1528779.3333333333</v>
      </c>
      <c r="T7" s="196">
        <v>1823839.6666666667</v>
      </c>
      <c r="U7" s="196">
        <v>4826422.333333333</v>
      </c>
      <c r="V7" s="196">
        <v>8059450.333333333</v>
      </c>
    </row>
    <row r="8" spans="1:22" x14ac:dyDescent="0.25">
      <c r="A8" s="226"/>
      <c r="B8" s="196">
        <v>441141.66666666669</v>
      </c>
      <c r="C8" s="196">
        <v>54283.666666666664</v>
      </c>
      <c r="D8" s="196">
        <v>260863.66666666666</v>
      </c>
      <c r="E8" s="196">
        <v>418927.66666666669</v>
      </c>
      <c r="F8" s="196">
        <v>1136405.6666666667</v>
      </c>
      <c r="G8" s="196">
        <v>2727623.3333333335</v>
      </c>
      <c r="H8" s="196">
        <v>4709989</v>
      </c>
      <c r="I8" s="196">
        <v>100701.33333333333</v>
      </c>
      <c r="J8" s="196">
        <v>109750.33333333333</v>
      </c>
      <c r="K8" s="196">
        <v>178497</v>
      </c>
      <c r="L8" s="196">
        <v>2075640.6666666667</v>
      </c>
      <c r="M8" s="196">
        <v>5487251.666666667</v>
      </c>
      <c r="N8" s="3"/>
      <c r="O8" s="196">
        <v>1060694</v>
      </c>
      <c r="P8" s="196">
        <v>2872753</v>
      </c>
      <c r="Q8" s="196">
        <v>13692</v>
      </c>
      <c r="R8" s="196">
        <v>384046</v>
      </c>
      <c r="S8" s="196">
        <v>2784084.6666666665</v>
      </c>
      <c r="T8" s="196">
        <v>2250013.3333333335</v>
      </c>
      <c r="U8" s="196">
        <v>3374682</v>
      </c>
      <c r="V8" s="196">
        <v>4499104.666666667</v>
      </c>
    </row>
    <row r="9" spans="1:22" x14ac:dyDescent="0.25">
      <c r="A9" s="226"/>
      <c r="B9" s="196">
        <v>91357.666666666672</v>
      </c>
      <c r="C9" s="196">
        <v>166240.33333333334</v>
      </c>
      <c r="D9" s="196">
        <v>158720</v>
      </c>
      <c r="E9" s="196">
        <v>131509.66666666666</v>
      </c>
      <c r="F9" s="196">
        <v>1231808.3333333333</v>
      </c>
      <c r="G9" s="196">
        <v>3017701.6666666665</v>
      </c>
      <c r="H9" s="196">
        <v>5166891.666666667</v>
      </c>
      <c r="I9" s="196">
        <v>244850.33333333334</v>
      </c>
      <c r="J9" s="196">
        <v>500422</v>
      </c>
      <c r="K9" s="196">
        <v>148806.33333333334</v>
      </c>
      <c r="L9" s="196">
        <v>5409925</v>
      </c>
      <c r="M9" s="196">
        <v>6900657.333333333</v>
      </c>
      <c r="N9" s="3"/>
      <c r="O9" s="196">
        <v>111394</v>
      </c>
      <c r="P9" s="196">
        <v>2774971</v>
      </c>
      <c r="Q9" s="196">
        <v>33295.333333333336</v>
      </c>
      <c r="R9" s="196">
        <v>1309329.6666666667</v>
      </c>
      <c r="S9" s="196">
        <v>4679426</v>
      </c>
      <c r="T9" s="196">
        <v>3881513.6666666665</v>
      </c>
      <c r="U9" s="196">
        <v>4628545.333333333</v>
      </c>
      <c r="V9" s="196">
        <v>4306721</v>
      </c>
    </row>
    <row r="10" spans="1:22" x14ac:dyDescent="0.25">
      <c r="A10" s="226"/>
      <c r="B10" s="196">
        <v>135605</v>
      </c>
      <c r="C10" s="196">
        <v>377586</v>
      </c>
      <c r="D10" s="196">
        <v>321586.33333333331</v>
      </c>
      <c r="E10" s="196">
        <v>194395.33333333334</v>
      </c>
      <c r="F10" s="196">
        <v>479124</v>
      </c>
      <c r="G10" s="196">
        <v>2493155.6666666665</v>
      </c>
      <c r="H10" s="196">
        <v>6019657.333333333</v>
      </c>
      <c r="I10" s="196"/>
      <c r="J10" s="196">
        <v>141394.66666666666</v>
      </c>
      <c r="K10" s="196">
        <v>51414</v>
      </c>
      <c r="L10" s="196">
        <v>3993426.3333333335</v>
      </c>
      <c r="M10" s="196">
        <v>7827729</v>
      </c>
      <c r="N10" s="3"/>
      <c r="O10" s="196">
        <v>879954.66666666663</v>
      </c>
      <c r="P10" s="196">
        <v>3096009.3333333335</v>
      </c>
      <c r="Q10" s="196">
        <v>50188.333333333336</v>
      </c>
      <c r="R10" s="196">
        <v>724983.66666666663</v>
      </c>
      <c r="S10" s="196">
        <v>2892594.6666666665</v>
      </c>
      <c r="T10" s="196">
        <v>4437019.666666667</v>
      </c>
      <c r="U10" s="196">
        <v>2518246</v>
      </c>
      <c r="V10" s="196">
        <v>7869683.666666667</v>
      </c>
    </row>
    <row r="11" spans="1:22" x14ac:dyDescent="0.25">
      <c r="A11" s="226"/>
      <c r="B11" s="196">
        <v>91696.666666666672</v>
      </c>
      <c r="C11" s="196">
        <v>128827.66666666667</v>
      </c>
      <c r="D11" s="196">
        <v>126866.66666666667</v>
      </c>
      <c r="E11" s="196">
        <v>285219</v>
      </c>
      <c r="F11" s="196">
        <v>1179420.6666666667</v>
      </c>
      <c r="G11" s="196">
        <v>1696000</v>
      </c>
      <c r="H11" s="196">
        <v>3730854</v>
      </c>
      <c r="I11" s="196">
        <v>173717</v>
      </c>
      <c r="J11" s="196">
        <v>310800</v>
      </c>
      <c r="K11" s="196">
        <v>353273.66666666669</v>
      </c>
      <c r="L11" s="196">
        <v>6134916</v>
      </c>
      <c r="M11" s="196">
        <v>9467274.666666666</v>
      </c>
      <c r="N11" s="3"/>
      <c r="O11" s="196">
        <v>3867973</v>
      </c>
      <c r="P11" s="196">
        <v>2308832.3333333335</v>
      </c>
      <c r="Q11" s="196">
        <v>55343.333333333336</v>
      </c>
      <c r="R11" s="196">
        <v>2079772</v>
      </c>
      <c r="S11" s="196">
        <v>2150704</v>
      </c>
      <c r="T11" s="196">
        <v>4951797</v>
      </c>
      <c r="U11" s="196">
        <v>3763515</v>
      </c>
      <c r="V11" s="196">
        <v>7077374</v>
      </c>
    </row>
    <row r="12" spans="1:22" x14ac:dyDescent="0.25">
      <c r="A12" s="226"/>
      <c r="B12" s="196">
        <v>130024.66666666667</v>
      </c>
      <c r="C12" s="196">
        <v>864489.33333333337</v>
      </c>
      <c r="D12" s="196">
        <v>861237.33333333337</v>
      </c>
      <c r="E12" s="196">
        <v>100687.33333333333</v>
      </c>
      <c r="F12" s="196">
        <v>835865.66666666663</v>
      </c>
      <c r="G12" s="196">
        <v>2523314.6666666665</v>
      </c>
      <c r="H12" s="196">
        <v>6969894.666666667</v>
      </c>
      <c r="I12" s="196">
        <v>233228</v>
      </c>
      <c r="J12" s="196">
        <v>24766.333333333332</v>
      </c>
      <c r="K12" s="196">
        <v>226811</v>
      </c>
      <c r="L12" s="196">
        <v>5833171.666666667</v>
      </c>
      <c r="M12" s="196">
        <v>6658655</v>
      </c>
      <c r="N12" s="3"/>
      <c r="O12" s="196">
        <v>254670.5</v>
      </c>
      <c r="P12" s="196">
        <v>2666266.6666666665</v>
      </c>
      <c r="Q12" s="196">
        <v>253409</v>
      </c>
      <c r="R12" s="196">
        <v>764033</v>
      </c>
      <c r="S12" s="196">
        <v>1370758.6666666667</v>
      </c>
      <c r="T12" s="196">
        <v>4084957</v>
      </c>
      <c r="U12" s="196">
        <v>5750841</v>
      </c>
      <c r="V12" s="196">
        <v>6047740.333333333</v>
      </c>
    </row>
    <row r="13" spans="1:22" ht="16.5" x14ac:dyDescent="0.25">
      <c r="A13" s="226"/>
      <c r="B13" s="14"/>
      <c r="C13" s="13"/>
      <c r="D13" s="32"/>
      <c r="E13" s="32"/>
      <c r="F13" s="32"/>
      <c r="G13" s="32"/>
      <c r="H13" s="32"/>
      <c r="I13" s="32"/>
      <c r="J13" s="32"/>
      <c r="K13" s="13"/>
      <c r="L13" s="13"/>
      <c r="M13" s="13"/>
      <c r="N13" s="3"/>
      <c r="O13" s="196">
        <v>209442.5</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103477.5</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363915.66666666669</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533014.5</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1184287</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2100017.6666666665</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3645855.6666666665</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1340541.6666666667</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Estrone-0,04µg/L</v>
      </c>
      <c r="J22" s="3" t="str">
        <f t="shared" si="0"/>
        <v>Estrone-0,2µg/L</v>
      </c>
      <c r="K22" s="3" t="str">
        <f t="shared" si="0"/>
        <v>Estrone-1µg/L</v>
      </c>
      <c r="L22" s="3" t="str">
        <f t="shared" si="0"/>
        <v>Estrone-5µg/L</v>
      </c>
      <c r="M22" s="3" t="str">
        <f t="shared" si="0"/>
        <v>Estrone-25µg/L</v>
      </c>
      <c r="N22" s="3" t="s">
        <v>41</v>
      </c>
      <c r="O22" s="3" t="str">
        <f t="shared" si="0"/>
        <v>Testo -30µg/L</v>
      </c>
      <c r="P22" s="3" t="str">
        <f t="shared" si="0"/>
        <v>Testo 30µg/L + EE2 -64ng/L</v>
      </c>
      <c r="Q22" s="3" t="str">
        <f t="shared" si="0"/>
        <v>Testo 30µg/L + FAD-10µg/L</v>
      </c>
      <c r="R22" s="3" t="str">
        <f t="shared" si="0"/>
        <v>Estrone-0,04µg/L + Testostérone</v>
      </c>
      <c r="S22" s="3" t="str">
        <f t="shared" si="0"/>
        <v>Estrone-0,2µg/L + Testostérone</v>
      </c>
      <c r="T22" s="3" t="str">
        <f t="shared" si="0"/>
        <v>Estrone-1µg/L + Testostérone</v>
      </c>
      <c r="U22" s="3" t="str">
        <f t="shared" si="0"/>
        <v>Estrone-5µg/L + Testostérone</v>
      </c>
      <c r="V22" s="3" t="str">
        <f t="shared" si="0"/>
        <v>Estrone-25µg/L + Testostérone</v>
      </c>
    </row>
    <row r="23" spans="1:22" x14ac:dyDescent="0.25">
      <c r="A23" s="5" t="s">
        <v>0</v>
      </c>
      <c r="B23" s="5">
        <f t="shared" ref="B23:J23" si="1">AVERAGE(B5:B20)</f>
        <v>208335.20833333337</v>
      </c>
      <c r="C23" s="5">
        <f t="shared" si="1"/>
        <v>275283.70833333337</v>
      </c>
      <c r="D23" s="5">
        <f t="shared" si="1"/>
        <v>291820.625</v>
      </c>
      <c r="E23" s="5">
        <f t="shared" si="1"/>
        <v>209428.3125</v>
      </c>
      <c r="F23" s="5">
        <f t="shared" si="1"/>
        <v>819766.79166666674</v>
      </c>
      <c r="G23" s="5">
        <f t="shared" si="1"/>
        <v>2372063.0833333335</v>
      </c>
      <c r="H23" s="5">
        <f t="shared" si="1"/>
        <v>5485334.083333333</v>
      </c>
      <c r="I23" s="5">
        <f t="shared" si="1"/>
        <v>207368.90476190479</v>
      </c>
      <c r="J23" s="5">
        <f t="shared" si="1"/>
        <v>194332.91666666669</v>
      </c>
      <c r="K23" s="5"/>
      <c r="L23" s="5">
        <f>AVERAGE(L5:L20)</f>
        <v>4795151.208333333</v>
      </c>
      <c r="M23" s="5"/>
      <c r="N23" s="5" t="s">
        <v>0</v>
      </c>
      <c r="O23" s="5">
        <f>AVERAGE(O5:O20)</f>
        <v>1139431.0833333335</v>
      </c>
      <c r="P23" s="5">
        <f>AVERAGE(P5:P20)</f>
        <v>2560147.5833333335</v>
      </c>
      <c r="Q23" s="5">
        <f>AVERAGE(Q5:Q20)</f>
        <v>73068.458333333328</v>
      </c>
      <c r="R23" s="5">
        <f>AVERAGE(R5:R20)</f>
        <v>1002547.3750000001</v>
      </c>
      <c r="S23" s="5">
        <f>AVERAGE(S5:S20)</f>
        <v>2506785</v>
      </c>
      <c r="T23" s="5">
        <f t="shared" ref="T23:V23" si="2">AVERAGE(T5:T20)</f>
        <v>3618582.25</v>
      </c>
      <c r="U23" s="5">
        <f t="shared" si="2"/>
        <v>4690531.875</v>
      </c>
      <c r="V23" s="5">
        <f t="shared" si="2"/>
        <v>6405659.125</v>
      </c>
    </row>
    <row r="24" spans="1:22" x14ac:dyDescent="0.25">
      <c r="A24" s="3" t="s">
        <v>1</v>
      </c>
      <c r="B24" s="3">
        <f t="shared" ref="B24:J24" si="3">STDEV(B5:B20)</f>
        <v>185658.47736970184</v>
      </c>
      <c r="C24" s="3">
        <f t="shared" si="3"/>
        <v>257366.24414243241</v>
      </c>
      <c r="D24" s="3">
        <f t="shared" si="3"/>
        <v>247613.4877384149</v>
      </c>
      <c r="E24" s="3">
        <f t="shared" si="3"/>
        <v>130668.03812158179</v>
      </c>
      <c r="F24" s="3">
        <f t="shared" si="3"/>
        <v>345788.51524824422</v>
      </c>
      <c r="G24" s="3">
        <f t="shared" si="3"/>
        <v>897402.25067475578</v>
      </c>
      <c r="H24" s="3">
        <f t="shared" si="3"/>
        <v>1132790.4537967904</v>
      </c>
      <c r="I24" s="3">
        <f t="shared" si="3"/>
        <v>79300.368067361691</v>
      </c>
      <c r="J24" s="3">
        <f t="shared" si="3"/>
        <v>148929.66639768376</v>
      </c>
      <c r="K24" s="3"/>
      <c r="L24" s="3">
        <f>STDEV(L5:L20)</f>
        <v>1380022.6222935736</v>
      </c>
      <c r="M24" s="3"/>
      <c r="N24" s="3" t="s">
        <v>1</v>
      </c>
      <c r="O24" s="3">
        <f>STDEV(O5:O20)</f>
        <v>1156172.3849873515</v>
      </c>
      <c r="P24" s="3">
        <f>STDEV(P5:P20)</f>
        <v>575552.93906230829</v>
      </c>
      <c r="Q24" s="3">
        <f>STDEV(Q5:Q20)</f>
        <v>76902.635758891163</v>
      </c>
      <c r="R24" s="3">
        <f>STDEV(R5:R20)</f>
        <v>615478.88997869822</v>
      </c>
      <c r="S24" s="3">
        <f>STDEV(S5:S20)</f>
        <v>1027546.8428765764</v>
      </c>
      <c r="T24" s="3">
        <f t="shared" ref="T24:V24" si="4">STDEV(T5:T20)</f>
        <v>1147534.9849497587</v>
      </c>
      <c r="U24" s="3">
        <f t="shared" si="4"/>
        <v>1452583.1591656455</v>
      </c>
      <c r="V24" s="3">
        <f t="shared" si="4"/>
        <v>1624265.6172967749</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Estrone-0,04µg/L</v>
      </c>
      <c r="J27" s="35" t="str">
        <f t="shared" si="5"/>
        <v>Estrone-0,2µg/L</v>
      </c>
      <c r="K27" s="35" t="str">
        <f t="shared" si="5"/>
        <v>Estrone-1µg/L</v>
      </c>
      <c r="L27" s="35" t="str">
        <f t="shared" si="5"/>
        <v>Estrone-5µg/L</v>
      </c>
      <c r="M27" s="35" t="str">
        <f t="shared" si="5"/>
        <v>Estrone-25µg/L</v>
      </c>
      <c r="N27" s="3"/>
      <c r="O27" s="36" t="str">
        <f>O4</f>
        <v>Testo -30µg/L</v>
      </c>
      <c r="P27" s="36" t="str">
        <f t="shared" ref="P27:R27" si="6">P4</f>
        <v>Testo 30µg/L + EE2 -64ng/L</v>
      </c>
      <c r="Q27" s="36" t="str">
        <f t="shared" si="6"/>
        <v>Testo 30µg/L + FAD-10µg/L</v>
      </c>
      <c r="R27" s="36" t="str">
        <f t="shared" si="6"/>
        <v>Estrone-0,04µg/L + Testostérone</v>
      </c>
      <c r="S27" s="36" t="str">
        <f t="shared" ref="S27:V27" si="7">S4</f>
        <v>Estrone-0,2µg/L + Testostérone</v>
      </c>
      <c r="T27" s="36" t="str">
        <f t="shared" si="7"/>
        <v>Estrone-1µg/L + Testostérone</v>
      </c>
      <c r="U27" s="36" t="str">
        <f t="shared" si="7"/>
        <v>Estrone-5µg/L + Testostérone</v>
      </c>
      <c r="V27" s="36" t="str">
        <f t="shared" si="7"/>
        <v>Estrone-25µg/L + Testostérone</v>
      </c>
    </row>
    <row r="28" spans="1:22" x14ac:dyDescent="0.25">
      <c r="A28" s="227" t="s">
        <v>34</v>
      </c>
      <c r="B28" s="11">
        <f t="shared" ref="B28:M28" si="8">IF(B5="","",(B5/$O$23))</f>
        <v>9.1833841347578923E-2</v>
      </c>
      <c r="C28" s="11">
        <f t="shared" si="8"/>
        <v>0.23518110975411485</v>
      </c>
      <c r="D28" s="11">
        <f t="shared" si="8"/>
        <v>0.11484122961071287</v>
      </c>
      <c r="E28" s="11">
        <f t="shared" si="8"/>
        <v>0.14383464613517283</v>
      </c>
      <c r="F28" s="11">
        <f t="shared" si="8"/>
        <v>0.64847420565804281</v>
      </c>
      <c r="G28" s="11">
        <f t="shared" si="8"/>
        <v>3.2502802385371701</v>
      </c>
      <c r="H28" s="11">
        <f t="shared" si="8"/>
        <v>3.9948152488087438</v>
      </c>
      <c r="I28" s="11">
        <f t="shared" si="8"/>
        <v>0.23027105705456952</v>
      </c>
      <c r="J28" s="11">
        <f t="shared" si="8"/>
        <v>9.2175239792548505E-2</v>
      </c>
      <c r="K28" s="11">
        <f t="shared" si="8"/>
        <v>0.20773788205561355</v>
      </c>
      <c r="L28" s="11">
        <f t="shared" si="8"/>
        <v>4.8428141734182688</v>
      </c>
      <c r="M28" s="11">
        <f t="shared" si="8"/>
        <v>6.74603063970594</v>
      </c>
      <c r="N28" s="6"/>
      <c r="O28" s="11">
        <f t="shared" ref="O28:S37" si="9">IF(O5="","",(O5/$O$23))</f>
        <v>0.58173592918044692</v>
      </c>
      <c r="P28" s="11">
        <f t="shared" si="9"/>
        <v>2.8411825111844919</v>
      </c>
      <c r="Q28" s="11">
        <f t="shared" si="9"/>
        <v>8.5759172358895769E-2</v>
      </c>
      <c r="R28" s="11">
        <f t="shared" si="9"/>
        <v>0.32159821279230499</v>
      </c>
      <c r="S28" s="11">
        <f t="shared" si="9"/>
        <v>2.079632869415168</v>
      </c>
      <c r="T28" s="11">
        <f t="shared" ref="T28:V28" si="10">IF(T5="","",(T5/$O$23))</f>
        <v>2.5786406710424856</v>
      </c>
      <c r="U28" s="11">
        <f t="shared" si="10"/>
        <v>6.1552273199498009</v>
      </c>
      <c r="V28" s="11">
        <f t="shared" si="10"/>
        <v>4.513331324045998</v>
      </c>
    </row>
    <row r="29" spans="1:22" x14ac:dyDescent="0.25">
      <c r="A29" s="227"/>
      <c r="B29" s="11">
        <f t="shared" ref="B29:M29" si="11">IF(B6="","",(B6/$O$23))</f>
        <v>9.3918799974226891E-2</v>
      </c>
      <c r="C29" s="11">
        <f t="shared" si="11"/>
        <v>0.12115607693985879</v>
      </c>
      <c r="D29" s="11">
        <f t="shared" si="11"/>
        <v>0.10753290403039585</v>
      </c>
      <c r="E29" s="11">
        <f t="shared" si="11"/>
        <v>0.30442165838170843</v>
      </c>
      <c r="F29" s="11">
        <f t="shared" si="11"/>
        <v>0.597023968028489</v>
      </c>
      <c r="G29" s="11">
        <f t="shared" si="11"/>
        <v>0.62527695656304494</v>
      </c>
      <c r="H29" s="11">
        <f t="shared" si="11"/>
        <v>5.2552591852673842</v>
      </c>
      <c r="I29" s="11">
        <f t="shared" si="11"/>
        <v>0.27913345351514235</v>
      </c>
      <c r="J29" s="11">
        <f t="shared" si="11"/>
        <v>0.1784788358927368</v>
      </c>
      <c r="K29" s="11">
        <f t="shared" si="11"/>
        <v>0.34364430260627871</v>
      </c>
      <c r="L29" s="11">
        <f t="shared" si="11"/>
        <v>4.8834189401392045</v>
      </c>
      <c r="M29" s="11">
        <f t="shared" si="11"/>
        <v>5.1024583686610265</v>
      </c>
      <c r="N29" s="6"/>
      <c r="O29" s="11">
        <f t="shared" si="9"/>
        <v>1.1460201666431045</v>
      </c>
      <c r="P29" s="11">
        <f t="shared" si="9"/>
        <v>1.7249213478100509</v>
      </c>
      <c r="Q29" s="11">
        <f t="shared" si="9"/>
        <v>4.4167070803536233E-2</v>
      </c>
      <c r="R29" s="11">
        <f t="shared" si="9"/>
        <v>1.4426749372658416</v>
      </c>
      <c r="S29" s="11">
        <f t="shared" si="9"/>
        <v>1.999536757122871</v>
      </c>
      <c r="T29" s="11">
        <f t="shared" ref="T29:V29" si="12">IF(T6="","",(T6/$O$23))</f>
        <v>4.0207208670584356</v>
      </c>
      <c r="U29" s="11">
        <f t="shared" si="12"/>
        <v>4.9573388707946568</v>
      </c>
      <c r="V29" s="11">
        <f t="shared" si="12"/>
        <v>7.2339337767466256</v>
      </c>
    </row>
    <row r="30" spans="1:22" x14ac:dyDescent="0.25">
      <c r="A30" s="227"/>
      <c r="B30" s="11">
        <f t="shared" ref="B30:M30" si="13">IF(B7="","",(B7/$O$23))</f>
        <v>0.4960402387946089</v>
      </c>
      <c r="C30" s="11">
        <f t="shared" si="13"/>
        <v>0.17975725166353118</v>
      </c>
      <c r="D30" s="11">
        <f t="shared" si="13"/>
        <v>0.30884799014829983</v>
      </c>
      <c r="E30" s="11">
        <f t="shared" si="13"/>
        <v>2.9778311149869893E-2</v>
      </c>
      <c r="F30" s="11">
        <f t="shared" si="13"/>
        <v>0.24253390196993777</v>
      </c>
      <c r="G30" s="11">
        <f t="shared" si="13"/>
        <v>1.8454639607061212</v>
      </c>
      <c r="H30" s="11">
        <f t="shared" si="13"/>
        <v>5.9201155430418373</v>
      </c>
      <c r="I30" s="11">
        <f t="shared" si="13"/>
        <v>0.10413471693805086</v>
      </c>
      <c r="J30" s="11">
        <f t="shared" si="13"/>
        <v>0.13966472888187692</v>
      </c>
      <c r="K30" s="11">
        <f t="shared" si="13"/>
        <v>0.45987745492578785</v>
      </c>
      <c r="L30" s="11">
        <f t="shared" si="13"/>
        <v>3.3628691745507786</v>
      </c>
      <c r="M30" s="11">
        <f t="shared" si="13"/>
        <v>5.187907152202345</v>
      </c>
      <c r="N30" s="6"/>
      <c r="O30" s="11">
        <f t="shared" si="9"/>
        <v>0.53272199510676854</v>
      </c>
      <c r="P30" s="11">
        <f t="shared" si="9"/>
        <v>1.3687424272332398</v>
      </c>
      <c r="Q30" s="11">
        <f t="shared" si="9"/>
        <v>2.6835907071460295E-2</v>
      </c>
      <c r="R30" s="11">
        <f t="shared" si="9"/>
        <v>0.65642144658010237</v>
      </c>
      <c r="S30" s="11">
        <f t="shared" si="9"/>
        <v>1.3417040799527657</v>
      </c>
      <c r="T30" s="11">
        <f t="shared" ref="T30:V30" si="14">IF(T7="","",(T7/$O$23))</f>
        <v>1.600658164714218</v>
      </c>
      <c r="U30" s="11">
        <f t="shared" si="14"/>
        <v>4.2358176847466193</v>
      </c>
      <c r="V30" s="11">
        <f t="shared" si="14"/>
        <v>7.0732231648060022</v>
      </c>
    </row>
    <row r="31" spans="1:22" x14ac:dyDescent="0.25">
      <c r="A31" s="227"/>
      <c r="B31" s="11">
        <f t="shared" ref="B31:M31" si="15">IF(B8="","",(B8/$O$23))</f>
        <v>0.38715958614726803</v>
      </c>
      <c r="C31" s="11">
        <f t="shared" si="15"/>
        <v>4.7641026702434024E-2</v>
      </c>
      <c r="D31" s="11">
        <f t="shared" si="15"/>
        <v>0.22894203123152171</v>
      </c>
      <c r="E31" s="11">
        <f t="shared" si="15"/>
        <v>0.36766389191448096</v>
      </c>
      <c r="F31" s="11">
        <f t="shared" si="15"/>
        <v>0.99734480065453712</v>
      </c>
      <c r="G31" s="11">
        <f t="shared" si="15"/>
        <v>2.3938466952769484</v>
      </c>
      <c r="H31" s="11">
        <f t="shared" si="15"/>
        <v>4.1336321861794616</v>
      </c>
      <c r="I31" s="11">
        <f t="shared" si="15"/>
        <v>8.8378608242578358E-2</v>
      </c>
      <c r="J31" s="11">
        <f t="shared" si="15"/>
        <v>9.632029083519969E-2</v>
      </c>
      <c r="K31" s="11">
        <f t="shared" si="15"/>
        <v>0.15665449416898328</v>
      </c>
      <c r="L31" s="11">
        <f t="shared" si="15"/>
        <v>1.821646519063278</v>
      </c>
      <c r="M31" s="11">
        <f t="shared" si="15"/>
        <v>4.8157819695545427</v>
      </c>
      <c r="N31" s="6"/>
      <c r="O31" s="11">
        <f t="shared" si="9"/>
        <v>0.93089789765696651</v>
      </c>
      <c r="P31" s="11">
        <f t="shared" si="9"/>
        <v>2.5212169845287553</v>
      </c>
      <c r="Q31" s="11">
        <f t="shared" si="9"/>
        <v>1.2016523158157948E-2</v>
      </c>
      <c r="R31" s="11">
        <f t="shared" si="9"/>
        <v>0.33705066117425703</v>
      </c>
      <c r="S31" s="11">
        <f t="shared" si="9"/>
        <v>2.4433989096751714</v>
      </c>
      <c r="T31" s="11">
        <f t="shared" ref="T31:V31" si="16">IF(T8="","",(T8/$O$23))</f>
        <v>1.9746813705933508</v>
      </c>
      <c r="U31" s="11">
        <f t="shared" si="16"/>
        <v>2.9617254166242168</v>
      </c>
      <c r="V31" s="11">
        <f t="shared" si="16"/>
        <v>3.9485535654379564</v>
      </c>
    </row>
    <row r="32" spans="1:22" x14ac:dyDescent="0.25">
      <c r="A32" s="227"/>
      <c r="B32" s="11">
        <f t="shared" ref="B32:M32" si="17">IF(B9="","",(B9/$O$23))</f>
        <v>8.0178317059251714E-2</v>
      </c>
      <c r="C32" s="11">
        <f t="shared" si="17"/>
        <v>0.14589766398772253</v>
      </c>
      <c r="D32" s="11">
        <f t="shared" si="17"/>
        <v>0.13929758659529867</v>
      </c>
      <c r="E32" s="11">
        <f t="shared" si="17"/>
        <v>0.11541695552305231</v>
      </c>
      <c r="F32" s="11">
        <f t="shared" si="17"/>
        <v>1.0810731349628939</v>
      </c>
      <c r="G32" s="11">
        <f t="shared" si="17"/>
        <v>2.6484284225760906</v>
      </c>
      <c r="H32" s="11">
        <f t="shared" si="17"/>
        <v>4.5346241139492633</v>
      </c>
      <c r="I32" s="11">
        <f t="shared" si="17"/>
        <v>0.2148882340624228</v>
      </c>
      <c r="J32" s="11">
        <f t="shared" si="17"/>
        <v>0.43918584223281598</v>
      </c>
      <c r="K32" s="11">
        <f t="shared" si="17"/>
        <v>0.13059704576253076</v>
      </c>
      <c r="L32" s="11">
        <f t="shared" si="17"/>
        <v>4.7479176925502218</v>
      </c>
      <c r="M32" s="11">
        <f t="shared" si="17"/>
        <v>6.0562305472182638</v>
      </c>
      <c r="N32" s="6"/>
      <c r="O32" s="11">
        <f t="shared" si="9"/>
        <v>9.7762823596249368E-2</v>
      </c>
      <c r="P32" s="11">
        <f t="shared" si="9"/>
        <v>2.4354004736135493</v>
      </c>
      <c r="Q32" s="11">
        <f t="shared" si="9"/>
        <v>2.9221015487773026E-2</v>
      </c>
      <c r="R32" s="11">
        <f t="shared" si="9"/>
        <v>1.149108257461527</v>
      </c>
      <c r="S32" s="11">
        <f t="shared" si="9"/>
        <v>4.1068091510288056</v>
      </c>
      <c r="T32" s="11">
        <f t="shared" ref="T32:V32" si="18">IF(T9="","",(T9/$O$23))</f>
        <v>3.4065365807921828</v>
      </c>
      <c r="U32" s="11">
        <f t="shared" si="18"/>
        <v>4.0621547024966329</v>
      </c>
      <c r="V32" s="11">
        <f t="shared" si="18"/>
        <v>3.7797117026165026</v>
      </c>
    </row>
    <row r="33" spans="1:22" x14ac:dyDescent="0.25">
      <c r="A33" s="227"/>
      <c r="B33" s="11">
        <f t="shared" ref="B33:M33" si="19">IF(B10="","",(B10/$O$23))</f>
        <v>0.11901114686400879</v>
      </c>
      <c r="C33" s="11">
        <f t="shared" si="19"/>
        <v>0.33138116514725585</v>
      </c>
      <c r="D33" s="11">
        <f t="shared" si="19"/>
        <v>0.28223412371071432</v>
      </c>
      <c r="E33" s="11">
        <f t="shared" si="19"/>
        <v>0.17060736377723004</v>
      </c>
      <c r="F33" s="11">
        <f t="shared" si="19"/>
        <v>0.42049405796299066</v>
      </c>
      <c r="G33" s="11">
        <f t="shared" si="19"/>
        <v>2.1880706109693775</v>
      </c>
      <c r="H33" s="11">
        <f t="shared" si="19"/>
        <v>5.2830376679941065</v>
      </c>
      <c r="I33" s="11" t="str">
        <f t="shared" si="19"/>
        <v/>
      </c>
      <c r="J33" s="11">
        <f t="shared" si="19"/>
        <v>0.12409233760152084</v>
      </c>
      <c r="K33" s="11">
        <f t="shared" si="19"/>
        <v>4.5122518379603613E-2</v>
      </c>
      <c r="L33" s="11">
        <f t="shared" si="19"/>
        <v>3.5047546023150584</v>
      </c>
      <c r="M33" s="11">
        <f t="shared" si="19"/>
        <v>6.8698573476690443</v>
      </c>
      <c r="N33" s="6"/>
      <c r="O33" s="11">
        <f t="shared" si="9"/>
        <v>0.77227546232319288</v>
      </c>
      <c r="P33" s="11">
        <f t="shared" si="9"/>
        <v>2.7171536555560292</v>
      </c>
      <c r="Q33" s="11">
        <f t="shared" si="9"/>
        <v>4.4046835361477542E-2</v>
      </c>
      <c r="R33" s="11">
        <f t="shared" si="9"/>
        <v>0.63626811421167551</v>
      </c>
      <c r="S33" s="11">
        <f t="shared" si="9"/>
        <v>2.5386306455714407</v>
      </c>
      <c r="T33" s="11">
        <f t="shared" ref="T33:V33" si="20">IF(T10="","",(T10/$O$23))</f>
        <v>3.8940658470422336</v>
      </c>
      <c r="U33" s="11">
        <f t="shared" si="20"/>
        <v>2.2100906643980878</v>
      </c>
      <c r="V33" s="11">
        <f t="shared" si="20"/>
        <v>6.9066780622171597</v>
      </c>
    </row>
    <row r="34" spans="1:22" x14ac:dyDescent="0.25">
      <c r="A34" s="227"/>
      <c r="B34" s="11">
        <f t="shared" ref="B34:M34" si="21">IF(B11="","",(B11/$O$23))</f>
        <v>8.0475833956024687E-2</v>
      </c>
      <c r="C34" s="11">
        <f t="shared" si="21"/>
        <v>0.1130631492777865</v>
      </c>
      <c r="D34" s="11">
        <f t="shared" si="21"/>
        <v>0.1113421149575157</v>
      </c>
      <c r="E34" s="11">
        <f t="shared" si="21"/>
        <v>0.25031702590174199</v>
      </c>
      <c r="F34" s="11">
        <f t="shared" si="21"/>
        <v>1.0350960965680753</v>
      </c>
      <c r="G34" s="11">
        <f t="shared" si="21"/>
        <v>1.4884621148287962</v>
      </c>
      <c r="H34" s="11">
        <f t="shared" si="21"/>
        <v>3.2743129923098313</v>
      </c>
      <c r="I34" s="11">
        <f t="shared" si="21"/>
        <v>0.15245941816138797</v>
      </c>
      <c r="J34" s="11">
        <f t="shared" si="21"/>
        <v>0.2727677035900884</v>
      </c>
      <c r="K34" s="11">
        <f t="shared" si="21"/>
        <v>0.31004390860848463</v>
      </c>
      <c r="L34" s="11">
        <f t="shared" si="21"/>
        <v>5.3841922427222997</v>
      </c>
      <c r="M34" s="11">
        <f t="shared" si="21"/>
        <v>8.3087733915163646</v>
      </c>
      <c r="N34" s="6"/>
      <c r="O34" s="11">
        <f t="shared" si="9"/>
        <v>3.3946528724532334</v>
      </c>
      <c r="P34" s="11">
        <f t="shared" si="9"/>
        <v>2.0263027462608716</v>
      </c>
      <c r="Q34" s="11">
        <f t="shared" si="9"/>
        <v>4.8571022980547378E-2</v>
      </c>
      <c r="R34" s="11">
        <f t="shared" si="9"/>
        <v>1.8252723051189359</v>
      </c>
      <c r="S34" s="11">
        <f t="shared" si="9"/>
        <v>1.8875244246525658</v>
      </c>
      <c r="T34" s="11">
        <f t="shared" ref="T34:V34" si="22">IF(T11="","",(T11/$O$23))</f>
        <v>4.3458503743059484</v>
      </c>
      <c r="U34" s="11">
        <f t="shared" si="22"/>
        <v>3.3029772972228169</v>
      </c>
      <c r="V34" s="11">
        <f t="shared" si="22"/>
        <v>6.2113225657277935</v>
      </c>
    </row>
    <row r="35" spans="1:22" x14ac:dyDescent="0.25">
      <c r="A35" s="227"/>
      <c r="B35" s="11">
        <f t="shared" ref="B35:M35" si="23">IF(B12="","",(B12/$O$23))</f>
        <v>0.11411367354161318</v>
      </c>
      <c r="C35" s="11">
        <f t="shared" si="23"/>
        <v>0.75870260692232883</v>
      </c>
      <c r="D35" s="11">
        <f t="shared" si="23"/>
        <v>0.75584855102762172</v>
      </c>
      <c r="E35" s="11">
        <f t="shared" si="23"/>
        <v>8.8366321409083307E-2</v>
      </c>
      <c r="F35" s="11">
        <f t="shared" si="23"/>
        <v>0.73358159075439167</v>
      </c>
      <c r="G35" s="11">
        <f t="shared" si="23"/>
        <v>2.2145390832106049</v>
      </c>
      <c r="H35" s="11">
        <f t="shared" si="23"/>
        <v>6.1169953748116832</v>
      </c>
      <c r="I35" s="11">
        <f t="shared" si="23"/>
        <v>0.20468811445594959</v>
      </c>
      <c r="J35" s="11">
        <f t="shared" si="23"/>
        <v>2.1735700996396372E-2</v>
      </c>
      <c r="K35" s="11">
        <f t="shared" si="23"/>
        <v>0.19905635656039747</v>
      </c>
      <c r="L35" s="11">
        <f t="shared" si="23"/>
        <v>5.1193720725979253</v>
      </c>
      <c r="M35" s="11">
        <f t="shared" si="23"/>
        <v>5.8438418061411195</v>
      </c>
      <c r="N35" s="6"/>
      <c r="O35" s="11">
        <f t="shared" si="9"/>
        <v>0.22350671640006306</v>
      </c>
      <c r="P35" s="11">
        <f t="shared" si="9"/>
        <v>2.3399981847666225</v>
      </c>
      <c r="Q35" s="11">
        <f t="shared" si="9"/>
        <v>0.22239958493906276</v>
      </c>
      <c r="R35" s="11">
        <f t="shared" si="9"/>
        <v>0.67053901826591378</v>
      </c>
      <c r="S35" s="11">
        <f t="shared" si="9"/>
        <v>1.2030202499449103</v>
      </c>
      <c r="T35" s="11">
        <f t="shared" ref="T35:V35" si="24">IF(T12="","",(T12/$O$23))</f>
        <v>3.5850847495310703</v>
      </c>
      <c r="U35" s="11">
        <f t="shared" si="24"/>
        <v>5.047116130250088</v>
      </c>
      <c r="V35" s="11">
        <f t="shared" si="24"/>
        <v>5.3076841783542115</v>
      </c>
    </row>
    <row r="36" spans="1:22" x14ac:dyDescent="0.2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0.18381322316334325</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9.0815058070281118E-2</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0.31938365732664975</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0.4677900294247721</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1.0393669413822233</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1.8430405290710499</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3.1997158230938783</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1.1765008751077748</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Estrone-0,04µg/L</v>
      </c>
      <c r="J45" s="7" t="str">
        <f t="shared" si="41"/>
        <v>Estrone-0,2µg/L</v>
      </c>
      <c r="K45" s="7" t="str">
        <f t="shared" ref="K45:M45" si="42">K4</f>
        <v>Estrone-1µg/L</v>
      </c>
      <c r="L45" s="7" t="str">
        <f t="shared" si="42"/>
        <v>Estrone-5µg/L</v>
      </c>
      <c r="M45" s="7" t="str">
        <f t="shared" si="42"/>
        <v>Estrone-25µg/L</v>
      </c>
      <c r="N45" s="7"/>
      <c r="O45" s="7" t="str">
        <f t="shared" si="41"/>
        <v>Testo -30µg/L</v>
      </c>
      <c r="P45" s="7" t="str">
        <f t="shared" si="41"/>
        <v>Testo 30µg/L + EE2 -64ng/L</v>
      </c>
      <c r="Q45" s="7" t="str">
        <f t="shared" si="41"/>
        <v>Testo 30µg/L + FAD-10µg/L</v>
      </c>
      <c r="R45" s="7" t="str">
        <f t="shared" si="41"/>
        <v>Estrone-0,04µg/L + Testostérone</v>
      </c>
      <c r="S45" s="7" t="str">
        <f t="shared" ref="S45:V45" si="43">S4</f>
        <v>Estrone-0,2µg/L + Testostérone</v>
      </c>
      <c r="T45" s="7" t="str">
        <f t="shared" si="43"/>
        <v>Estrone-1µg/L + Testostérone</v>
      </c>
      <c r="U45" s="7" t="str">
        <f t="shared" si="43"/>
        <v>Estrone-5µg/L + Testostérone</v>
      </c>
      <c r="V45" s="7" t="str">
        <f t="shared" si="43"/>
        <v>Estrone-25µg/L + Testostérone</v>
      </c>
    </row>
    <row r="46" spans="1:22" x14ac:dyDescent="0.25">
      <c r="A46" s="8" t="s">
        <v>0</v>
      </c>
      <c r="B46" s="10">
        <f t="shared" ref="B46:H46" si="44">AVERAGE(B28:B43)</f>
        <v>0.18284142971057266</v>
      </c>
      <c r="C46" s="10">
        <f t="shared" si="44"/>
        <v>0.24159750629937907</v>
      </c>
      <c r="D46" s="10">
        <f t="shared" si="44"/>
        <v>0.25611081641401012</v>
      </c>
      <c r="E46" s="10">
        <f t="shared" si="44"/>
        <v>0.18380077177404247</v>
      </c>
      <c r="F46" s="10">
        <f t="shared" si="44"/>
        <v>0.71945271956991985</v>
      </c>
      <c r="G46" s="10">
        <f t="shared" si="44"/>
        <v>2.0817960103335191</v>
      </c>
      <c r="H46" s="10">
        <f t="shared" si="44"/>
        <v>4.8140990390452885</v>
      </c>
      <c r="I46" s="10">
        <f>AVERAGE(I28:I43)</f>
        <v>0.18199337177572877</v>
      </c>
      <c r="J46" s="9">
        <f>AVERAGE(J28:J43)</f>
        <v>0.17055258497789794</v>
      </c>
      <c r="K46" s="9">
        <f t="shared" ref="K46:M46" si="45">AVERAGE(K28:K43)</f>
        <v>0.23159174538345997</v>
      </c>
      <c r="L46" s="9">
        <f t="shared" si="45"/>
        <v>4.2083731771696291</v>
      </c>
      <c r="M46" s="9">
        <f t="shared" si="45"/>
        <v>6.1163601528335816</v>
      </c>
      <c r="N46" s="8" t="s">
        <v>0</v>
      </c>
      <c r="O46" s="10">
        <f t="shared" ref="O46:R46" si="46">AVERAGE(O28:O43)</f>
        <v>1</v>
      </c>
      <c r="P46" s="10">
        <f t="shared" si="46"/>
        <v>2.2468647913692013</v>
      </c>
      <c r="Q46" s="10">
        <f t="shared" si="46"/>
        <v>6.4127141520113867E-2</v>
      </c>
      <c r="R46" s="10">
        <f t="shared" si="46"/>
        <v>0.87986661910881991</v>
      </c>
      <c r="S46" s="10">
        <f t="shared" ref="S46:V46" si="47">AVERAGE(S28:S43)</f>
        <v>2.2000321359204622</v>
      </c>
      <c r="T46" s="10">
        <f t="shared" si="47"/>
        <v>3.1757798281349903</v>
      </c>
      <c r="U46" s="10">
        <f t="shared" si="47"/>
        <v>4.1165560108103652</v>
      </c>
      <c r="V46" s="10">
        <f t="shared" si="47"/>
        <v>5.6218047924940304</v>
      </c>
    </row>
    <row r="47" spans="1:22" x14ac:dyDescent="0.25">
      <c r="A47" s="8" t="s">
        <v>1</v>
      </c>
      <c r="B47" s="8">
        <f t="shared" ref="B47:J47" si="48">STDEV(B28:B43)</f>
        <v>0.1629396284561325</v>
      </c>
      <c r="C47" s="8">
        <f t="shared" si="48"/>
        <v>0.22587258493030035</v>
      </c>
      <c r="D47" s="8">
        <f t="shared" si="48"/>
        <v>0.21731326392644759</v>
      </c>
      <c r="E47" s="8">
        <f t="shared" si="48"/>
        <v>0.11467831625175673</v>
      </c>
      <c r="F47" s="8">
        <f t="shared" si="48"/>
        <v>0.30347470795395709</v>
      </c>
      <c r="G47" s="8">
        <f t="shared" si="48"/>
        <v>0.78758800229449932</v>
      </c>
      <c r="H47" s="8">
        <f t="shared" si="48"/>
        <v>0.99417197789872991</v>
      </c>
      <c r="I47" s="8">
        <f t="shared" si="48"/>
        <v>6.9596458467126823E-2</v>
      </c>
      <c r="J47" s="8">
        <f t="shared" si="48"/>
        <v>0.13070528667868134</v>
      </c>
      <c r="K47" s="8">
        <f t="shared" ref="K47:M47" si="49">STDEV(K28:K43)</f>
        <v>0.13257813576914532</v>
      </c>
      <c r="L47" s="8">
        <f t="shared" si="49"/>
        <v>1.2111505842515766</v>
      </c>
      <c r="M47" s="8">
        <f t="shared" si="49"/>
        <v>1.16068489545248</v>
      </c>
      <c r="N47" s="8" t="s">
        <v>1</v>
      </c>
      <c r="O47" s="8">
        <f t="shared" ref="O47:R47" si="50">STDEV(O28:O43)</f>
        <v>1.0146926847080933</v>
      </c>
      <c r="P47" s="8">
        <f t="shared" si="50"/>
        <v>0.50512308070319323</v>
      </c>
      <c r="Q47" s="8">
        <f t="shared" si="50"/>
        <v>6.7492134349992752E-2</v>
      </c>
      <c r="R47" s="8">
        <f t="shared" si="50"/>
        <v>0.54016333149184725</v>
      </c>
      <c r="S47" s="8">
        <f t="shared" ref="S47:V47" si="51">STDEV(S28:S43)</f>
        <v>0.90180692619912806</v>
      </c>
      <c r="T47" s="8">
        <f t="shared" si="51"/>
        <v>1.0071122349872355</v>
      </c>
      <c r="U47" s="8">
        <f t="shared" si="51"/>
        <v>1.2748319581700398</v>
      </c>
      <c r="V47" s="8">
        <f t="shared" si="51"/>
        <v>1.4255057993898967</v>
      </c>
    </row>
    <row r="48" spans="1:22" x14ac:dyDescent="0.25">
      <c r="A48" s="8" t="s">
        <v>2</v>
      </c>
      <c r="B48" s="8">
        <f t="shared" ref="B48:J48" si="52" xml:space="preserve"> B47/SQRT(COUNT(B28:B43))</f>
        <v>5.7607858102673916E-2</v>
      </c>
      <c r="C48" s="8">
        <f t="shared" si="52"/>
        <v>7.9858018244174878E-2</v>
      </c>
      <c r="D48" s="8">
        <f t="shared" si="52"/>
        <v>7.6831841282086505E-2</v>
      </c>
      <c r="E48" s="8">
        <f t="shared" si="52"/>
        <v>4.0544907538336318E-2</v>
      </c>
      <c r="F48" s="8">
        <f t="shared" si="52"/>
        <v>0.10729451195642507</v>
      </c>
      <c r="G48" s="8">
        <f t="shared" si="52"/>
        <v>0.27845440860180332</v>
      </c>
      <c r="H48" s="8">
        <f t="shared" si="52"/>
        <v>0.35149287361891718</v>
      </c>
      <c r="I48" s="8">
        <f t="shared" si="52"/>
        <v>2.6304988747836159E-2</v>
      </c>
      <c r="J48" s="8">
        <f t="shared" si="52"/>
        <v>4.621129727371364E-2</v>
      </c>
      <c r="K48" s="8">
        <f t="shared" ref="K48:M48" si="53" xml:space="preserve"> K47/SQRT(COUNT(K28:K43))</f>
        <v>4.687344941971671E-2</v>
      </c>
      <c r="L48" s="8">
        <f t="shared" si="53"/>
        <v>0.42820639558116935</v>
      </c>
      <c r="M48" s="8">
        <f t="shared" si="53"/>
        <v>0.41036408019762377</v>
      </c>
      <c r="N48" s="8" t="s">
        <v>2</v>
      </c>
      <c r="O48" s="8">
        <f t="shared" ref="O48:R48" si="54" xml:space="preserve"> O47/SQRT(COUNT(O28:O43))</f>
        <v>0.25367317117702332</v>
      </c>
      <c r="P48" s="8">
        <f t="shared" si="54"/>
        <v>0.17858797784953381</v>
      </c>
      <c r="Q48" s="8">
        <f t="shared" si="54"/>
        <v>2.3862072937816694E-2</v>
      </c>
      <c r="R48" s="8">
        <f t="shared" si="54"/>
        <v>0.19097657732310108</v>
      </c>
      <c r="S48" s="8">
        <f t="shared" ref="S48:V48" si="55" xml:space="preserve"> S47/SQRT(COUNT(S28:S43))</f>
        <v>0.3188368964181999</v>
      </c>
      <c r="T48" s="8">
        <f t="shared" si="55"/>
        <v>0.35606794538770692</v>
      </c>
      <c r="U48" s="8">
        <f t="shared" si="55"/>
        <v>0.45072116124768008</v>
      </c>
      <c r="V48" s="8">
        <f t="shared" si="55"/>
        <v>0.5039924086846731</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Estrone-0,04µg/L</v>
      </c>
      <c r="J52" s="46" t="str">
        <f>J4</f>
        <v>Estrone-0,2µg/L</v>
      </c>
      <c r="K52" s="46" t="str">
        <f t="shared" ref="K52:M52" si="57">K4</f>
        <v>Estrone-1µg/L</v>
      </c>
      <c r="L52" s="46" t="str">
        <f t="shared" si="57"/>
        <v>Estrone-5µg/L</v>
      </c>
      <c r="M52" s="46" t="str">
        <f t="shared" si="57"/>
        <v>Estrone-25µg/L</v>
      </c>
      <c r="N52" s="47"/>
      <c r="O52" s="46" t="str">
        <f>O27</f>
        <v>Testo -30µg/L</v>
      </c>
      <c r="P52" s="46" t="str">
        <f>P27</f>
        <v>Testo 30µg/L + EE2 -64ng/L</v>
      </c>
      <c r="Q52" s="46" t="str">
        <f>Q27</f>
        <v>Testo 30µg/L + FAD-10µg/L</v>
      </c>
      <c r="R52" s="46" t="str">
        <f>R27</f>
        <v>Estrone-0,04µg/L + Testostérone</v>
      </c>
      <c r="S52" s="46" t="str">
        <f t="shared" ref="S52:V52" si="58">S27</f>
        <v>Estrone-0,2µg/L + Testostérone</v>
      </c>
      <c r="T52" s="46" t="str">
        <f t="shared" si="58"/>
        <v>Estrone-1µg/L + Testostérone</v>
      </c>
      <c r="U52" s="46" t="str">
        <f t="shared" si="58"/>
        <v>Estrone-5µg/L + Testostérone</v>
      </c>
      <c r="V52" s="46" t="str">
        <f t="shared" si="58"/>
        <v>Estrone-25µg/L + Testostérone</v>
      </c>
    </row>
    <row r="53" spans="1:22" s="3" customFormat="1" x14ac:dyDescent="0.25">
      <c r="A53" s="61" t="s">
        <v>32</v>
      </c>
      <c r="B53" s="141">
        <f t="shared" ref="B53" si="59">B46</f>
        <v>0.18284142971057266</v>
      </c>
      <c r="C53" s="141">
        <f t="shared" ref="C53:V53" si="60">C46</f>
        <v>0.24159750629937907</v>
      </c>
      <c r="D53" s="141">
        <f t="shared" si="60"/>
        <v>0.25611081641401012</v>
      </c>
      <c r="E53" s="141">
        <f t="shared" si="60"/>
        <v>0.18380077177404247</v>
      </c>
      <c r="F53" s="141">
        <f t="shared" si="60"/>
        <v>0.71945271956991985</v>
      </c>
      <c r="G53" s="141">
        <f t="shared" si="60"/>
        <v>2.0817960103335191</v>
      </c>
      <c r="H53" s="141">
        <f t="shared" si="60"/>
        <v>4.8140990390452885</v>
      </c>
      <c r="I53" s="141">
        <f t="shared" si="60"/>
        <v>0.18199337177572877</v>
      </c>
      <c r="J53" s="141">
        <f t="shared" si="60"/>
        <v>0.17055258497789794</v>
      </c>
      <c r="K53" s="141">
        <f t="shared" si="60"/>
        <v>0.23159174538345997</v>
      </c>
      <c r="L53" s="141">
        <f t="shared" si="60"/>
        <v>4.2083731771696291</v>
      </c>
      <c r="M53" s="141">
        <f t="shared" si="60"/>
        <v>6.1163601528335816</v>
      </c>
      <c r="N53" s="141"/>
      <c r="O53" s="141">
        <f t="shared" si="60"/>
        <v>1</v>
      </c>
      <c r="P53" s="141">
        <f t="shared" si="60"/>
        <v>2.2468647913692013</v>
      </c>
      <c r="Q53" s="141">
        <f t="shared" si="60"/>
        <v>6.4127141520113867E-2</v>
      </c>
      <c r="R53" s="141">
        <f t="shared" si="60"/>
        <v>0.87986661910881991</v>
      </c>
      <c r="S53" s="141">
        <f t="shared" si="60"/>
        <v>2.2000321359204622</v>
      </c>
      <c r="T53" s="141">
        <f t="shared" si="60"/>
        <v>3.1757798281349903</v>
      </c>
      <c r="U53" s="141">
        <f t="shared" si="60"/>
        <v>4.1165560108103652</v>
      </c>
      <c r="V53" s="141">
        <f t="shared" si="60"/>
        <v>5.6218047924940304</v>
      </c>
    </row>
    <row r="54" spans="1:22" s="3" customFormat="1" x14ac:dyDescent="0.25">
      <c r="A54" s="61" t="s">
        <v>2</v>
      </c>
      <c r="B54" s="141">
        <f t="shared" ref="B54" si="61">B48</f>
        <v>5.7607858102673916E-2</v>
      </c>
      <c r="C54" s="141">
        <f t="shared" ref="C54:V54" si="62">C48</f>
        <v>7.9858018244174878E-2</v>
      </c>
      <c r="D54" s="141">
        <f t="shared" si="62"/>
        <v>7.6831841282086505E-2</v>
      </c>
      <c r="E54" s="141">
        <f t="shared" si="62"/>
        <v>4.0544907538336318E-2</v>
      </c>
      <c r="F54" s="141">
        <f t="shared" si="62"/>
        <v>0.10729451195642507</v>
      </c>
      <c r="G54" s="141">
        <f t="shared" si="62"/>
        <v>0.27845440860180332</v>
      </c>
      <c r="H54" s="141">
        <f t="shared" si="62"/>
        <v>0.35149287361891718</v>
      </c>
      <c r="I54" s="141">
        <f t="shared" si="62"/>
        <v>2.6304988747836159E-2</v>
      </c>
      <c r="J54" s="141">
        <f t="shared" si="62"/>
        <v>4.621129727371364E-2</v>
      </c>
      <c r="K54" s="141">
        <f t="shared" si="62"/>
        <v>4.687344941971671E-2</v>
      </c>
      <c r="L54" s="141">
        <f t="shared" si="62"/>
        <v>0.42820639558116935</v>
      </c>
      <c r="M54" s="141">
        <f t="shared" si="62"/>
        <v>0.41036408019762377</v>
      </c>
      <c r="N54" s="141"/>
      <c r="O54" s="141">
        <f t="shared" si="62"/>
        <v>0.25367317117702332</v>
      </c>
      <c r="P54" s="141">
        <f t="shared" si="62"/>
        <v>0.17858797784953381</v>
      </c>
      <c r="Q54" s="141">
        <f t="shared" si="62"/>
        <v>2.3862072937816694E-2</v>
      </c>
      <c r="R54" s="141">
        <f t="shared" si="62"/>
        <v>0.19097657732310108</v>
      </c>
      <c r="S54" s="141">
        <f t="shared" si="62"/>
        <v>0.3188368964181999</v>
      </c>
      <c r="T54" s="141">
        <f t="shared" si="62"/>
        <v>0.35606794538770692</v>
      </c>
      <c r="U54" s="141">
        <f t="shared" si="62"/>
        <v>0.45072116124768008</v>
      </c>
      <c r="V54" s="141">
        <f t="shared" si="62"/>
        <v>0.5039924086846731</v>
      </c>
    </row>
    <row r="55" spans="1:22" s="3" customFormat="1" x14ac:dyDescent="0.25">
      <c r="A55" s="61" t="s">
        <v>79</v>
      </c>
      <c r="B55" s="141">
        <f>(B53*100/$B53)-100</f>
        <v>0</v>
      </c>
      <c r="C55" s="141">
        <f t="shared" ref="C55:M55" si="63">(C53*100/$B53)-100</f>
        <v>32.134990785082948</v>
      </c>
      <c r="D55" s="141">
        <f t="shared" si="63"/>
        <v>40.072639346245893</v>
      </c>
      <c r="E55" s="141">
        <f t="shared" si="63"/>
        <v>0.52468527783248931</v>
      </c>
      <c r="F55" s="141">
        <f t="shared" si="63"/>
        <v>293.48451863933229</v>
      </c>
      <c r="G55" s="141">
        <f t="shared" si="63"/>
        <v>1038.5800327797049</v>
      </c>
      <c r="H55" s="141">
        <f t="shared" si="63"/>
        <v>2532.9366635700276</v>
      </c>
      <c r="I55" s="141">
        <f t="shared" si="63"/>
        <v>-0.46382153989185326</v>
      </c>
      <c r="J55" s="141">
        <f t="shared" si="63"/>
        <v>-6.7210395106444167</v>
      </c>
      <c r="K55" s="141">
        <f t="shared" si="63"/>
        <v>26.662620036419668</v>
      </c>
      <c r="L55" s="141">
        <f t="shared" si="63"/>
        <v>2201.6518651332135</v>
      </c>
      <c r="M55" s="141">
        <f t="shared" si="63"/>
        <v>3245.1719134527789</v>
      </c>
      <c r="N55" s="141"/>
      <c r="O55" s="141">
        <f>(O53*100/$O53)-100</f>
        <v>0</v>
      </c>
      <c r="P55" s="141">
        <f t="shared" ref="P55:V55" si="64">(P53*100/$O53)-100</f>
        <v>124.68647913692013</v>
      </c>
      <c r="Q55" s="141">
        <f t="shared" si="64"/>
        <v>-93.58728584798861</v>
      </c>
      <c r="R55" s="141">
        <f t="shared" si="64"/>
        <v>-12.013338089118008</v>
      </c>
      <c r="S55" s="141">
        <f t="shared" si="64"/>
        <v>120.00321359204622</v>
      </c>
      <c r="T55" s="141">
        <f t="shared" si="64"/>
        <v>217.57798281349903</v>
      </c>
      <c r="U55" s="141">
        <f t="shared" si="64"/>
        <v>311.65560108103654</v>
      </c>
      <c r="V55" s="141">
        <f t="shared" si="64"/>
        <v>462.18047924940299</v>
      </c>
    </row>
    <row r="56" spans="1:22" s="3" customFormat="1" x14ac:dyDescent="0.25">
      <c r="A56" s="61" t="s">
        <v>81</v>
      </c>
      <c r="B56" s="141">
        <f>[1]!SWTEST(B28:B43)</f>
        <v>1.2119686316957035E-3</v>
      </c>
      <c r="C56" s="141">
        <f>[1]!SWTEST(C28:C43)</f>
        <v>1.0679673927058486E-2</v>
      </c>
      <c r="D56" s="141">
        <f>[1]!SWTEST(D28:D43)</f>
        <v>4.1627418783831693E-3</v>
      </c>
      <c r="E56" s="141">
        <f>[1]!SWTEST(E28:E43)</f>
        <v>0.84815209340900455</v>
      </c>
      <c r="F56" s="141">
        <f>[1]!SWTEST(F28:F43)</f>
        <v>0.56930564474581513</v>
      </c>
      <c r="G56" s="141">
        <f>[1]!SWTEST(G28:G43)</f>
        <v>0.90126667188913034</v>
      </c>
      <c r="H56" s="141">
        <f>[1]!SWTEST(H28:H43)</f>
        <v>0.7649096671411636</v>
      </c>
      <c r="I56" s="141">
        <f>[1]!SWTEST(I28:I43)</f>
        <v>0.70194152996218973</v>
      </c>
      <c r="J56" s="141">
        <f>[1]!SWTEST(J28:J43)</f>
        <v>0.20153058141846003</v>
      </c>
      <c r="K56" s="141">
        <f>[1]!SWTEST(K28:K43)</f>
        <v>0.90763534522822331</v>
      </c>
      <c r="L56" s="141">
        <f>[1]!SWTEST(L28:L43)</f>
        <v>9.9990942371680935E-2</v>
      </c>
      <c r="M56" s="141">
        <f>[1]!SWTEST(M28:M43)</f>
        <v>0.49291082400688779</v>
      </c>
      <c r="N56" s="141"/>
      <c r="O56" s="141">
        <f>[1]!SWTEST(O28:O43)</f>
        <v>2.1838105538660724E-3</v>
      </c>
      <c r="P56" s="141">
        <f>[1]!SWTEST(P28:P43)</f>
        <v>0.62682341637750394</v>
      </c>
      <c r="Q56" s="141">
        <f>[1]!SWTEST(Q28:Q43)</f>
        <v>2.2127710982506876E-3</v>
      </c>
      <c r="R56" s="141">
        <f>[1]!SWTEST(R28:R43)</f>
        <v>0.24677771731063869</v>
      </c>
      <c r="S56" s="141">
        <f>[1]!SWTEST(S28:S43)</f>
        <v>0.18572965991406165</v>
      </c>
      <c r="T56" s="141">
        <f>[1]!SWTEST(T28:T43)</f>
        <v>0.38950762492755397</v>
      </c>
      <c r="U56" s="141">
        <f>[1]!SWTEST(U28:U43)</f>
        <v>0.98070099773969799</v>
      </c>
      <c r="V56" s="141">
        <f>[1]!SWTEST(V28:V43)</f>
        <v>0.21111387616585087</v>
      </c>
    </row>
    <row r="57" spans="1:22" s="3" customFormat="1" x14ac:dyDescent="0.25">
      <c r="A57" s="61" t="s">
        <v>85</v>
      </c>
      <c r="B57" s="141" t="str">
        <f>IF(B56&gt;0.05,"Oui","Non")</f>
        <v>Non</v>
      </c>
      <c r="C57" s="141" t="str">
        <f t="shared" ref="C57:V57" si="65">IF(C56&gt;0.05,"Oui","Non")</f>
        <v>Non</v>
      </c>
      <c r="D57" s="141" t="str">
        <f t="shared" si="65"/>
        <v>Non</v>
      </c>
      <c r="E57" s="141" t="str">
        <f t="shared" si="65"/>
        <v>Oui</v>
      </c>
      <c r="F57" s="141" t="str">
        <f t="shared" si="65"/>
        <v>Oui</v>
      </c>
      <c r="G57" s="141" t="str">
        <f t="shared" si="65"/>
        <v>Oui</v>
      </c>
      <c r="H57" s="141" t="str">
        <f t="shared" si="65"/>
        <v>Oui</v>
      </c>
      <c r="I57" s="141" t="str">
        <f t="shared" si="65"/>
        <v>Oui</v>
      </c>
      <c r="J57" s="141" t="str">
        <f t="shared" si="65"/>
        <v>Oui</v>
      </c>
      <c r="K57" s="141" t="str">
        <f t="shared" si="65"/>
        <v>Oui</v>
      </c>
      <c r="L57" s="141" t="str">
        <f t="shared" si="65"/>
        <v>Oui</v>
      </c>
      <c r="M57" s="141" t="str">
        <f t="shared" si="65"/>
        <v>Oui</v>
      </c>
      <c r="N57" s="141"/>
      <c r="O57" s="141" t="str">
        <f t="shared" si="65"/>
        <v>Non</v>
      </c>
      <c r="P57" s="141" t="str">
        <f t="shared" si="65"/>
        <v>Oui</v>
      </c>
      <c r="Q57" s="141" t="str">
        <f t="shared" si="65"/>
        <v>Non</v>
      </c>
      <c r="R57" s="141" t="str">
        <f t="shared" si="65"/>
        <v>Oui</v>
      </c>
      <c r="S57" s="141" t="str">
        <f t="shared" si="65"/>
        <v>Oui</v>
      </c>
      <c r="T57" s="141" t="str">
        <f t="shared" si="65"/>
        <v>Oui</v>
      </c>
      <c r="U57" s="141" t="str">
        <f t="shared" si="65"/>
        <v>Oui</v>
      </c>
      <c r="V57" s="141" t="str">
        <f t="shared" si="65"/>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1722</v>
      </c>
      <c r="D59" s="150" t="s">
        <v>1722</v>
      </c>
      <c r="E59" s="150" t="s">
        <v>1722</v>
      </c>
      <c r="F59" s="150" t="s">
        <v>1722</v>
      </c>
      <c r="G59" s="150" t="s">
        <v>1722</v>
      </c>
      <c r="H59" s="150" t="s">
        <v>1722</v>
      </c>
      <c r="I59" s="150" t="s">
        <v>1722</v>
      </c>
      <c r="J59" s="150" t="s">
        <v>1722</v>
      </c>
      <c r="K59" s="150" t="s">
        <v>1722</v>
      </c>
      <c r="L59" s="150" t="s">
        <v>1722</v>
      </c>
      <c r="M59" s="150" t="s">
        <v>1722</v>
      </c>
      <c r="N59" s="150"/>
      <c r="O59" s="150" t="str">
        <f t="shared" ref="O59" si="66">IF($B57="Non",IF(O57="Non","MW",IF(O57="Oui","MW","")),IF($B57="Oui",IF(O57="Oui","T-Test Welch",IF(O57="Non","MW",""))))</f>
        <v>MW</v>
      </c>
      <c r="P59" s="150" t="str">
        <f>IF($O57="Non",IF(P57="Non","MW",IF(P57="Oui","MW","")),IF($O57="Oui",IF(P57="Oui","T-Test Welch",IF(P57="Non","MW",""))))</f>
        <v>MW</v>
      </c>
      <c r="Q59" s="150" t="str">
        <f t="shared" ref="Q59" si="67">IF($O57="Non",IF(Q57="Non","MW",IF(Q57="Oui","MW","")),IF($O57="Oui",IF(Q57="Oui","T-Test Welch",IF(Q57="Non","MW",""))))</f>
        <v>MW</v>
      </c>
      <c r="R59" s="150" t="s">
        <v>1722</v>
      </c>
      <c r="S59" s="150" t="s">
        <v>1722</v>
      </c>
      <c r="T59" s="150" t="s">
        <v>1722</v>
      </c>
      <c r="U59" s="150" t="s">
        <v>1722</v>
      </c>
      <c r="V59" s="150" t="s">
        <v>1722</v>
      </c>
    </row>
    <row r="60" spans="1:22" s="3" customFormat="1" ht="15.75" x14ac:dyDescent="0.25">
      <c r="A60" s="61" t="s">
        <v>83</v>
      </c>
      <c r="B60" s="151"/>
      <c r="C60" s="197">
        <v>0.99990000000000001</v>
      </c>
      <c r="D60" s="197">
        <v>0.99990000000000001</v>
      </c>
      <c r="E60" s="197">
        <v>0.99990000000000001</v>
      </c>
      <c r="F60" s="197">
        <v>5.2600000000000001E-2</v>
      </c>
      <c r="G60" s="197">
        <v>1.1999999999999999E-3</v>
      </c>
      <c r="H60" s="197">
        <v>1E-4</v>
      </c>
      <c r="I60" s="197">
        <v>0.99990000000000001</v>
      </c>
      <c r="J60" s="197">
        <v>0.99990000000000001</v>
      </c>
      <c r="K60" s="197">
        <v>0.99990000000000001</v>
      </c>
      <c r="L60" s="197">
        <v>3.0000000000000001E-3</v>
      </c>
      <c r="M60" s="197">
        <v>1E-4</v>
      </c>
      <c r="N60" s="151"/>
      <c r="O60" s="197">
        <v>2.8E-3</v>
      </c>
      <c r="P60" s="197">
        <v>3.5999999999999999E-3</v>
      </c>
      <c r="Q60" s="197">
        <v>1E-4</v>
      </c>
      <c r="R60" s="197">
        <v>0.99990000000000001</v>
      </c>
      <c r="S60" s="197">
        <v>0.15409999999999999</v>
      </c>
      <c r="T60" s="197">
        <v>6.7999999999999996E-3</v>
      </c>
      <c r="U60" s="197">
        <v>2.0000000000000001E-4</v>
      </c>
      <c r="V60" s="197">
        <v>1E-4</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NS</v>
      </c>
      <c r="G61" s="142" t="str">
        <f t="shared" si="68"/>
        <v>**</v>
      </c>
      <c r="H61" s="142" t="str">
        <f t="shared" si="68"/>
        <v>***</v>
      </c>
      <c r="I61" s="142" t="str">
        <f t="shared" si="68"/>
        <v>NS</v>
      </c>
      <c r="J61" s="142" t="str">
        <f t="shared" si="68"/>
        <v>NS</v>
      </c>
      <c r="K61" s="142" t="str">
        <f t="shared" si="68"/>
        <v>NS</v>
      </c>
      <c r="L61" s="142" t="str">
        <f t="shared" si="68"/>
        <v>**</v>
      </c>
      <c r="M61" s="142" t="str">
        <f t="shared" si="68"/>
        <v>***</v>
      </c>
      <c r="N61" s="142"/>
      <c r="O61" s="142" t="str">
        <f t="shared" si="68"/>
        <v>**</v>
      </c>
      <c r="P61" s="142" t="str">
        <f>IF(P60&gt;0.05,"NS",IF(P60&gt;0.01,"*",IF(P60&gt;0.001,"**","***")))</f>
        <v>**</v>
      </c>
      <c r="Q61" s="142" t="str">
        <f t="shared" ref="Q61:V61" si="69">IF(Q60&gt;0.05,"NS",IF(Q60&gt;0.01,"*",IF(Q60&gt;0.001,"**","***")))</f>
        <v>***</v>
      </c>
      <c r="R61" s="142" t="str">
        <f t="shared" si="69"/>
        <v>NS</v>
      </c>
      <c r="S61" s="142" t="str">
        <f t="shared" si="69"/>
        <v>NS</v>
      </c>
      <c r="T61" s="142" t="str">
        <f t="shared" si="69"/>
        <v>**</v>
      </c>
      <c r="U61" s="142" t="str">
        <f t="shared" si="69"/>
        <v>***</v>
      </c>
      <c r="V61" s="142" t="str">
        <f t="shared" si="69"/>
        <v>***</v>
      </c>
    </row>
    <row r="63" spans="1:22" x14ac:dyDescent="0.25">
      <c r="A63" s="2" t="s">
        <v>39</v>
      </c>
    </row>
    <row r="64" spans="1:22" x14ac:dyDescent="0.25">
      <c r="A64" s="1" t="s">
        <v>23</v>
      </c>
      <c r="B64" s="1">
        <f>B46+(3*B47)</f>
        <v>0.67166031507897017</v>
      </c>
    </row>
    <row r="65" spans="1:22" x14ac:dyDescent="0.25">
      <c r="A65" s="1" t="s">
        <v>24</v>
      </c>
      <c r="B65" s="1">
        <f>B46+(10*B47)</f>
        <v>1.8122377142718977</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97"/>
      <c r="C70" s="12"/>
      <c r="D70" s="12"/>
      <c r="E70" s="12"/>
      <c r="F70" s="12"/>
      <c r="K70" s="197"/>
      <c r="N70" s="12"/>
      <c r="O70" s="12"/>
      <c r="P70" s="12"/>
      <c r="Q70" s="12"/>
      <c r="R70" s="12"/>
      <c r="S70" s="12"/>
      <c r="T70" s="12"/>
      <c r="U70" s="12"/>
      <c r="V70" s="12"/>
    </row>
    <row r="71" spans="1:22" ht="16.5" x14ac:dyDescent="0.25">
      <c r="A71" s="12"/>
      <c r="B71" s="197"/>
      <c r="C71" s="12"/>
      <c r="D71" s="12"/>
      <c r="E71" s="12"/>
      <c r="F71" s="12"/>
      <c r="K71" s="197"/>
      <c r="N71" s="12"/>
      <c r="O71" s="12"/>
      <c r="P71" s="12"/>
      <c r="Q71" s="12"/>
      <c r="R71" s="12"/>
      <c r="S71" s="197"/>
      <c r="T71" s="12"/>
      <c r="U71" s="12"/>
      <c r="V71" s="12"/>
    </row>
    <row r="72" spans="1:22" ht="16.5" x14ac:dyDescent="0.25">
      <c r="A72" s="12"/>
      <c r="B72" s="197"/>
      <c r="C72" s="12"/>
      <c r="D72" s="12"/>
      <c r="E72" s="12"/>
      <c r="F72" s="12"/>
      <c r="K72" s="197"/>
      <c r="N72" s="12"/>
      <c r="O72" s="12"/>
      <c r="P72" s="12"/>
      <c r="Q72" s="12"/>
      <c r="R72" s="12"/>
      <c r="S72" s="197"/>
      <c r="T72" s="12"/>
      <c r="U72" s="12"/>
      <c r="V72" s="12"/>
    </row>
    <row r="73" spans="1:22" ht="16.5" x14ac:dyDescent="0.25">
      <c r="A73" s="12"/>
      <c r="B73" s="197"/>
      <c r="C73" s="12"/>
      <c r="D73" s="12"/>
      <c r="E73" s="12"/>
      <c r="F73" s="12"/>
      <c r="K73" s="197"/>
      <c r="N73" s="12"/>
      <c r="O73" s="12"/>
      <c r="P73" s="12"/>
      <c r="Q73" s="12"/>
      <c r="R73" s="12"/>
      <c r="S73" s="197"/>
      <c r="T73" s="12"/>
      <c r="U73" s="12"/>
      <c r="V73" s="12"/>
    </row>
    <row r="74" spans="1:22" ht="16.5" x14ac:dyDescent="0.25">
      <c r="A74" s="12"/>
      <c r="B74" s="197"/>
      <c r="C74" s="12"/>
      <c r="D74" s="12"/>
      <c r="E74" s="12"/>
      <c r="F74" s="12"/>
      <c r="K74" s="197"/>
      <c r="N74" s="12"/>
      <c r="O74" s="12"/>
      <c r="P74" s="12"/>
      <c r="Q74" s="12"/>
      <c r="R74" s="12"/>
      <c r="S74" s="197"/>
      <c r="T74" s="12"/>
      <c r="U74" s="12"/>
      <c r="V74" s="12"/>
    </row>
    <row r="75" spans="1:22" ht="15.75" x14ac:dyDescent="0.25">
      <c r="B75" s="197"/>
      <c r="S75" s="197"/>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J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1688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3121</v>
      </c>
      <c r="D2" s="1" t="s">
        <v>267</v>
      </c>
      <c r="E2" s="1" t="s">
        <v>3122</v>
      </c>
      <c r="F2" s="1" t="s">
        <v>112</v>
      </c>
      <c r="G2" s="1">
        <v>30606</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3123</v>
      </c>
      <c r="D3" s="1" t="s">
        <v>3124</v>
      </c>
      <c r="E3" s="1" t="s">
        <v>3125</v>
      </c>
      <c r="F3" s="1" t="s">
        <v>112</v>
      </c>
      <c r="G3" s="1">
        <v>494265</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3126</v>
      </c>
      <c r="D4" s="1" t="s">
        <v>302</v>
      </c>
      <c r="E4" s="1" t="s">
        <v>3127</v>
      </c>
      <c r="F4" s="1" t="s">
        <v>112</v>
      </c>
      <c r="G4" s="1">
        <v>231418</v>
      </c>
      <c r="K4" s="118" t="s">
        <v>100</v>
      </c>
      <c r="L4" s="1" t="s">
        <v>1689</v>
      </c>
      <c r="M4" s="1" t="s">
        <v>1690</v>
      </c>
      <c r="N4" s="1" t="s">
        <v>1691</v>
      </c>
      <c r="O4" s="1" t="s">
        <v>1692</v>
      </c>
      <c r="P4" s="1" t="s">
        <v>1693</v>
      </c>
      <c r="Q4" s="1" t="s">
        <v>1694</v>
      </c>
      <c r="R4" s="1" t="s">
        <v>1695</v>
      </c>
      <c r="S4" s="1" t="s">
        <v>3116</v>
      </c>
      <c r="T4" s="1" t="s">
        <v>3117</v>
      </c>
      <c r="U4" s="1" t="s">
        <v>3118</v>
      </c>
      <c r="V4" s="1" t="s">
        <v>3119</v>
      </c>
      <c r="W4" s="1" t="s">
        <v>3120</v>
      </c>
      <c r="X4" s="1" t="s">
        <v>1701</v>
      </c>
      <c r="Y4" s="1" t="s">
        <v>1702</v>
      </c>
      <c r="Z4" s="1" t="s">
        <v>1703</v>
      </c>
      <c r="AA4" s="1" t="s">
        <v>1704</v>
      </c>
      <c r="AB4" s="1" t="s">
        <v>1705</v>
      </c>
      <c r="AC4" s="1" t="s">
        <v>1706</v>
      </c>
      <c r="AD4" s="1" t="s">
        <v>1707</v>
      </c>
      <c r="AE4" s="1" t="s">
        <v>1708</v>
      </c>
      <c r="AF4" s="1" t="s">
        <v>1709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3128</v>
      </c>
      <c r="D5" s="1" t="s">
        <v>352</v>
      </c>
      <c r="E5" s="1" t="s">
        <v>3129</v>
      </c>
      <c r="F5" s="1" t="s">
        <v>112</v>
      </c>
      <c r="G5" s="1">
        <v>178252</v>
      </c>
      <c r="K5" s="145" t="s">
        <v>163</v>
      </c>
      <c r="L5" s="44">
        <v>252096.33333333334</v>
      </c>
      <c r="M5" s="44">
        <v>40945.333333333336</v>
      </c>
      <c r="N5" s="44">
        <v>82799.333333333328</v>
      </c>
      <c r="O5" s="44">
        <v>57146</v>
      </c>
      <c r="P5" s="44">
        <v>571245.33333333337</v>
      </c>
      <c r="Q5" s="44">
        <v>3552285</v>
      </c>
      <c r="R5" s="44">
        <v>3583994</v>
      </c>
      <c r="S5" s="44">
        <v>114696.33333333333</v>
      </c>
      <c r="T5" s="44">
        <v>172368.33333333334</v>
      </c>
      <c r="U5" s="44">
        <v>469491.33333333331</v>
      </c>
      <c r="V5" s="44">
        <v>4069780</v>
      </c>
      <c r="W5" s="44">
        <v>5904384.333333333</v>
      </c>
      <c r="X5" s="44">
        <v>1897396</v>
      </c>
      <c r="Y5" s="44">
        <v>764465.5</v>
      </c>
      <c r="Z5" s="44">
        <v>2123724</v>
      </c>
      <c r="AA5" s="44">
        <v>110975.66666666667</v>
      </c>
      <c r="AB5" s="44">
        <v>1331291.3333333333</v>
      </c>
      <c r="AC5" s="44">
        <v>1621622.3333333333</v>
      </c>
      <c r="AD5" s="44">
        <v>388393.66666666669</v>
      </c>
      <c r="AE5" s="44">
        <v>4710573</v>
      </c>
      <c r="AF5" s="44">
        <v>4344371.666666667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3130</v>
      </c>
      <c r="D6" s="1" t="s">
        <v>876</v>
      </c>
      <c r="E6" s="1" t="s">
        <v>3131</v>
      </c>
      <c r="F6" s="1" t="s">
        <v>112</v>
      </c>
      <c r="G6" s="1">
        <v>331024</v>
      </c>
      <c r="K6" s="145" t="s">
        <v>1710</v>
      </c>
      <c r="L6" s="44">
        <v>190400.66666666666</v>
      </c>
      <c r="M6" s="44">
        <v>14946</v>
      </c>
      <c r="N6" s="44">
        <v>139505.66666666666</v>
      </c>
      <c r="O6" s="44"/>
      <c r="P6" s="44">
        <v>693807.66666666663</v>
      </c>
      <c r="Q6" s="44">
        <v>2687017</v>
      </c>
      <c r="R6" s="44">
        <v>5352158.666666667</v>
      </c>
      <c r="S6" s="44">
        <v>118041.66666666667</v>
      </c>
      <c r="T6" s="44">
        <v>115849.66666666667</v>
      </c>
      <c r="U6" s="44">
        <v>301657.66666666669</v>
      </c>
      <c r="V6" s="44">
        <v>5048468</v>
      </c>
      <c r="W6" s="44">
        <v>8100114.333333333</v>
      </c>
      <c r="X6" s="44">
        <v>3189190.6666666665</v>
      </c>
      <c r="Y6" s="44">
        <v>2036981</v>
      </c>
      <c r="Z6" s="44">
        <v>2621824.3333333335</v>
      </c>
      <c r="AA6" s="44">
        <v>197783.66666666666</v>
      </c>
      <c r="AB6" s="44">
        <v>542960.66666666663</v>
      </c>
      <c r="AC6" s="44">
        <v>2416484.6666666665</v>
      </c>
      <c r="AD6" s="44">
        <v>2533034</v>
      </c>
      <c r="AE6" s="44">
        <v>4595574</v>
      </c>
      <c r="AF6" s="44">
        <v>4778310.666666667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3132</v>
      </c>
      <c r="D7" s="1" t="s">
        <v>184</v>
      </c>
      <c r="E7" s="1" t="s">
        <v>3133</v>
      </c>
      <c r="F7" s="1" t="s">
        <v>112</v>
      </c>
      <c r="G7" s="1">
        <v>61926</v>
      </c>
      <c r="K7" s="145" t="s">
        <v>1711</v>
      </c>
      <c r="L7" s="44">
        <v>103426.66666666667</v>
      </c>
      <c r="M7" s="44">
        <v>697564</v>
      </c>
      <c r="N7" s="44">
        <v>62042</v>
      </c>
      <c r="O7" s="44">
        <v>145367.33333333334</v>
      </c>
      <c r="P7" s="44">
        <v>2477048.6666666665</v>
      </c>
      <c r="Q7" s="44">
        <v>2788454</v>
      </c>
      <c r="R7" s="44">
        <v>5126141</v>
      </c>
      <c r="S7" s="44">
        <v>26057</v>
      </c>
      <c r="T7" s="44">
        <v>14520.666666666666</v>
      </c>
      <c r="U7" s="44">
        <v>12321.666666666666</v>
      </c>
      <c r="V7" s="44">
        <v>2103644.3333333335</v>
      </c>
      <c r="W7" s="44">
        <v>3179486.3333333335</v>
      </c>
      <c r="X7" s="44">
        <v>1866241.6666666667</v>
      </c>
      <c r="Y7" s="44">
        <v>56937</v>
      </c>
      <c r="Z7" s="44">
        <v>3522291.3333333335</v>
      </c>
      <c r="AA7" s="44">
        <v>77514.666666666672</v>
      </c>
      <c r="AB7" s="44">
        <v>2317873.6666666665</v>
      </c>
      <c r="AC7" s="44">
        <v>3239394</v>
      </c>
      <c r="AD7" s="44">
        <v>2711992.3333333335</v>
      </c>
      <c r="AE7" s="44">
        <v>6390451.333333333</v>
      </c>
      <c r="AF7" s="44">
        <v>5666174.333333333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3134</v>
      </c>
      <c r="D8" s="1" t="s">
        <v>3135</v>
      </c>
      <c r="E8" s="1" t="s">
        <v>3136</v>
      </c>
      <c r="F8" s="1" t="s">
        <v>112</v>
      </c>
      <c r="G8" s="1">
        <v>112843</v>
      </c>
      <c r="K8" s="145" t="s">
        <v>1712</v>
      </c>
      <c r="L8" s="44">
        <v>56274</v>
      </c>
      <c r="M8" s="44">
        <v>304022.66666666669</v>
      </c>
      <c r="N8" s="44">
        <v>66785.666666666672</v>
      </c>
      <c r="O8" s="44">
        <v>576054.33333333337</v>
      </c>
      <c r="P8" s="44">
        <v>1084551.6666666667</v>
      </c>
      <c r="Q8" s="44">
        <v>3707385.3333333335</v>
      </c>
      <c r="R8" s="44">
        <v>7358021.333333333</v>
      </c>
      <c r="S8" s="44">
        <v>96094.333333333328</v>
      </c>
      <c r="T8" s="44">
        <v>22617.666666666668</v>
      </c>
      <c r="U8" s="44">
        <v>436614</v>
      </c>
      <c r="V8" s="44">
        <v>4208190</v>
      </c>
      <c r="W8" s="44">
        <v>6216727.666666667</v>
      </c>
      <c r="X8" s="44">
        <v>1453903.6666666667</v>
      </c>
      <c r="Y8" s="44">
        <v>2295364.6666666665</v>
      </c>
      <c r="Z8" s="44">
        <v>2077713.5</v>
      </c>
      <c r="AA8" s="44">
        <v>43772</v>
      </c>
      <c r="AB8" s="44">
        <v>1386750.3333333333</v>
      </c>
      <c r="AC8" s="44">
        <v>2868571</v>
      </c>
      <c r="AD8" s="44">
        <v>2991190.6666666665</v>
      </c>
      <c r="AE8" s="44">
        <v>3499753</v>
      </c>
      <c r="AF8" s="44">
        <v>5245401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3137</v>
      </c>
      <c r="D9" s="1" t="s">
        <v>219</v>
      </c>
      <c r="E9" s="1" t="s">
        <v>3138</v>
      </c>
      <c r="F9" s="1" t="s">
        <v>112</v>
      </c>
      <c r="G9" s="1">
        <v>72633</v>
      </c>
      <c r="K9" s="145" t="s">
        <v>1713</v>
      </c>
      <c r="L9" s="44">
        <v>164928</v>
      </c>
      <c r="M9" s="44">
        <v>135850</v>
      </c>
      <c r="N9" s="44">
        <v>302588</v>
      </c>
      <c r="O9" s="44">
        <v>453499.66666666669</v>
      </c>
      <c r="P9" s="44">
        <v>747616</v>
      </c>
      <c r="Q9" s="44">
        <v>1897562</v>
      </c>
      <c r="R9" s="44">
        <v>1375625.3333333333</v>
      </c>
      <c r="S9" s="44">
        <v>100932.33333333333</v>
      </c>
      <c r="T9" s="44">
        <v>17520</v>
      </c>
      <c r="U9" s="44">
        <v>1533094.5</v>
      </c>
      <c r="V9" s="44">
        <v>3721279.3333333335</v>
      </c>
      <c r="W9" s="44">
        <v>5256396.333333333</v>
      </c>
      <c r="X9" s="44">
        <v>1594346.6666666667</v>
      </c>
      <c r="Y9" s="44">
        <v>2945645.6666666665</v>
      </c>
      <c r="Z9" s="44">
        <v>4914694</v>
      </c>
      <c r="AA9" s="44">
        <v>118582.33333333333</v>
      </c>
      <c r="AB9" s="44">
        <v>2126298.3333333335</v>
      </c>
      <c r="AC9" s="44">
        <v>819153</v>
      </c>
      <c r="AD9" s="44">
        <v>927994.66666666663</v>
      </c>
      <c r="AE9" s="44">
        <v>1731941.6666666667</v>
      </c>
      <c r="AF9" s="44">
        <v>6965734.666666667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3139</v>
      </c>
      <c r="D10" s="1" t="s">
        <v>3140</v>
      </c>
      <c r="E10" s="1" t="s">
        <v>3141</v>
      </c>
      <c r="F10" s="1" t="s">
        <v>112</v>
      </c>
      <c r="G10" s="1">
        <v>124804</v>
      </c>
      <c r="K10" s="145" t="s">
        <v>1714</v>
      </c>
      <c r="L10" s="44">
        <v>168821.33333333334</v>
      </c>
      <c r="M10" s="44">
        <v>44766.666666666664</v>
      </c>
      <c r="N10" s="44">
        <v>54882.333333333336</v>
      </c>
      <c r="O10" s="44">
        <v>116768.5</v>
      </c>
      <c r="P10" s="44">
        <v>179607.66666666666</v>
      </c>
      <c r="Q10" s="44">
        <v>1363447.3333333333</v>
      </c>
      <c r="R10" s="44">
        <v>2649756</v>
      </c>
      <c r="S10" s="44">
        <v>87579.333333333328</v>
      </c>
      <c r="T10" s="44">
        <v>96209.666666666672</v>
      </c>
      <c r="U10" s="44">
        <v>56915.333333333336</v>
      </c>
      <c r="V10" s="44"/>
      <c r="W10" s="44">
        <v>7882013</v>
      </c>
      <c r="X10" s="44">
        <v>195765.33333333334</v>
      </c>
      <c r="Y10" s="44">
        <v>3253453.3333333335</v>
      </c>
      <c r="Z10" s="44">
        <v>3298104.6666666665</v>
      </c>
      <c r="AA10" s="44">
        <v>13757</v>
      </c>
      <c r="AB10" s="44">
        <v>3468440.3333333335</v>
      </c>
      <c r="AC10" s="44">
        <v>907742</v>
      </c>
      <c r="AD10" s="44">
        <v>917850</v>
      </c>
      <c r="AE10" s="44">
        <v>3747977.6666666665</v>
      </c>
      <c r="AF10" s="44">
        <v>7145176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3142</v>
      </c>
      <c r="D11" s="1" t="s">
        <v>3135</v>
      </c>
      <c r="E11" s="1" t="s">
        <v>3143</v>
      </c>
      <c r="F11" s="1" t="s">
        <v>112</v>
      </c>
      <c r="G11" s="1">
        <v>114725</v>
      </c>
      <c r="K11" s="145" t="s">
        <v>1715</v>
      </c>
      <c r="L11" s="44">
        <v>47420</v>
      </c>
      <c r="M11" s="44">
        <v>131365.66666666666</v>
      </c>
      <c r="N11" s="44">
        <v>47881.333333333336</v>
      </c>
      <c r="O11" s="44">
        <v>83404.666666666672</v>
      </c>
      <c r="P11" s="44">
        <v>1547850</v>
      </c>
      <c r="Q11" s="44">
        <v>135093</v>
      </c>
      <c r="R11" s="44">
        <v>2078171.6666666667</v>
      </c>
      <c r="S11" s="44">
        <v>242442.33333333334</v>
      </c>
      <c r="T11" s="44">
        <v>187091.33333333334</v>
      </c>
      <c r="U11" s="44">
        <v>1163897.3333333333</v>
      </c>
      <c r="V11" s="44">
        <v>2544829.3333333335</v>
      </c>
      <c r="W11" s="44">
        <v>6192912.666666667</v>
      </c>
      <c r="X11" s="44">
        <v>1588795</v>
      </c>
      <c r="Y11" s="44">
        <v>257316.66666666666</v>
      </c>
      <c r="Z11" s="44">
        <v>3868420</v>
      </c>
      <c r="AA11" s="44">
        <v>75070.333333333328</v>
      </c>
      <c r="AB11" s="44">
        <v>772000</v>
      </c>
      <c r="AC11" s="44">
        <v>850062.33333333337</v>
      </c>
      <c r="AD11" s="44">
        <v>4121453.6666666665</v>
      </c>
      <c r="AE11" s="44">
        <v>3999865</v>
      </c>
      <c r="AF11" s="44">
        <v>8463554</v>
      </c>
      <c r="AG11"/>
    </row>
    <row r="12" spans="1:144" x14ac:dyDescent="0.2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3144</v>
      </c>
      <c r="D12" s="1" t="s">
        <v>1296</v>
      </c>
      <c r="E12" s="1" t="s">
        <v>3145</v>
      </c>
      <c r="F12" s="1" t="s">
        <v>112</v>
      </c>
      <c r="G12" s="1">
        <v>20592</v>
      </c>
      <c r="K12" s="145" t="s">
        <v>1716</v>
      </c>
      <c r="L12" s="44">
        <v>138590</v>
      </c>
      <c r="M12" s="44">
        <v>311989.66666666669</v>
      </c>
      <c r="N12" s="44">
        <v>86721.333333333328</v>
      </c>
      <c r="O12" s="44">
        <v>425972</v>
      </c>
      <c r="P12" s="44">
        <v>1557129</v>
      </c>
      <c r="Q12" s="44">
        <v>2461994</v>
      </c>
      <c r="R12" s="44">
        <v>5340277</v>
      </c>
      <c r="S12" s="44">
        <v>101026</v>
      </c>
      <c r="T12" s="44">
        <v>318283.66666666669</v>
      </c>
      <c r="U12" s="44">
        <v>40534</v>
      </c>
      <c r="V12" s="44">
        <v>5404950</v>
      </c>
      <c r="W12" s="44">
        <v>7980321</v>
      </c>
      <c r="X12" s="44">
        <v>2302826.6666666665</v>
      </c>
      <c r="Y12" s="44">
        <v>3480834</v>
      </c>
      <c r="Z12" s="44">
        <v>3075251.6666666665</v>
      </c>
      <c r="AA12" s="44"/>
      <c r="AB12" s="44">
        <v>1440118.3333333333</v>
      </c>
      <c r="AC12" s="44">
        <v>1586185</v>
      </c>
      <c r="AD12" s="44">
        <v>2966965.3333333335</v>
      </c>
      <c r="AE12" s="44">
        <v>4918630.666666667</v>
      </c>
      <c r="AF12" s="44">
        <v>1926754.6666666667</v>
      </c>
      <c r="AG12"/>
    </row>
    <row r="13" spans="1:144" x14ac:dyDescent="0.2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3146</v>
      </c>
      <c r="D13" s="1" t="s">
        <v>1094</v>
      </c>
      <c r="E13" s="1" t="s">
        <v>3147</v>
      </c>
      <c r="F13" s="1" t="s">
        <v>112</v>
      </c>
      <c r="G13" s="1">
        <v>33505</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3148</v>
      </c>
      <c r="D14" s="1" t="s">
        <v>187</v>
      </c>
      <c r="E14" s="1" t="s">
        <v>3149</v>
      </c>
      <c r="F14" s="1" t="s">
        <v>112</v>
      </c>
      <c r="G14" s="1">
        <v>194020</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3150</v>
      </c>
      <c r="D15" s="1" t="s">
        <v>1774</v>
      </c>
      <c r="E15" s="1" t="s">
        <v>3151</v>
      </c>
      <c r="F15" s="1" t="s">
        <v>112</v>
      </c>
      <c r="G15" s="1">
        <v>85395</v>
      </c>
    </row>
    <row r="16" spans="1:144" x14ac:dyDescent="0.2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3152</v>
      </c>
      <c r="D16" s="1" t="s">
        <v>3153</v>
      </c>
      <c r="E16" s="1" t="s">
        <v>3154</v>
      </c>
      <c r="F16" s="1" t="s">
        <v>112</v>
      </c>
      <c r="G16" s="1">
        <v>215369</v>
      </c>
    </row>
    <row r="17" spans="1:10" x14ac:dyDescent="0.2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3155</v>
      </c>
      <c r="D17" s="1" t="s">
        <v>317</v>
      </c>
      <c r="E17" s="1" t="s">
        <v>3156</v>
      </c>
      <c r="F17" s="1" t="s">
        <v>112</v>
      </c>
      <c r="G17" s="1">
        <v>71033</v>
      </c>
    </row>
    <row r="18" spans="1:10" x14ac:dyDescent="0.2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3157</v>
      </c>
      <c r="D18" s="1" t="s">
        <v>1395</v>
      </c>
      <c r="E18" s="1" t="s">
        <v>3158</v>
      </c>
      <c r="F18" s="1" t="s">
        <v>112</v>
      </c>
      <c r="G18" s="1">
        <v>51695</v>
      </c>
    </row>
    <row r="19" spans="1:10" x14ac:dyDescent="0.2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3159</v>
      </c>
      <c r="D19" s="1" t="s">
        <v>797</v>
      </c>
      <c r="E19" s="1" t="s">
        <v>3160</v>
      </c>
      <c r="F19" s="1" t="s">
        <v>112</v>
      </c>
      <c r="G19" s="1">
        <v>383736</v>
      </c>
    </row>
    <row r="20" spans="1:10" x14ac:dyDescent="0.2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3161</v>
      </c>
      <c r="D20" s="1" t="s">
        <v>441</v>
      </c>
      <c r="E20" s="1" t="s">
        <v>3162</v>
      </c>
      <c r="F20" s="1" t="s">
        <v>112</v>
      </c>
      <c r="G20" s="1">
        <v>56346</v>
      </c>
    </row>
    <row r="21" spans="1:10" x14ac:dyDescent="0.2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3163</v>
      </c>
      <c r="D21" s="1" t="s">
        <v>294</v>
      </c>
      <c r="E21" s="1" t="s">
        <v>3164</v>
      </c>
      <c r="F21" s="1" t="s">
        <v>112</v>
      </c>
      <c r="G21" s="1">
        <v>26324</v>
      </c>
    </row>
    <row r="22" spans="1:10" x14ac:dyDescent="0.2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3165</v>
      </c>
      <c r="D22" s="1" t="s">
        <v>331</v>
      </c>
      <c r="E22" s="1" t="s">
        <v>3166</v>
      </c>
      <c r="F22" s="1" t="s">
        <v>112</v>
      </c>
      <c r="G22" s="1">
        <v>59590</v>
      </c>
    </row>
    <row r="23" spans="1:10" x14ac:dyDescent="0.2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3167</v>
      </c>
      <c r="D23" s="1" t="s">
        <v>3168</v>
      </c>
      <c r="E23" s="1" t="s">
        <v>3169</v>
      </c>
      <c r="F23" s="1" t="s">
        <v>112</v>
      </c>
      <c r="G23" s="1">
        <v>99087</v>
      </c>
    </row>
    <row r="24" spans="1:10" x14ac:dyDescent="0.2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3170</v>
      </c>
      <c r="D24" s="1" t="s">
        <v>3171</v>
      </c>
      <c r="E24" s="1" t="s">
        <v>3172</v>
      </c>
      <c r="F24" s="1" t="s">
        <v>112</v>
      </c>
      <c r="G24" s="1">
        <v>272212</v>
      </c>
    </row>
    <row r="25" spans="1:10" x14ac:dyDescent="0.2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3173</v>
      </c>
      <c r="D25" s="1" t="s">
        <v>328</v>
      </c>
      <c r="E25" s="1" t="s">
        <v>2720</v>
      </c>
      <c r="F25" s="1" t="s">
        <v>112</v>
      </c>
      <c r="G25" s="1">
        <v>44471</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242</v>
      </c>
      <c r="D27" s="1" t="s">
        <v>112</v>
      </c>
      <c r="E27" s="1" t="s">
        <v>243</v>
      </c>
      <c r="F27" s="1" t="s">
        <v>244</v>
      </c>
      <c r="G27" s="1" t="s">
        <v>245</v>
      </c>
      <c r="H27" s="1" t="s">
        <v>246</v>
      </c>
      <c r="I27" s="1" t="s">
        <v>247</v>
      </c>
      <c r="J27" s="1" t="s">
        <v>248</v>
      </c>
    </row>
    <row r="28" spans="1:10" x14ac:dyDescent="0.2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3174</v>
      </c>
      <c r="D28" s="1" t="s">
        <v>112</v>
      </c>
      <c r="E28" s="1" t="s">
        <v>3175</v>
      </c>
      <c r="F28" s="1" t="s">
        <v>3176</v>
      </c>
      <c r="G28" s="1" t="s">
        <v>3177</v>
      </c>
      <c r="H28" s="1" t="s">
        <v>3178</v>
      </c>
      <c r="I28" s="1">
        <v>24</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254</v>
      </c>
      <c r="D34" s="1" t="s">
        <v>110</v>
      </c>
      <c r="E34" s="1" t="s">
        <v>111</v>
      </c>
      <c r="F34" s="1" t="s">
        <v>112</v>
      </c>
      <c r="G34" s="1" t="s">
        <v>113</v>
      </c>
    </row>
    <row r="35" spans="1:7" x14ac:dyDescent="0.2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3179</v>
      </c>
      <c r="D35" s="1" t="s">
        <v>228</v>
      </c>
      <c r="E35" s="1" t="s">
        <v>3180</v>
      </c>
      <c r="F35" s="1" t="s">
        <v>112</v>
      </c>
      <c r="G35" s="1">
        <v>71465</v>
      </c>
    </row>
    <row r="36" spans="1:7" x14ac:dyDescent="0.2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3181</v>
      </c>
      <c r="D36" s="1" t="s">
        <v>294</v>
      </c>
      <c r="E36" s="1" t="s">
        <v>3182</v>
      </c>
      <c r="F36" s="1" t="s">
        <v>112</v>
      </c>
      <c r="G36" s="1">
        <v>26497</v>
      </c>
    </row>
    <row r="37" spans="1:7" x14ac:dyDescent="0.2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3183</v>
      </c>
      <c r="D37" s="1" t="s">
        <v>297</v>
      </c>
      <c r="E37" s="1" t="s">
        <v>2260</v>
      </c>
      <c r="F37" s="1" t="s">
        <v>112</v>
      </c>
      <c r="G37" s="1">
        <v>24874</v>
      </c>
    </row>
    <row r="38" spans="1:7" x14ac:dyDescent="0.2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3184</v>
      </c>
    </row>
    <row r="39" spans="1:7" x14ac:dyDescent="0.2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3185</v>
      </c>
    </row>
    <row r="40" spans="1:7" x14ac:dyDescent="0.2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3186</v>
      </c>
      <c r="D40" s="1" t="s">
        <v>369</v>
      </c>
      <c r="E40" s="1" t="s">
        <v>3187</v>
      </c>
      <c r="F40" s="1" t="s">
        <v>112</v>
      </c>
      <c r="G40" s="1">
        <v>14946</v>
      </c>
    </row>
    <row r="41" spans="1:7" x14ac:dyDescent="0.2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3188</v>
      </c>
      <c r="D41" s="1" t="s">
        <v>1459</v>
      </c>
      <c r="E41" s="1" t="s">
        <v>3189</v>
      </c>
      <c r="F41" s="1" t="s">
        <v>112</v>
      </c>
      <c r="G41" s="1">
        <v>955068</v>
      </c>
    </row>
    <row r="42" spans="1:7" x14ac:dyDescent="0.2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3190</v>
      </c>
      <c r="D42" s="1" t="s">
        <v>3191</v>
      </c>
      <c r="E42" s="1" t="s">
        <v>3192</v>
      </c>
      <c r="F42" s="1" t="s">
        <v>112</v>
      </c>
      <c r="G42" s="1">
        <v>487343</v>
      </c>
    </row>
    <row r="43" spans="1:7" x14ac:dyDescent="0.2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3193</v>
      </c>
      <c r="D43" s="1" t="s">
        <v>3194</v>
      </c>
      <c r="E43" s="1" t="s">
        <v>3195</v>
      </c>
      <c r="F43" s="1" t="s">
        <v>112</v>
      </c>
      <c r="G43" s="1">
        <v>650281</v>
      </c>
    </row>
    <row r="44" spans="1:7" x14ac:dyDescent="0.2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3196</v>
      </c>
      <c r="D44" s="1" t="s">
        <v>3197</v>
      </c>
      <c r="E44" s="1" t="s">
        <v>3198</v>
      </c>
      <c r="F44" s="1" t="s">
        <v>112</v>
      </c>
      <c r="G44" s="1">
        <v>273921</v>
      </c>
    </row>
    <row r="45" spans="1:7" x14ac:dyDescent="0.2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3199</v>
      </c>
      <c r="D45" s="1" t="s">
        <v>3200</v>
      </c>
      <c r="E45" s="1" t="s">
        <v>3201</v>
      </c>
      <c r="F45" s="1" t="s">
        <v>112</v>
      </c>
      <c r="G45" s="1">
        <v>238167</v>
      </c>
    </row>
    <row r="46" spans="1:7" x14ac:dyDescent="0.2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3202</v>
      </c>
      <c r="D46" s="1" t="s">
        <v>3203</v>
      </c>
      <c r="E46" s="1" t="s">
        <v>3204</v>
      </c>
      <c r="F46" s="1" t="s">
        <v>112</v>
      </c>
      <c r="G46" s="1">
        <v>399980</v>
      </c>
    </row>
    <row r="47" spans="1:7" x14ac:dyDescent="0.2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3205</v>
      </c>
      <c r="D47" s="1" t="s">
        <v>3206</v>
      </c>
      <c r="E47" s="1" t="s">
        <v>3207</v>
      </c>
      <c r="F47" s="1" t="s">
        <v>112</v>
      </c>
      <c r="G47" s="1">
        <v>202477</v>
      </c>
    </row>
    <row r="48" spans="1:7" x14ac:dyDescent="0.2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3208</v>
      </c>
      <c r="D48" s="1" t="s">
        <v>848</v>
      </c>
      <c r="E48" s="1" t="s">
        <v>3209</v>
      </c>
      <c r="F48" s="1" t="s">
        <v>112</v>
      </c>
      <c r="G48" s="1">
        <v>195729</v>
      </c>
    </row>
    <row r="49" spans="1:10" x14ac:dyDescent="0.2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3210</v>
      </c>
      <c r="D49" s="1" t="s">
        <v>768</v>
      </c>
      <c r="E49" s="1" t="s">
        <v>3211</v>
      </c>
      <c r="F49" s="1" t="s">
        <v>112</v>
      </c>
      <c r="G49" s="1">
        <v>9344</v>
      </c>
    </row>
    <row r="50" spans="1:10" x14ac:dyDescent="0.2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3212</v>
      </c>
      <c r="D50" s="1" t="s">
        <v>461</v>
      </c>
      <c r="E50" s="1" t="s">
        <v>3213</v>
      </c>
      <c r="F50" s="1" t="s">
        <v>112</v>
      </c>
      <c r="G50" s="1">
        <v>66058</v>
      </c>
    </row>
    <row r="51" spans="1:10" x14ac:dyDescent="0.2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3214</v>
      </c>
      <c r="D51" s="1" t="s">
        <v>325</v>
      </c>
      <c r="E51" s="1" t="s">
        <v>3215</v>
      </c>
      <c r="F51" s="1" t="s">
        <v>112</v>
      </c>
      <c r="G51" s="1">
        <v>64262</v>
      </c>
    </row>
    <row r="52" spans="1:10" x14ac:dyDescent="0.2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3216</v>
      </c>
      <c r="D52" s="1" t="s">
        <v>3217</v>
      </c>
      <c r="E52" s="1" t="s">
        <v>3218</v>
      </c>
      <c r="F52" s="1" t="s">
        <v>112</v>
      </c>
      <c r="G52" s="1">
        <v>3980</v>
      </c>
    </row>
    <row r="53" spans="1:10" x14ac:dyDescent="0.2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3219</v>
      </c>
      <c r="D53" s="1" t="s">
        <v>210</v>
      </c>
      <c r="E53" s="1" t="s">
        <v>3220</v>
      </c>
      <c r="F53" s="1" t="s">
        <v>112</v>
      </c>
      <c r="G53" s="1">
        <v>82194</v>
      </c>
    </row>
    <row r="54" spans="1:10" x14ac:dyDescent="0.2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3221</v>
      </c>
      <c r="D54" s="1" t="s">
        <v>834</v>
      </c>
      <c r="E54" s="1" t="s">
        <v>3222</v>
      </c>
      <c r="F54" s="1" t="s">
        <v>112</v>
      </c>
      <c r="G54" s="1">
        <v>192095</v>
      </c>
    </row>
    <row r="55" spans="1:10" x14ac:dyDescent="0.2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3223</v>
      </c>
      <c r="D55" s="1" t="s">
        <v>3224</v>
      </c>
      <c r="E55" s="1" t="s">
        <v>3225</v>
      </c>
      <c r="F55" s="1" t="s">
        <v>112</v>
      </c>
      <c r="G55" s="1">
        <v>119808</v>
      </c>
    </row>
    <row r="56" spans="1:10" x14ac:dyDescent="0.2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3226</v>
      </c>
      <c r="D56" s="1" t="s">
        <v>336</v>
      </c>
      <c r="E56" s="1" t="s">
        <v>3227</v>
      </c>
      <c r="F56" s="1" t="s">
        <v>112</v>
      </c>
      <c r="G56" s="1">
        <v>286791</v>
      </c>
    </row>
    <row r="57" spans="1:10" x14ac:dyDescent="0.2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3228</v>
      </c>
      <c r="D57" s="1" t="s">
        <v>349</v>
      </c>
      <c r="E57" s="1" t="s">
        <v>3229</v>
      </c>
      <c r="F57" s="1" t="s">
        <v>112</v>
      </c>
      <c r="G57" s="1">
        <v>297952</v>
      </c>
    </row>
    <row r="58" spans="1:10" x14ac:dyDescent="0.2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3230</v>
      </c>
      <c r="D58" s="1" t="s">
        <v>2284</v>
      </c>
      <c r="E58" s="1" t="s">
        <v>3231</v>
      </c>
      <c r="F58" s="1" t="s">
        <v>112</v>
      </c>
      <c r="G58" s="1">
        <v>351226</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242</v>
      </c>
      <c r="D60" s="1" t="s">
        <v>112</v>
      </c>
      <c r="E60" s="1" t="s">
        <v>243</v>
      </c>
      <c r="F60" s="1" t="s">
        <v>244</v>
      </c>
      <c r="G60" s="1" t="s">
        <v>245</v>
      </c>
      <c r="H60" s="1" t="s">
        <v>246</v>
      </c>
      <c r="I60" s="1" t="s">
        <v>247</v>
      </c>
      <c r="J60" s="1" t="s">
        <v>248</v>
      </c>
    </row>
    <row r="61" spans="1:10" x14ac:dyDescent="0.2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3232</v>
      </c>
      <c r="D61" s="1" t="s">
        <v>112</v>
      </c>
      <c r="E61" s="1" t="s">
        <v>3233</v>
      </c>
      <c r="F61" s="1" t="s">
        <v>3234</v>
      </c>
      <c r="G61" s="1" t="s">
        <v>3235</v>
      </c>
      <c r="H61" s="1" t="s">
        <v>3236</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254</v>
      </c>
      <c r="D67" s="1" t="s">
        <v>110</v>
      </c>
      <c r="E67" s="1" t="s">
        <v>111</v>
      </c>
      <c r="F67" s="1" t="s">
        <v>112</v>
      </c>
      <c r="G67" s="1" t="s">
        <v>113</v>
      </c>
    </row>
    <row r="68" spans="1:7" x14ac:dyDescent="0.2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3237</v>
      </c>
      <c r="D68" s="1" t="s">
        <v>765</v>
      </c>
      <c r="E68" s="1" t="s">
        <v>3238</v>
      </c>
      <c r="F68" s="1" t="s">
        <v>112</v>
      </c>
      <c r="G68" s="1">
        <v>133219</v>
      </c>
    </row>
    <row r="69" spans="1:7" x14ac:dyDescent="0.2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3239</v>
      </c>
      <c r="D69" s="1" t="s">
        <v>2343</v>
      </c>
      <c r="E69" s="1" t="s">
        <v>3240</v>
      </c>
      <c r="F69" s="1" t="s">
        <v>112</v>
      </c>
      <c r="G69" s="1">
        <v>53404</v>
      </c>
    </row>
    <row r="70" spans="1:7" x14ac:dyDescent="0.2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3241</v>
      </c>
      <c r="D70" s="1" t="s">
        <v>2212</v>
      </c>
      <c r="E70" s="1" t="s">
        <v>3242</v>
      </c>
      <c r="F70" s="1" t="s">
        <v>112</v>
      </c>
      <c r="G70" s="1">
        <v>61775</v>
      </c>
    </row>
    <row r="71" spans="1:7" x14ac:dyDescent="0.2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3243</v>
      </c>
      <c r="D71" s="1" t="s">
        <v>3244</v>
      </c>
      <c r="E71" s="1" t="s">
        <v>3245</v>
      </c>
      <c r="F71" s="1" t="s">
        <v>112</v>
      </c>
      <c r="G71" s="1">
        <v>243596</v>
      </c>
    </row>
    <row r="72" spans="1:7" x14ac:dyDescent="0.2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3246</v>
      </c>
      <c r="D72" s="1" t="s">
        <v>3247</v>
      </c>
      <c r="E72" s="1" t="s">
        <v>3248</v>
      </c>
      <c r="F72" s="1" t="s">
        <v>112</v>
      </c>
      <c r="G72" s="1">
        <v>106051</v>
      </c>
    </row>
    <row r="73" spans="1:7" x14ac:dyDescent="0.2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3249</v>
      </c>
      <c r="D73" s="1" t="s">
        <v>317</v>
      </c>
      <c r="E73" s="1" t="s">
        <v>872</v>
      </c>
      <c r="F73" s="1" t="s">
        <v>112</v>
      </c>
      <c r="G73" s="1">
        <v>68870</v>
      </c>
    </row>
    <row r="74" spans="1:7" x14ac:dyDescent="0.2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3250</v>
      </c>
      <c r="D74" s="1" t="s">
        <v>754</v>
      </c>
      <c r="E74" s="1" t="s">
        <v>3251</v>
      </c>
      <c r="F74" s="1" t="s">
        <v>112</v>
      </c>
      <c r="G74" s="1">
        <v>59569</v>
      </c>
    </row>
    <row r="75" spans="1:7" x14ac:dyDescent="0.2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3252</v>
      </c>
      <c r="D75" s="1" t="s">
        <v>1927</v>
      </c>
      <c r="E75" s="1" t="s">
        <v>3253</v>
      </c>
      <c r="F75" s="1" t="s">
        <v>112</v>
      </c>
      <c r="G75" s="1">
        <v>35495</v>
      </c>
    </row>
    <row r="76" spans="1:7" x14ac:dyDescent="0.2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3254</v>
      </c>
      <c r="D76" s="1" t="s">
        <v>3255</v>
      </c>
      <c r="E76" s="1" t="s">
        <v>3256</v>
      </c>
      <c r="F76" s="1" t="s">
        <v>112</v>
      </c>
      <c r="G76" s="1">
        <v>91062</v>
      </c>
    </row>
    <row r="77" spans="1:7" x14ac:dyDescent="0.2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3257</v>
      </c>
      <c r="D77" s="1" t="s">
        <v>710</v>
      </c>
      <c r="E77" s="1" t="s">
        <v>3258</v>
      </c>
      <c r="F77" s="1" t="s">
        <v>112</v>
      </c>
      <c r="G77" s="1">
        <v>11312</v>
      </c>
    </row>
    <row r="78" spans="1:7" x14ac:dyDescent="0.2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3259</v>
      </c>
      <c r="D78" s="1" t="s">
        <v>377</v>
      </c>
      <c r="E78" s="1" t="s">
        <v>3260</v>
      </c>
      <c r="F78" s="1" t="s">
        <v>112</v>
      </c>
      <c r="G78" s="1">
        <v>40621</v>
      </c>
    </row>
    <row r="79" spans="1:7" x14ac:dyDescent="0.2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3261</v>
      </c>
      <c r="D79" s="1" t="s">
        <v>1870</v>
      </c>
      <c r="E79" s="1" t="s">
        <v>3262</v>
      </c>
      <c r="F79" s="1" t="s">
        <v>112</v>
      </c>
      <c r="G79" s="1">
        <v>148424</v>
      </c>
    </row>
    <row r="80" spans="1:7" x14ac:dyDescent="0.2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3263</v>
      </c>
      <c r="D80" s="1" t="s">
        <v>3264</v>
      </c>
      <c r="E80" s="1" t="s">
        <v>3265</v>
      </c>
      <c r="F80" s="1" t="s">
        <v>112</v>
      </c>
      <c r="G80" s="1">
        <v>128287</v>
      </c>
    </row>
    <row r="81" spans="1:10" x14ac:dyDescent="0.2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3266</v>
      </c>
      <c r="D81" s="1" t="s">
        <v>3267</v>
      </c>
      <c r="E81" s="1" t="s">
        <v>3268</v>
      </c>
      <c r="F81" s="1" t="s">
        <v>112</v>
      </c>
      <c r="G81" s="1">
        <v>574209</v>
      </c>
    </row>
    <row r="82" spans="1:10" x14ac:dyDescent="0.2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3269</v>
      </c>
      <c r="D82" s="1" t="s">
        <v>3153</v>
      </c>
      <c r="E82" s="1" t="s">
        <v>3270</v>
      </c>
      <c r="F82" s="1" t="s">
        <v>112</v>
      </c>
      <c r="G82" s="1">
        <v>205268</v>
      </c>
    </row>
    <row r="83" spans="1:10" x14ac:dyDescent="0.2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3271</v>
      </c>
      <c r="D83" s="1" t="s">
        <v>3272</v>
      </c>
      <c r="E83" s="1" t="s">
        <v>745</v>
      </c>
      <c r="F83" s="1" t="s">
        <v>112</v>
      </c>
      <c r="G83" s="1">
        <v>89656</v>
      </c>
    </row>
    <row r="84" spans="1:10" x14ac:dyDescent="0.2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3273</v>
      </c>
      <c r="D84" s="1" t="s">
        <v>1761</v>
      </c>
      <c r="E84" s="1">
        <v>63</v>
      </c>
      <c r="F84" s="1" t="s">
        <v>112</v>
      </c>
      <c r="G84" s="1">
        <v>40881</v>
      </c>
    </row>
    <row r="85" spans="1:10" x14ac:dyDescent="0.2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3274</v>
      </c>
      <c r="D85" s="1" t="s">
        <v>374</v>
      </c>
      <c r="E85" s="1" t="s">
        <v>3275</v>
      </c>
      <c r="F85" s="1" t="s">
        <v>112</v>
      </c>
      <c r="G85" s="1">
        <v>34110</v>
      </c>
    </row>
    <row r="86" spans="1:10" x14ac:dyDescent="0.2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3276</v>
      </c>
      <c r="D86" s="1" t="s">
        <v>208</v>
      </c>
      <c r="E86" s="1" t="s">
        <v>3277</v>
      </c>
      <c r="F86" s="1" t="s">
        <v>112</v>
      </c>
      <c r="G86" s="1">
        <v>42827</v>
      </c>
    </row>
    <row r="87" spans="1:10" x14ac:dyDescent="0.2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3278</v>
      </c>
      <c r="D87" s="1" t="s">
        <v>208</v>
      </c>
      <c r="E87" s="1" t="s">
        <v>3279</v>
      </c>
      <c r="F87" s="1" t="s">
        <v>112</v>
      </c>
      <c r="G87" s="1">
        <v>43649</v>
      </c>
    </row>
    <row r="88" spans="1:10" x14ac:dyDescent="0.2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3280</v>
      </c>
      <c r="D88" s="1" t="s">
        <v>193</v>
      </c>
      <c r="E88" s="1" t="s">
        <v>3281</v>
      </c>
      <c r="F88" s="1" t="s">
        <v>112</v>
      </c>
      <c r="G88" s="1">
        <v>57168</v>
      </c>
    </row>
    <row r="89" spans="1:10" x14ac:dyDescent="0.2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3282</v>
      </c>
      <c r="D89" s="1" t="s">
        <v>1299</v>
      </c>
      <c r="E89" s="1" t="s">
        <v>3283</v>
      </c>
      <c r="F89" s="1" t="s">
        <v>112</v>
      </c>
      <c r="G89" s="1">
        <v>119375</v>
      </c>
    </row>
    <row r="90" spans="1:10" x14ac:dyDescent="0.2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3284</v>
      </c>
      <c r="D90" s="1" t="s">
        <v>256</v>
      </c>
      <c r="E90" s="1" t="s">
        <v>3285</v>
      </c>
      <c r="F90" s="1" t="s">
        <v>112</v>
      </c>
      <c r="G90" s="1">
        <v>73152</v>
      </c>
    </row>
    <row r="91" spans="1:10" x14ac:dyDescent="0.2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3286</v>
      </c>
      <c r="D91" s="1" t="s">
        <v>461</v>
      </c>
      <c r="E91" s="1" t="s">
        <v>3287</v>
      </c>
      <c r="F91" s="1" t="s">
        <v>112</v>
      </c>
      <c r="G91" s="1">
        <v>67637</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242</v>
      </c>
      <c r="D93" s="1" t="s">
        <v>112</v>
      </c>
      <c r="E93" s="1" t="s">
        <v>243</v>
      </c>
      <c r="F93" s="1" t="s">
        <v>244</v>
      </c>
      <c r="G93" s="1" t="s">
        <v>245</v>
      </c>
      <c r="H93" s="1" t="s">
        <v>246</v>
      </c>
      <c r="I93" s="1" t="s">
        <v>247</v>
      </c>
      <c r="J93" s="1" t="s">
        <v>248</v>
      </c>
    </row>
    <row r="94" spans="1:10" x14ac:dyDescent="0.2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3288</v>
      </c>
      <c r="D94" s="1" t="s">
        <v>112</v>
      </c>
      <c r="E94" s="1" t="s">
        <v>3289</v>
      </c>
      <c r="F94" s="1" t="s">
        <v>3290</v>
      </c>
      <c r="G94" s="1" t="s">
        <v>3291</v>
      </c>
      <c r="H94" s="1" t="s">
        <v>3292</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254</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3293</v>
      </c>
      <c r="D101" s="1" t="s">
        <v>317</v>
      </c>
      <c r="E101" s="1" t="s">
        <v>3294</v>
      </c>
      <c r="F101" s="1" t="s">
        <v>112</v>
      </c>
      <c r="G101" s="1">
        <v>68004</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3295</v>
      </c>
      <c r="D102" s="1" t="s">
        <v>702</v>
      </c>
      <c r="E102" s="1" t="s">
        <v>3296</v>
      </c>
      <c r="F102" s="1" t="s">
        <v>112</v>
      </c>
      <c r="G102" s="1">
        <v>46288</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3297</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3298</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3299</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3300</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3301</v>
      </c>
      <c r="D107" s="1" t="s">
        <v>2236</v>
      </c>
      <c r="E107" s="1" t="s">
        <v>3302</v>
      </c>
      <c r="F107" s="1" t="s">
        <v>112</v>
      </c>
      <c r="G107" s="1">
        <v>140075</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3303</v>
      </c>
      <c r="D108" s="1" t="s">
        <v>3304</v>
      </c>
      <c r="E108" s="1" t="s">
        <v>3305</v>
      </c>
      <c r="F108" s="1" t="s">
        <v>112</v>
      </c>
      <c r="G108" s="1">
        <v>142844</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3306</v>
      </c>
      <c r="D109" s="1" t="s">
        <v>1279</v>
      </c>
      <c r="E109" s="1" t="s">
        <v>3307</v>
      </c>
      <c r="F109" s="1" t="s">
        <v>112</v>
      </c>
      <c r="G109" s="1">
        <v>153183</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3308</v>
      </c>
      <c r="D110" s="1" t="s">
        <v>1437</v>
      </c>
      <c r="E110" s="1" t="s">
        <v>3309</v>
      </c>
      <c r="F110" s="1" t="s">
        <v>112</v>
      </c>
      <c r="G110" s="1">
        <v>644895</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3310</v>
      </c>
      <c r="D111" s="1" t="s">
        <v>3311</v>
      </c>
      <c r="E111" s="1" t="s">
        <v>3312</v>
      </c>
      <c r="F111" s="1" t="s">
        <v>112</v>
      </c>
      <c r="G111" s="1">
        <v>658738</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3313</v>
      </c>
      <c r="D112" s="1" t="s">
        <v>2746</v>
      </c>
      <c r="E112" s="1" t="s">
        <v>3314</v>
      </c>
      <c r="F112" s="1" t="s">
        <v>112</v>
      </c>
      <c r="G112" s="1">
        <v>424530</v>
      </c>
    </row>
    <row r="113" spans="1:10"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3315</v>
      </c>
      <c r="D113" s="1" t="s">
        <v>3316</v>
      </c>
      <c r="E113" s="1" t="s">
        <v>3317</v>
      </c>
      <c r="F113" s="1" t="s">
        <v>112</v>
      </c>
      <c r="G113" s="1">
        <v>433831</v>
      </c>
    </row>
    <row r="114" spans="1:10"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3318</v>
      </c>
      <c r="D114" s="1" t="s">
        <v>3319</v>
      </c>
      <c r="E114" s="1" t="s">
        <v>3320</v>
      </c>
      <c r="F114" s="1" t="s">
        <v>112</v>
      </c>
      <c r="G114" s="1">
        <v>496255</v>
      </c>
    </row>
    <row r="115" spans="1:10"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3321</v>
      </c>
      <c r="D115" s="1" t="s">
        <v>3322</v>
      </c>
      <c r="E115" s="1" t="s">
        <v>3323</v>
      </c>
      <c r="F115" s="1" t="s">
        <v>112</v>
      </c>
      <c r="G115" s="1">
        <v>430413</v>
      </c>
    </row>
    <row r="116" spans="1:10"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3324</v>
      </c>
      <c r="D116" s="1" t="s">
        <v>2323</v>
      </c>
      <c r="E116" s="1" t="s">
        <v>3325</v>
      </c>
      <c r="F116" s="1" t="s">
        <v>112</v>
      </c>
      <c r="G116" s="1">
        <v>162851</v>
      </c>
    </row>
    <row r="117" spans="1:10"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3326</v>
      </c>
    </row>
    <row r="118" spans="1:10"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3327</v>
      </c>
      <c r="D118" s="1" t="s">
        <v>228</v>
      </c>
      <c r="E118" s="1" t="s">
        <v>3328</v>
      </c>
      <c r="F118" s="1" t="s">
        <v>112</v>
      </c>
      <c r="G118" s="1">
        <v>70686</v>
      </c>
    </row>
    <row r="119" spans="1:10"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3329</v>
      </c>
      <c r="D119" s="1" t="s">
        <v>1285</v>
      </c>
      <c r="E119" s="1" t="s">
        <v>3330</v>
      </c>
      <c r="F119" s="1" t="s">
        <v>112</v>
      </c>
      <c r="G119" s="1">
        <v>87558</v>
      </c>
    </row>
    <row r="120" spans="1:10"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3331</v>
      </c>
      <c r="D120" s="1" t="s">
        <v>3255</v>
      </c>
      <c r="E120" s="1">
        <v>64</v>
      </c>
      <c r="F120" s="1" t="s">
        <v>112</v>
      </c>
      <c r="G120" s="1">
        <v>85827</v>
      </c>
    </row>
    <row r="121" spans="1:10"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3332</v>
      </c>
      <c r="D121" s="1" t="s">
        <v>1250</v>
      </c>
      <c r="E121" s="1" t="s">
        <v>3333</v>
      </c>
      <c r="F121" s="1" t="s">
        <v>112</v>
      </c>
      <c r="G121" s="1">
        <v>76829</v>
      </c>
    </row>
    <row r="122" spans="1:10"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3334</v>
      </c>
      <c r="D122" s="1" t="s">
        <v>3335</v>
      </c>
      <c r="E122" s="1" t="s">
        <v>3336</v>
      </c>
      <c r="F122" s="1" t="s">
        <v>112</v>
      </c>
      <c r="G122" s="1">
        <v>305479</v>
      </c>
    </row>
    <row r="123" spans="1:10"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3337</v>
      </c>
      <c r="D123" s="1" t="s">
        <v>3338</v>
      </c>
      <c r="E123" s="1" t="s">
        <v>3339</v>
      </c>
      <c r="F123" s="1" t="s">
        <v>112</v>
      </c>
      <c r="G123" s="1">
        <v>446939</v>
      </c>
    </row>
    <row r="124" spans="1:10"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3340</v>
      </c>
      <c r="D124" s="1" t="s">
        <v>3341</v>
      </c>
      <c r="E124" s="1" t="s">
        <v>3342</v>
      </c>
      <c r="F124" s="1" t="s">
        <v>112</v>
      </c>
      <c r="G124" s="1">
        <v>525498</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242</v>
      </c>
      <c r="D126" s="1" t="s">
        <v>112</v>
      </c>
      <c r="E126" s="1" t="s">
        <v>243</v>
      </c>
      <c r="F126" s="1" t="s">
        <v>244</v>
      </c>
      <c r="G126" s="1" t="s">
        <v>245</v>
      </c>
      <c r="H126" s="1" t="s">
        <v>246</v>
      </c>
      <c r="I126" s="1" t="s">
        <v>247</v>
      </c>
      <c r="J126" s="1" t="s">
        <v>248</v>
      </c>
    </row>
    <row r="127" spans="1:10"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3343</v>
      </c>
      <c r="D127" s="1" t="s">
        <v>112</v>
      </c>
      <c r="E127" s="1" t="s">
        <v>3344</v>
      </c>
      <c r="F127" s="1" t="s">
        <v>3345</v>
      </c>
      <c r="G127" s="1" t="s">
        <v>3346</v>
      </c>
      <c r="H127" s="1" t="s">
        <v>3347</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254</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3348</v>
      </c>
      <c r="D134" s="1" t="s">
        <v>3341</v>
      </c>
      <c r="E134" s="1" t="s">
        <v>3349</v>
      </c>
      <c r="F134" s="1" t="s">
        <v>112</v>
      </c>
      <c r="G134" s="1">
        <v>519355</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3350</v>
      </c>
      <c r="D135" s="1" t="s">
        <v>3351</v>
      </c>
      <c r="E135" s="1" t="s">
        <v>3352</v>
      </c>
      <c r="F135" s="1" t="s">
        <v>112</v>
      </c>
      <c r="G135" s="1">
        <v>677362</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3353</v>
      </c>
      <c r="D136" s="1" t="s">
        <v>420</v>
      </c>
      <c r="E136" s="1" t="s">
        <v>3354</v>
      </c>
      <c r="F136" s="1" t="s">
        <v>112</v>
      </c>
      <c r="G136" s="1">
        <v>517019</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3355</v>
      </c>
      <c r="D137" s="1" t="s">
        <v>3356</v>
      </c>
      <c r="E137" s="1" t="s">
        <v>3357</v>
      </c>
      <c r="F137" s="1" t="s">
        <v>112</v>
      </c>
      <c r="G137" s="1">
        <v>850617</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3358</v>
      </c>
      <c r="D138" s="1" t="s">
        <v>3359</v>
      </c>
      <c r="E138" s="1" t="s">
        <v>3360</v>
      </c>
      <c r="F138" s="1" t="s">
        <v>112</v>
      </c>
      <c r="G138" s="1">
        <v>611412</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3361</v>
      </c>
      <c r="D139" s="1" t="s">
        <v>3362</v>
      </c>
      <c r="E139" s="1" t="s">
        <v>3363</v>
      </c>
      <c r="F139" s="1" t="s">
        <v>112</v>
      </c>
      <c r="G139" s="1">
        <v>619394</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3364</v>
      </c>
      <c r="D140" s="1" t="s">
        <v>3365</v>
      </c>
      <c r="E140" s="1" t="s">
        <v>3366</v>
      </c>
      <c r="F140" s="1" t="s">
        <v>112</v>
      </c>
      <c r="G140" s="1">
        <v>2589207</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3367</v>
      </c>
      <c r="D141" s="1" t="s">
        <v>2828</v>
      </c>
      <c r="E141" s="1" t="s">
        <v>3368</v>
      </c>
      <c r="F141" s="1" t="s">
        <v>112</v>
      </c>
      <c r="G141" s="1">
        <v>2034119</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3369</v>
      </c>
      <c r="D142" s="1" t="s">
        <v>3370</v>
      </c>
      <c r="E142" s="1" t="s">
        <v>3371</v>
      </c>
      <c r="F142" s="1" t="s">
        <v>112</v>
      </c>
      <c r="G142" s="1">
        <v>2807820</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3372</v>
      </c>
      <c r="D143" s="1" t="s">
        <v>3373</v>
      </c>
      <c r="E143" s="1" t="s">
        <v>3374</v>
      </c>
      <c r="F143" s="1" t="s">
        <v>112</v>
      </c>
      <c r="G143" s="1">
        <v>1023829</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3375</v>
      </c>
      <c r="D144" s="1" t="s">
        <v>3376</v>
      </c>
      <c r="E144" s="1" t="s">
        <v>3377</v>
      </c>
      <c r="F144" s="1" t="s">
        <v>112</v>
      </c>
      <c r="G144" s="1">
        <v>1058416</v>
      </c>
    </row>
    <row r="145" spans="1:10"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3378</v>
      </c>
      <c r="D145" s="1" t="s">
        <v>3379</v>
      </c>
      <c r="E145" s="1" t="s">
        <v>3380</v>
      </c>
      <c r="F145" s="1" t="s">
        <v>112</v>
      </c>
      <c r="G145" s="1">
        <v>1171410</v>
      </c>
    </row>
    <row r="146" spans="1:10"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3381</v>
      </c>
      <c r="D146" s="1" t="s">
        <v>3382</v>
      </c>
      <c r="E146" s="1" t="s">
        <v>3383</v>
      </c>
      <c r="F146" s="1" t="s">
        <v>112</v>
      </c>
      <c r="G146" s="1">
        <v>960065</v>
      </c>
    </row>
    <row r="147" spans="1:10"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3384</v>
      </c>
      <c r="D147" s="1" t="s">
        <v>3385</v>
      </c>
      <c r="E147" s="1" t="s">
        <v>3386</v>
      </c>
      <c r="F147" s="1" t="s">
        <v>112</v>
      </c>
      <c r="G147" s="1">
        <v>598045</v>
      </c>
    </row>
    <row r="148" spans="1:10"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3387</v>
      </c>
      <c r="D148" s="1" t="s">
        <v>3388</v>
      </c>
      <c r="E148" s="1" t="s">
        <v>3389</v>
      </c>
      <c r="F148" s="1" t="s">
        <v>112</v>
      </c>
      <c r="G148" s="1">
        <v>684738</v>
      </c>
    </row>
    <row r="149" spans="1:10"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3390</v>
      </c>
      <c r="D149" s="1" t="s">
        <v>3391</v>
      </c>
      <c r="E149" s="1" t="s">
        <v>3392</v>
      </c>
      <c r="F149" s="1" t="s">
        <v>112</v>
      </c>
      <c r="G149" s="1">
        <v>198714</v>
      </c>
    </row>
    <row r="150" spans="1:10"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3393</v>
      </c>
      <c r="D150" s="1" t="s">
        <v>3140</v>
      </c>
      <c r="E150" s="1" t="s">
        <v>3394</v>
      </c>
      <c r="F150" s="1" t="s">
        <v>112</v>
      </c>
      <c r="G150" s="1">
        <v>122382</v>
      </c>
    </row>
    <row r="151" spans="1:10"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3395</v>
      </c>
      <c r="D151" s="1" t="s">
        <v>3396</v>
      </c>
      <c r="E151" s="1" t="s">
        <v>3397</v>
      </c>
      <c r="F151" s="1" t="s">
        <v>112</v>
      </c>
      <c r="G151" s="1">
        <v>217727</v>
      </c>
    </row>
    <row r="152" spans="1:10"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3398</v>
      </c>
      <c r="D152" s="1" t="s">
        <v>3399</v>
      </c>
      <c r="E152" s="1" t="s">
        <v>3400</v>
      </c>
      <c r="F152" s="1" t="s">
        <v>112</v>
      </c>
      <c r="G152" s="1">
        <v>1678372</v>
      </c>
    </row>
    <row r="153" spans="1:10"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3401</v>
      </c>
      <c r="D153" s="1" t="s">
        <v>3402</v>
      </c>
      <c r="E153" s="1" t="s">
        <v>3403</v>
      </c>
      <c r="F153" s="1" t="s">
        <v>112</v>
      </c>
      <c r="G153" s="1">
        <v>1910915</v>
      </c>
    </row>
    <row r="154" spans="1:10"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3404</v>
      </c>
      <c r="D154" s="1" t="s">
        <v>3405</v>
      </c>
      <c r="E154" s="1" t="s">
        <v>3406</v>
      </c>
      <c r="F154" s="1" t="s">
        <v>112</v>
      </c>
      <c r="G154" s="1">
        <v>1054263</v>
      </c>
    </row>
    <row r="155" spans="1:10"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3407</v>
      </c>
      <c r="D155" s="1" t="s">
        <v>3408</v>
      </c>
      <c r="E155" s="1" t="s">
        <v>3409</v>
      </c>
      <c r="F155" s="1" t="s">
        <v>112</v>
      </c>
      <c r="G155" s="1">
        <v>1561960</v>
      </c>
    </row>
    <row r="156" spans="1:10"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3410</v>
      </c>
      <c r="D156" s="1" t="s">
        <v>3411</v>
      </c>
      <c r="E156" s="1" t="s">
        <v>3412</v>
      </c>
      <c r="F156" s="1" t="s">
        <v>112</v>
      </c>
      <c r="G156" s="1">
        <v>1387190</v>
      </c>
    </row>
    <row r="157" spans="1:10"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3413</v>
      </c>
      <c r="D157" s="1" t="s">
        <v>3414</v>
      </c>
      <c r="E157" s="1" t="s">
        <v>3415</v>
      </c>
      <c r="F157" s="1" t="s">
        <v>112</v>
      </c>
      <c r="G157" s="1">
        <v>1722237</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242</v>
      </c>
      <c r="D159" s="1" t="s">
        <v>112</v>
      </c>
      <c r="E159" s="1" t="s">
        <v>243</v>
      </c>
      <c r="F159" s="1" t="s">
        <v>244</v>
      </c>
      <c r="G159" s="1" t="s">
        <v>245</v>
      </c>
      <c r="H159" s="1" t="s">
        <v>246</v>
      </c>
      <c r="I159" s="1" t="s">
        <v>247</v>
      </c>
      <c r="J159" s="1" t="s">
        <v>248</v>
      </c>
    </row>
    <row r="160" spans="1:10"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3416</v>
      </c>
      <c r="D160" s="1" t="s">
        <v>112</v>
      </c>
      <c r="E160" s="1" t="s">
        <v>3417</v>
      </c>
      <c r="F160" s="1" t="s">
        <v>3418</v>
      </c>
      <c r="G160" s="1">
        <v>1107357</v>
      </c>
      <c r="H160" s="1" t="s">
        <v>3419</v>
      </c>
      <c r="I160" s="1">
        <v>24</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254</v>
      </c>
      <c r="D166" s="1" t="s">
        <v>110</v>
      </c>
      <c r="E166" s="1" t="s">
        <v>111</v>
      </c>
      <c r="F166" s="1" t="s">
        <v>112</v>
      </c>
      <c r="G166" s="1" t="s">
        <v>113</v>
      </c>
    </row>
    <row r="167" spans="1:7" x14ac:dyDescent="0.2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3420</v>
      </c>
      <c r="D167" s="1" t="s">
        <v>3421</v>
      </c>
      <c r="E167" s="1" t="s">
        <v>3422</v>
      </c>
      <c r="F167" s="1" t="s">
        <v>112</v>
      </c>
      <c r="G167" s="1">
        <v>3608970</v>
      </c>
    </row>
    <row r="168" spans="1:7" x14ac:dyDescent="0.2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3423</v>
      </c>
      <c r="D168" s="1" t="s">
        <v>3424</v>
      </c>
      <c r="E168" s="1" t="s">
        <v>3425</v>
      </c>
      <c r="F168" s="1" t="s">
        <v>112</v>
      </c>
      <c r="G168" s="1">
        <v>3323433</v>
      </c>
    </row>
    <row r="169" spans="1:7" x14ac:dyDescent="0.2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3426</v>
      </c>
      <c r="D169" s="1" t="s">
        <v>3427</v>
      </c>
      <c r="E169" s="1" t="s">
        <v>3428</v>
      </c>
      <c r="F169" s="1" t="s">
        <v>112</v>
      </c>
      <c r="G169" s="1">
        <v>3724452</v>
      </c>
    </row>
    <row r="170" spans="1:7" x14ac:dyDescent="0.2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3429</v>
      </c>
      <c r="D170" s="1" t="s">
        <v>1337</v>
      </c>
      <c r="E170" s="1" t="s">
        <v>3430</v>
      </c>
      <c r="F170" s="1" t="s">
        <v>112</v>
      </c>
      <c r="G170" s="1">
        <v>2515340</v>
      </c>
    </row>
    <row r="171" spans="1:7" x14ac:dyDescent="0.2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3431</v>
      </c>
      <c r="D171" s="1" t="s">
        <v>3432</v>
      </c>
      <c r="E171" s="1" t="s">
        <v>3433</v>
      </c>
      <c r="F171" s="1" t="s">
        <v>112</v>
      </c>
      <c r="G171" s="1">
        <v>2885731</v>
      </c>
    </row>
    <row r="172" spans="1:7" x14ac:dyDescent="0.2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3434</v>
      </c>
      <c r="D172" s="1" t="s">
        <v>3435</v>
      </c>
      <c r="E172" s="1" t="s">
        <v>3436</v>
      </c>
      <c r="F172" s="1" t="s">
        <v>112</v>
      </c>
      <c r="G172" s="1">
        <v>2659980</v>
      </c>
    </row>
    <row r="173" spans="1:7" x14ac:dyDescent="0.2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3437</v>
      </c>
      <c r="D173" s="1" t="s">
        <v>3438</v>
      </c>
      <c r="E173" s="1" t="s">
        <v>3439</v>
      </c>
      <c r="F173" s="1" t="s">
        <v>112</v>
      </c>
      <c r="G173" s="1">
        <v>2754870</v>
      </c>
    </row>
    <row r="174" spans="1:7" x14ac:dyDescent="0.2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3440</v>
      </c>
      <c r="D174" s="1" t="s">
        <v>3441</v>
      </c>
      <c r="E174" s="1" t="s">
        <v>3442</v>
      </c>
      <c r="F174" s="1" t="s">
        <v>112</v>
      </c>
      <c r="G174" s="1">
        <v>2756860</v>
      </c>
    </row>
    <row r="175" spans="1:7" x14ac:dyDescent="0.2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3443</v>
      </c>
      <c r="D175" s="1" t="s">
        <v>3444</v>
      </c>
      <c r="E175" s="1" t="s">
        <v>3445</v>
      </c>
      <c r="F175" s="1" t="s">
        <v>112</v>
      </c>
      <c r="G175" s="1">
        <v>2853632</v>
      </c>
    </row>
    <row r="176" spans="1:7" x14ac:dyDescent="0.2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3446</v>
      </c>
      <c r="D176" s="1" t="s">
        <v>3447</v>
      </c>
      <c r="E176" s="1" t="s">
        <v>3448</v>
      </c>
      <c r="F176" s="1" t="s">
        <v>112</v>
      </c>
      <c r="G176" s="1">
        <v>3336022</v>
      </c>
    </row>
    <row r="177" spans="1:10" x14ac:dyDescent="0.2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3449</v>
      </c>
      <c r="D177" s="1" t="s">
        <v>3450</v>
      </c>
      <c r="E177" s="1" t="s">
        <v>3451</v>
      </c>
      <c r="F177" s="1" t="s">
        <v>112</v>
      </c>
      <c r="G177" s="1">
        <v>3953382</v>
      </c>
    </row>
    <row r="178" spans="1:10" x14ac:dyDescent="0.2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3452</v>
      </c>
      <c r="D178" s="1" t="s">
        <v>3453</v>
      </c>
      <c r="E178" s="1" t="s">
        <v>3454</v>
      </c>
      <c r="F178" s="1" t="s">
        <v>112</v>
      </c>
      <c r="G178" s="1">
        <v>3832752</v>
      </c>
    </row>
    <row r="179" spans="1:10" x14ac:dyDescent="0.2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3455</v>
      </c>
      <c r="D179" s="1" t="s">
        <v>3456</v>
      </c>
      <c r="E179" s="1" t="s">
        <v>3457</v>
      </c>
      <c r="F179" s="1" t="s">
        <v>112</v>
      </c>
      <c r="G179" s="1">
        <v>1907649</v>
      </c>
    </row>
    <row r="180" spans="1:10" x14ac:dyDescent="0.2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3458</v>
      </c>
      <c r="D180" s="1" t="s">
        <v>3459</v>
      </c>
      <c r="E180" s="1" t="s">
        <v>3460</v>
      </c>
      <c r="F180" s="1" t="s">
        <v>112</v>
      </c>
      <c r="G180" s="1">
        <v>1904923</v>
      </c>
    </row>
    <row r="181" spans="1:10" x14ac:dyDescent="0.2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3461</v>
      </c>
      <c r="D181" s="1" t="s">
        <v>3462</v>
      </c>
      <c r="E181" s="1" t="s">
        <v>3463</v>
      </c>
      <c r="F181" s="1" t="s">
        <v>112</v>
      </c>
      <c r="G181" s="1">
        <v>1880114</v>
      </c>
    </row>
    <row r="182" spans="1:10" x14ac:dyDescent="0.2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3464</v>
      </c>
      <c r="D182" s="1" t="s">
        <v>3465</v>
      </c>
      <c r="E182" s="1" t="s">
        <v>3466</v>
      </c>
      <c r="F182" s="1" t="s">
        <v>112</v>
      </c>
      <c r="G182" s="1">
        <v>1140674</v>
      </c>
    </row>
    <row r="183" spans="1:10" x14ac:dyDescent="0.2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3467</v>
      </c>
      <c r="D183" s="1" t="s">
        <v>3468</v>
      </c>
      <c r="E183" s="1" t="s">
        <v>3469</v>
      </c>
      <c r="F183" s="1" t="s">
        <v>112</v>
      </c>
      <c r="G183" s="1">
        <v>1531180</v>
      </c>
    </row>
    <row r="184" spans="1:10" x14ac:dyDescent="0.2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3470</v>
      </c>
      <c r="D184" s="1" t="s">
        <v>3471</v>
      </c>
      <c r="E184" s="1" t="s">
        <v>3472</v>
      </c>
      <c r="F184" s="1" t="s">
        <v>112</v>
      </c>
      <c r="G184" s="1">
        <v>1418488</v>
      </c>
    </row>
    <row r="185" spans="1:10" x14ac:dyDescent="0.2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3473</v>
      </c>
      <c r="D185" s="1" t="s">
        <v>2219</v>
      </c>
      <c r="E185" s="1" t="s">
        <v>3474</v>
      </c>
      <c r="F185" s="1" t="s">
        <v>112</v>
      </c>
      <c r="G185" s="1">
        <v>109988</v>
      </c>
    </row>
    <row r="186" spans="1:10" x14ac:dyDescent="0.2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3475</v>
      </c>
      <c r="D186" s="1" t="s">
        <v>3476</v>
      </c>
      <c r="E186" s="1" t="s">
        <v>3352</v>
      </c>
      <c r="F186" s="1" t="s">
        <v>112</v>
      </c>
      <c r="G186" s="1">
        <v>141870</v>
      </c>
    </row>
    <row r="187" spans="1:10" x14ac:dyDescent="0.2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3477</v>
      </c>
      <c r="D187" s="1" t="s">
        <v>1261</v>
      </c>
      <c r="E187" s="1" t="s">
        <v>3478</v>
      </c>
      <c r="F187" s="1" t="s">
        <v>112</v>
      </c>
      <c r="G187" s="1">
        <v>153421</v>
      </c>
    </row>
    <row r="188" spans="1:10" x14ac:dyDescent="0.2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3479</v>
      </c>
      <c r="D188" s="1" t="s">
        <v>3480</v>
      </c>
      <c r="E188" s="1" t="s">
        <v>3481</v>
      </c>
      <c r="F188" s="1" t="s">
        <v>112</v>
      </c>
      <c r="G188" s="1">
        <v>2344810</v>
      </c>
    </row>
    <row r="189" spans="1:10" x14ac:dyDescent="0.2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3482</v>
      </c>
      <c r="D189" s="1" t="s">
        <v>3483</v>
      </c>
      <c r="E189" s="1" t="s">
        <v>3484</v>
      </c>
      <c r="F189" s="1" t="s">
        <v>112</v>
      </c>
      <c r="G189" s="1">
        <v>2585638</v>
      </c>
    </row>
    <row r="190" spans="1:10" x14ac:dyDescent="0.2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3485</v>
      </c>
      <c r="D190" s="1" t="s">
        <v>983</v>
      </c>
      <c r="E190" s="1" t="s">
        <v>3486</v>
      </c>
      <c r="F190" s="1" t="s">
        <v>112</v>
      </c>
      <c r="G190" s="1">
        <v>2455534</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242</v>
      </c>
      <c r="D192" s="1" t="s">
        <v>112</v>
      </c>
      <c r="E192" s="1" t="s">
        <v>243</v>
      </c>
      <c r="F192" s="1" t="s">
        <v>244</v>
      </c>
      <c r="G192" s="1" t="s">
        <v>245</v>
      </c>
      <c r="H192" s="1" t="s">
        <v>246</v>
      </c>
      <c r="I192" s="1" t="s">
        <v>247</v>
      </c>
      <c r="J192" s="1" t="s">
        <v>248</v>
      </c>
    </row>
    <row r="193" spans="1:10" x14ac:dyDescent="0.2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3487</v>
      </c>
      <c r="D193" s="1" t="s">
        <v>112</v>
      </c>
      <c r="E193" s="1" t="s">
        <v>3488</v>
      </c>
      <c r="F193" s="1" t="s">
        <v>3489</v>
      </c>
      <c r="G193" s="1" t="s">
        <v>3490</v>
      </c>
      <c r="H193" s="1" t="s">
        <v>3491</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254</v>
      </c>
      <c r="D199" s="1" t="s">
        <v>110</v>
      </c>
      <c r="E199" s="1" t="s">
        <v>111</v>
      </c>
      <c r="F199" s="1" t="s">
        <v>112</v>
      </c>
      <c r="G199" s="1" t="s">
        <v>113</v>
      </c>
    </row>
    <row r="200" spans="1:10"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3492</v>
      </c>
      <c r="D200" s="1" t="s">
        <v>3493</v>
      </c>
      <c r="E200" s="1" t="s">
        <v>3494</v>
      </c>
      <c r="F200" s="1" t="s">
        <v>112</v>
      </c>
      <c r="G200" s="1">
        <v>3240158</v>
      </c>
    </row>
    <row r="201" spans="1:10"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3495</v>
      </c>
      <c r="D201" s="1" t="s">
        <v>1091</v>
      </c>
      <c r="E201" s="1" t="s">
        <v>3496</v>
      </c>
      <c r="F201" s="1" t="s">
        <v>112</v>
      </c>
      <c r="G201" s="1">
        <v>3357846</v>
      </c>
    </row>
    <row r="202" spans="1:10"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3497</v>
      </c>
      <c r="D202" s="1" t="s">
        <v>3498</v>
      </c>
      <c r="E202" s="1" t="s">
        <v>3499</v>
      </c>
      <c r="F202" s="1" t="s">
        <v>112</v>
      </c>
      <c r="G202" s="1">
        <v>4153978</v>
      </c>
    </row>
    <row r="203" spans="1:10"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3500</v>
      </c>
      <c r="D203" s="1" t="s">
        <v>3501</v>
      </c>
      <c r="E203" s="1" t="s">
        <v>3502</v>
      </c>
      <c r="F203" s="1" t="s">
        <v>112</v>
      </c>
      <c r="G203" s="1">
        <v>5019931</v>
      </c>
    </row>
    <row r="204" spans="1:10"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3503</v>
      </c>
      <c r="D204" s="1" t="s">
        <v>3504</v>
      </c>
      <c r="E204" s="1" t="s">
        <v>3505</v>
      </c>
      <c r="F204" s="1" t="s">
        <v>112</v>
      </c>
      <c r="G204" s="1">
        <v>5562257</v>
      </c>
    </row>
    <row r="205" spans="1:10"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3506</v>
      </c>
      <c r="D205" s="1" t="s">
        <v>2949</v>
      </c>
      <c r="E205" s="1" t="s">
        <v>3507</v>
      </c>
      <c r="F205" s="1" t="s">
        <v>112</v>
      </c>
      <c r="G205" s="1">
        <v>5474288</v>
      </c>
    </row>
    <row r="206" spans="1:10"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3508</v>
      </c>
      <c r="D206" s="1" t="s">
        <v>3509</v>
      </c>
      <c r="E206" s="1" t="s">
        <v>3510</v>
      </c>
      <c r="F206" s="1" t="s">
        <v>112</v>
      </c>
      <c r="G206" s="1">
        <v>5287406</v>
      </c>
    </row>
    <row r="207" spans="1:10"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3511</v>
      </c>
      <c r="D207" s="1" t="s">
        <v>3512</v>
      </c>
      <c r="E207" s="1" t="s">
        <v>3513</v>
      </c>
      <c r="F207" s="1" t="s">
        <v>112</v>
      </c>
      <c r="G207" s="1">
        <v>5221046</v>
      </c>
    </row>
    <row r="208" spans="1:10"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3514</v>
      </c>
      <c r="D208" s="1" t="s">
        <v>3515</v>
      </c>
      <c r="E208" s="1" t="s">
        <v>3516</v>
      </c>
      <c r="F208" s="1" t="s">
        <v>112</v>
      </c>
      <c r="G208" s="1">
        <v>4869971</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3517</v>
      </c>
      <c r="D209" s="1" t="s">
        <v>3518</v>
      </c>
      <c r="E209" s="1" t="s">
        <v>3519</v>
      </c>
      <c r="F209" s="1" t="s">
        <v>112</v>
      </c>
      <c r="G209" s="1">
        <v>7535185</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3520</v>
      </c>
      <c r="D210" s="1" t="s">
        <v>3521</v>
      </c>
      <c r="E210" s="1" t="s">
        <v>3522</v>
      </c>
      <c r="F210" s="1" t="s">
        <v>112</v>
      </c>
      <c r="G210" s="1">
        <v>7566656</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3523</v>
      </c>
      <c r="D211" s="1" t="s">
        <v>3524</v>
      </c>
      <c r="E211" s="1" t="s">
        <v>3525</v>
      </c>
      <c r="F211" s="1" t="s">
        <v>112</v>
      </c>
      <c r="G211" s="1">
        <v>6972223</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3526</v>
      </c>
      <c r="D212" s="1" t="s">
        <v>3527</v>
      </c>
      <c r="E212" s="1" t="s">
        <v>3528</v>
      </c>
      <c r="F212" s="1" t="s">
        <v>112</v>
      </c>
      <c r="G212" s="1">
        <v>1477668</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3529</v>
      </c>
      <c r="D213" s="1" t="s">
        <v>3465</v>
      </c>
      <c r="E213" s="1" t="s">
        <v>3530</v>
      </c>
      <c r="F213" s="1" t="s">
        <v>112</v>
      </c>
      <c r="G213" s="1">
        <v>1326951</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3531</v>
      </c>
      <c r="D214" s="1" t="s">
        <v>3532</v>
      </c>
      <c r="E214" s="1" t="s">
        <v>3533</v>
      </c>
      <c r="F214" s="1" t="s">
        <v>112</v>
      </c>
      <c r="G214" s="1">
        <v>1322257</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3534</v>
      </c>
      <c r="D215" s="1" t="s">
        <v>1404</v>
      </c>
      <c r="E215" s="1" t="s">
        <v>3535</v>
      </c>
      <c r="F215" s="1" t="s">
        <v>112</v>
      </c>
      <c r="G215" s="1">
        <v>2610382</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3536</v>
      </c>
      <c r="D216" s="1" t="s">
        <v>3480</v>
      </c>
      <c r="E216" s="1" t="s">
        <v>3537</v>
      </c>
      <c r="F216" s="1" t="s">
        <v>112</v>
      </c>
      <c r="G216" s="1">
        <v>2785152</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3538</v>
      </c>
      <c r="D217" s="1" t="s">
        <v>1404</v>
      </c>
      <c r="E217" s="1" t="s">
        <v>3539</v>
      </c>
      <c r="F217" s="1" t="s">
        <v>112</v>
      </c>
      <c r="G217" s="1">
        <v>2553734</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3540</v>
      </c>
      <c r="D218" s="1" t="s">
        <v>3541</v>
      </c>
      <c r="E218" s="1" t="s">
        <v>3542</v>
      </c>
      <c r="F218" s="1" t="s">
        <v>112</v>
      </c>
      <c r="G218" s="1">
        <v>2221412</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3543</v>
      </c>
      <c r="D219" s="1" t="s">
        <v>3544</v>
      </c>
      <c r="E219" s="1" t="s">
        <v>3545</v>
      </c>
      <c r="F219" s="1" t="s">
        <v>112</v>
      </c>
      <c r="G219" s="1">
        <v>2268241</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3546</v>
      </c>
      <c r="D220" s="1" t="s">
        <v>3547</v>
      </c>
      <c r="E220" s="1" t="s">
        <v>271</v>
      </c>
      <c r="F220" s="1" t="s">
        <v>112</v>
      </c>
      <c r="G220" s="1">
        <v>1744862</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3548</v>
      </c>
      <c r="D221" s="1" t="s">
        <v>3549</v>
      </c>
      <c r="E221" s="1" t="s">
        <v>3550</v>
      </c>
      <c r="F221" s="1" t="s">
        <v>112</v>
      </c>
      <c r="G221" s="1">
        <v>5372066</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3551</v>
      </c>
      <c r="D222" s="1" t="s">
        <v>3552</v>
      </c>
      <c r="E222" s="1" t="s">
        <v>3553</v>
      </c>
      <c r="F222" s="1" t="s">
        <v>112</v>
      </c>
      <c r="G222" s="1">
        <v>5687062</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3554</v>
      </c>
      <c r="D223" s="1" t="s">
        <v>3555</v>
      </c>
      <c r="E223" s="1" t="s">
        <v>3556</v>
      </c>
      <c r="F223" s="1" t="s">
        <v>112</v>
      </c>
      <c r="G223" s="1">
        <v>4961703</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242</v>
      </c>
      <c r="D225" s="1" t="s">
        <v>112</v>
      </c>
      <c r="E225" s="1" t="s">
        <v>243</v>
      </c>
      <c r="F225" s="1" t="s">
        <v>244</v>
      </c>
      <c r="G225" s="1" t="s">
        <v>245</v>
      </c>
      <c r="H225" s="1" t="s">
        <v>246</v>
      </c>
      <c r="I225" s="1" t="s">
        <v>247</v>
      </c>
      <c r="J225" s="1" t="s">
        <v>248</v>
      </c>
    </row>
    <row r="226" spans="1:10"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3557</v>
      </c>
      <c r="D226" s="1" t="s">
        <v>112</v>
      </c>
      <c r="E226" s="1" t="s">
        <v>3558</v>
      </c>
      <c r="F226" s="1" t="s">
        <v>3559</v>
      </c>
      <c r="G226" s="1" t="s">
        <v>3560</v>
      </c>
      <c r="H226" s="1" t="s">
        <v>3561</v>
      </c>
      <c r="I226" s="1">
        <v>24</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254</v>
      </c>
      <c r="D232" s="1" t="s">
        <v>110</v>
      </c>
      <c r="E232" s="1" t="s">
        <v>111</v>
      </c>
      <c r="F232" s="1" t="s">
        <v>112</v>
      </c>
      <c r="G232" s="1" t="s">
        <v>113</v>
      </c>
    </row>
    <row r="233" spans="1:10" x14ac:dyDescent="0.25">
      <c r="A233" s="1" t="str">
        <f t="shared" si="3"/>
        <v>08 Estrone 0.04 µg_L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3562</v>
      </c>
      <c r="D233" s="1" t="s">
        <v>1731</v>
      </c>
      <c r="E233" s="1" t="s">
        <v>3563</v>
      </c>
      <c r="F233" s="1" t="s">
        <v>112</v>
      </c>
      <c r="G233" s="1">
        <v>136550</v>
      </c>
    </row>
    <row r="234" spans="1:10" x14ac:dyDescent="0.25">
      <c r="A234" s="1" t="str">
        <f t="shared" si="3"/>
        <v>08 Estrone 0.04 µg_L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3564</v>
      </c>
      <c r="D234" s="1" t="s">
        <v>722</v>
      </c>
      <c r="E234" s="1" t="s">
        <v>3565</v>
      </c>
      <c r="F234" s="1" t="s">
        <v>112</v>
      </c>
      <c r="G234" s="1">
        <v>113903</v>
      </c>
    </row>
    <row r="235" spans="1:10" x14ac:dyDescent="0.25">
      <c r="A235" s="1" t="str">
        <f t="shared" si="3"/>
        <v>08 Estrone 0.04 µg_L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3566</v>
      </c>
      <c r="D235" s="1" t="s">
        <v>286</v>
      </c>
      <c r="E235" s="1" t="s">
        <v>3567</v>
      </c>
      <c r="F235" s="1" t="s">
        <v>112</v>
      </c>
      <c r="G235" s="1">
        <v>93636</v>
      </c>
    </row>
    <row r="236" spans="1:10" x14ac:dyDescent="0.25">
      <c r="A236" s="1" t="str">
        <f t="shared" si="3"/>
        <v>08 Estrone 0.04 µg_L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3568</v>
      </c>
      <c r="D236" s="1" t="s">
        <v>328</v>
      </c>
      <c r="E236" s="1" t="s">
        <v>3569</v>
      </c>
      <c r="F236" s="1" t="s">
        <v>112</v>
      </c>
      <c r="G236" s="1">
        <v>45726</v>
      </c>
    </row>
    <row r="237" spans="1:10" x14ac:dyDescent="0.25">
      <c r="A237" s="1" t="str">
        <f t="shared" si="3"/>
        <v>08 Estrone 0.04 µg_L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3570</v>
      </c>
      <c r="D237" s="1" t="s">
        <v>429</v>
      </c>
      <c r="E237" s="1" t="s">
        <v>3571</v>
      </c>
      <c r="F237" s="1" t="s">
        <v>112</v>
      </c>
      <c r="G237" s="1">
        <v>268751</v>
      </c>
    </row>
    <row r="238" spans="1:10" x14ac:dyDescent="0.25">
      <c r="A238" s="1" t="str">
        <f t="shared" si="3"/>
        <v>08 Estrone 0.04 µg_L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3572</v>
      </c>
      <c r="D238" s="1" t="s">
        <v>377</v>
      </c>
      <c r="E238" s="1" t="s">
        <v>3573</v>
      </c>
      <c r="F238" s="1" t="s">
        <v>112</v>
      </c>
      <c r="G238" s="1">
        <v>39648</v>
      </c>
    </row>
    <row r="239" spans="1:10" x14ac:dyDescent="0.25">
      <c r="A239" s="1" t="str">
        <f t="shared" si="3"/>
        <v>08 Estrone 0.04 µg_L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3574</v>
      </c>
      <c r="D239" s="1" t="s">
        <v>294</v>
      </c>
      <c r="E239" s="1" t="s">
        <v>3575</v>
      </c>
      <c r="F239" s="1" t="s">
        <v>112</v>
      </c>
      <c r="G239" s="1">
        <v>27773</v>
      </c>
    </row>
    <row r="240" spans="1:10" x14ac:dyDescent="0.25">
      <c r="A240" s="1" t="str">
        <f t="shared" si="3"/>
        <v>08 Estrone 0.04 µg_L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3576</v>
      </c>
      <c r="D240" s="1" t="s">
        <v>369</v>
      </c>
      <c r="E240" s="1" t="s">
        <v>3577</v>
      </c>
      <c r="F240" s="1" t="s">
        <v>112</v>
      </c>
      <c r="G240" s="1">
        <v>15249</v>
      </c>
    </row>
    <row r="241" spans="1:7" x14ac:dyDescent="0.25">
      <c r="A241" s="1" t="str">
        <f t="shared" si="3"/>
        <v>08 Estrone 0.04 µg_L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3578</v>
      </c>
      <c r="D241" s="1" t="s">
        <v>374</v>
      </c>
      <c r="E241" s="1">
        <v>65</v>
      </c>
      <c r="F241" s="1" t="s">
        <v>112</v>
      </c>
      <c r="G241" s="1">
        <v>35149</v>
      </c>
    </row>
    <row r="242" spans="1:7" x14ac:dyDescent="0.25">
      <c r="A242" s="1" t="str">
        <f t="shared" si="3"/>
        <v>08 Estrone 0.04 µg_L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3579</v>
      </c>
      <c r="D242" s="1" t="s">
        <v>210</v>
      </c>
      <c r="E242" s="1" t="s">
        <v>3580</v>
      </c>
      <c r="F242" s="1" t="s">
        <v>112</v>
      </c>
      <c r="G242" s="1">
        <v>82626</v>
      </c>
    </row>
    <row r="243" spans="1:7" x14ac:dyDescent="0.25">
      <c r="A243" s="1" t="str">
        <f t="shared" si="3"/>
        <v>08 Estrone 0.04 µg_L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3581</v>
      </c>
      <c r="D243" s="1" t="s">
        <v>3582</v>
      </c>
      <c r="E243" s="1" t="s">
        <v>3583</v>
      </c>
      <c r="F243" s="1" t="s">
        <v>112</v>
      </c>
      <c r="G243" s="1">
        <v>169016</v>
      </c>
    </row>
    <row r="244" spans="1:7" x14ac:dyDescent="0.25">
      <c r="A244" s="1" t="str">
        <f t="shared" si="3"/>
        <v>08 Estrone 0.04 µg_L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3584</v>
      </c>
      <c r="D244" s="1" t="s">
        <v>374</v>
      </c>
      <c r="E244" s="1" t="s">
        <v>3585</v>
      </c>
      <c r="F244" s="1" t="s">
        <v>112</v>
      </c>
      <c r="G244" s="1">
        <v>36641</v>
      </c>
    </row>
    <row r="245" spans="1:7" x14ac:dyDescent="0.25">
      <c r="A245" s="1" t="str">
        <f t="shared" si="3"/>
        <v>08 Estrone 0.04 µg_L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3586</v>
      </c>
      <c r="D245" s="1" t="s">
        <v>3247</v>
      </c>
      <c r="E245" s="1" t="s">
        <v>3587</v>
      </c>
      <c r="F245" s="1" t="s">
        <v>112</v>
      </c>
      <c r="G245" s="1">
        <v>110637</v>
      </c>
    </row>
    <row r="246" spans="1:7" x14ac:dyDescent="0.25">
      <c r="A246" s="1" t="str">
        <f t="shared" si="3"/>
        <v>08 Estrone 0.04 µg_L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3588</v>
      </c>
      <c r="D246" s="1" t="s">
        <v>3247</v>
      </c>
      <c r="E246" s="1" t="s">
        <v>3589</v>
      </c>
      <c r="F246" s="1" t="s">
        <v>112</v>
      </c>
      <c r="G246" s="1">
        <v>112605</v>
      </c>
    </row>
    <row r="247" spans="1:7" x14ac:dyDescent="0.25">
      <c r="A247" s="1" t="str">
        <f t="shared" si="3"/>
        <v>08 Estrone 0.04 µg_L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3590</v>
      </c>
      <c r="D247" s="1" t="s">
        <v>216</v>
      </c>
      <c r="E247" s="1" t="s">
        <v>3591</v>
      </c>
      <c r="F247" s="1" t="s">
        <v>112</v>
      </c>
      <c r="G247" s="1">
        <v>79555</v>
      </c>
    </row>
    <row r="248" spans="1:7" x14ac:dyDescent="0.25">
      <c r="A248" s="1" t="str">
        <f t="shared" si="3"/>
        <v>08 Estrone 0.04 µg_L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3592</v>
      </c>
      <c r="D248" s="1" t="s">
        <v>286</v>
      </c>
      <c r="E248" s="1" t="s">
        <v>3593</v>
      </c>
      <c r="F248" s="1" t="s">
        <v>112</v>
      </c>
      <c r="G248" s="1">
        <v>90867</v>
      </c>
    </row>
    <row r="249" spans="1:7" x14ac:dyDescent="0.25">
      <c r="A249" s="1" t="str">
        <f t="shared" si="3"/>
        <v>08 Estrone 0.04 µg_L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3594</v>
      </c>
      <c r="D249" s="1" t="s">
        <v>759</v>
      </c>
      <c r="E249" s="1" t="s">
        <v>3595</v>
      </c>
      <c r="F249" s="1" t="s">
        <v>112</v>
      </c>
      <c r="G249" s="1">
        <v>93895</v>
      </c>
    </row>
    <row r="250" spans="1:7" x14ac:dyDescent="0.25">
      <c r="A250" s="1" t="str">
        <f t="shared" si="3"/>
        <v>08 Estrone 0.04 µg_L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3596</v>
      </c>
      <c r="D250" s="1" t="s">
        <v>1250</v>
      </c>
      <c r="E250" s="1" t="s">
        <v>3597</v>
      </c>
      <c r="F250" s="1" t="s">
        <v>112</v>
      </c>
      <c r="G250" s="1">
        <v>77976</v>
      </c>
    </row>
    <row r="251" spans="1:7" x14ac:dyDescent="0.25">
      <c r="A251" s="1" t="str">
        <f t="shared" si="3"/>
        <v>08 Estrone 0.04 µg_L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3598</v>
      </c>
      <c r="D251" s="1" t="s">
        <v>3599</v>
      </c>
      <c r="E251" s="1" t="s">
        <v>3600</v>
      </c>
      <c r="F251" s="1" t="s">
        <v>112</v>
      </c>
      <c r="G251" s="1">
        <v>213206</v>
      </c>
    </row>
    <row r="252" spans="1:7" x14ac:dyDescent="0.25">
      <c r="A252" s="1" t="str">
        <f t="shared" si="3"/>
        <v>08 Estrone 0.04 µg_L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3601</v>
      </c>
      <c r="D252" s="1" t="s">
        <v>1756</v>
      </c>
      <c r="E252" s="1" t="s">
        <v>3602</v>
      </c>
      <c r="F252" s="1" t="s">
        <v>112</v>
      </c>
      <c r="G252" s="1">
        <v>171612</v>
      </c>
    </row>
    <row r="253" spans="1:7" x14ac:dyDescent="0.25">
      <c r="A253" s="1" t="str">
        <f t="shared" si="3"/>
        <v>08 Estrone 0.04 µg_L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3603</v>
      </c>
      <c r="D253" s="1" t="s">
        <v>148</v>
      </c>
      <c r="E253" s="1" t="s">
        <v>3604</v>
      </c>
      <c r="F253" s="1" t="s">
        <v>112</v>
      </c>
      <c r="G253" s="1">
        <v>342509</v>
      </c>
    </row>
    <row r="254" spans="1:7" x14ac:dyDescent="0.25">
      <c r="A254" s="1" t="str">
        <f t="shared" si="3"/>
        <v>08 Estrone 0.04 µg_L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3605</v>
      </c>
      <c r="D254" s="1" t="s">
        <v>1261</v>
      </c>
      <c r="E254" s="1" t="s">
        <v>3606</v>
      </c>
      <c r="F254" s="1" t="s">
        <v>112</v>
      </c>
      <c r="G254" s="1">
        <v>155843</v>
      </c>
    </row>
    <row r="255" spans="1:7" x14ac:dyDescent="0.25">
      <c r="A255" s="1" t="str">
        <f t="shared" si="3"/>
        <v>08 Estrone 0.04 µg_L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3607</v>
      </c>
      <c r="D255" s="1" t="s">
        <v>2337</v>
      </c>
      <c r="E255" s="1" t="s">
        <v>3608</v>
      </c>
      <c r="F255" s="1" t="s">
        <v>112</v>
      </c>
      <c r="G255" s="1">
        <v>87082</v>
      </c>
    </row>
    <row r="256" spans="1:7" x14ac:dyDescent="0.25">
      <c r="A256" s="1" t="str">
        <f t="shared" si="3"/>
        <v>08 Estrone 0.04 µg_L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3609</v>
      </c>
      <c r="D256" s="1" t="s">
        <v>331</v>
      </c>
      <c r="E256" s="1" t="s">
        <v>3610</v>
      </c>
      <c r="F256" s="1" t="s">
        <v>112</v>
      </c>
      <c r="G256" s="1">
        <v>60153</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242</v>
      </c>
      <c r="D258" s="1" t="s">
        <v>112</v>
      </c>
      <c r="E258" s="1" t="s">
        <v>243</v>
      </c>
      <c r="F258" s="1" t="s">
        <v>244</v>
      </c>
      <c r="G258" s="1" t="s">
        <v>245</v>
      </c>
      <c r="H258" s="1" t="s">
        <v>246</v>
      </c>
      <c r="I258" s="1" t="s">
        <v>247</v>
      </c>
      <c r="J258" s="1" t="s">
        <v>248</v>
      </c>
    </row>
    <row r="259" spans="1:10" x14ac:dyDescent="0.25">
      <c r="A259" s="1" t="str">
        <f t="shared" si="4"/>
        <v>08 Estrone 0.04 µg_L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3611</v>
      </c>
      <c r="D259" s="1" t="s">
        <v>112</v>
      </c>
      <c r="E259" s="1" t="s">
        <v>3612</v>
      </c>
      <c r="F259" s="1" t="s">
        <v>3613</v>
      </c>
      <c r="G259" s="1" t="s">
        <v>3614</v>
      </c>
      <c r="H259" s="1" t="s">
        <v>3615</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254</v>
      </c>
      <c r="D265" s="1" t="s">
        <v>110</v>
      </c>
      <c r="E265" s="1" t="s">
        <v>111</v>
      </c>
      <c r="F265" s="1" t="s">
        <v>112</v>
      </c>
      <c r="G265" s="1" t="s">
        <v>113</v>
      </c>
    </row>
    <row r="266" spans="1:10" x14ac:dyDescent="0.25">
      <c r="A266" s="1" t="str">
        <f t="shared" si="4"/>
        <v>09 Estrone 0.2 µg_L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3616</v>
      </c>
      <c r="D266" s="1" t="s">
        <v>1304</v>
      </c>
      <c r="E266" s="1" t="s">
        <v>3617</v>
      </c>
      <c r="F266" s="1" t="s">
        <v>112</v>
      </c>
      <c r="G266" s="1">
        <v>226746</v>
      </c>
    </row>
    <row r="267" spans="1:10" x14ac:dyDescent="0.25">
      <c r="A267" s="1" t="str">
        <f t="shared" si="4"/>
        <v>09 Estrone 0.2 µg_L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3618</v>
      </c>
      <c r="D267" s="1" t="s">
        <v>805</v>
      </c>
      <c r="E267" s="1" t="s">
        <v>3619</v>
      </c>
      <c r="F267" s="1" t="s">
        <v>112</v>
      </c>
      <c r="G267" s="1">
        <v>56021</v>
      </c>
    </row>
    <row r="268" spans="1:10" x14ac:dyDescent="0.25">
      <c r="A268" s="1" t="str">
        <f t="shared" si="4"/>
        <v>09 Estrone 0.2 µg_L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3620</v>
      </c>
      <c r="D268" s="1" t="s">
        <v>3621</v>
      </c>
      <c r="E268" s="1" t="s">
        <v>3622</v>
      </c>
      <c r="F268" s="1" t="s">
        <v>112</v>
      </c>
      <c r="G268" s="1">
        <v>234338</v>
      </c>
    </row>
    <row r="269" spans="1:10" x14ac:dyDescent="0.25">
      <c r="A269" s="1" t="str">
        <f t="shared" si="4"/>
        <v>09 Estrone 0.2 µg_L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3623</v>
      </c>
      <c r="D269" s="1" t="s">
        <v>286</v>
      </c>
      <c r="E269" s="1" t="s">
        <v>3624</v>
      </c>
      <c r="F269" s="1" t="s">
        <v>112</v>
      </c>
      <c r="G269" s="1">
        <v>92922</v>
      </c>
    </row>
    <row r="270" spans="1:10" x14ac:dyDescent="0.25">
      <c r="A270" s="1" t="str">
        <f t="shared" si="4"/>
        <v>09 Estrone 0.2 µg_L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3625</v>
      </c>
      <c r="D270" s="1" t="s">
        <v>190</v>
      </c>
      <c r="E270" s="1" t="s">
        <v>3626</v>
      </c>
      <c r="F270" s="1" t="s">
        <v>112</v>
      </c>
      <c r="G270" s="1">
        <v>150479</v>
      </c>
    </row>
    <row r="271" spans="1:10" x14ac:dyDescent="0.25">
      <c r="A271" s="1" t="str">
        <f t="shared" si="4"/>
        <v>09 Estrone 0.2 µg_L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3627</v>
      </c>
      <c r="D271" s="1" t="s">
        <v>2331</v>
      </c>
      <c r="E271" s="1" t="s">
        <v>3628</v>
      </c>
      <c r="F271" s="1" t="s">
        <v>112</v>
      </c>
      <c r="G271" s="1">
        <v>104148</v>
      </c>
    </row>
    <row r="272" spans="1:10" x14ac:dyDescent="0.25">
      <c r="A272" s="1" t="str">
        <f t="shared" si="4"/>
        <v>09 Estrone 0.2 µg_L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3629</v>
      </c>
      <c r="D272" s="1" t="s">
        <v>768</v>
      </c>
      <c r="E272" s="1" t="s">
        <v>3630</v>
      </c>
      <c r="F272" s="1" t="s">
        <v>112</v>
      </c>
      <c r="G272" s="1">
        <v>9777</v>
      </c>
    </row>
    <row r="273" spans="1:7" x14ac:dyDescent="0.25">
      <c r="A273" s="1" t="str">
        <f t="shared" si="4"/>
        <v>09 Estrone 0.2 µg_L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3631</v>
      </c>
      <c r="D273" s="1" t="s">
        <v>222</v>
      </c>
      <c r="E273" s="1" t="s">
        <v>3632</v>
      </c>
      <c r="F273" s="1" t="s">
        <v>112</v>
      </c>
      <c r="G273" s="1">
        <v>29546</v>
      </c>
    </row>
    <row r="274" spans="1:7" x14ac:dyDescent="0.25">
      <c r="A274" s="1" t="str">
        <f t="shared" si="4"/>
        <v>09 Estrone 0.2 µg_L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3633</v>
      </c>
      <c r="D274" s="1" t="s">
        <v>3217</v>
      </c>
      <c r="E274" s="1" t="s">
        <v>2201</v>
      </c>
      <c r="F274" s="1" t="s">
        <v>112</v>
      </c>
      <c r="G274" s="1">
        <v>4239</v>
      </c>
    </row>
    <row r="275" spans="1:7" x14ac:dyDescent="0.25">
      <c r="A275" s="1" t="str">
        <f t="shared" si="4"/>
        <v>09 Estrone 0.2 µg_L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3634</v>
      </c>
      <c r="D275" s="1" t="s">
        <v>289</v>
      </c>
      <c r="E275" s="1" t="s">
        <v>3635</v>
      </c>
      <c r="F275" s="1" t="s">
        <v>112</v>
      </c>
      <c r="G275" s="1">
        <v>33505</v>
      </c>
    </row>
    <row r="276" spans="1:7" x14ac:dyDescent="0.25">
      <c r="A276" s="1" t="str">
        <f t="shared" si="4"/>
        <v>09 Estrone 0.2 µg_L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3636</v>
      </c>
      <c r="D276" s="1" t="s">
        <v>205</v>
      </c>
      <c r="E276" s="1" t="s">
        <v>3637</v>
      </c>
      <c r="F276" s="1" t="s">
        <v>112</v>
      </c>
      <c r="G276" s="1">
        <v>12286</v>
      </c>
    </row>
    <row r="277" spans="1:7" x14ac:dyDescent="0.25">
      <c r="A277" s="1" t="str">
        <f t="shared" si="4"/>
        <v>09 Estrone 0.2 µg_L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3638</v>
      </c>
      <c r="D277" s="1" t="s">
        <v>713</v>
      </c>
      <c r="E277" s="1" t="s">
        <v>3639</v>
      </c>
      <c r="F277" s="1" t="s">
        <v>112</v>
      </c>
      <c r="G277" s="1">
        <v>22062</v>
      </c>
    </row>
    <row r="278" spans="1:7" x14ac:dyDescent="0.25">
      <c r="A278" s="1" t="str">
        <f t="shared" si="4"/>
        <v>09 Estrone 0.2 µg_L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3640</v>
      </c>
      <c r="D278" s="1" t="s">
        <v>297</v>
      </c>
      <c r="E278" s="1" t="s">
        <v>206</v>
      </c>
      <c r="F278" s="1" t="s">
        <v>112</v>
      </c>
      <c r="G278" s="1">
        <v>24961</v>
      </c>
    </row>
    <row r="279" spans="1:7" x14ac:dyDescent="0.25">
      <c r="A279" s="1" t="str">
        <f t="shared" si="4"/>
        <v>09 Estrone 0.2 µg_L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3641</v>
      </c>
      <c r="D279" s="1" t="s">
        <v>205</v>
      </c>
      <c r="E279" s="1" t="s">
        <v>3642</v>
      </c>
      <c r="F279" s="1" t="s">
        <v>112</v>
      </c>
      <c r="G279" s="1">
        <v>12372</v>
      </c>
    </row>
    <row r="280" spans="1:7" x14ac:dyDescent="0.25">
      <c r="A280" s="1" t="str">
        <f t="shared" si="4"/>
        <v>09 Estrone 0.2 µg_L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3643</v>
      </c>
      <c r="D280" s="1" t="s">
        <v>369</v>
      </c>
      <c r="E280" s="1">
        <v>64</v>
      </c>
      <c r="F280" s="1" t="s">
        <v>112</v>
      </c>
      <c r="G280" s="1">
        <v>15227</v>
      </c>
    </row>
    <row r="281" spans="1:7" x14ac:dyDescent="0.25">
      <c r="A281" s="1" t="str">
        <f t="shared" si="4"/>
        <v>09 Estrone 0.2 µg_L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3644</v>
      </c>
      <c r="D281" s="1" t="s">
        <v>216</v>
      </c>
      <c r="E281" s="1" t="s">
        <v>3645</v>
      </c>
      <c r="F281" s="1" t="s">
        <v>112</v>
      </c>
      <c r="G281" s="1">
        <v>81934</v>
      </c>
    </row>
    <row r="282" spans="1:7" x14ac:dyDescent="0.25">
      <c r="A282" s="1" t="str">
        <f t="shared" si="4"/>
        <v>09 Estrone 0.2 µg_L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3646</v>
      </c>
      <c r="D282" s="1" t="s">
        <v>702</v>
      </c>
      <c r="E282" s="1" t="s">
        <v>3647</v>
      </c>
      <c r="F282" s="1" t="s">
        <v>112</v>
      </c>
      <c r="G282" s="1">
        <v>46266</v>
      </c>
    </row>
    <row r="283" spans="1:7" x14ac:dyDescent="0.25">
      <c r="A283" s="1" t="str">
        <f t="shared" si="4"/>
        <v>09 Estrone 0.2 µg_L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3648</v>
      </c>
      <c r="D283" s="1" t="s">
        <v>732</v>
      </c>
      <c r="E283" s="1" t="s">
        <v>3649</v>
      </c>
      <c r="F283" s="1" t="s">
        <v>112</v>
      </c>
      <c r="G283" s="1">
        <v>160429</v>
      </c>
    </row>
    <row r="284" spans="1:7" x14ac:dyDescent="0.25">
      <c r="A284" s="1" t="str">
        <f t="shared" si="4"/>
        <v>09 Estrone 0.2 µg_L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3650</v>
      </c>
      <c r="D284" s="1" t="s">
        <v>1310</v>
      </c>
      <c r="E284" s="1" t="s">
        <v>3651</v>
      </c>
      <c r="F284" s="1" t="s">
        <v>112</v>
      </c>
      <c r="G284" s="1">
        <v>207712</v>
      </c>
    </row>
    <row r="285" spans="1:7" x14ac:dyDescent="0.25">
      <c r="A285" s="1" t="str">
        <f t="shared" si="4"/>
        <v>09 Estrone 0.2 µg_L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3652</v>
      </c>
      <c r="D285" s="1" t="s">
        <v>3653</v>
      </c>
      <c r="E285" s="1" t="s">
        <v>3654</v>
      </c>
      <c r="F285" s="1" t="s">
        <v>112</v>
      </c>
      <c r="G285" s="1">
        <v>331370</v>
      </c>
    </row>
    <row r="286" spans="1:7" x14ac:dyDescent="0.25">
      <c r="A286" s="1" t="str">
        <f t="shared" si="4"/>
        <v>09 Estrone 0.2 µg_L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3655</v>
      </c>
      <c r="D286" s="1" t="s">
        <v>713</v>
      </c>
      <c r="E286" s="1" t="s">
        <v>725</v>
      </c>
      <c r="F286" s="1" t="s">
        <v>112</v>
      </c>
      <c r="G286" s="1">
        <v>22192</v>
      </c>
    </row>
    <row r="287" spans="1:7" x14ac:dyDescent="0.25">
      <c r="A287" s="1" t="str">
        <f t="shared" si="4"/>
        <v>09 Estrone 0.2 µg_L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3656</v>
      </c>
      <c r="D287" s="1" t="s">
        <v>331</v>
      </c>
      <c r="E287" s="1" t="s">
        <v>3657</v>
      </c>
      <c r="F287" s="1" t="s">
        <v>112</v>
      </c>
      <c r="G287" s="1">
        <v>59244</v>
      </c>
    </row>
    <row r="288" spans="1:7" x14ac:dyDescent="0.25">
      <c r="A288" s="1" t="str">
        <f t="shared" si="4"/>
        <v>09 Estrone 0.2 µg_L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3658</v>
      </c>
      <c r="D288" s="1" t="s">
        <v>3659</v>
      </c>
      <c r="E288" s="1" t="s">
        <v>3660</v>
      </c>
      <c r="F288" s="1" t="s">
        <v>112</v>
      </c>
      <c r="G288" s="1">
        <v>838634</v>
      </c>
    </row>
    <row r="289" spans="1:10" x14ac:dyDescent="0.25">
      <c r="A289" s="1" t="str">
        <f t="shared" si="4"/>
        <v>09 Estrone 0.2 µg_L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3661</v>
      </c>
      <c r="D289" s="1" t="s">
        <v>441</v>
      </c>
      <c r="E289" s="1" t="s">
        <v>3662</v>
      </c>
      <c r="F289" s="1" t="s">
        <v>112</v>
      </c>
      <c r="G289" s="1">
        <v>56973</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242</v>
      </c>
      <c r="D291" s="1" t="s">
        <v>112</v>
      </c>
      <c r="E291" s="1" t="s">
        <v>243</v>
      </c>
      <c r="F291" s="1" t="s">
        <v>244</v>
      </c>
      <c r="G291" s="1" t="s">
        <v>245</v>
      </c>
      <c r="H291" s="1" t="s">
        <v>246</v>
      </c>
      <c r="I291" s="1" t="s">
        <v>247</v>
      </c>
      <c r="J291" s="1" t="s">
        <v>248</v>
      </c>
    </row>
    <row r="292" spans="1:10" x14ac:dyDescent="0.25">
      <c r="A292" s="1" t="str">
        <f t="shared" si="4"/>
        <v>09 Estrone 0.2 µg_L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3663</v>
      </c>
      <c r="D292" s="1" t="s">
        <v>112</v>
      </c>
      <c r="E292" s="1" t="s">
        <v>3664</v>
      </c>
      <c r="F292" s="1" t="s">
        <v>3665</v>
      </c>
      <c r="G292" s="1" t="s">
        <v>3666</v>
      </c>
      <c r="H292" s="1" t="s">
        <v>3667</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254</v>
      </c>
      <c r="D298" s="1" t="s">
        <v>110</v>
      </c>
      <c r="E298" s="1" t="s">
        <v>111</v>
      </c>
      <c r="F298" s="1" t="s">
        <v>112</v>
      </c>
      <c r="G298" s="1" t="s">
        <v>113</v>
      </c>
    </row>
    <row r="299" spans="1:10" x14ac:dyDescent="0.25">
      <c r="A299" s="1" t="str">
        <f t="shared" si="4"/>
        <v>10 Estrone 1 µg_L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3668</v>
      </c>
      <c r="D299" s="1" t="s">
        <v>3338</v>
      </c>
      <c r="E299" s="1" t="s">
        <v>3669</v>
      </c>
      <c r="F299" s="1" t="s">
        <v>112</v>
      </c>
      <c r="G299" s="1">
        <v>459981</v>
      </c>
    </row>
    <row r="300" spans="1:10" x14ac:dyDescent="0.25">
      <c r="A300" s="1" t="str">
        <f t="shared" si="4"/>
        <v>10 Estrone 1 µg_L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3670</v>
      </c>
      <c r="D300" s="1" t="s">
        <v>3671</v>
      </c>
      <c r="E300" s="1" t="s">
        <v>3672</v>
      </c>
      <c r="F300" s="1" t="s">
        <v>112</v>
      </c>
      <c r="G300" s="1">
        <v>612667</v>
      </c>
    </row>
    <row r="301" spans="1:10" x14ac:dyDescent="0.25">
      <c r="A301" s="1" t="str">
        <f t="shared" si="4"/>
        <v>10 Estrone 1 µg_L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3673</v>
      </c>
      <c r="D301" s="1" t="s">
        <v>693</v>
      </c>
      <c r="E301" s="1" t="s">
        <v>3674</v>
      </c>
      <c r="F301" s="1" t="s">
        <v>112</v>
      </c>
      <c r="G301" s="1">
        <v>335826</v>
      </c>
    </row>
    <row r="302" spans="1:10" x14ac:dyDescent="0.25">
      <c r="A302" s="1" t="str">
        <f t="shared" si="4"/>
        <v>10 Estrone 1 µg_L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3675</v>
      </c>
      <c r="D302" s="1" t="s">
        <v>150</v>
      </c>
      <c r="E302" s="1" t="s">
        <v>3676</v>
      </c>
      <c r="F302" s="1" t="s">
        <v>112</v>
      </c>
      <c r="G302" s="1">
        <v>236847</v>
      </c>
    </row>
    <row r="303" spans="1:10" x14ac:dyDescent="0.25">
      <c r="A303" s="1" t="str">
        <f t="shared" si="4"/>
        <v>10 Estrone 1 µg_L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3677</v>
      </c>
      <c r="D303" s="1" t="s">
        <v>328</v>
      </c>
      <c r="E303" s="1" t="s">
        <v>3678</v>
      </c>
      <c r="F303" s="1" t="s">
        <v>112</v>
      </c>
      <c r="G303" s="1">
        <v>46483</v>
      </c>
    </row>
    <row r="304" spans="1:10" x14ac:dyDescent="0.25">
      <c r="A304" s="1" t="str">
        <f t="shared" si="4"/>
        <v>10 Estrone 1 µg_L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3679</v>
      </c>
      <c r="D304" s="1" t="s">
        <v>3680</v>
      </c>
      <c r="E304" s="1" t="s">
        <v>3681</v>
      </c>
      <c r="F304" s="1" t="s">
        <v>112</v>
      </c>
      <c r="G304" s="1">
        <v>621643</v>
      </c>
    </row>
    <row r="305" spans="1:7" x14ac:dyDescent="0.25">
      <c r="A305" s="1" t="str">
        <f t="shared" si="4"/>
        <v>10 Estrone 1 µg_L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3682</v>
      </c>
      <c r="D305" s="1" t="s">
        <v>768</v>
      </c>
      <c r="E305" s="1" t="s">
        <v>3683</v>
      </c>
      <c r="F305" s="1" t="s">
        <v>112</v>
      </c>
      <c r="G305" s="1">
        <v>9452</v>
      </c>
    </row>
    <row r="306" spans="1:7" x14ac:dyDescent="0.25">
      <c r="A306" s="1" t="str">
        <f t="shared" si="4"/>
        <v>10 Estrone 1 µg_L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3684</v>
      </c>
      <c r="D306" s="1" t="s">
        <v>710</v>
      </c>
      <c r="E306" s="1" t="s">
        <v>725</v>
      </c>
      <c r="F306" s="1" t="s">
        <v>112</v>
      </c>
      <c r="G306" s="1">
        <v>11096</v>
      </c>
    </row>
    <row r="307" spans="1:7" x14ac:dyDescent="0.25">
      <c r="A307" s="1" t="str">
        <f t="shared" si="4"/>
        <v>10 Estrone 1 µg_L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3685</v>
      </c>
      <c r="D307" s="1" t="s">
        <v>196</v>
      </c>
      <c r="E307" s="1" t="s">
        <v>3686</v>
      </c>
      <c r="F307" s="1" t="s">
        <v>112</v>
      </c>
      <c r="G307" s="1">
        <v>16417</v>
      </c>
    </row>
    <row r="308" spans="1:7" x14ac:dyDescent="0.25">
      <c r="A308" s="1" t="str">
        <f t="shared" si="4"/>
        <v>10 Estrone 1 µg_L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3687</v>
      </c>
      <c r="D308" s="1" t="s">
        <v>382</v>
      </c>
      <c r="E308" s="1" t="s">
        <v>3466</v>
      </c>
      <c r="F308" s="1" t="s">
        <v>112</v>
      </c>
      <c r="G308" s="1">
        <v>320815</v>
      </c>
    </row>
    <row r="309" spans="1:7" x14ac:dyDescent="0.25">
      <c r="A309" s="1" t="str">
        <f t="shared" si="4"/>
        <v>10 Estrone 1 µg_L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3688</v>
      </c>
      <c r="D309" s="1" t="s">
        <v>1142</v>
      </c>
      <c r="E309" s="1" t="s">
        <v>3689</v>
      </c>
      <c r="F309" s="1" t="s">
        <v>112</v>
      </c>
      <c r="G309" s="1">
        <v>697716</v>
      </c>
    </row>
    <row r="310" spans="1:7" x14ac:dyDescent="0.25">
      <c r="A310" s="1" t="str">
        <f t="shared" si="4"/>
        <v>10 Estrone 1 µg_L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3690</v>
      </c>
      <c r="D310" s="1" t="s">
        <v>3691</v>
      </c>
      <c r="E310" s="1" t="s">
        <v>3692</v>
      </c>
      <c r="F310" s="1" t="s">
        <v>112</v>
      </c>
      <c r="G310" s="1">
        <v>291311</v>
      </c>
    </row>
    <row r="311" spans="1:7" x14ac:dyDescent="0.25">
      <c r="A311" s="1" t="str">
        <f t="shared" si="4"/>
        <v>10 Estrone 1 µg_L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3693</v>
      </c>
      <c r="D311" s="1" t="s">
        <v>3694</v>
      </c>
      <c r="E311" s="1" t="s">
        <v>3695</v>
      </c>
      <c r="F311" s="1" t="s">
        <v>112</v>
      </c>
      <c r="G311" s="1">
        <v>1494215</v>
      </c>
    </row>
    <row r="312" spans="1:7" x14ac:dyDescent="0.25">
      <c r="A312" s="1" t="str">
        <f t="shared" si="4"/>
        <v>10 Estrone 1 µg_L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3696</v>
      </c>
    </row>
    <row r="313" spans="1:7" x14ac:dyDescent="0.25">
      <c r="A313" s="1" t="str">
        <f t="shared" si="4"/>
        <v>10 Estrone 1 µg_L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3697</v>
      </c>
      <c r="D313" s="1" t="s">
        <v>3698</v>
      </c>
      <c r="E313" s="1" t="s">
        <v>3699</v>
      </c>
      <c r="F313" s="1" t="s">
        <v>112</v>
      </c>
      <c r="G313" s="1">
        <v>1571974</v>
      </c>
    </row>
    <row r="314" spans="1:7" x14ac:dyDescent="0.25">
      <c r="A314" s="1" t="str">
        <f t="shared" si="4"/>
        <v>10 Estrone 1 µg_L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3700</v>
      </c>
      <c r="D314" s="1" t="s">
        <v>210</v>
      </c>
      <c r="E314" s="1" t="s">
        <v>3701</v>
      </c>
      <c r="F314" s="1" t="s">
        <v>112</v>
      </c>
      <c r="G314" s="1">
        <v>84984</v>
      </c>
    </row>
    <row r="315" spans="1:7" x14ac:dyDescent="0.25">
      <c r="A315" s="1" t="str">
        <f t="shared" si="4"/>
        <v>10 Estrone 1 µg_L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3702</v>
      </c>
      <c r="D315" s="1" t="s">
        <v>219</v>
      </c>
      <c r="E315" s="1" t="s">
        <v>3703</v>
      </c>
      <c r="F315" s="1" t="s">
        <v>112</v>
      </c>
      <c r="G315" s="1">
        <v>77197</v>
      </c>
    </row>
    <row r="316" spans="1:7" x14ac:dyDescent="0.25">
      <c r="A316" s="1" t="str">
        <f t="shared" si="4"/>
        <v>10 Estrone 1 µg_L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3704</v>
      </c>
      <c r="D316" s="1" t="s">
        <v>178</v>
      </c>
      <c r="E316" s="1">
        <v>66</v>
      </c>
      <c r="F316" s="1" t="s">
        <v>112</v>
      </c>
      <c r="G316" s="1">
        <v>8565</v>
      </c>
    </row>
    <row r="317" spans="1:7" x14ac:dyDescent="0.25">
      <c r="A317" s="1" t="str">
        <f t="shared" si="4"/>
        <v>10 Estrone 1 µg_L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3705</v>
      </c>
      <c r="D317" s="1" t="s">
        <v>3706</v>
      </c>
      <c r="E317" s="1" t="s">
        <v>3707</v>
      </c>
      <c r="F317" s="1" t="s">
        <v>112</v>
      </c>
      <c r="G317" s="1">
        <v>942631</v>
      </c>
    </row>
    <row r="318" spans="1:7" x14ac:dyDescent="0.25">
      <c r="A318" s="1" t="str">
        <f t="shared" si="4"/>
        <v>10 Estrone 1 µg_L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3708</v>
      </c>
      <c r="D318" s="1" t="s">
        <v>3709</v>
      </c>
      <c r="E318" s="1" t="s">
        <v>3710</v>
      </c>
      <c r="F318" s="1" t="s">
        <v>112</v>
      </c>
      <c r="G318" s="1">
        <v>1416736</v>
      </c>
    </row>
    <row r="319" spans="1:7" x14ac:dyDescent="0.25">
      <c r="A319" s="1" t="str">
        <f t="shared" si="4"/>
        <v>10 Estrone 1 µg_L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3711</v>
      </c>
      <c r="D319" s="1" t="s">
        <v>3712</v>
      </c>
      <c r="E319" s="1" t="s">
        <v>3713</v>
      </c>
      <c r="F319" s="1" t="s">
        <v>112</v>
      </c>
      <c r="G319" s="1">
        <v>1132325</v>
      </c>
    </row>
    <row r="320" spans="1:7" x14ac:dyDescent="0.25">
      <c r="A320" s="1" t="str">
        <f t="shared" si="4"/>
        <v>10 Estrone 1 µg_L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3714</v>
      </c>
    </row>
    <row r="321" spans="1:10" x14ac:dyDescent="0.25">
      <c r="A321" s="1" t="str">
        <f t="shared" si="4"/>
        <v>10 Estrone 1 µg_L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3715</v>
      </c>
      <c r="D321" s="1" t="s">
        <v>289</v>
      </c>
      <c r="E321" s="1" t="s">
        <v>691</v>
      </c>
      <c r="F321" s="1" t="s">
        <v>112</v>
      </c>
      <c r="G321" s="1">
        <v>32877</v>
      </c>
    </row>
    <row r="322" spans="1:10" x14ac:dyDescent="0.25">
      <c r="A322" s="1" t="str">
        <f t="shared" ref="A322:A385" si="5">IFERROR(LEFT(RIGHT(C322,LEN(C322)-SEARCH("@",C322)),SEARCH("/",RIGHT(C322,LEN(C322)-SEARCH("@",C322)-1))),"")</f>
        <v>10 Estrone 1 µg_L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3716</v>
      </c>
      <c r="D322" s="1" t="s">
        <v>702</v>
      </c>
      <c r="E322" s="1" t="s">
        <v>3717</v>
      </c>
      <c r="F322" s="1" t="s">
        <v>112</v>
      </c>
      <c r="G322" s="1">
        <v>48191</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242</v>
      </c>
      <c r="D324" s="1" t="s">
        <v>112</v>
      </c>
      <c r="E324" s="1" t="s">
        <v>243</v>
      </c>
      <c r="F324" s="1" t="s">
        <v>244</v>
      </c>
      <c r="G324" s="1" t="s">
        <v>245</v>
      </c>
      <c r="H324" s="1" t="s">
        <v>246</v>
      </c>
      <c r="I324" s="1" t="s">
        <v>247</v>
      </c>
      <c r="J324" s="1" t="s">
        <v>248</v>
      </c>
    </row>
    <row r="325" spans="1:10" x14ac:dyDescent="0.25">
      <c r="A325" s="1" t="str">
        <f t="shared" si="5"/>
        <v>10 Estrone 1 µg_L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3718</v>
      </c>
      <c r="D325" s="1" t="s">
        <v>112</v>
      </c>
      <c r="E325" s="1" t="s">
        <v>3719</v>
      </c>
      <c r="F325" s="1" t="s">
        <v>3720</v>
      </c>
      <c r="G325" s="1" t="s">
        <v>3721</v>
      </c>
      <c r="H325" s="1" t="s">
        <v>3722</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254</v>
      </c>
      <c r="D331" s="1" t="s">
        <v>110</v>
      </c>
      <c r="E331" s="1" t="s">
        <v>111</v>
      </c>
      <c r="F331" s="1" t="s">
        <v>112</v>
      </c>
      <c r="G331" s="1" t="s">
        <v>113</v>
      </c>
    </row>
    <row r="332" spans="1:10" x14ac:dyDescent="0.25">
      <c r="A332" s="1" t="str">
        <f t="shared" si="5"/>
        <v>11 Estrone 5 µg_L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3723</v>
      </c>
      <c r="D332" s="1" t="s">
        <v>3724</v>
      </c>
      <c r="E332" s="1" t="s">
        <v>3725</v>
      </c>
      <c r="F332" s="1" t="s">
        <v>112</v>
      </c>
      <c r="G332" s="1">
        <v>4207620</v>
      </c>
    </row>
    <row r="333" spans="1:10" x14ac:dyDescent="0.25">
      <c r="A333" s="1" t="str">
        <f t="shared" si="5"/>
        <v>11 Estrone 5 µg_L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3726</v>
      </c>
      <c r="D333" s="1" t="s">
        <v>3727</v>
      </c>
      <c r="E333" s="1" t="s">
        <v>3728</v>
      </c>
      <c r="F333" s="1" t="s">
        <v>112</v>
      </c>
      <c r="G333" s="1">
        <v>3978819</v>
      </c>
    </row>
    <row r="334" spans="1:10" x14ac:dyDescent="0.25">
      <c r="A334" s="1" t="str">
        <f t="shared" si="5"/>
        <v>11 Estrone 5 µg_L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3729</v>
      </c>
      <c r="D334" s="1" t="s">
        <v>3730</v>
      </c>
      <c r="E334" s="1" t="s">
        <v>3731</v>
      </c>
      <c r="F334" s="1" t="s">
        <v>112</v>
      </c>
      <c r="G334" s="1">
        <v>4022901</v>
      </c>
    </row>
    <row r="335" spans="1:10" x14ac:dyDescent="0.25">
      <c r="A335" s="1" t="str">
        <f t="shared" si="5"/>
        <v>11 Estrone 5 µg_L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3732</v>
      </c>
      <c r="D335" s="1" t="s">
        <v>3733</v>
      </c>
      <c r="E335" s="1" t="s">
        <v>3734</v>
      </c>
      <c r="F335" s="1" t="s">
        <v>112</v>
      </c>
      <c r="G335" s="1">
        <v>4968928</v>
      </c>
    </row>
    <row r="336" spans="1:10" x14ac:dyDescent="0.25">
      <c r="A336" s="1" t="str">
        <f t="shared" si="5"/>
        <v>11 Estrone 5 µg_L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3735</v>
      </c>
      <c r="D336" s="1" t="s">
        <v>3736</v>
      </c>
      <c r="E336" s="1" t="s">
        <v>3737</v>
      </c>
      <c r="F336" s="1" t="s">
        <v>112</v>
      </c>
      <c r="G336" s="1">
        <v>5148326</v>
      </c>
    </row>
    <row r="337" spans="1:7" x14ac:dyDescent="0.25">
      <c r="A337" s="1" t="str">
        <f t="shared" si="5"/>
        <v>11 Estrone 5 µg_L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3738</v>
      </c>
      <c r="D337" s="1" t="s">
        <v>3739</v>
      </c>
      <c r="E337" s="1" t="s">
        <v>3740</v>
      </c>
      <c r="F337" s="1" t="s">
        <v>112</v>
      </c>
      <c r="G337" s="1">
        <v>5028150</v>
      </c>
    </row>
    <row r="338" spans="1:7" x14ac:dyDescent="0.25">
      <c r="A338" s="1" t="str">
        <f t="shared" si="5"/>
        <v>11 Estrone 5 µg_L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3741</v>
      </c>
      <c r="D338" s="1" t="s">
        <v>3742</v>
      </c>
      <c r="E338" s="1" t="s">
        <v>3743</v>
      </c>
      <c r="F338" s="1" t="s">
        <v>112</v>
      </c>
      <c r="G338" s="1">
        <v>1951687</v>
      </c>
    </row>
    <row r="339" spans="1:7" x14ac:dyDescent="0.25">
      <c r="A339" s="1" t="str">
        <f t="shared" si="5"/>
        <v>11 Estrone 5 µg_L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3744</v>
      </c>
      <c r="D339" s="1" t="s">
        <v>3745</v>
      </c>
      <c r="E339" s="1" t="s">
        <v>3746</v>
      </c>
      <c r="F339" s="1" t="s">
        <v>112</v>
      </c>
      <c r="G339" s="1">
        <v>2598226</v>
      </c>
    </row>
    <row r="340" spans="1:7" x14ac:dyDescent="0.25">
      <c r="A340" s="1" t="str">
        <f t="shared" si="5"/>
        <v>11 Estrone 5 µg_L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3747</v>
      </c>
      <c r="D340" s="1" t="s">
        <v>3748</v>
      </c>
      <c r="E340" s="1" t="s">
        <v>3749</v>
      </c>
      <c r="F340" s="1" t="s">
        <v>112</v>
      </c>
      <c r="G340" s="1">
        <v>1761020</v>
      </c>
    </row>
    <row r="341" spans="1:7" x14ac:dyDescent="0.25">
      <c r="A341" s="1" t="str">
        <f t="shared" si="5"/>
        <v>11 Estrone 5 µg_L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3750</v>
      </c>
      <c r="D341" s="1" t="s">
        <v>3751</v>
      </c>
      <c r="E341" s="1" t="s">
        <v>3752</v>
      </c>
      <c r="F341" s="1" t="s">
        <v>112</v>
      </c>
      <c r="G341" s="1">
        <v>3989980</v>
      </c>
    </row>
    <row r="342" spans="1:7" x14ac:dyDescent="0.25">
      <c r="A342" s="1" t="str">
        <f t="shared" si="5"/>
        <v>11 Estrone 5 µg_L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3753</v>
      </c>
      <c r="D342" s="1" t="s">
        <v>3754</v>
      </c>
      <c r="E342" s="1" t="s">
        <v>3755</v>
      </c>
      <c r="F342" s="1" t="s">
        <v>112</v>
      </c>
      <c r="G342" s="1">
        <v>4204268</v>
      </c>
    </row>
    <row r="343" spans="1:7" x14ac:dyDescent="0.25">
      <c r="A343" s="1" t="str">
        <f t="shared" si="5"/>
        <v>11 Estrone 5 µg_L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3756</v>
      </c>
      <c r="D343" s="1" t="s">
        <v>3757</v>
      </c>
      <c r="E343" s="1" t="s">
        <v>3758</v>
      </c>
      <c r="F343" s="1" t="s">
        <v>112</v>
      </c>
      <c r="G343" s="1">
        <v>4430322</v>
      </c>
    </row>
    <row r="344" spans="1:7" x14ac:dyDescent="0.25">
      <c r="A344" s="1" t="str">
        <f t="shared" si="5"/>
        <v>11 Estrone 5 µg_L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3759</v>
      </c>
      <c r="D344" s="1" t="s">
        <v>3760</v>
      </c>
      <c r="E344" s="1" t="s">
        <v>3761</v>
      </c>
      <c r="F344" s="1" t="s">
        <v>112</v>
      </c>
      <c r="G344" s="1">
        <v>3980139</v>
      </c>
    </row>
    <row r="345" spans="1:7" x14ac:dyDescent="0.25">
      <c r="A345" s="1" t="str">
        <f t="shared" si="5"/>
        <v>11 Estrone 5 µg_L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3762</v>
      </c>
      <c r="D345" s="1" t="s">
        <v>3763</v>
      </c>
      <c r="E345" s="1" t="s">
        <v>3764</v>
      </c>
      <c r="F345" s="1" t="s">
        <v>112</v>
      </c>
      <c r="G345" s="1">
        <v>3365850</v>
      </c>
    </row>
    <row r="346" spans="1:7" x14ac:dyDescent="0.25">
      <c r="A346" s="1" t="str">
        <f t="shared" si="5"/>
        <v>11 Estrone 5 µg_L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3765</v>
      </c>
      <c r="D346" s="1" t="s">
        <v>3766</v>
      </c>
      <c r="E346" s="1" t="s">
        <v>3767</v>
      </c>
      <c r="F346" s="1" t="s">
        <v>112</v>
      </c>
      <c r="G346" s="1">
        <v>3817849</v>
      </c>
    </row>
    <row r="347" spans="1:7" x14ac:dyDescent="0.25">
      <c r="A347" s="1" t="str">
        <f t="shared" si="5"/>
        <v>11 Estrone 5 µg_L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3768</v>
      </c>
    </row>
    <row r="348" spans="1:7" x14ac:dyDescent="0.25">
      <c r="A348" s="1" t="str">
        <f t="shared" si="5"/>
        <v>11 Estrone 5 µg_L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3769</v>
      </c>
    </row>
    <row r="349" spans="1:7" x14ac:dyDescent="0.25">
      <c r="A349" s="1" t="str">
        <f t="shared" si="5"/>
        <v>11 Estrone 5 µg_L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3770</v>
      </c>
    </row>
    <row r="350" spans="1:7" x14ac:dyDescent="0.25">
      <c r="A350" s="1" t="str">
        <f t="shared" si="5"/>
        <v>11 Estrone 5 µg_L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3771</v>
      </c>
      <c r="D350" s="1" t="s">
        <v>3480</v>
      </c>
      <c r="E350" s="1" t="s">
        <v>3772</v>
      </c>
      <c r="F350" s="1" t="s">
        <v>112</v>
      </c>
      <c r="G350" s="1">
        <v>2619272</v>
      </c>
    </row>
    <row r="351" spans="1:7" x14ac:dyDescent="0.25">
      <c r="A351" s="1" t="str">
        <f t="shared" si="5"/>
        <v>11 Estrone 5 µg_L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3773</v>
      </c>
      <c r="D351" s="1" t="s">
        <v>3774</v>
      </c>
      <c r="E351" s="1" t="s">
        <v>3775</v>
      </c>
      <c r="F351" s="1" t="s">
        <v>112</v>
      </c>
      <c r="G351" s="1">
        <v>2582653</v>
      </c>
    </row>
    <row r="352" spans="1:7" x14ac:dyDescent="0.25">
      <c r="A352" s="1" t="str">
        <f t="shared" si="5"/>
        <v>11 Estrone 5 µg_L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3776</v>
      </c>
      <c r="D352" s="1" t="s">
        <v>3777</v>
      </c>
      <c r="E352" s="1" t="s">
        <v>3778</v>
      </c>
      <c r="F352" s="1" t="s">
        <v>112</v>
      </c>
      <c r="G352" s="1">
        <v>2432563</v>
      </c>
    </row>
    <row r="353" spans="1:10" x14ac:dyDescent="0.25">
      <c r="A353" s="1" t="str">
        <f t="shared" si="5"/>
        <v>11 Estrone 5 µg_L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3779</v>
      </c>
      <c r="D353" s="1" t="s">
        <v>3780</v>
      </c>
      <c r="E353" s="1" t="s">
        <v>3781</v>
      </c>
      <c r="F353" s="1" t="s">
        <v>112</v>
      </c>
      <c r="G353" s="1">
        <v>5851708</v>
      </c>
    </row>
    <row r="354" spans="1:10" x14ac:dyDescent="0.25">
      <c r="A354" s="1" t="str">
        <f t="shared" si="5"/>
        <v>11 Estrone 5 µg_L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3782</v>
      </c>
      <c r="D354" s="1" t="s">
        <v>3783</v>
      </c>
      <c r="E354" s="1" t="s">
        <v>3784</v>
      </c>
      <c r="F354" s="1" t="s">
        <v>112</v>
      </c>
      <c r="G354" s="1">
        <v>5426832</v>
      </c>
    </row>
    <row r="355" spans="1:10" x14ac:dyDescent="0.25">
      <c r="A355" s="1" t="str">
        <f t="shared" si="5"/>
        <v>11 Estrone 5 µg_L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3785</v>
      </c>
      <c r="D355" s="1" t="s">
        <v>3786</v>
      </c>
      <c r="E355" s="1" t="s">
        <v>3787</v>
      </c>
      <c r="F355" s="1" t="s">
        <v>112</v>
      </c>
      <c r="G355" s="1">
        <v>4936310</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242</v>
      </c>
      <c r="D357" s="1" t="s">
        <v>112</v>
      </c>
      <c r="E357" s="1" t="s">
        <v>243</v>
      </c>
      <c r="F357" s="1" t="s">
        <v>244</v>
      </c>
      <c r="G357" s="1" t="s">
        <v>245</v>
      </c>
      <c r="H357" s="1" t="s">
        <v>246</v>
      </c>
      <c r="I357" s="1" t="s">
        <v>247</v>
      </c>
      <c r="J357" s="1" t="s">
        <v>248</v>
      </c>
    </row>
    <row r="358" spans="1:10" x14ac:dyDescent="0.25">
      <c r="A358" s="1" t="str">
        <f t="shared" si="5"/>
        <v>11 Estrone 5 µg_L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3788</v>
      </c>
      <c r="D358" s="1" t="s">
        <v>112</v>
      </c>
      <c r="E358" s="1" t="s">
        <v>3789</v>
      </c>
      <c r="F358" s="1" t="s">
        <v>3790</v>
      </c>
      <c r="G358" s="1" t="s">
        <v>3791</v>
      </c>
      <c r="H358" s="1" t="s">
        <v>3792</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254</v>
      </c>
      <c r="D364" s="1" t="s">
        <v>110</v>
      </c>
      <c r="E364" s="1" t="s">
        <v>111</v>
      </c>
      <c r="F364" s="1" t="s">
        <v>112</v>
      </c>
      <c r="G364" s="1" t="s">
        <v>113</v>
      </c>
    </row>
    <row r="365" spans="1:10" x14ac:dyDescent="0.25">
      <c r="A365" s="1" t="str">
        <f t="shared" si="5"/>
        <v>12 Estrone 25 µg_L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3793</v>
      </c>
      <c r="D365" s="1" t="s">
        <v>3794</v>
      </c>
      <c r="E365" s="1" t="s">
        <v>3795</v>
      </c>
      <c r="F365" s="1" t="s">
        <v>112</v>
      </c>
      <c r="G365" s="1">
        <v>5998121</v>
      </c>
    </row>
    <row r="366" spans="1:10" x14ac:dyDescent="0.25">
      <c r="A366" s="1" t="str">
        <f t="shared" si="5"/>
        <v>12 Estrone 25 µg_L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3796</v>
      </c>
      <c r="D366" s="1" t="s">
        <v>3797</v>
      </c>
      <c r="E366" s="1" t="s">
        <v>3798</v>
      </c>
      <c r="F366" s="1" t="s">
        <v>112</v>
      </c>
      <c r="G366" s="1">
        <v>6036514</v>
      </c>
    </row>
    <row r="367" spans="1:10" x14ac:dyDescent="0.25">
      <c r="A367" s="1" t="str">
        <f t="shared" si="5"/>
        <v>12 Estrone 25 µg_L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3799</v>
      </c>
      <c r="D367" s="1" t="s">
        <v>2377</v>
      </c>
      <c r="E367" s="1" t="s">
        <v>3800</v>
      </c>
      <c r="F367" s="1" t="s">
        <v>112</v>
      </c>
      <c r="G367" s="1">
        <v>5678518</v>
      </c>
    </row>
    <row r="368" spans="1:10" x14ac:dyDescent="0.25">
      <c r="A368" s="1" t="str">
        <f t="shared" si="5"/>
        <v>12 Estrone 25 µg_L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3801</v>
      </c>
      <c r="D368" s="1" t="s">
        <v>3802</v>
      </c>
      <c r="E368" s="1" t="s">
        <v>3803</v>
      </c>
      <c r="F368" s="1" t="s">
        <v>112</v>
      </c>
      <c r="G368" s="1">
        <v>8232489</v>
      </c>
    </row>
    <row r="369" spans="1:7" x14ac:dyDescent="0.25">
      <c r="A369" s="1" t="str">
        <f t="shared" si="5"/>
        <v>12 Estrone 25 µg_L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3804</v>
      </c>
      <c r="D369" s="1" t="s">
        <v>3805</v>
      </c>
      <c r="E369" s="1" t="s">
        <v>3806</v>
      </c>
      <c r="F369" s="1" t="s">
        <v>112</v>
      </c>
      <c r="G369" s="1">
        <v>8300775</v>
      </c>
    </row>
    <row r="370" spans="1:7" x14ac:dyDescent="0.25">
      <c r="A370" s="1" t="str">
        <f t="shared" si="5"/>
        <v>12 Estrone 25 µg_L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3807</v>
      </c>
      <c r="D370" s="1" t="s">
        <v>3808</v>
      </c>
      <c r="E370" s="1" t="s">
        <v>3809</v>
      </c>
      <c r="F370" s="1" t="s">
        <v>112</v>
      </c>
      <c r="G370" s="1">
        <v>7767079</v>
      </c>
    </row>
    <row r="371" spans="1:7" x14ac:dyDescent="0.25">
      <c r="A371" s="1" t="str">
        <f t="shared" si="5"/>
        <v>12 Estrone 25 µg_L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3810</v>
      </c>
      <c r="D371" s="1" t="s">
        <v>3811</v>
      </c>
      <c r="E371" s="1" t="s">
        <v>3812</v>
      </c>
      <c r="F371" s="1" t="s">
        <v>112</v>
      </c>
      <c r="G371" s="1">
        <v>3574037</v>
      </c>
    </row>
    <row r="372" spans="1:7" x14ac:dyDescent="0.25">
      <c r="A372" s="1" t="str">
        <f t="shared" si="5"/>
        <v>12 Estrone 25 µg_L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3813</v>
      </c>
      <c r="D372" s="1" t="s">
        <v>3814</v>
      </c>
      <c r="E372" s="1" t="s">
        <v>3815</v>
      </c>
      <c r="F372" s="1" t="s">
        <v>112</v>
      </c>
      <c r="G372" s="1">
        <v>2573914</v>
      </c>
    </row>
    <row r="373" spans="1:7" x14ac:dyDescent="0.25">
      <c r="A373" s="1" t="str">
        <f t="shared" si="5"/>
        <v>12 Estrone 25 µg_L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3816</v>
      </c>
      <c r="D373" s="1" t="s">
        <v>3817</v>
      </c>
      <c r="E373" s="1" t="s">
        <v>3818</v>
      </c>
      <c r="F373" s="1" t="s">
        <v>112</v>
      </c>
      <c r="G373" s="1">
        <v>3390508</v>
      </c>
    </row>
    <row r="374" spans="1:7" x14ac:dyDescent="0.25">
      <c r="A374" s="1" t="str">
        <f t="shared" si="5"/>
        <v>12 Estrone 25 µg_L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3819</v>
      </c>
      <c r="D374" s="1" t="s">
        <v>3820</v>
      </c>
      <c r="E374" s="1" t="s">
        <v>3821</v>
      </c>
      <c r="F374" s="1" t="s">
        <v>112</v>
      </c>
      <c r="G374" s="1">
        <v>6174470</v>
      </c>
    </row>
    <row r="375" spans="1:7" x14ac:dyDescent="0.25">
      <c r="A375" s="1" t="str">
        <f t="shared" si="5"/>
        <v>12 Estrone 25 µg_L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3822</v>
      </c>
      <c r="D375" s="1" t="s">
        <v>3823</v>
      </c>
      <c r="E375" s="1" t="s">
        <v>3824</v>
      </c>
      <c r="F375" s="1" t="s">
        <v>112</v>
      </c>
      <c r="G375" s="1">
        <v>6214161</v>
      </c>
    </row>
    <row r="376" spans="1:7" x14ac:dyDescent="0.25">
      <c r="A376" s="1" t="str">
        <f t="shared" si="5"/>
        <v>12 Estrone 25 µg_L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3825</v>
      </c>
      <c r="D376" s="1" t="s">
        <v>3826</v>
      </c>
      <c r="E376" s="1" t="s">
        <v>3827</v>
      </c>
      <c r="F376" s="1" t="s">
        <v>112</v>
      </c>
      <c r="G376" s="1">
        <v>6261552</v>
      </c>
    </row>
    <row r="377" spans="1:7" x14ac:dyDescent="0.25">
      <c r="A377" s="1" t="str">
        <f t="shared" si="5"/>
        <v>12 Estrone 25 µg_L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3828</v>
      </c>
      <c r="D377" s="1" t="s">
        <v>3829</v>
      </c>
      <c r="E377" s="1" t="s">
        <v>3830</v>
      </c>
      <c r="F377" s="1" t="s">
        <v>112</v>
      </c>
      <c r="G377" s="1">
        <v>5214319</v>
      </c>
    </row>
    <row r="378" spans="1:7" x14ac:dyDescent="0.25">
      <c r="A378" s="1" t="str">
        <f t="shared" si="5"/>
        <v>12 Estrone 25 µg_L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3831</v>
      </c>
      <c r="D378" s="1" t="s">
        <v>3832</v>
      </c>
      <c r="E378" s="1" t="s">
        <v>3833</v>
      </c>
      <c r="F378" s="1" t="s">
        <v>112</v>
      </c>
      <c r="G378" s="1">
        <v>5244233</v>
      </c>
    </row>
    <row r="379" spans="1:7" x14ac:dyDescent="0.25">
      <c r="A379" s="1" t="str">
        <f t="shared" si="5"/>
        <v>12 Estrone 25 µg_L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3834</v>
      </c>
      <c r="D379" s="1" t="s">
        <v>3835</v>
      </c>
      <c r="E379" s="1" t="s">
        <v>3836</v>
      </c>
      <c r="F379" s="1" t="s">
        <v>112</v>
      </c>
      <c r="G379" s="1">
        <v>5310637</v>
      </c>
    </row>
    <row r="380" spans="1:7" x14ac:dyDescent="0.25">
      <c r="A380" s="1" t="str">
        <f t="shared" si="5"/>
        <v>12 Estrone 25 µg_L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3837</v>
      </c>
      <c r="D380" s="1" t="s">
        <v>3838</v>
      </c>
      <c r="E380" s="1" t="s">
        <v>3839</v>
      </c>
      <c r="F380" s="1" t="s">
        <v>112</v>
      </c>
      <c r="G380" s="1">
        <v>8438882</v>
      </c>
    </row>
    <row r="381" spans="1:7" x14ac:dyDescent="0.25">
      <c r="A381" s="1" t="str">
        <f t="shared" si="5"/>
        <v>12 Estrone 25 µg_L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3840</v>
      </c>
      <c r="D381" s="1" t="s">
        <v>3841</v>
      </c>
      <c r="E381" s="1" t="s">
        <v>3842</v>
      </c>
      <c r="F381" s="1" t="s">
        <v>112</v>
      </c>
      <c r="G381" s="1">
        <v>8042427</v>
      </c>
    </row>
    <row r="382" spans="1:7" x14ac:dyDescent="0.25">
      <c r="A382" s="1" t="str">
        <f t="shared" si="5"/>
        <v>12 Estrone 25 µg_L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3843</v>
      </c>
      <c r="D382" s="1" t="s">
        <v>3844</v>
      </c>
      <c r="E382" s="1" t="s">
        <v>3845</v>
      </c>
      <c r="F382" s="1" t="s">
        <v>112</v>
      </c>
      <c r="G382" s="1">
        <v>7164730</v>
      </c>
    </row>
    <row r="383" spans="1:7" x14ac:dyDescent="0.25">
      <c r="A383" s="1" t="str">
        <f t="shared" si="5"/>
        <v>12 Estrone 25 µg_L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3846</v>
      </c>
      <c r="D383" s="1" t="s">
        <v>3847</v>
      </c>
      <c r="E383" s="1" t="s">
        <v>3848</v>
      </c>
      <c r="F383" s="1" t="s">
        <v>112</v>
      </c>
      <c r="G383" s="1">
        <v>6207282</v>
      </c>
    </row>
    <row r="384" spans="1:7" x14ac:dyDescent="0.25">
      <c r="A384" s="1" t="str">
        <f t="shared" si="5"/>
        <v>12 Estrone 25 µg_L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3849</v>
      </c>
      <c r="D384" s="1" t="s">
        <v>3850</v>
      </c>
      <c r="E384" s="1" t="s">
        <v>3851</v>
      </c>
      <c r="F384" s="1" t="s">
        <v>112</v>
      </c>
      <c r="G384" s="1">
        <v>6323110</v>
      </c>
    </row>
    <row r="385" spans="1:10" x14ac:dyDescent="0.25">
      <c r="A385" s="1" t="str">
        <f t="shared" si="5"/>
        <v>12 Estrone 25 µg_L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3852</v>
      </c>
      <c r="D385" s="1" t="s">
        <v>3853</v>
      </c>
      <c r="E385" s="1" t="s">
        <v>3854</v>
      </c>
      <c r="F385" s="1" t="s">
        <v>112</v>
      </c>
      <c r="G385" s="1">
        <v>6048346</v>
      </c>
    </row>
    <row r="386" spans="1:10" x14ac:dyDescent="0.25">
      <c r="A386" s="1" t="str">
        <f t="shared" ref="A386:A449" si="6">IFERROR(LEFT(RIGHT(C386,LEN(C386)-SEARCH("@",C386)),SEARCH("/",RIGHT(C386,LEN(C386)-SEARCH("@",C386)-1))),"")</f>
        <v>12 Estrone 25 µg_L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3855</v>
      </c>
      <c r="D386" s="1" t="s">
        <v>2177</v>
      </c>
      <c r="E386" s="1" t="s">
        <v>3856</v>
      </c>
      <c r="F386" s="1" t="s">
        <v>112</v>
      </c>
      <c r="G386" s="1">
        <v>8039464</v>
      </c>
    </row>
    <row r="387" spans="1:10" x14ac:dyDescent="0.25">
      <c r="A387" s="1" t="str">
        <f t="shared" si="6"/>
        <v>12 Estrone 25 µg_L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3857</v>
      </c>
      <c r="D387" s="1" t="s">
        <v>3858</v>
      </c>
      <c r="E387" s="1" t="s">
        <v>3859</v>
      </c>
      <c r="F387" s="1" t="s">
        <v>112</v>
      </c>
      <c r="G387" s="1">
        <v>7877846</v>
      </c>
    </row>
    <row r="388" spans="1:10" x14ac:dyDescent="0.25">
      <c r="A388" s="1" t="str">
        <f t="shared" si="6"/>
        <v>12 Estrone 25 µg_L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3860</v>
      </c>
      <c r="D388" s="1" t="s">
        <v>3861</v>
      </c>
      <c r="E388" s="1" t="s">
        <v>3862</v>
      </c>
      <c r="F388" s="1" t="s">
        <v>112</v>
      </c>
      <c r="G388" s="1">
        <v>8023653</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242</v>
      </c>
      <c r="D390" s="1" t="s">
        <v>112</v>
      </c>
      <c r="E390" s="1" t="s">
        <v>243</v>
      </c>
      <c r="F390" s="1" t="s">
        <v>244</v>
      </c>
      <c r="G390" s="1" t="s">
        <v>245</v>
      </c>
      <c r="H390" s="1" t="s">
        <v>246</v>
      </c>
      <c r="I390" s="1" t="s">
        <v>247</v>
      </c>
      <c r="J390" s="1" t="s">
        <v>248</v>
      </c>
    </row>
    <row r="391" spans="1:10" x14ac:dyDescent="0.25">
      <c r="A391" s="1" t="str">
        <f t="shared" si="6"/>
        <v>12 Estrone 25 µg_L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3863</v>
      </c>
      <c r="D391" s="1" t="s">
        <v>112</v>
      </c>
      <c r="E391" s="1" t="s">
        <v>3864</v>
      </c>
      <c r="F391" s="1" t="s">
        <v>3865</v>
      </c>
      <c r="G391" s="1" t="s">
        <v>3866</v>
      </c>
      <c r="H391" s="1" t="s">
        <v>3867</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254</v>
      </c>
      <c r="D397" s="1" t="s">
        <v>110</v>
      </c>
      <c r="E397" s="1" t="s">
        <v>111</v>
      </c>
      <c r="F397" s="1" t="s">
        <v>112</v>
      </c>
      <c r="G397" s="1" t="s">
        <v>113</v>
      </c>
    </row>
    <row r="398" spans="1:10" x14ac:dyDescent="0.2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3868</v>
      </c>
      <c r="D398" s="1" t="s">
        <v>3869</v>
      </c>
      <c r="E398" s="1" t="s">
        <v>3870</v>
      </c>
      <c r="F398" s="1" t="s">
        <v>112</v>
      </c>
      <c r="G398" s="1">
        <v>1367615</v>
      </c>
    </row>
    <row r="399" spans="1:10" x14ac:dyDescent="0.2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3871</v>
      </c>
      <c r="D399" s="1" t="s">
        <v>3872</v>
      </c>
      <c r="E399" s="1" t="s">
        <v>3873</v>
      </c>
      <c r="F399" s="1" t="s">
        <v>112</v>
      </c>
      <c r="G399" s="1">
        <v>1349532</v>
      </c>
    </row>
    <row r="400" spans="1:10" x14ac:dyDescent="0.2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3874</v>
      </c>
      <c r="D400" s="1" t="s">
        <v>3875</v>
      </c>
      <c r="E400" s="1" t="s">
        <v>3876</v>
      </c>
      <c r="F400" s="1" t="s">
        <v>112</v>
      </c>
      <c r="G400" s="1">
        <v>2975041</v>
      </c>
    </row>
    <row r="401" spans="1:7" x14ac:dyDescent="0.2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3877</v>
      </c>
      <c r="D401" s="1" t="s">
        <v>3727</v>
      </c>
      <c r="E401" s="1" t="s">
        <v>3878</v>
      </c>
      <c r="F401" s="1" t="s">
        <v>112</v>
      </c>
      <c r="G401" s="1">
        <v>3327694</v>
      </c>
    </row>
    <row r="402" spans="1:7" x14ac:dyDescent="0.2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3879</v>
      </c>
      <c r="D402" s="1" t="s">
        <v>2414</v>
      </c>
      <c r="E402" s="1" t="s">
        <v>3880</v>
      </c>
      <c r="F402" s="1" t="s">
        <v>112</v>
      </c>
      <c r="G402" s="1">
        <v>3217836</v>
      </c>
    </row>
    <row r="403" spans="1:7" x14ac:dyDescent="0.2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3881</v>
      </c>
      <c r="D403" s="1" t="s">
        <v>2638</v>
      </c>
      <c r="E403" s="1" t="s">
        <v>3882</v>
      </c>
      <c r="F403" s="1" t="s">
        <v>112</v>
      </c>
      <c r="G403" s="1">
        <v>3022042</v>
      </c>
    </row>
    <row r="404" spans="1:7" x14ac:dyDescent="0.2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3883</v>
      </c>
      <c r="D404" s="1" t="s">
        <v>1434</v>
      </c>
      <c r="E404" s="1" t="s">
        <v>3884</v>
      </c>
      <c r="F404" s="1" t="s">
        <v>112</v>
      </c>
      <c r="G404" s="1">
        <v>1922205</v>
      </c>
    </row>
    <row r="405" spans="1:7" x14ac:dyDescent="0.2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3885</v>
      </c>
      <c r="D405" s="1" t="s">
        <v>3886</v>
      </c>
      <c r="E405" s="1" t="s">
        <v>3887</v>
      </c>
      <c r="F405" s="1" t="s">
        <v>112</v>
      </c>
      <c r="G405" s="1">
        <v>1954456</v>
      </c>
    </row>
    <row r="406" spans="1:7" x14ac:dyDescent="0.2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3888</v>
      </c>
      <c r="D406" s="1" t="s">
        <v>3889</v>
      </c>
      <c r="E406" s="1" t="s">
        <v>3890</v>
      </c>
      <c r="F406" s="1" t="s">
        <v>112</v>
      </c>
      <c r="G406" s="1">
        <v>1722064</v>
      </c>
    </row>
    <row r="407" spans="1:7" x14ac:dyDescent="0.2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3891</v>
      </c>
      <c r="D407" s="1" t="s">
        <v>3892</v>
      </c>
      <c r="E407" s="1" t="s">
        <v>3893</v>
      </c>
      <c r="F407" s="1" t="s">
        <v>112</v>
      </c>
      <c r="G407" s="1">
        <v>1648522</v>
      </c>
    </row>
    <row r="408" spans="1:7" x14ac:dyDescent="0.2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3894</v>
      </c>
      <c r="D408" s="1" t="s">
        <v>3895</v>
      </c>
      <c r="E408" s="1" t="s">
        <v>3896</v>
      </c>
      <c r="F408" s="1" t="s">
        <v>112</v>
      </c>
      <c r="G408" s="1">
        <v>1294398</v>
      </c>
    </row>
    <row r="409" spans="1:7" x14ac:dyDescent="0.2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3897</v>
      </c>
      <c r="D409" s="1" t="s">
        <v>3898</v>
      </c>
      <c r="E409" s="1" t="s">
        <v>3899</v>
      </c>
      <c r="F409" s="1" t="s">
        <v>112</v>
      </c>
      <c r="G409" s="1">
        <v>1418791</v>
      </c>
    </row>
    <row r="410" spans="1:7" x14ac:dyDescent="0.2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3900</v>
      </c>
      <c r="D410" s="1" t="s">
        <v>161</v>
      </c>
      <c r="E410" s="1" t="s">
        <v>3901</v>
      </c>
      <c r="F410" s="1" t="s">
        <v>112</v>
      </c>
      <c r="G410" s="1">
        <v>1449549</v>
      </c>
    </row>
    <row r="411" spans="1:7" x14ac:dyDescent="0.2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3902</v>
      </c>
      <c r="D411" s="1" t="s">
        <v>3903</v>
      </c>
      <c r="E411" s="1" t="s">
        <v>3904</v>
      </c>
      <c r="F411" s="1" t="s">
        <v>112</v>
      </c>
      <c r="G411" s="1">
        <v>1511389</v>
      </c>
    </row>
    <row r="412" spans="1:7" x14ac:dyDescent="0.2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3905</v>
      </c>
      <c r="D412" s="1" t="s">
        <v>3906</v>
      </c>
      <c r="E412" s="1" t="s">
        <v>3907</v>
      </c>
      <c r="F412" s="1" t="s">
        <v>112</v>
      </c>
      <c r="G412" s="1">
        <v>1822102</v>
      </c>
    </row>
    <row r="413" spans="1:7" x14ac:dyDescent="0.2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3908</v>
      </c>
      <c r="D413" s="1" t="s">
        <v>3909</v>
      </c>
      <c r="E413" s="1" t="s">
        <v>3910</v>
      </c>
      <c r="F413" s="1" t="s">
        <v>112</v>
      </c>
      <c r="G413" s="1">
        <v>279199</v>
      </c>
    </row>
    <row r="414" spans="1:7" x14ac:dyDescent="0.2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3911</v>
      </c>
      <c r="D414" s="1" t="s">
        <v>3168</v>
      </c>
      <c r="E414" s="1">
        <v>63</v>
      </c>
      <c r="F414" s="1" t="s">
        <v>112</v>
      </c>
      <c r="G414" s="1">
        <v>96751</v>
      </c>
    </row>
    <row r="415" spans="1:7" x14ac:dyDescent="0.2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3912</v>
      </c>
      <c r="D415" s="1" t="s">
        <v>435</v>
      </c>
      <c r="E415" s="1" t="s">
        <v>3913</v>
      </c>
      <c r="F415" s="1" t="s">
        <v>112</v>
      </c>
      <c r="G415" s="1">
        <v>211346</v>
      </c>
    </row>
    <row r="416" spans="1:7" x14ac:dyDescent="0.2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3914</v>
      </c>
      <c r="D416" s="1" t="s">
        <v>3915</v>
      </c>
      <c r="E416" s="1" t="s">
        <v>3916</v>
      </c>
      <c r="F416" s="1" t="s">
        <v>112</v>
      </c>
      <c r="G416" s="1">
        <v>1760089</v>
      </c>
    </row>
    <row r="417" spans="1:10" x14ac:dyDescent="0.2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3917</v>
      </c>
      <c r="D417" s="1" t="s">
        <v>3918</v>
      </c>
      <c r="E417" s="1" t="s">
        <v>3919</v>
      </c>
      <c r="F417" s="1" t="s">
        <v>112</v>
      </c>
      <c r="G417" s="1">
        <v>1568535</v>
      </c>
    </row>
    <row r="418" spans="1:10" x14ac:dyDescent="0.2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3920</v>
      </c>
      <c r="D418" s="1" t="s">
        <v>3748</v>
      </c>
      <c r="E418" s="1" t="s">
        <v>3921</v>
      </c>
      <c r="F418" s="1" t="s">
        <v>112</v>
      </c>
      <c r="G418" s="1">
        <v>1437761</v>
      </c>
    </row>
    <row r="419" spans="1:10" x14ac:dyDescent="0.2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3922</v>
      </c>
      <c r="D419" s="1" t="s">
        <v>3923</v>
      </c>
      <c r="E419" s="1" t="s">
        <v>3924</v>
      </c>
      <c r="F419" s="1" t="s">
        <v>112</v>
      </c>
      <c r="G419" s="1">
        <v>2506645</v>
      </c>
    </row>
    <row r="420" spans="1:10" x14ac:dyDescent="0.2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3925</v>
      </c>
      <c r="D420" s="1" t="s">
        <v>3926</v>
      </c>
      <c r="E420" s="1" t="s">
        <v>3927</v>
      </c>
      <c r="F420" s="1" t="s">
        <v>112</v>
      </c>
      <c r="G420" s="1">
        <v>2146161</v>
      </c>
    </row>
    <row r="421" spans="1:10" x14ac:dyDescent="0.2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3928</v>
      </c>
      <c r="D421" s="1" t="s">
        <v>3929</v>
      </c>
      <c r="E421" s="1" t="s">
        <v>3930</v>
      </c>
      <c r="F421" s="1" t="s">
        <v>112</v>
      </c>
      <c r="G421" s="1">
        <v>2255674</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242</v>
      </c>
      <c r="D423" s="1" t="s">
        <v>112</v>
      </c>
      <c r="E423" s="1" t="s">
        <v>243</v>
      </c>
      <c r="F423" s="1" t="s">
        <v>244</v>
      </c>
      <c r="G423" s="1" t="s">
        <v>245</v>
      </c>
      <c r="H423" s="1" t="s">
        <v>246</v>
      </c>
      <c r="I423" s="1" t="s">
        <v>247</v>
      </c>
      <c r="J423" s="1" t="s">
        <v>248</v>
      </c>
    </row>
    <row r="424" spans="1:10" x14ac:dyDescent="0.2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3931</v>
      </c>
      <c r="D424" s="1" t="s">
        <v>112</v>
      </c>
      <c r="E424" s="1" t="s">
        <v>3932</v>
      </c>
      <c r="F424" s="1" t="s">
        <v>3933</v>
      </c>
      <c r="G424" s="1" t="s">
        <v>3934</v>
      </c>
      <c r="H424" s="1" t="s">
        <v>3935</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254</v>
      </c>
      <c r="D430" s="1" t="s">
        <v>110</v>
      </c>
      <c r="E430" s="1" t="s">
        <v>111</v>
      </c>
      <c r="F430" s="1" t="s">
        <v>112</v>
      </c>
      <c r="G430" s="1" t="s">
        <v>113</v>
      </c>
    </row>
    <row r="431" spans="1:10" x14ac:dyDescent="0.2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3936</v>
      </c>
    </row>
    <row r="432" spans="1:10" x14ac:dyDescent="0.2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3937</v>
      </c>
      <c r="D432" s="1" t="s">
        <v>1310</v>
      </c>
      <c r="E432" s="1" t="s">
        <v>3938</v>
      </c>
      <c r="F432" s="1" t="s">
        <v>112</v>
      </c>
      <c r="G432" s="1">
        <v>190278</v>
      </c>
    </row>
    <row r="433" spans="1:7" x14ac:dyDescent="0.2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3939</v>
      </c>
      <c r="D433" s="1" t="s">
        <v>3940</v>
      </c>
      <c r="E433" s="1" t="s">
        <v>3941</v>
      </c>
      <c r="F433" s="1" t="s">
        <v>112</v>
      </c>
      <c r="G433" s="1">
        <v>1338653</v>
      </c>
    </row>
    <row r="434" spans="1:7" x14ac:dyDescent="0.2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3942</v>
      </c>
      <c r="D434" s="1" t="s">
        <v>3943</v>
      </c>
      <c r="E434" s="1" t="s">
        <v>3944</v>
      </c>
      <c r="F434" s="1" t="s">
        <v>112</v>
      </c>
      <c r="G434" s="1">
        <v>2123450</v>
      </c>
    </row>
    <row r="435" spans="1:7" x14ac:dyDescent="0.2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3945</v>
      </c>
      <c r="D435" s="1" t="s">
        <v>3946</v>
      </c>
      <c r="E435" s="1" t="s">
        <v>3947</v>
      </c>
      <c r="F435" s="1" t="s">
        <v>112</v>
      </c>
      <c r="G435" s="1">
        <v>1909336</v>
      </c>
    </row>
    <row r="436" spans="1:7" x14ac:dyDescent="0.2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3948</v>
      </c>
      <c r="D436" s="1" t="s">
        <v>3949</v>
      </c>
      <c r="E436" s="1" t="s">
        <v>3950</v>
      </c>
      <c r="F436" s="1" t="s">
        <v>112</v>
      </c>
      <c r="G436" s="1">
        <v>2078157</v>
      </c>
    </row>
    <row r="437" spans="1:7" x14ac:dyDescent="0.2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3951</v>
      </c>
      <c r="D437" s="1" t="s">
        <v>438</v>
      </c>
      <c r="E437" s="1" t="s">
        <v>3952</v>
      </c>
      <c r="F437" s="1" t="s">
        <v>112</v>
      </c>
      <c r="G437" s="1">
        <v>75596</v>
      </c>
    </row>
    <row r="438" spans="1:7" x14ac:dyDescent="0.2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3953</v>
      </c>
      <c r="D438" s="1" t="s">
        <v>325</v>
      </c>
      <c r="E438" s="1" t="s">
        <v>3954</v>
      </c>
      <c r="F438" s="1" t="s">
        <v>112</v>
      </c>
      <c r="G438" s="1">
        <v>63549</v>
      </c>
    </row>
    <row r="439" spans="1:7" x14ac:dyDescent="0.2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3955</v>
      </c>
      <c r="D439" s="1" t="s">
        <v>1094</v>
      </c>
      <c r="E439" s="1" t="s">
        <v>3956</v>
      </c>
      <c r="F439" s="1" t="s">
        <v>112</v>
      </c>
      <c r="G439" s="1">
        <v>31666</v>
      </c>
    </row>
    <row r="440" spans="1:7" x14ac:dyDescent="0.2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3957</v>
      </c>
      <c r="D440" s="1" t="s">
        <v>2929</v>
      </c>
      <c r="E440" s="1" t="s">
        <v>3958</v>
      </c>
      <c r="F440" s="1" t="s">
        <v>112</v>
      </c>
      <c r="G440" s="1">
        <v>2439290</v>
      </c>
    </row>
    <row r="441" spans="1:7" x14ac:dyDescent="0.2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3959</v>
      </c>
      <c r="D441" s="1" t="s">
        <v>3960</v>
      </c>
      <c r="E441" s="1" t="s">
        <v>3961</v>
      </c>
      <c r="F441" s="1" t="s">
        <v>112</v>
      </c>
      <c r="G441" s="1">
        <v>2191952</v>
      </c>
    </row>
    <row r="442" spans="1:7" x14ac:dyDescent="0.2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3962</v>
      </c>
      <c r="D442" s="1" t="s">
        <v>3963</v>
      </c>
      <c r="E442" s="1" t="s">
        <v>3964</v>
      </c>
      <c r="F442" s="1" t="s">
        <v>112</v>
      </c>
      <c r="G442" s="1">
        <v>2254852</v>
      </c>
    </row>
    <row r="443" spans="1:7" x14ac:dyDescent="0.2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3965</v>
      </c>
      <c r="D443" s="1" t="s">
        <v>1607</v>
      </c>
      <c r="E443" s="1" t="s">
        <v>3966</v>
      </c>
      <c r="F443" s="1" t="s">
        <v>112</v>
      </c>
      <c r="G443" s="1">
        <v>2832543</v>
      </c>
    </row>
    <row r="444" spans="1:7" x14ac:dyDescent="0.2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3967</v>
      </c>
      <c r="D444" s="1" t="s">
        <v>3968</v>
      </c>
      <c r="E444" s="1" t="s">
        <v>3969</v>
      </c>
      <c r="F444" s="1" t="s">
        <v>112</v>
      </c>
      <c r="G444" s="1">
        <v>3032922</v>
      </c>
    </row>
    <row r="445" spans="1:7" x14ac:dyDescent="0.2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3970</v>
      </c>
      <c r="D445" s="1" t="s">
        <v>3971</v>
      </c>
      <c r="E445" s="1" t="s">
        <v>3972</v>
      </c>
      <c r="F445" s="1" t="s">
        <v>112</v>
      </c>
      <c r="G445" s="1">
        <v>2971472</v>
      </c>
    </row>
    <row r="446" spans="1:7" x14ac:dyDescent="0.2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3973</v>
      </c>
      <c r="D446" s="1" t="s">
        <v>3974</v>
      </c>
      <c r="E446" s="1" t="s">
        <v>3975</v>
      </c>
      <c r="F446" s="1" t="s">
        <v>112</v>
      </c>
      <c r="G446" s="1">
        <v>3011573</v>
      </c>
    </row>
    <row r="447" spans="1:7" x14ac:dyDescent="0.2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3976</v>
      </c>
      <c r="D447" s="1" t="s">
        <v>3977</v>
      </c>
      <c r="E447" s="1" t="s">
        <v>3978</v>
      </c>
      <c r="F447" s="1" t="s">
        <v>112</v>
      </c>
      <c r="G447" s="1">
        <v>3218572</v>
      </c>
    </row>
    <row r="448" spans="1:7" x14ac:dyDescent="0.2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3979</v>
      </c>
      <c r="D448" s="1" t="s">
        <v>3980</v>
      </c>
      <c r="E448" s="1" t="s">
        <v>3981</v>
      </c>
      <c r="F448" s="1" t="s">
        <v>112</v>
      </c>
      <c r="G448" s="1">
        <v>3530215</v>
      </c>
    </row>
    <row r="449" spans="1:10" x14ac:dyDescent="0.2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3982</v>
      </c>
      <c r="D449" s="1" t="s">
        <v>3983</v>
      </c>
      <c r="E449" s="1" t="s">
        <v>3984</v>
      </c>
      <c r="F449" s="1" t="s">
        <v>112</v>
      </c>
      <c r="G449" s="1">
        <v>339438</v>
      </c>
    </row>
    <row r="450" spans="1:10" x14ac:dyDescent="0.2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3985</v>
      </c>
      <c r="D450" s="1" t="s">
        <v>1803</v>
      </c>
      <c r="E450" s="1" t="s">
        <v>3986</v>
      </c>
      <c r="F450" s="1" t="s">
        <v>112</v>
      </c>
      <c r="G450" s="1">
        <v>251621</v>
      </c>
    </row>
    <row r="451" spans="1:10" x14ac:dyDescent="0.2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3987</v>
      </c>
      <c r="D451" s="1" t="s">
        <v>187</v>
      </c>
      <c r="E451" s="1" t="s">
        <v>3988</v>
      </c>
      <c r="F451" s="1" t="s">
        <v>112</v>
      </c>
      <c r="G451" s="1">
        <v>180891</v>
      </c>
    </row>
    <row r="452" spans="1:10" x14ac:dyDescent="0.2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3989</v>
      </c>
      <c r="D452" s="1" t="s">
        <v>3990</v>
      </c>
      <c r="E452" s="1" t="s">
        <v>3991</v>
      </c>
      <c r="F452" s="1" t="s">
        <v>112</v>
      </c>
      <c r="G452" s="1">
        <v>3759600</v>
      </c>
    </row>
    <row r="453" spans="1:10" x14ac:dyDescent="0.2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3992</v>
      </c>
      <c r="D453" s="1" t="s">
        <v>3993</v>
      </c>
      <c r="E453" s="1" t="s">
        <v>3994</v>
      </c>
      <c r="F453" s="1" t="s">
        <v>112</v>
      </c>
      <c r="G453" s="1">
        <v>3288220</v>
      </c>
    </row>
    <row r="454" spans="1:10" x14ac:dyDescent="0.2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3995</v>
      </c>
      <c r="D454" s="1" t="s">
        <v>2073</v>
      </c>
      <c r="E454" s="1" t="s">
        <v>3996</v>
      </c>
      <c r="F454" s="1" t="s">
        <v>112</v>
      </c>
      <c r="G454" s="1">
        <v>3394682</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242</v>
      </c>
      <c r="D456" s="1" t="s">
        <v>112</v>
      </c>
      <c r="E456" s="1" t="s">
        <v>243</v>
      </c>
      <c r="F456" s="1" t="s">
        <v>244</v>
      </c>
      <c r="G456" s="1" t="s">
        <v>245</v>
      </c>
      <c r="H456" s="1" t="s">
        <v>246</v>
      </c>
      <c r="I456" s="1" t="s">
        <v>247</v>
      </c>
      <c r="J456" s="1" t="s">
        <v>248</v>
      </c>
    </row>
    <row r="457" spans="1:10" x14ac:dyDescent="0.2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3997</v>
      </c>
      <c r="D457" s="1" t="s">
        <v>112</v>
      </c>
      <c r="E457" s="1" t="s">
        <v>3998</v>
      </c>
      <c r="F457" s="1" t="s">
        <v>3999</v>
      </c>
      <c r="G457" s="1" t="s">
        <v>4000</v>
      </c>
      <c r="H457" s="1" t="s">
        <v>4001</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254</v>
      </c>
      <c r="D463" s="1" t="s">
        <v>110</v>
      </c>
      <c r="E463" s="1" t="s">
        <v>111</v>
      </c>
      <c r="F463" s="1" t="s">
        <v>112</v>
      </c>
      <c r="G463" s="1" t="s">
        <v>113</v>
      </c>
    </row>
    <row r="464" spans="1:10" x14ac:dyDescent="0.25">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4002</v>
      </c>
      <c r="D464" s="1" t="s">
        <v>4003</v>
      </c>
      <c r="E464" s="1" t="s">
        <v>4004</v>
      </c>
      <c r="F464" s="1" t="s">
        <v>112</v>
      </c>
      <c r="G464" s="1">
        <v>2194980</v>
      </c>
    </row>
    <row r="465" spans="1:7" x14ac:dyDescent="0.25">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4005</v>
      </c>
      <c r="D465" s="1" t="s">
        <v>4006</v>
      </c>
      <c r="E465" s="1" t="s">
        <v>4007</v>
      </c>
      <c r="F465" s="1" t="s">
        <v>112</v>
      </c>
      <c r="G465" s="1">
        <v>2639691</v>
      </c>
    </row>
    <row r="466" spans="1:7" x14ac:dyDescent="0.25">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4008</v>
      </c>
      <c r="D466" s="1" t="s">
        <v>4009</v>
      </c>
      <c r="E466" s="1" t="s">
        <v>4010</v>
      </c>
      <c r="F466" s="1" t="s">
        <v>112</v>
      </c>
      <c r="G466" s="1">
        <v>1536501</v>
      </c>
    </row>
    <row r="467" spans="1:7" x14ac:dyDescent="0.25">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4011</v>
      </c>
      <c r="D467" s="1" t="s">
        <v>4012</v>
      </c>
      <c r="E467" s="1" t="s">
        <v>4013</v>
      </c>
      <c r="F467" s="1" t="s">
        <v>112</v>
      </c>
      <c r="G467" s="1">
        <v>2762916</v>
      </c>
    </row>
    <row r="468" spans="1:7" x14ac:dyDescent="0.25">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4014</v>
      </c>
      <c r="D468" s="1" t="s">
        <v>2394</v>
      </c>
      <c r="E468" s="1" t="s">
        <v>4015</v>
      </c>
      <c r="F468" s="1" t="s">
        <v>112</v>
      </c>
      <c r="G468" s="1">
        <v>2663505</v>
      </c>
    </row>
    <row r="469" spans="1:7" x14ac:dyDescent="0.25">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4016</v>
      </c>
      <c r="D469" s="1" t="s">
        <v>1589</v>
      </c>
      <c r="E469" s="1" t="s">
        <v>4017</v>
      </c>
      <c r="F469" s="1" t="s">
        <v>112</v>
      </c>
      <c r="G469" s="1">
        <v>2439052</v>
      </c>
    </row>
    <row r="470" spans="1:7" x14ac:dyDescent="0.25">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4018</v>
      </c>
      <c r="D470" s="1" t="s">
        <v>4019</v>
      </c>
      <c r="E470" s="1" t="s">
        <v>4020</v>
      </c>
      <c r="F470" s="1" t="s">
        <v>112</v>
      </c>
      <c r="G470" s="1">
        <v>3468116</v>
      </c>
    </row>
    <row r="471" spans="1:7" x14ac:dyDescent="0.25">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4021</v>
      </c>
      <c r="D471" s="1" t="s">
        <v>2165</v>
      </c>
      <c r="E471" s="1" t="s">
        <v>4022</v>
      </c>
      <c r="F471" s="1" t="s">
        <v>112</v>
      </c>
      <c r="G471" s="1">
        <v>3587015</v>
      </c>
    </row>
    <row r="472" spans="1:7" x14ac:dyDescent="0.25">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4023</v>
      </c>
      <c r="D472" s="1" t="s">
        <v>2168</v>
      </c>
      <c r="E472" s="1" t="s">
        <v>4024</v>
      </c>
      <c r="F472" s="1" t="s">
        <v>112</v>
      </c>
      <c r="G472" s="1">
        <v>3511743</v>
      </c>
    </row>
    <row r="473" spans="1:7" x14ac:dyDescent="0.25">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4025</v>
      </c>
      <c r="D473" s="1" t="s">
        <v>2095</v>
      </c>
      <c r="E473" s="1" t="s">
        <v>4026</v>
      </c>
      <c r="F473" s="1" t="s">
        <v>112</v>
      </c>
      <c r="G473" s="1">
        <v>1990210</v>
      </c>
    </row>
    <row r="474" spans="1:7" x14ac:dyDescent="0.25">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4027</v>
      </c>
    </row>
    <row r="475" spans="1:7" x14ac:dyDescent="0.25">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4028</v>
      </c>
      <c r="D475" s="1" t="s">
        <v>4029</v>
      </c>
      <c r="E475" s="1" t="s">
        <v>4030</v>
      </c>
      <c r="F475" s="1" t="s">
        <v>112</v>
      </c>
      <c r="G475" s="1">
        <v>2165217</v>
      </c>
    </row>
    <row r="476" spans="1:7" x14ac:dyDescent="0.25">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4031</v>
      </c>
      <c r="D476" s="1" t="s">
        <v>4032</v>
      </c>
      <c r="E476" s="1" t="s">
        <v>4033</v>
      </c>
      <c r="F476" s="1" t="s">
        <v>112</v>
      </c>
      <c r="G476" s="1">
        <v>5012252</v>
      </c>
    </row>
    <row r="477" spans="1:7" x14ac:dyDescent="0.25">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4034</v>
      </c>
      <c r="D477" s="1" t="s">
        <v>4035</v>
      </c>
      <c r="E477" s="1" t="s">
        <v>4036</v>
      </c>
      <c r="F477" s="1" t="s">
        <v>112</v>
      </c>
      <c r="G477" s="1">
        <v>4993802</v>
      </c>
    </row>
    <row r="478" spans="1:7" x14ac:dyDescent="0.25">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4037</v>
      </c>
      <c r="D478" s="1" t="s">
        <v>4038</v>
      </c>
      <c r="E478" s="1" t="s">
        <v>4036</v>
      </c>
      <c r="F478" s="1" t="s">
        <v>112</v>
      </c>
      <c r="G478" s="1">
        <v>4738028</v>
      </c>
    </row>
    <row r="479" spans="1:7" x14ac:dyDescent="0.25">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4039</v>
      </c>
      <c r="D479" s="1" t="s">
        <v>4040</v>
      </c>
      <c r="E479" s="1" t="s">
        <v>4041</v>
      </c>
      <c r="F479" s="1" t="s">
        <v>112</v>
      </c>
      <c r="G479" s="1">
        <v>3304486</v>
      </c>
    </row>
    <row r="480" spans="1:7" x14ac:dyDescent="0.25">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4042</v>
      </c>
      <c r="D480" s="1" t="s">
        <v>2411</v>
      </c>
      <c r="E480" s="1" t="s">
        <v>4043</v>
      </c>
      <c r="F480" s="1" t="s">
        <v>112</v>
      </c>
      <c r="G480" s="1">
        <v>3159500</v>
      </c>
    </row>
    <row r="481" spans="1:10" x14ac:dyDescent="0.25">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4044</v>
      </c>
      <c r="D481" s="1" t="s">
        <v>4045</v>
      </c>
      <c r="E481" s="1" t="s">
        <v>4046</v>
      </c>
      <c r="F481" s="1" t="s">
        <v>112</v>
      </c>
      <c r="G481" s="1">
        <v>3430328</v>
      </c>
    </row>
    <row r="482" spans="1:10" x14ac:dyDescent="0.25">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4047</v>
      </c>
      <c r="D482" s="1" t="s">
        <v>597</v>
      </c>
      <c r="E482" s="1" t="s">
        <v>4048</v>
      </c>
      <c r="F482" s="1" t="s">
        <v>112</v>
      </c>
      <c r="G482" s="1">
        <v>3645697</v>
      </c>
    </row>
    <row r="483" spans="1:10" x14ac:dyDescent="0.25">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4049</v>
      </c>
      <c r="D483" s="1" t="s">
        <v>4050</v>
      </c>
      <c r="E483" s="1" t="s">
        <v>4051</v>
      </c>
      <c r="F483" s="1" t="s">
        <v>112</v>
      </c>
      <c r="G483" s="1">
        <v>4280448</v>
      </c>
    </row>
    <row r="484" spans="1:10" x14ac:dyDescent="0.25">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4052</v>
      </c>
      <c r="D484" s="1" t="s">
        <v>4053</v>
      </c>
      <c r="E484" s="1" t="s">
        <v>4054</v>
      </c>
      <c r="F484" s="1" t="s">
        <v>112</v>
      </c>
      <c r="G484" s="1">
        <v>3679115</v>
      </c>
    </row>
    <row r="485" spans="1:10" x14ac:dyDescent="0.25">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4055</v>
      </c>
      <c r="D485" s="1" t="s">
        <v>4056</v>
      </c>
      <c r="E485" s="1" t="s">
        <v>4057</v>
      </c>
      <c r="F485" s="1" t="s">
        <v>112</v>
      </c>
      <c r="G485" s="1">
        <v>3187619</v>
      </c>
    </row>
    <row r="486" spans="1:10" x14ac:dyDescent="0.25">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4058</v>
      </c>
      <c r="D486" s="1" t="s">
        <v>4059</v>
      </c>
      <c r="E486" s="1" t="s">
        <v>4060</v>
      </c>
      <c r="F486" s="1" t="s">
        <v>112</v>
      </c>
      <c r="G486" s="1">
        <v>2793955</v>
      </c>
    </row>
    <row r="487" spans="1:10" x14ac:dyDescent="0.25">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4061</v>
      </c>
      <c r="D487" s="1" t="s">
        <v>4062</v>
      </c>
      <c r="E487" s="1" t="s">
        <v>4063</v>
      </c>
      <c r="F487" s="1" t="s">
        <v>112</v>
      </c>
      <c r="G487" s="1">
        <v>3244181</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242</v>
      </c>
      <c r="D489" s="1" t="s">
        <v>112</v>
      </c>
      <c r="E489" s="1" t="s">
        <v>243</v>
      </c>
      <c r="F489" s="1" t="s">
        <v>244</v>
      </c>
      <c r="G489" s="1" t="s">
        <v>245</v>
      </c>
      <c r="H489" s="1" t="s">
        <v>246</v>
      </c>
      <c r="I489" s="1" t="s">
        <v>247</v>
      </c>
      <c r="J489" s="1" t="s">
        <v>248</v>
      </c>
    </row>
    <row r="490" spans="1:10" x14ac:dyDescent="0.25">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4064</v>
      </c>
      <c r="D490" s="1" t="s">
        <v>112</v>
      </c>
      <c r="E490" s="1" t="s">
        <v>4065</v>
      </c>
      <c r="F490" s="1" t="s">
        <v>4066</v>
      </c>
      <c r="G490" s="1" t="s">
        <v>4067</v>
      </c>
      <c r="H490" s="1" t="s">
        <v>4068</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254</v>
      </c>
      <c r="D496" s="1" t="s">
        <v>110</v>
      </c>
      <c r="E496" s="1" t="s">
        <v>111</v>
      </c>
      <c r="F496" s="1" t="s">
        <v>112</v>
      </c>
      <c r="G496" s="1" t="s">
        <v>113</v>
      </c>
    </row>
    <row r="497" spans="1:7" x14ac:dyDescent="0.2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4069</v>
      </c>
      <c r="D497" s="1" t="s">
        <v>294</v>
      </c>
      <c r="E497" s="1" t="s">
        <v>844</v>
      </c>
      <c r="F497" s="1" t="s">
        <v>112</v>
      </c>
      <c r="G497" s="1">
        <v>25869</v>
      </c>
    </row>
    <row r="498" spans="1:7" x14ac:dyDescent="0.2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4070</v>
      </c>
      <c r="D498" s="1" t="s">
        <v>294</v>
      </c>
      <c r="E498" s="1" t="s">
        <v>4071</v>
      </c>
      <c r="F498" s="1" t="s">
        <v>112</v>
      </c>
      <c r="G498" s="1">
        <v>26626</v>
      </c>
    </row>
    <row r="499" spans="1:7" x14ac:dyDescent="0.2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4072</v>
      </c>
      <c r="D499" s="1" t="s">
        <v>1331</v>
      </c>
      <c r="E499" s="1" t="s">
        <v>4073</v>
      </c>
      <c r="F499" s="1" t="s">
        <v>112</v>
      </c>
      <c r="G499" s="1">
        <v>280432</v>
      </c>
    </row>
    <row r="500" spans="1:7" x14ac:dyDescent="0.2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4074</v>
      </c>
      <c r="D500" s="1" t="s">
        <v>1766</v>
      </c>
      <c r="E500" s="1" t="s">
        <v>4075</v>
      </c>
      <c r="F500" s="1" t="s">
        <v>112</v>
      </c>
      <c r="G500" s="1">
        <v>182924</v>
      </c>
    </row>
    <row r="501" spans="1:7" x14ac:dyDescent="0.2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4076</v>
      </c>
      <c r="D501" s="1" t="s">
        <v>1261</v>
      </c>
      <c r="E501" s="1" t="s">
        <v>4077</v>
      </c>
      <c r="F501" s="1" t="s">
        <v>112</v>
      </c>
      <c r="G501" s="1">
        <v>151409</v>
      </c>
    </row>
    <row r="502" spans="1:7" x14ac:dyDescent="0.2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4078</v>
      </c>
      <c r="D502" s="1" t="s">
        <v>4079</v>
      </c>
      <c r="E502" s="1" t="s">
        <v>4080</v>
      </c>
      <c r="F502" s="1" t="s">
        <v>112</v>
      </c>
      <c r="G502" s="1">
        <v>259018</v>
      </c>
    </row>
    <row r="503" spans="1:7" x14ac:dyDescent="0.2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4081</v>
      </c>
      <c r="D503" s="1" t="s">
        <v>267</v>
      </c>
      <c r="E503" s="1" t="s">
        <v>2711</v>
      </c>
      <c r="F503" s="1" t="s">
        <v>112</v>
      </c>
      <c r="G503" s="1">
        <v>30066</v>
      </c>
    </row>
    <row r="504" spans="1:7" x14ac:dyDescent="0.2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4082</v>
      </c>
      <c r="D504" s="1" t="s">
        <v>300</v>
      </c>
      <c r="E504" s="1" t="s">
        <v>4083</v>
      </c>
      <c r="F504" s="1" t="s">
        <v>112</v>
      </c>
      <c r="G504" s="1">
        <v>17910</v>
      </c>
    </row>
    <row r="505" spans="1:7" x14ac:dyDescent="0.2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4084</v>
      </c>
      <c r="D505" s="1" t="s">
        <v>360</v>
      </c>
      <c r="E505" s="1" t="s">
        <v>4085</v>
      </c>
      <c r="F505" s="1" t="s">
        <v>112</v>
      </c>
      <c r="G505" s="1">
        <v>184568</v>
      </c>
    </row>
    <row r="506" spans="1:7" x14ac:dyDescent="0.2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4086</v>
      </c>
      <c r="D506" s="1" t="s">
        <v>461</v>
      </c>
      <c r="E506" s="1" t="s">
        <v>4087</v>
      </c>
      <c r="F506" s="1" t="s">
        <v>112</v>
      </c>
      <c r="G506" s="1">
        <v>64587</v>
      </c>
    </row>
    <row r="507" spans="1:7" x14ac:dyDescent="0.2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4088</v>
      </c>
      <c r="D507" s="1" t="s">
        <v>328</v>
      </c>
      <c r="E507" s="1" t="s">
        <v>4089</v>
      </c>
      <c r="F507" s="1" t="s">
        <v>112</v>
      </c>
      <c r="G507" s="1">
        <v>45553</v>
      </c>
    </row>
    <row r="508" spans="1:7" x14ac:dyDescent="0.2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4090</v>
      </c>
      <c r="D508" s="1" t="s">
        <v>1296</v>
      </c>
      <c r="E508" s="1" t="s">
        <v>4091</v>
      </c>
      <c r="F508" s="1" t="s">
        <v>112</v>
      </c>
      <c r="G508" s="1">
        <v>21176</v>
      </c>
    </row>
    <row r="509" spans="1:7" x14ac:dyDescent="0.2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4092</v>
      </c>
      <c r="D509" s="1" t="s">
        <v>1285</v>
      </c>
      <c r="E509" s="1" t="s">
        <v>4093</v>
      </c>
      <c r="F509" s="1" t="s">
        <v>112</v>
      </c>
      <c r="G509" s="1">
        <v>87471</v>
      </c>
    </row>
    <row r="510" spans="1:7" x14ac:dyDescent="0.2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4094</v>
      </c>
      <c r="D510" s="1" t="s">
        <v>4095</v>
      </c>
      <c r="E510" s="1" t="s">
        <v>4096</v>
      </c>
      <c r="F510" s="1" t="s">
        <v>112</v>
      </c>
      <c r="G510" s="1">
        <v>163522</v>
      </c>
    </row>
    <row r="511" spans="1:7" x14ac:dyDescent="0.2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4097</v>
      </c>
      <c r="D511" s="1" t="s">
        <v>175</v>
      </c>
      <c r="E511" s="1" t="s">
        <v>4098</v>
      </c>
      <c r="F511" s="1" t="s">
        <v>112</v>
      </c>
      <c r="G511" s="1">
        <v>104754</v>
      </c>
    </row>
    <row r="512" spans="1:7" x14ac:dyDescent="0.2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4099</v>
      </c>
      <c r="D512" s="1" t="s">
        <v>713</v>
      </c>
      <c r="E512" s="1" t="s">
        <v>846</v>
      </c>
      <c r="F512" s="1" t="s">
        <v>112</v>
      </c>
      <c r="G512" s="1">
        <v>21933</v>
      </c>
    </row>
    <row r="513" spans="1:10" x14ac:dyDescent="0.2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4100</v>
      </c>
      <c r="D513" s="1" t="s">
        <v>4101</v>
      </c>
      <c r="E513" s="1" t="s">
        <v>334</v>
      </c>
      <c r="F513" s="1" t="s">
        <v>112</v>
      </c>
      <c r="G513" s="1">
        <v>5581</v>
      </c>
    </row>
    <row r="514" spans="1:10" x14ac:dyDescent="0.2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4102</v>
      </c>
    </row>
    <row r="515" spans="1:10" x14ac:dyDescent="0.2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4103</v>
      </c>
      <c r="D515" s="1" t="s">
        <v>305</v>
      </c>
      <c r="E515" s="1" t="s">
        <v>4104</v>
      </c>
      <c r="F515" s="1" t="s">
        <v>112</v>
      </c>
      <c r="G515" s="1">
        <v>118251</v>
      </c>
    </row>
    <row r="516" spans="1:10" x14ac:dyDescent="0.2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4105</v>
      </c>
      <c r="D516" s="1" t="s">
        <v>1269</v>
      </c>
      <c r="E516" s="1" t="s">
        <v>4106</v>
      </c>
      <c r="F516" s="1" t="s">
        <v>112</v>
      </c>
      <c r="G516" s="1">
        <v>45163</v>
      </c>
    </row>
    <row r="517" spans="1:10" x14ac:dyDescent="0.2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4107</v>
      </c>
      <c r="D517" s="1" t="s">
        <v>2212</v>
      </c>
      <c r="E517" s="1" t="s">
        <v>4108</v>
      </c>
      <c r="F517" s="1" t="s">
        <v>112</v>
      </c>
      <c r="G517" s="1">
        <v>61797</v>
      </c>
    </row>
    <row r="518" spans="1:10" x14ac:dyDescent="0.2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4109</v>
      </c>
    </row>
    <row r="519" spans="1:10" x14ac:dyDescent="0.2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4110</v>
      </c>
    </row>
    <row r="520" spans="1:10" x14ac:dyDescent="0.2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4111</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242</v>
      </c>
      <c r="D522" s="1" t="s">
        <v>112</v>
      </c>
      <c r="E522" s="1" t="s">
        <v>243</v>
      </c>
      <c r="F522" s="1" t="s">
        <v>244</v>
      </c>
      <c r="G522" s="1" t="s">
        <v>245</v>
      </c>
      <c r="H522" s="1" t="s">
        <v>246</v>
      </c>
      <c r="I522" s="1" t="s">
        <v>247</v>
      </c>
      <c r="J522" s="1" t="s">
        <v>248</v>
      </c>
    </row>
    <row r="523" spans="1:10" x14ac:dyDescent="0.2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4112</v>
      </c>
      <c r="D523" s="1" t="s">
        <v>112</v>
      </c>
      <c r="E523" s="1" t="s">
        <v>4113</v>
      </c>
      <c r="F523" s="1" t="s">
        <v>4114</v>
      </c>
      <c r="G523" s="1" t="s">
        <v>4115</v>
      </c>
      <c r="H523" s="1" t="s">
        <v>4116</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254</v>
      </c>
      <c r="D529" s="1" t="s">
        <v>110</v>
      </c>
      <c r="E529" s="1" t="s">
        <v>111</v>
      </c>
      <c r="F529" s="1" t="s">
        <v>112</v>
      </c>
      <c r="G529" s="1" t="s">
        <v>113</v>
      </c>
    </row>
    <row r="530" spans="1:7" x14ac:dyDescent="0.25">
      <c r="A530" s="1" t="str">
        <f t="shared" si="8"/>
        <v>05 Estrone 0.04 µg_LL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4117</v>
      </c>
      <c r="D530" s="1" t="s">
        <v>4118</v>
      </c>
      <c r="E530" s="1" t="s">
        <v>4119</v>
      </c>
      <c r="F530" s="1" t="s">
        <v>112</v>
      </c>
      <c r="G530" s="1">
        <v>1358314</v>
      </c>
    </row>
    <row r="531" spans="1:7" x14ac:dyDescent="0.25">
      <c r="A531" s="1" t="str">
        <f t="shared" si="8"/>
        <v>05 Estrone 0.04 µg_LL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4120</v>
      </c>
      <c r="D531" s="1" t="s">
        <v>4121</v>
      </c>
      <c r="E531" s="1" t="s">
        <v>4122</v>
      </c>
      <c r="F531" s="1" t="s">
        <v>112</v>
      </c>
      <c r="G531" s="1">
        <v>1416499</v>
      </c>
    </row>
    <row r="532" spans="1:7" x14ac:dyDescent="0.25">
      <c r="A532" s="1" t="str">
        <f t="shared" si="8"/>
        <v>05 Estrone 0.04 µg_LL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4123</v>
      </c>
      <c r="D532" s="1" t="s">
        <v>4124</v>
      </c>
      <c r="E532" s="1" t="s">
        <v>4125</v>
      </c>
      <c r="F532" s="1" t="s">
        <v>112</v>
      </c>
      <c r="G532" s="1">
        <v>1219061</v>
      </c>
    </row>
    <row r="533" spans="1:7" x14ac:dyDescent="0.25">
      <c r="A533" s="1" t="str">
        <f t="shared" si="8"/>
        <v>05 Estrone 0.04 µg_LL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4126</v>
      </c>
      <c r="D533" s="1" t="s">
        <v>4127</v>
      </c>
      <c r="E533" s="1" t="s">
        <v>4128</v>
      </c>
      <c r="F533" s="1" t="s">
        <v>112</v>
      </c>
      <c r="G533" s="1">
        <v>563221</v>
      </c>
    </row>
    <row r="534" spans="1:7" x14ac:dyDescent="0.25">
      <c r="A534" s="1" t="str">
        <f t="shared" si="8"/>
        <v>05 Estrone 0.04 µg_LL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4129</v>
      </c>
      <c r="D534" s="1" t="s">
        <v>4130</v>
      </c>
      <c r="E534" s="1" t="s">
        <v>4131</v>
      </c>
      <c r="F534" s="1" t="s">
        <v>112</v>
      </c>
      <c r="G534" s="1">
        <v>505101</v>
      </c>
    </row>
    <row r="535" spans="1:7" x14ac:dyDescent="0.25">
      <c r="A535" s="1" t="str">
        <f t="shared" si="8"/>
        <v>05 Estrone 0.04 µg_LL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4132</v>
      </c>
      <c r="D535" s="1" t="s">
        <v>4127</v>
      </c>
      <c r="E535" s="1" t="s">
        <v>4133</v>
      </c>
      <c r="F535" s="1" t="s">
        <v>112</v>
      </c>
      <c r="G535" s="1">
        <v>560560</v>
      </c>
    </row>
    <row r="536" spans="1:7" x14ac:dyDescent="0.25">
      <c r="A536" s="1" t="str">
        <f t="shared" si="8"/>
        <v>05 Estrone 0.04 µg_LL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4134</v>
      </c>
      <c r="D536" s="1" t="s">
        <v>4029</v>
      </c>
      <c r="E536" s="1" t="s">
        <v>4135</v>
      </c>
      <c r="F536" s="1" t="s">
        <v>112</v>
      </c>
      <c r="G536" s="1">
        <v>2038920</v>
      </c>
    </row>
    <row r="537" spans="1:7" x14ac:dyDescent="0.25">
      <c r="A537" s="1" t="str">
        <f t="shared" si="8"/>
        <v>05 Estrone 0.04 µg_LL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4136</v>
      </c>
      <c r="D537" s="1" t="s">
        <v>4137</v>
      </c>
      <c r="E537" s="1" t="s">
        <v>4138</v>
      </c>
      <c r="F537" s="1" t="s">
        <v>112</v>
      </c>
      <c r="G537" s="1">
        <v>2303670</v>
      </c>
    </row>
    <row r="538" spans="1:7" x14ac:dyDescent="0.25">
      <c r="A538" s="1" t="str">
        <f t="shared" si="8"/>
        <v>05 Estrone 0.04 µg_LL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4139</v>
      </c>
      <c r="D538" s="1" t="s">
        <v>4140</v>
      </c>
      <c r="E538" s="1" t="s">
        <v>4141</v>
      </c>
      <c r="F538" s="1" t="s">
        <v>112</v>
      </c>
      <c r="G538" s="1">
        <v>2611031</v>
      </c>
    </row>
    <row r="539" spans="1:7" x14ac:dyDescent="0.25">
      <c r="A539" s="1" t="str">
        <f t="shared" si="8"/>
        <v>05 Estrone 0.04 µg_LL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4142</v>
      </c>
      <c r="D539" s="1" t="s">
        <v>1195</v>
      </c>
      <c r="E539" s="1" t="s">
        <v>4143</v>
      </c>
      <c r="F539" s="1" t="s">
        <v>112</v>
      </c>
      <c r="G539" s="1">
        <v>1387688</v>
      </c>
    </row>
    <row r="540" spans="1:7" x14ac:dyDescent="0.25">
      <c r="A540" s="1" t="str">
        <f t="shared" si="8"/>
        <v>05 Estrone 0.04 µg_LL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4144</v>
      </c>
      <c r="D540" s="1" t="s">
        <v>4145</v>
      </c>
      <c r="E540" s="1" t="s">
        <v>4146</v>
      </c>
      <c r="F540" s="1" t="s">
        <v>112</v>
      </c>
      <c r="G540" s="1">
        <v>1507820</v>
      </c>
    </row>
    <row r="541" spans="1:7" x14ac:dyDescent="0.25">
      <c r="A541" s="1" t="str">
        <f t="shared" si="8"/>
        <v>05 Estrone 0.04 µg_LL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4147</v>
      </c>
      <c r="D541" s="1" t="s">
        <v>4148</v>
      </c>
      <c r="E541" s="1" t="s">
        <v>4149</v>
      </c>
      <c r="F541" s="1" t="s">
        <v>112</v>
      </c>
      <c r="G541" s="1">
        <v>1264743</v>
      </c>
    </row>
    <row r="542" spans="1:7" x14ac:dyDescent="0.25">
      <c r="A542" s="1" t="str">
        <f t="shared" si="8"/>
        <v>05 Estrone 0.04 µg_LL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4150</v>
      </c>
      <c r="D542" s="1" t="s">
        <v>4151</v>
      </c>
      <c r="E542" s="1" t="s">
        <v>4152</v>
      </c>
      <c r="F542" s="1" t="s">
        <v>112</v>
      </c>
      <c r="G542" s="1">
        <v>1629813</v>
      </c>
    </row>
    <row r="543" spans="1:7" x14ac:dyDescent="0.25">
      <c r="A543" s="1" t="str">
        <f t="shared" si="8"/>
        <v>05 Estrone 0.04 µg_LL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4153</v>
      </c>
      <c r="D543" s="1" t="s">
        <v>4154</v>
      </c>
      <c r="E543" s="1" t="s">
        <v>4155</v>
      </c>
      <c r="F543" s="1" t="s">
        <v>112</v>
      </c>
      <c r="G543" s="1">
        <v>2447661</v>
      </c>
    </row>
    <row r="544" spans="1:7" x14ac:dyDescent="0.25">
      <c r="A544" s="1" t="str">
        <f t="shared" si="8"/>
        <v>05 Estrone 0.04 µg_LL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4156</v>
      </c>
      <c r="D544" s="1" t="s">
        <v>4157</v>
      </c>
      <c r="E544" s="1" t="s">
        <v>4158</v>
      </c>
      <c r="F544" s="1" t="s">
        <v>112</v>
      </c>
      <c r="G544" s="1">
        <v>2301421</v>
      </c>
    </row>
    <row r="545" spans="1:10" x14ac:dyDescent="0.25">
      <c r="A545" s="1" t="str">
        <f t="shared" si="8"/>
        <v>05 Estrone 0.04 µg_LL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4159</v>
      </c>
      <c r="D545" s="1" t="s">
        <v>4160</v>
      </c>
      <c r="E545" s="1" t="s">
        <v>4161</v>
      </c>
      <c r="F545" s="1" t="s">
        <v>112</v>
      </c>
      <c r="G545" s="1">
        <v>3588075</v>
      </c>
    </row>
    <row r="546" spans="1:10" x14ac:dyDescent="0.25">
      <c r="A546" s="1" t="str">
        <f t="shared" si="8"/>
        <v>05 Estrone 0.04 µg_LL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4162</v>
      </c>
      <c r="D546" s="1" t="s">
        <v>4163</v>
      </c>
      <c r="E546" s="1" t="s">
        <v>4164</v>
      </c>
      <c r="F546" s="1" t="s">
        <v>112</v>
      </c>
      <c r="G546" s="1">
        <v>3445902</v>
      </c>
    </row>
    <row r="547" spans="1:10" x14ac:dyDescent="0.25">
      <c r="A547" s="1" t="str">
        <f t="shared" si="8"/>
        <v>05 Estrone 0.04 µg_LL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4165</v>
      </c>
      <c r="D547" s="1" t="s">
        <v>4166</v>
      </c>
      <c r="E547" s="1" t="s">
        <v>4167</v>
      </c>
      <c r="F547" s="1" t="s">
        <v>112</v>
      </c>
      <c r="G547" s="1">
        <v>3371344</v>
      </c>
    </row>
    <row r="548" spans="1:10" x14ac:dyDescent="0.25">
      <c r="A548" s="1" t="str">
        <f t="shared" si="8"/>
        <v>05 Estrone 0.04 µg_LL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4168</v>
      </c>
      <c r="D548" s="1" t="s">
        <v>4169</v>
      </c>
      <c r="E548" s="1" t="s">
        <v>4170</v>
      </c>
      <c r="F548" s="1" t="s">
        <v>112</v>
      </c>
      <c r="G548" s="1">
        <v>813241</v>
      </c>
    </row>
    <row r="549" spans="1:10" x14ac:dyDescent="0.25">
      <c r="A549" s="1" t="str">
        <f t="shared" si="8"/>
        <v>05 Estrone 0.04 µg_LL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4171</v>
      </c>
      <c r="D549" s="1" t="s">
        <v>1116</v>
      </c>
      <c r="E549" s="1" t="s">
        <v>4172</v>
      </c>
      <c r="F549" s="1" t="s">
        <v>112</v>
      </c>
      <c r="G549" s="1">
        <v>681169</v>
      </c>
    </row>
    <row r="550" spans="1:10" x14ac:dyDescent="0.25">
      <c r="A550" s="1" t="str">
        <f t="shared" si="8"/>
        <v>05 Estrone 0.04 µg_LL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4173</v>
      </c>
      <c r="D550" s="1" t="s">
        <v>4174</v>
      </c>
      <c r="E550" s="1" t="s">
        <v>4175</v>
      </c>
      <c r="F550" s="1" t="s">
        <v>112</v>
      </c>
      <c r="G550" s="1">
        <v>821590</v>
      </c>
    </row>
    <row r="551" spans="1:10" x14ac:dyDescent="0.25">
      <c r="A551" s="1" t="str">
        <f t="shared" si="8"/>
        <v>05 Estrone 0.04 µg_LL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4176</v>
      </c>
      <c r="D551" s="1" t="s">
        <v>4177</v>
      </c>
      <c r="E551" s="1" t="s">
        <v>4178</v>
      </c>
      <c r="F551" s="1" t="s">
        <v>112</v>
      </c>
      <c r="G551" s="1">
        <v>1576214</v>
      </c>
    </row>
    <row r="552" spans="1:10" x14ac:dyDescent="0.25">
      <c r="A552" s="1" t="str">
        <f t="shared" si="8"/>
        <v>05 Estrone 0.04 µg_LL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4179</v>
      </c>
      <c r="D552" s="1" t="s">
        <v>4180</v>
      </c>
      <c r="E552" s="1" t="s">
        <v>4181</v>
      </c>
      <c r="F552" s="1" t="s">
        <v>112</v>
      </c>
      <c r="G552" s="1">
        <v>1477365</v>
      </c>
    </row>
    <row r="553" spans="1:10" x14ac:dyDescent="0.25">
      <c r="A553" s="1" t="str">
        <f t="shared" si="8"/>
        <v>05 Estrone 0.04 µg_LL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4182</v>
      </c>
      <c r="D553" s="1" t="s">
        <v>4183</v>
      </c>
      <c r="E553" s="1" t="s">
        <v>4184</v>
      </c>
      <c r="F553" s="1" t="s">
        <v>112</v>
      </c>
      <c r="G553" s="1">
        <v>1266776</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242</v>
      </c>
      <c r="D555" s="1" t="s">
        <v>112</v>
      </c>
      <c r="E555" s="1" t="s">
        <v>243</v>
      </c>
      <c r="F555" s="1" t="s">
        <v>244</v>
      </c>
      <c r="G555" s="1" t="s">
        <v>245</v>
      </c>
      <c r="H555" s="1" t="s">
        <v>246</v>
      </c>
      <c r="I555" s="1" t="s">
        <v>247</v>
      </c>
      <c r="J555" s="1" t="s">
        <v>248</v>
      </c>
    </row>
    <row r="556" spans="1:10" x14ac:dyDescent="0.25">
      <c r="A556" s="1" t="str">
        <f t="shared" si="8"/>
        <v>05 Estrone 0.04 µg_LL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4185</v>
      </c>
      <c r="D556" s="1" t="s">
        <v>112</v>
      </c>
      <c r="E556" s="1" t="s">
        <v>4186</v>
      </c>
      <c r="F556" s="1" t="s">
        <v>4187</v>
      </c>
      <c r="G556" s="1" t="s">
        <v>4188</v>
      </c>
      <c r="H556" s="1" t="s">
        <v>4189</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254</v>
      </c>
      <c r="D562" s="1" t="s">
        <v>110</v>
      </c>
      <c r="E562" s="1" t="s">
        <v>111</v>
      </c>
      <c r="F562" s="1" t="s">
        <v>112</v>
      </c>
      <c r="G562" s="1" t="s">
        <v>113</v>
      </c>
    </row>
    <row r="563" spans="1:7" x14ac:dyDescent="0.25">
      <c r="A563" s="1" t="str">
        <f t="shared" si="8"/>
        <v>06 Estrone 0.2 µg_LL 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4190</v>
      </c>
      <c r="D563" s="1" t="s">
        <v>4191</v>
      </c>
      <c r="E563" s="1" t="s">
        <v>4192</v>
      </c>
      <c r="F563" s="1" t="s">
        <v>112</v>
      </c>
      <c r="G563" s="1">
        <v>1562782</v>
      </c>
    </row>
    <row r="564" spans="1:7" x14ac:dyDescent="0.25">
      <c r="A564" s="1" t="str">
        <f t="shared" si="8"/>
        <v>06 Estrone 0.2 µg_LL 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4193</v>
      </c>
      <c r="D564" s="1" t="s">
        <v>4194</v>
      </c>
      <c r="E564" s="1" t="s">
        <v>4195</v>
      </c>
      <c r="F564" s="1" t="s">
        <v>112</v>
      </c>
      <c r="G564" s="1">
        <v>1757018</v>
      </c>
    </row>
    <row r="565" spans="1:7" x14ac:dyDescent="0.25">
      <c r="A565" s="1" t="str">
        <f t="shared" si="8"/>
        <v>06 Estrone 0.2 µg_LL 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4196</v>
      </c>
      <c r="D565" s="1" t="s">
        <v>4197</v>
      </c>
      <c r="E565" s="1" t="s">
        <v>4198</v>
      </c>
      <c r="F565" s="1" t="s">
        <v>112</v>
      </c>
      <c r="G565" s="1">
        <v>1545067</v>
      </c>
    </row>
    <row r="566" spans="1:7" x14ac:dyDescent="0.25">
      <c r="A566" s="1" t="str">
        <f t="shared" si="8"/>
        <v>06 Estrone 0.2 µg_LL 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4199</v>
      </c>
      <c r="D566" s="1" t="s">
        <v>4200</v>
      </c>
      <c r="E566" s="1" t="s">
        <v>4201</v>
      </c>
      <c r="F566" s="1" t="s">
        <v>112</v>
      </c>
      <c r="G566" s="1">
        <v>2335812</v>
      </c>
    </row>
    <row r="567" spans="1:7" x14ac:dyDescent="0.25">
      <c r="A567" s="1" t="str">
        <f t="shared" si="8"/>
        <v>06 Estrone 0.2 µg_LL 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4202</v>
      </c>
      <c r="D567" s="1" t="s">
        <v>3480</v>
      </c>
      <c r="E567" s="1" t="s">
        <v>4203</v>
      </c>
      <c r="F567" s="1" t="s">
        <v>112</v>
      </c>
      <c r="G567" s="1">
        <v>2459817</v>
      </c>
    </row>
    <row r="568" spans="1:7" x14ac:dyDescent="0.25">
      <c r="A568" s="1" t="str">
        <f t="shared" si="8"/>
        <v>06 Estrone 0.2 µg_LL 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4204</v>
      </c>
      <c r="D568" s="1" t="s">
        <v>4205</v>
      </c>
      <c r="E568" s="1" t="s">
        <v>4206</v>
      </c>
      <c r="F568" s="1" t="s">
        <v>112</v>
      </c>
      <c r="G568" s="1">
        <v>2453825</v>
      </c>
    </row>
    <row r="569" spans="1:7" x14ac:dyDescent="0.25">
      <c r="A569" s="1" t="str">
        <f t="shared" si="8"/>
        <v>06 Estrone 0.2 µg_LL 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4207</v>
      </c>
      <c r="D569" s="1" t="s">
        <v>4208</v>
      </c>
      <c r="E569" s="1" t="s">
        <v>4209</v>
      </c>
      <c r="F569" s="1" t="s">
        <v>112</v>
      </c>
      <c r="G569" s="1">
        <v>3388864</v>
      </c>
    </row>
    <row r="570" spans="1:7" x14ac:dyDescent="0.25">
      <c r="A570" s="1" t="str">
        <f t="shared" si="8"/>
        <v>06 Estrone 0.2 µg_LL 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4210</v>
      </c>
      <c r="D570" s="1" t="s">
        <v>4019</v>
      </c>
      <c r="E570" s="1" t="s">
        <v>4211</v>
      </c>
      <c r="F570" s="1" t="s">
        <v>112</v>
      </c>
      <c r="G570" s="1">
        <v>3174403</v>
      </c>
    </row>
    <row r="571" spans="1:7" x14ac:dyDescent="0.25">
      <c r="A571" s="1" t="str">
        <f t="shared" si="8"/>
        <v>06 Estrone 0.2 µg_LL 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4212</v>
      </c>
      <c r="D571" s="1" t="s">
        <v>4213</v>
      </c>
      <c r="E571" s="1" t="s">
        <v>4214</v>
      </c>
      <c r="F571" s="1" t="s">
        <v>112</v>
      </c>
      <c r="G571" s="1">
        <v>3154915</v>
      </c>
    </row>
    <row r="572" spans="1:7" x14ac:dyDescent="0.25">
      <c r="A572" s="1" t="str">
        <f t="shared" si="8"/>
        <v>06 Estrone 0.2 µg_LL 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4215</v>
      </c>
      <c r="D572" s="1" t="s">
        <v>3370</v>
      </c>
      <c r="E572" s="1" t="s">
        <v>4216</v>
      </c>
      <c r="F572" s="1" t="s">
        <v>112</v>
      </c>
      <c r="G572" s="1">
        <v>2953432</v>
      </c>
    </row>
    <row r="573" spans="1:7" x14ac:dyDescent="0.25">
      <c r="A573" s="1" t="str">
        <f t="shared" si="8"/>
        <v>06 Estrone 0.2 µg_LL 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4217</v>
      </c>
      <c r="D573" s="1" t="s">
        <v>4218</v>
      </c>
      <c r="E573" s="1" t="s">
        <v>4219</v>
      </c>
      <c r="F573" s="1" t="s">
        <v>112</v>
      </c>
      <c r="G573" s="1">
        <v>2943288</v>
      </c>
    </row>
    <row r="574" spans="1:7" x14ac:dyDescent="0.25">
      <c r="A574" s="1" t="str">
        <f t="shared" si="8"/>
        <v>06 Estrone 0.2 µg_LL 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4220</v>
      </c>
      <c r="D574" s="1" t="s">
        <v>4221</v>
      </c>
      <c r="E574" s="1" t="s">
        <v>4222</v>
      </c>
      <c r="F574" s="1" t="s">
        <v>112</v>
      </c>
      <c r="G574" s="1">
        <v>2708993</v>
      </c>
    </row>
    <row r="575" spans="1:7" x14ac:dyDescent="0.25">
      <c r="A575" s="1" t="str">
        <f t="shared" si="8"/>
        <v>06 Estrone 0.2 µg_LL 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4223</v>
      </c>
      <c r="D575" s="1" t="s">
        <v>4224</v>
      </c>
      <c r="E575" s="1" t="s">
        <v>4225</v>
      </c>
      <c r="F575" s="1" t="s">
        <v>112</v>
      </c>
      <c r="G575" s="1">
        <v>1349381</v>
      </c>
    </row>
    <row r="576" spans="1:7" x14ac:dyDescent="0.25">
      <c r="A576" s="1" t="str">
        <f t="shared" si="8"/>
        <v>06 Estrone 0.2 µg_LL 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4226</v>
      </c>
      <c r="D576" s="1" t="s">
        <v>4227</v>
      </c>
      <c r="E576" s="1" t="s">
        <v>4228</v>
      </c>
      <c r="F576" s="1" t="s">
        <v>112</v>
      </c>
      <c r="G576" s="1">
        <v>679352</v>
      </c>
    </row>
    <row r="577" spans="1:10" x14ac:dyDescent="0.25">
      <c r="A577" s="1" t="str">
        <f t="shared" si="8"/>
        <v>06 Estrone 0.2 µg_LL 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4229</v>
      </c>
      <c r="D577" s="1" t="s">
        <v>3124</v>
      </c>
      <c r="E577" s="1" t="s">
        <v>4230</v>
      </c>
      <c r="F577" s="1" t="s">
        <v>112</v>
      </c>
      <c r="G577" s="1">
        <v>428726</v>
      </c>
    </row>
    <row r="578" spans="1:10" x14ac:dyDescent="0.25">
      <c r="A578" s="1" t="str">
        <f t="shared" ref="A578:A641" si="9">IFERROR(LEFT(RIGHT(C578,LEN(C578)-SEARCH("@",C578)),SEARCH("/",RIGHT(C578,LEN(C578)-SEARCH("@",C578)-1))),"")</f>
        <v>06 Estrone 0.2 µg_LL 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4231</v>
      </c>
      <c r="D578" s="1" t="s">
        <v>4232</v>
      </c>
      <c r="E578" s="1" t="s">
        <v>4233</v>
      </c>
      <c r="F578" s="1" t="s">
        <v>112</v>
      </c>
      <c r="G578" s="1">
        <v>896927</v>
      </c>
    </row>
    <row r="579" spans="1:10" x14ac:dyDescent="0.25">
      <c r="A579" s="1" t="str">
        <f t="shared" si="9"/>
        <v>06 Estrone 0.2 µg_LL 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4234</v>
      </c>
      <c r="D579" s="1" t="s">
        <v>3356</v>
      </c>
      <c r="E579" s="1" t="s">
        <v>4235</v>
      </c>
      <c r="F579" s="1" t="s">
        <v>112</v>
      </c>
      <c r="G579" s="1">
        <v>887280</v>
      </c>
    </row>
    <row r="580" spans="1:10" x14ac:dyDescent="0.25">
      <c r="A580" s="1" t="str">
        <f t="shared" si="9"/>
        <v>06 Estrone 0.2 µg_LL 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4236</v>
      </c>
      <c r="D580" s="1" t="s">
        <v>4237</v>
      </c>
      <c r="E580" s="1" t="s">
        <v>4238</v>
      </c>
      <c r="F580" s="1" t="s">
        <v>112</v>
      </c>
      <c r="G580" s="1">
        <v>939019</v>
      </c>
    </row>
    <row r="581" spans="1:10" x14ac:dyDescent="0.25">
      <c r="A581" s="1" t="str">
        <f t="shared" si="9"/>
        <v>06 Estrone 0.2 µg_LL 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4239</v>
      </c>
      <c r="D581" s="1" t="s">
        <v>1459</v>
      </c>
      <c r="E581" s="1" t="s">
        <v>4240</v>
      </c>
      <c r="F581" s="1" t="s">
        <v>112</v>
      </c>
      <c r="G581" s="1">
        <v>795548</v>
      </c>
    </row>
    <row r="582" spans="1:10" x14ac:dyDescent="0.25">
      <c r="A582" s="1" t="str">
        <f t="shared" si="9"/>
        <v>06 Estrone 0.2 µg_LL 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4241</v>
      </c>
      <c r="D582" s="1" t="s">
        <v>4242</v>
      </c>
      <c r="E582" s="1" t="s">
        <v>4243</v>
      </c>
      <c r="F582" s="1" t="s">
        <v>112</v>
      </c>
      <c r="G582" s="1">
        <v>1001248</v>
      </c>
    </row>
    <row r="583" spans="1:10" x14ac:dyDescent="0.25">
      <c r="A583" s="1" t="str">
        <f t="shared" si="9"/>
        <v>06 Estrone 0.2 µg_LL 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4244</v>
      </c>
      <c r="D583" s="1" t="s">
        <v>2763</v>
      </c>
      <c r="E583" s="1" t="s">
        <v>4245</v>
      </c>
      <c r="F583" s="1" t="s">
        <v>112</v>
      </c>
      <c r="G583" s="1">
        <v>753391</v>
      </c>
    </row>
    <row r="584" spans="1:10" x14ac:dyDescent="0.25">
      <c r="A584" s="1" t="str">
        <f t="shared" si="9"/>
        <v>06 Estrone 0.2 µg_LL 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4246</v>
      </c>
      <c r="D584" s="1" t="s">
        <v>4247</v>
      </c>
      <c r="E584" s="1" t="s">
        <v>4248</v>
      </c>
      <c r="F584" s="1" t="s">
        <v>112</v>
      </c>
      <c r="G584" s="1">
        <v>1628450</v>
      </c>
    </row>
    <row r="585" spans="1:10" x14ac:dyDescent="0.25">
      <c r="A585" s="1" t="str">
        <f t="shared" si="9"/>
        <v>06 Estrone 0.2 µg_LL 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4249</v>
      </c>
      <c r="D585" s="1" t="s">
        <v>4250</v>
      </c>
      <c r="E585" s="1" t="s">
        <v>4251</v>
      </c>
      <c r="F585" s="1" t="s">
        <v>112</v>
      </c>
      <c r="G585" s="1">
        <v>1574851</v>
      </c>
    </row>
    <row r="586" spans="1:10" x14ac:dyDescent="0.25">
      <c r="A586" s="1" t="str">
        <f t="shared" si="9"/>
        <v>06 Estrone 0.2 µg_LL 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4252</v>
      </c>
      <c r="D586" s="1" t="s">
        <v>4253</v>
      </c>
      <c r="E586" s="1" t="s">
        <v>4254</v>
      </c>
      <c r="F586" s="1" t="s">
        <v>112</v>
      </c>
      <c r="G586" s="1">
        <v>1555254</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242</v>
      </c>
      <c r="D588" s="1" t="s">
        <v>112</v>
      </c>
      <c r="E588" s="1" t="s">
        <v>243</v>
      </c>
      <c r="F588" s="1" t="s">
        <v>244</v>
      </c>
      <c r="G588" s="1" t="s">
        <v>245</v>
      </c>
      <c r="H588" s="1" t="s">
        <v>246</v>
      </c>
      <c r="I588" s="1" t="s">
        <v>247</v>
      </c>
      <c r="J588" s="1" t="s">
        <v>248</v>
      </c>
    </row>
    <row r="589" spans="1:10" x14ac:dyDescent="0.25">
      <c r="A589" s="1" t="str">
        <f t="shared" si="9"/>
        <v>06 Estrone 0.2 µg_LL 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4255</v>
      </c>
      <c r="D589" s="1" t="s">
        <v>112</v>
      </c>
      <c r="E589" s="1" t="s">
        <v>4256</v>
      </c>
      <c r="F589" s="1" t="s">
        <v>4257</v>
      </c>
      <c r="G589" s="1" t="s">
        <v>4258</v>
      </c>
      <c r="H589" s="1" t="s">
        <v>4259</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254</v>
      </c>
      <c r="D595" s="1" t="s">
        <v>110</v>
      </c>
      <c r="E595" s="1" t="s">
        <v>111</v>
      </c>
      <c r="F595" s="1" t="s">
        <v>112</v>
      </c>
      <c r="G595" s="1" t="s">
        <v>113</v>
      </c>
    </row>
    <row r="596" spans="1:7" x14ac:dyDescent="0.25">
      <c r="A596" s="1" t="str">
        <f t="shared" si="9"/>
        <v>07 Estrone 1 µg_LL 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4260</v>
      </c>
      <c r="D596" s="1" t="s">
        <v>797</v>
      </c>
      <c r="E596" s="1" t="s">
        <v>4261</v>
      </c>
      <c r="F596" s="1" t="s">
        <v>112</v>
      </c>
      <c r="G596" s="1">
        <v>361436</v>
      </c>
    </row>
    <row r="597" spans="1:7" x14ac:dyDescent="0.25">
      <c r="A597" s="1" t="str">
        <f t="shared" si="9"/>
        <v>07 Estrone 1 µg_LL 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4262</v>
      </c>
      <c r="D597" s="1" t="s">
        <v>1952</v>
      </c>
      <c r="E597" s="1" t="s">
        <v>4263</v>
      </c>
      <c r="F597" s="1" t="s">
        <v>112</v>
      </c>
      <c r="G597" s="1">
        <v>403592</v>
      </c>
    </row>
    <row r="598" spans="1:7" x14ac:dyDescent="0.25">
      <c r="A598" s="1" t="str">
        <f t="shared" si="9"/>
        <v>07 Estrone 1 µg_LL 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4264</v>
      </c>
      <c r="D598" s="1" t="s">
        <v>455</v>
      </c>
      <c r="E598" s="1" t="s">
        <v>4265</v>
      </c>
      <c r="F598" s="1" t="s">
        <v>112</v>
      </c>
      <c r="G598" s="1">
        <v>400153</v>
      </c>
    </row>
    <row r="599" spans="1:7" x14ac:dyDescent="0.25">
      <c r="A599" s="1" t="str">
        <f t="shared" si="9"/>
        <v>07 Estrone 1 µg_LL 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4266</v>
      </c>
      <c r="D599" s="1" t="s">
        <v>4267</v>
      </c>
      <c r="E599" s="1" t="s">
        <v>4268</v>
      </c>
      <c r="F599" s="1" t="s">
        <v>112</v>
      </c>
      <c r="G599" s="1">
        <v>2663116</v>
      </c>
    </row>
    <row r="600" spans="1:7" x14ac:dyDescent="0.25">
      <c r="A600" s="1" t="str">
        <f t="shared" si="9"/>
        <v>07 Estrone 1 µg_LL 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4269</v>
      </c>
      <c r="D600" s="1" t="s">
        <v>4029</v>
      </c>
      <c r="E600" s="1" t="s">
        <v>4270</v>
      </c>
      <c r="F600" s="1" t="s">
        <v>112</v>
      </c>
      <c r="G600" s="1">
        <v>2525031</v>
      </c>
    </row>
    <row r="601" spans="1:7" x14ac:dyDescent="0.25">
      <c r="A601" s="1" t="str">
        <f t="shared" si="9"/>
        <v>07 Estrone 1 µg_LL 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4271</v>
      </c>
      <c r="D601" s="1" t="s">
        <v>4272</v>
      </c>
      <c r="E601" s="1" t="s">
        <v>4273</v>
      </c>
      <c r="F601" s="1" t="s">
        <v>112</v>
      </c>
      <c r="G601" s="1">
        <v>2410955</v>
      </c>
    </row>
    <row r="602" spans="1:7" x14ac:dyDescent="0.25">
      <c r="A602" s="1" t="str">
        <f t="shared" si="9"/>
        <v>07 Estrone 1 µg_LL 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4274</v>
      </c>
      <c r="D602" s="1" t="s">
        <v>4275</v>
      </c>
      <c r="E602" s="1" t="s">
        <v>4276</v>
      </c>
      <c r="F602" s="1" t="s">
        <v>112</v>
      </c>
      <c r="G602" s="1">
        <v>2675294</v>
      </c>
    </row>
    <row r="603" spans="1:7" x14ac:dyDescent="0.25">
      <c r="A603" s="1" t="str">
        <f t="shared" si="9"/>
        <v>07 Estrone 1 µg_LL 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4277</v>
      </c>
      <c r="D603" s="1" t="s">
        <v>4278</v>
      </c>
      <c r="E603" s="1" t="s">
        <v>4279</v>
      </c>
      <c r="F603" s="1" t="s">
        <v>112</v>
      </c>
      <c r="G603" s="1">
        <v>2652041</v>
      </c>
    </row>
    <row r="604" spans="1:7" x14ac:dyDescent="0.25">
      <c r="A604" s="1" t="str">
        <f t="shared" si="9"/>
        <v>07 Estrone 1 µg_LL 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4280</v>
      </c>
      <c r="D604" s="1" t="s">
        <v>949</v>
      </c>
      <c r="E604" s="1" t="s">
        <v>4281</v>
      </c>
      <c r="F604" s="1" t="s">
        <v>112</v>
      </c>
      <c r="G604" s="1">
        <v>2808642</v>
      </c>
    </row>
    <row r="605" spans="1:7" x14ac:dyDescent="0.25">
      <c r="A605" s="1" t="str">
        <f t="shared" si="9"/>
        <v>07 Estrone 1 µg_LL 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4282</v>
      </c>
      <c r="D605" s="1" t="s">
        <v>4283</v>
      </c>
      <c r="E605" s="1" t="s">
        <v>4284</v>
      </c>
      <c r="F605" s="1" t="s">
        <v>112</v>
      </c>
      <c r="G605" s="1">
        <v>2866523</v>
      </c>
    </row>
    <row r="606" spans="1:7" x14ac:dyDescent="0.25">
      <c r="A606" s="1" t="str">
        <f t="shared" si="9"/>
        <v>07 Estrone 1 µg_LL 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4285</v>
      </c>
      <c r="D606" s="1" t="s">
        <v>1485</v>
      </c>
      <c r="E606" s="1" t="s">
        <v>4286</v>
      </c>
      <c r="F606" s="1" t="s">
        <v>112</v>
      </c>
      <c r="G606" s="1">
        <v>3115332</v>
      </c>
    </row>
    <row r="607" spans="1:7" x14ac:dyDescent="0.25">
      <c r="A607" s="1" t="str">
        <f t="shared" si="9"/>
        <v>07 Estrone 1 µg_LL 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4287</v>
      </c>
      <c r="D607" s="1" t="s">
        <v>4288</v>
      </c>
      <c r="E607" s="1" t="s">
        <v>4289</v>
      </c>
      <c r="F607" s="1" t="s">
        <v>112</v>
      </c>
      <c r="G607" s="1">
        <v>2991717</v>
      </c>
    </row>
    <row r="608" spans="1:7" x14ac:dyDescent="0.25">
      <c r="A608" s="1" t="str">
        <f t="shared" si="9"/>
        <v>07 Estrone 1 µg_LL 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4290</v>
      </c>
      <c r="D608" s="1" t="s">
        <v>3709</v>
      </c>
      <c r="E608" s="1" t="s">
        <v>4291</v>
      </c>
      <c r="F608" s="1" t="s">
        <v>112</v>
      </c>
      <c r="G608" s="1">
        <v>1460040</v>
      </c>
    </row>
    <row r="609" spans="1:10" x14ac:dyDescent="0.25">
      <c r="A609" s="1" t="str">
        <f t="shared" si="9"/>
        <v>07 Estrone 1 µg_LL 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4292</v>
      </c>
      <c r="D609" s="1" t="s">
        <v>4293</v>
      </c>
      <c r="E609" s="1" t="s">
        <v>4294</v>
      </c>
      <c r="F609" s="1" t="s">
        <v>112</v>
      </c>
      <c r="G609" s="1">
        <v>627353</v>
      </c>
    </row>
    <row r="610" spans="1:10" x14ac:dyDescent="0.25">
      <c r="A610" s="1" t="str">
        <f t="shared" si="9"/>
        <v>07 Estrone 1 µg_LL 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4295</v>
      </c>
      <c r="D610" s="1" t="s">
        <v>4296</v>
      </c>
      <c r="E610" s="1" t="s">
        <v>4297</v>
      </c>
      <c r="F610" s="1" t="s">
        <v>112</v>
      </c>
      <c r="G610" s="1">
        <v>696591</v>
      </c>
    </row>
    <row r="611" spans="1:10" x14ac:dyDescent="0.25">
      <c r="A611" s="1" t="str">
        <f t="shared" si="9"/>
        <v>07 Estrone 1 µg_LL 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4298</v>
      </c>
      <c r="D611" s="1" t="s">
        <v>4299</v>
      </c>
      <c r="E611" s="1" t="s">
        <v>4300</v>
      </c>
      <c r="F611" s="1" t="s">
        <v>112</v>
      </c>
      <c r="G611" s="1">
        <v>952061</v>
      </c>
    </row>
    <row r="612" spans="1:10" x14ac:dyDescent="0.25">
      <c r="A612" s="1" t="str">
        <f t="shared" si="9"/>
        <v>07 Estrone 1 µg_LL 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4301</v>
      </c>
      <c r="D612" s="1" t="s">
        <v>4302</v>
      </c>
      <c r="E612" s="1" t="s">
        <v>4303</v>
      </c>
      <c r="F612" s="1" t="s">
        <v>112</v>
      </c>
      <c r="G612" s="1">
        <v>938759</v>
      </c>
    </row>
    <row r="613" spans="1:10" x14ac:dyDescent="0.25">
      <c r="A613" s="1" t="str">
        <f t="shared" si="9"/>
        <v>07 Estrone 1 µg_LL 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4304</v>
      </c>
      <c r="D613" s="1" t="s">
        <v>1148</v>
      </c>
      <c r="E613" s="1" t="s">
        <v>4305</v>
      </c>
      <c r="F613" s="1" t="s">
        <v>112</v>
      </c>
      <c r="G613" s="1">
        <v>862730</v>
      </c>
    </row>
    <row r="614" spans="1:10" x14ac:dyDescent="0.25">
      <c r="A614" s="1" t="str">
        <f t="shared" si="9"/>
        <v>07 Estrone 1 µg_LL 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4306</v>
      </c>
      <c r="D614" s="1" t="s">
        <v>1476</v>
      </c>
      <c r="E614" s="1" t="s">
        <v>4307</v>
      </c>
      <c r="F614" s="1" t="s">
        <v>112</v>
      </c>
      <c r="G614" s="1">
        <v>4051041</v>
      </c>
    </row>
    <row r="615" spans="1:10" x14ac:dyDescent="0.25">
      <c r="A615" s="1" t="str">
        <f t="shared" si="9"/>
        <v>07 Estrone 1 µg_LL 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4308</v>
      </c>
      <c r="D615" s="1" t="s">
        <v>4309</v>
      </c>
      <c r="E615" s="1" t="s">
        <v>4310</v>
      </c>
      <c r="F615" s="1" t="s">
        <v>112</v>
      </c>
      <c r="G615" s="1">
        <v>4174288</v>
      </c>
    </row>
    <row r="616" spans="1:10" x14ac:dyDescent="0.25">
      <c r="A616" s="1" t="str">
        <f t="shared" si="9"/>
        <v>07 Estrone 1 µg_LL 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4311</v>
      </c>
      <c r="D616" s="1" t="s">
        <v>4312</v>
      </c>
      <c r="E616" s="1" t="s">
        <v>4313</v>
      </c>
      <c r="F616" s="1" t="s">
        <v>112</v>
      </c>
      <c r="G616" s="1">
        <v>4139032</v>
      </c>
    </row>
    <row r="617" spans="1:10" x14ac:dyDescent="0.25">
      <c r="A617" s="1" t="str">
        <f t="shared" si="9"/>
        <v>07 Estrone 1 µg_LL 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4314</v>
      </c>
      <c r="D617" s="1" t="s">
        <v>4315</v>
      </c>
      <c r="E617" s="1" t="s">
        <v>4316</v>
      </c>
      <c r="F617" s="1" t="s">
        <v>112</v>
      </c>
      <c r="G617" s="1">
        <v>3129002</v>
      </c>
    </row>
    <row r="618" spans="1:10" x14ac:dyDescent="0.25">
      <c r="A618" s="1" t="str">
        <f t="shared" si="9"/>
        <v>07 Estrone 1 µg_LL 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4317</v>
      </c>
      <c r="D618" s="1" t="s">
        <v>4318</v>
      </c>
      <c r="E618" s="1" t="s">
        <v>4319</v>
      </c>
      <c r="F618" s="1" t="s">
        <v>112</v>
      </c>
      <c r="G618" s="1">
        <v>3040752</v>
      </c>
    </row>
    <row r="619" spans="1:10" x14ac:dyDescent="0.25">
      <c r="A619" s="1" t="str">
        <f t="shared" si="9"/>
        <v>07 Estrone 1 µg_LL 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4320</v>
      </c>
      <c r="D619" s="1" t="s">
        <v>4321</v>
      </c>
      <c r="E619" s="1" t="s">
        <v>4322</v>
      </c>
      <c r="F619" s="1" t="s">
        <v>112</v>
      </c>
      <c r="G619" s="1">
        <v>2731142</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242</v>
      </c>
      <c r="D621" s="1" t="s">
        <v>112</v>
      </c>
      <c r="E621" s="1" t="s">
        <v>243</v>
      </c>
      <c r="F621" s="1" t="s">
        <v>244</v>
      </c>
      <c r="G621" s="1" t="s">
        <v>245</v>
      </c>
      <c r="H621" s="1" t="s">
        <v>246</v>
      </c>
      <c r="I621" s="1" t="s">
        <v>247</v>
      </c>
      <c r="J621" s="1" t="s">
        <v>248</v>
      </c>
    </row>
    <row r="622" spans="1:10" x14ac:dyDescent="0.25">
      <c r="A622" s="1" t="str">
        <f t="shared" si="9"/>
        <v>07 Estrone 1 µg_LL 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4323</v>
      </c>
      <c r="D622" s="1" t="s">
        <v>112</v>
      </c>
      <c r="E622" s="1" t="s">
        <v>4324</v>
      </c>
      <c r="F622" s="1" t="s">
        <v>4325</v>
      </c>
      <c r="G622" s="1" t="s">
        <v>4326</v>
      </c>
      <c r="H622" s="1" t="s">
        <v>4327</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254</v>
      </c>
      <c r="D628" s="1" t="s">
        <v>110</v>
      </c>
      <c r="E628" s="1" t="s">
        <v>111</v>
      </c>
      <c r="F628" s="1" t="s">
        <v>112</v>
      </c>
      <c r="G628" s="1" t="s">
        <v>113</v>
      </c>
    </row>
    <row r="629" spans="1:7" x14ac:dyDescent="0.25">
      <c r="A629" s="1" t="str">
        <f t="shared" si="9"/>
        <v>08 Estrone 5 µg_LL 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4328</v>
      </c>
      <c r="D629" s="1" t="s">
        <v>4329</v>
      </c>
      <c r="E629" s="1" t="s">
        <v>4330</v>
      </c>
      <c r="F629" s="1" t="s">
        <v>112</v>
      </c>
      <c r="G629" s="1">
        <v>4643960</v>
      </c>
    </row>
    <row r="630" spans="1:7" x14ac:dyDescent="0.25">
      <c r="A630" s="1" t="str">
        <f t="shared" si="9"/>
        <v>08 Estrone 5 µg_LL 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4331</v>
      </c>
      <c r="D630" s="1" t="s">
        <v>4332</v>
      </c>
      <c r="E630" s="1" t="s">
        <v>4333</v>
      </c>
      <c r="F630" s="1" t="s">
        <v>112</v>
      </c>
      <c r="G630" s="1">
        <v>4720422</v>
      </c>
    </row>
    <row r="631" spans="1:7" x14ac:dyDescent="0.25">
      <c r="A631" s="1" t="str">
        <f t="shared" si="9"/>
        <v>08 Estrone 5 µg_LL 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4334</v>
      </c>
      <c r="D631" s="1" t="s">
        <v>4335</v>
      </c>
      <c r="E631" s="1" t="s">
        <v>4336</v>
      </c>
      <c r="F631" s="1" t="s">
        <v>112</v>
      </c>
      <c r="G631" s="1">
        <v>4767337</v>
      </c>
    </row>
    <row r="632" spans="1:7" x14ac:dyDescent="0.25">
      <c r="A632" s="1" t="str">
        <f t="shared" si="9"/>
        <v>08 Estrone 5 µg_LL 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4337</v>
      </c>
      <c r="D632" s="1" t="s">
        <v>4338</v>
      </c>
      <c r="E632" s="1" t="s">
        <v>4339</v>
      </c>
      <c r="F632" s="1" t="s">
        <v>112</v>
      </c>
      <c r="G632" s="1">
        <v>4620600</v>
      </c>
    </row>
    <row r="633" spans="1:7" x14ac:dyDescent="0.25">
      <c r="A633" s="1" t="str">
        <f t="shared" si="9"/>
        <v>08 Estrone 5 µg_LL 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4340</v>
      </c>
      <c r="D633" s="1" t="s">
        <v>4341</v>
      </c>
      <c r="E633" s="1" t="s">
        <v>4342</v>
      </c>
      <c r="F633" s="1" t="s">
        <v>112</v>
      </c>
      <c r="G633" s="1">
        <v>4493719</v>
      </c>
    </row>
    <row r="634" spans="1:7" x14ac:dyDescent="0.25">
      <c r="A634" s="1" t="str">
        <f t="shared" si="9"/>
        <v>08 Estrone 5 µg_LL 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4343</v>
      </c>
      <c r="D634" s="1" t="s">
        <v>4344</v>
      </c>
      <c r="E634" s="1" t="s">
        <v>4345</v>
      </c>
      <c r="F634" s="1" t="s">
        <v>112</v>
      </c>
      <c r="G634" s="1">
        <v>4672403</v>
      </c>
    </row>
    <row r="635" spans="1:7" x14ac:dyDescent="0.25">
      <c r="A635" s="1" t="str">
        <f t="shared" si="9"/>
        <v>08 Estrone 5 µg_LL 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4346</v>
      </c>
      <c r="D635" s="1" t="s">
        <v>4347</v>
      </c>
      <c r="E635" s="1" t="s">
        <v>4348</v>
      </c>
      <c r="F635" s="1" t="s">
        <v>112</v>
      </c>
      <c r="G635" s="1">
        <v>6276995</v>
      </c>
    </row>
    <row r="636" spans="1:7" x14ac:dyDescent="0.25">
      <c r="A636" s="1" t="str">
        <f t="shared" si="9"/>
        <v>08 Estrone 5 µg_LL 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4349</v>
      </c>
      <c r="D636" s="1" t="s">
        <v>4350</v>
      </c>
      <c r="E636" s="1" t="s">
        <v>4351</v>
      </c>
      <c r="F636" s="1" t="s">
        <v>112</v>
      </c>
      <c r="G636" s="1">
        <v>6433185</v>
      </c>
    </row>
    <row r="637" spans="1:7" x14ac:dyDescent="0.25">
      <c r="A637" s="1" t="str">
        <f t="shared" si="9"/>
        <v>08 Estrone 5 µg_LL 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4352</v>
      </c>
      <c r="D637" s="1" t="s">
        <v>4353</v>
      </c>
      <c r="E637" s="1" t="s">
        <v>4354</v>
      </c>
      <c r="F637" s="1" t="s">
        <v>112</v>
      </c>
      <c r="G637" s="1">
        <v>6461174</v>
      </c>
    </row>
    <row r="638" spans="1:7" x14ac:dyDescent="0.25">
      <c r="A638" s="1" t="str">
        <f t="shared" si="9"/>
        <v>08 Estrone 5 µg_LL 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4355</v>
      </c>
      <c r="D638" s="1" t="s">
        <v>4356</v>
      </c>
      <c r="E638" s="1" t="s">
        <v>4357</v>
      </c>
      <c r="F638" s="1" t="s">
        <v>112</v>
      </c>
      <c r="G638" s="1">
        <v>3951284</v>
      </c>
    </row>
    <row r="639" spans="1:7" x14ac:dyDescent="0.25">
      <c r="A639" s="1" t="str">
        <f t="shared" si="9"/>
        <v>08 Estrone 5 µg_LL 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4358</v>
      </c>
      <c r="D639" s="1" t="s">
        <v>4359</v>
      </c>
      <c r="E639" s="1" t="s">
        <v>4360</v>
      </c>
      <c r="F639" s="1" t="s">
        <v>112</v>
      </c>
      <c r="G639" s="1">
        <v>3423883</v>
      </c>
    </row>
    <row r="640" spans="1:7" x14ac:dyDescent="0.25">
      <c r="A640" s="1" t="str">
        <f t="shared" si="9"/>
        <v>08 Estrone 5 µg_LL 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4361</v>
      </c>
      <c r="D640" s="1" t="s">
        <v>2901</v>
      </c>
      <c r="E640" s="1" t="s">
        <v>4362</v>
      </c>
      <c r="F640" s="1" t="s">
        <v>112</v>
      </c>
      <c r="G640" s="1">
        <v>3124092</v>
      </c>
    </row>
    <row r="641" spans="1:10" x14ac:dyDescent="0.25">
      <c r="A641" s="1" t="str">
        <f t="shared" si="9"/>
        <v>08 Estrone 5 µg_LL 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4363</v>
      </c>
      <c r="D641" s="1" t="s">
        <v>4364</v>
      </c>
      <c r="E641" s="1" t="s">
        <v>4365</v>
      </c>
      <c r="F641" s="1" t="s">
        <v>112</v>
      </c>
      <c r="G641" s="1">
        <v>1695027</v>
      </c>
    </row>
    <row r="642" spans="1:10" x14ac:dyDescent="0.25">
      <c r="A642" s="1" t="str">
        <f t="shared" ref="A642:A705" si="10">IFERROR(LEFT(RIGHT(C642,LEN(C642)-SEARCH("@",C642)),SEARCH("/",RIGHT(C642,LEN(C642)-SEARCH("@",C642)-1))),"")</f>
        <v>08 Estrone 5 µg_LL 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4366</v>
      </c>
      <c r="D642" s="1" t="s">
        <v>3903</v>
      </c>
      <c r="E642" s="1" t="s">
        <v>4367</v>
      </c>
      <c r="F642" s="1" t="s">
        <v>112</v>
      </c>
      <c r="G642" s="1">
        <v>1900316</v>
      </c>
    </row>
    <row r="643" spans="1:10" x14ac:dyDescent="0.25">
      <c r="A643" s="1" t="str">
        <f t="shared" si="10"/>
        <v>08 Estrone 5 µg_LL 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4368</v>
      </c>
      <c r="D643" s="1" t="s">
        <v>4369</v>
      </c>
      <c r="E643" s="1" t="s">
        <v>4370</v>
      </c>
      <c r="F643" s="1" t="s">
        <v>112</v>
      </c>
      <c r="G643" s="1">
        <v>1600482</v>
      </c>
    </row>
    <row r="644" spans="1:10" x14ac:dyDescent="0.25">
      <c r="A644" s="1" t="str">
        <f t="shared" si="10"/>
        <v>08 Estrone 5 µg_LL 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4371</v>
      </c>
      <c r="D644" s="1" t="s">
        <v>4372</v>
      </c>
      <c r="E644" s="1" t="s">
        <v>4373</v>
      </c>
      <c r="F644" s="1" t="s">
        <v>112</v>
      </c>
      <c r="G644" s="1">
        <v>3884405</v>
      </c>
    </row>
    <row r="645" spans="1:10" x14ac:dyDescent="0.25">
      <c r="A645" s="1" t="str">
        <f t="shared" si="10"/>
        <v>08 Estrone 5 µg_LL 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4374</v>
      </c>
      <c r="D645" s="1" t="s">
        <v>3078</v>
      </c>
      <c r="E645" s="1" t="s">
        <v>4375</v>
      </c>
      <c r="F645" s="1" t="s">
        <v>112</v>
      </c>
      <c r="G645" s="1">
        <v>3716881</v>
      </c>
    </row>
    <row r="646" spans="1:10" x14ac:dyDescent="0.25">
      <c r="A646" s="1" t="str">
        <f t="shared" si="10"/>
        <v>08 Estrone 5 µg_LL 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4376</v>
      </c>
      <c r="D646" s="1" t="s">
        <v>4377</v>
      </c>
      <c r="E646" s="1" t="s">
        <v>4378</v>
      </c>
      <c r="F646" s="1" t="s">
        <v>112</v>
      </c>
      <c r="G646" s="1">
        <v>3642647</v>
      </c>
    </row>
    <row r="647" spans="1:10" x14ac:dyDescent="0.25">
      <c r="A647" s="1" t="str">
        <f t="shared" si="10"/>
        <v>08 Estrone 5 µg_LL 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4379</v>
      </c>
      <c r="D647" s="1" t="s">
        <v>2686</v>
      </c>
      <c r="E647" s="1" t="s">
        <v>4380</v>
      </c>
      <c r="F647" s="1" t="s">
        <v>112</v>
      </c>
      <c r="G647" s="1">
        <v>3841534</v>
      </c>
    </row>
    <row r="648" spans="1:10" x14ac:dyDescent="0.25">
      <c r="A648" s="1" t="str">
        <f t="shared" si="10"/>
        <v>08 Estrone 5 µg_LL 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4381</v>
      </c>
      <c r="D648" s="1" t="s">
        <v>639</v>
      </c>
      <c r="E648" s="1" t="s">
        <v>4382</v>
      </c>
      <c r="F648" s="1" t="s">
        <v>112</v>
      </c>
      <c r="G648" s="1">
        <v>4144980</v>
      </c>
    </row>
    <row r="649" spans="1:10" x14ac:dyDescent="0.25">
      <c r="A649" s="1" t="str">
        <f t="shared" si="10"/>
        <v>08 Estrone 5 µg_LL 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4383</v>
      </c>
      <c r="D649" s="1" t="s">
        <v>2556</v>
      </c>
      <c r="E649" s="1" t="s">
        <v>4384</v>
      </c>
      <c r="F649" s="1" t="s">
        <v>112</v>
      </c>
      <c r="G649" s="1">
        <v>4013081</v>
      </c>
    </row>
    <row r="650" spans="1:10" x14ac:dyDescent="0.25">
      <c r="A650" s="1" t="str">
        <f t="shared" si="10"/>
        <v>08 Estrone 5 µg_LL 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4385</v>
      </c>
      <c r="D650" s="1" t="s">
        <v>4386</v>
      </c>
      <c r="E650" s="1" t="s">
        <v>4387</v>
      </c>
      <c r="F650" s="1" t="s">
        <v>112</v>
      </c>
      <c r="G650" s="1">
        <v>4817821</v>
      </c>
    </row>
    <row r="651" spans="1:10" x14ac:dyDescent="0.25">
      <c r="A651" s="1" t="str">
        <f t="shared" si="10"/>
        <v>08 Estrone 5 µg_LL 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4388</v>
      </c>
      <c r="D651" s="1" t="s">
        <v>4389</v>
      </c>
      <c r="E651" s="1" t="s">
        <v>4390</v>
      </c>
      <c r="F651" s="1" t="s">
        <v>112</v>
      </c>
      <c r="G651" s="1">
        <v>4986880</v>
      </c>
    </row>
    <row r="652" spans="1:10" x14ac:dyDescent="0.25">
      <c r="A652" s="1" t="str">
        <f t="shared" si="10"/>
        <v>08 Estrone 5 µg_LL 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4391</v>
      </c>
      <c r="D652" s="1" t="s">
        <v>4392</v>
      </c>
      <c r="E652" s="1" t="s">
        <v>4393</v>
      </c>
      <c r="F652" s="1" t="s">
        <v>112</v>
      </c>
      <c r="G652" s="1">
        <v>4951191</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242</v>
      </c>
      <c r="D654" s="1" t="s">
        <v>112</v>
      </c>
      <c r="E654" s="1" t="s">
        <v>243</v>
      </c>
      <c r="F654" s="1" t="s">
        <v>244</v>
      </c>
      <c r="G654" s="1" t="s">
        <v>245</v>
      </c>
      <c r="H654" s="1" t="s">
        <v>246</v>
      </c>
      <c r="I654" s="1" t="s">
        <v>247</v>
      </c>
      <c r="J654" s="1" t="s">
        <v>248</v>
      </c>
    </row>
    <row r="655" spans="1:10" x14ac:dyDescent="0.25">
      <c r="A655" s="1" t="str">
        <f t="shared" si="10"/>
        <v>08 Estrone 5 µg_LL 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4394</v>
      </c>
      <c r="D655" s="1" t="s">
        <v>112</v>
      </c>
      <c r="E655" s="1" t="s">
        <v>4395</v>
      </c>
      <c r="F655" s="1" t="s">
        <v>4396</v>
      </c>
      <c r="G655" s="1" t="s">
        <v>4397</v>
      </c>
      <c r="H655" s="1" t="s">
        <v>4398</v>
      </c>
      <c r="I655" s="1">
        <v>24</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254</v>
      </c>
      <c r="D661" s="1" t="s">
        <v>110</v>
      </c>
      <c r="E661" s="1" t="s">
        <v>111</v>
      </c>
      <c r="F661" s="1" t="s">
        <v>112</v>
      </c>
      <c r="G661" s="1" t="s">
        <v>113</v>
      </c>
    </row>
    <row r="662" spans="1:7" x14ac:dyDescent="0.25">
      <c r="A662" s="1" t="str">
        <f t="shared" si="10"/>
        <v>09 Estrone 25 µg_LL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4399</v>
      </c>
      <c r="D662" s="1" t="s">
        <v>4400</v>
      </c>
      <c r="E662" s="1" t="s">
        <v>4401</v>
      </c>
      <c r="F662" s="1" t="s">
        <v>112</v>
      </c>
      <c r="G662" s="1">
        <v>4365886</v>
      </c>
    </row>
    <row r="663" spans="1:7" x14ac:dyDescent="0.25">
      <c r="A663" s="1" t="str">
        <f t="shared" si="10"/>
        <v>09 Estrone 25 µg_LL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4402</v>
      </c>
      <c r="D663" s="1" t="s">
        <v>4403</v>
      </c>
      <c r="E663" s="1" t="s">
        <v>4404</v>
      </c>
      <c r="F663" s="1" t="s">
        <v>112</v>
      </c>
      <c r="G663" s="1">
        <v>4393443</v>
      </c>
    </row>
    <row r="664" spans="1:7" x14ac:dyDescent="0.25">
      <c r="A664" s="1" t="str">
        <f t="shared" si="10"/>
        <v>09 Estrone 25 µg_LL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4405</v>
      </c>
      <c r="D664" s="1" t="s">
        <v>4406</v>
      </c>
      <c r="E664" s="1" t="s">
        <v>4407</v>
      </c>
      <c r="F664" s="1" t="s">
        <v>112</v>
      </c>
      <c r="G664" s="1">
        <v>4273786</v>
      </c>
    </row>
    <row r="665" spans="1:7" x14ac:dyDescent="0.25">
      <c r="A665" s="1" t="str">
        <f t="shared" si="10"/>
        <v>09 Estrone 25 µg_LL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4408</v>
      </c>
      <c r="D665" s="1" t="s">
        <v>1064</v>
      </c>
      <c r="E665" s="1" t="s">
        <v>4409</v>
      </c>
      <c r="F665" s="1" t="s">
        <v>112</v>
      </c>
      <c r="G665" s="1">
        <v>4825089</v>
      </c>
    </row>
    <row r="666" spans="1:7" x14ac:dyDescent="0.25">
      <c r="A666" s="1" t="str">
        <f t="shared" si="10"/>
        <v>09 Estrone 25 µg_LL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4410</v>
      </c>
      <c r="D666" s="1" t="s">
        <v>4411</v>
      </c>
      <c r="E666" s="1" t="s">
        <v>4412</v>
      </c>
      <c r="F666" s="1" t="s">
        <v>112</v>
      </c>
      <c r="G666" s="1">
        <v>4581709</v>
      </c>
    </row>
    <row r="667" spans="1:7" x14ac:dyDescent="0.25">
      <c r="A667" s="1" t="str">
        <f t="shared" si="10"/>
        <v>09 Estrone 25 µg_LL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4413</v>
      </c>
      <c r="D667" s="1" t="s">
        <v>4414</v>
      </c>
      <c r="E667" s="1" t="s">
        <v>4415</v>
      </c>
      <c r="F667" s="1" t="s">
        <v>112</v>
      </c>
      <c r="G667" s="1">
        <v>4928134</v>
      </c>
    </row>
    <row r="668" spans="1:7" x14ac:dyDescent="0.25">
      <c r="A668" s="1" t="str">
        <f t="shared" si="10"/>
        <v>09 Estrone 25 µg_LL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4416</v>
      </c>
      <c r="D668" s="1" t="s">
        <v>4417</v>
      </c>
      <c r="E668" s="1" t="s">
        <v>4418</v>
      </c>
      <c r="F668" s="1" t="s">
        <v>112</v>
      </c>
      <c r="G668" s="1">
        <v>5883677</v>
      </c>
    </row>
    <row r="669" spans="1:7" x14ac:dyDescent="0.25">
      <c r="A669" s="1" t="str">
        <f t="shared" si="10"/>
        <v>09 Estrone 25 µg_LL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4419</v>
      </c>
      <c r="D669" s="1" t="s">
        <v>4420</v>
      </c>
      <c r="E669" s="1" t="s">
        <v>4421</v>
      </c>
      <c r="F669" s="1" t="s">
        <v>112</v>
      </c>
      <c r="G669" s="1">
        <v>5461073</v>
      </c>
    </row>
    <row r="670" spans="1:7" x14ac:dyDescent="0.25">
      <c r="A670" s="1" t="str">
        <f t="shared" si="10"/>
        <v>09 Estrone 25 µg_LL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4422</v>
      </c>
      <c r="D670" s="1" t="s">
        <v>4423</v>
      </c>
      <c r="E670" s="1" t="s">
        <v>4424</v>
      </c>
      <c r="F670" s="1" t="s">
        <v>112</v>
      </c>
      <c r="G670" s="1">
        <v>5653773</v>
      </c>
    </row>
    <row r="671" spans="1:7" x14ac:dyDescent="0.25">
      <c r="A671" s="1" t="str">
        <f t="shared" si="10"/>
        <v>09 Estrone 25 µg_LL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4425</v>
      </c>
      <c r="D671" s="1" t="s">
        <v>4426</v>
      </c>
      <c r="E671" s="1" t="s">
        <v>4427</v>
      </c>
      <c r="F671" s="1" t="s">
        <v>112</v>
      </c>
      <c r="G671" s="1">
        <v>5482054</v>
      </c>
    </row>
    <row r="672" spans="1:7" x14ac:dyDescent="0.25">
      <c r="A672" s="1" t="str">
        <f t="shared" si="10"/>
        <v>09 Estrone 25 µg_LL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4428</v>
      </c>
      <c r="D672" s="1" t="s">
        <v>4429</v>
      </c>
      <c r="E672" s="1" t="s">
        <v>4430</v>
      </c>
      <c r="F672" s="1" t="s">
        <v>112</v>
      </c>
      <c r="G672" s="1">
        <v>4944659</v>
      </c>
    </row>
    <row r="673" spans="1:10" x14ac:dyDescent="0.25">
      <c r="A673" s="1" t="str">
        <f t="shared" si="10"/>
        <v>09 Estrone 25 µg_LL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4431</v>
      </c>
      <c r="D673" s="1" t="s">
        <v>4432</v>
      </c>
      <c r="E673" s="1" t="s">
        <v>4433</v>
      </c>
      <c r="F673" s="1" t="s">
        <v>112</v>
      </c>
      <c r="G673" s="1">
        <v>5309490</v>
      </c>
    </row>
    <row r="674" spans="1:10" x14ac:dyDescent="0.25">
      <c r="A674" s="1" t="str">
        <f t="shared" si="10"/>
        <v>09 Estrone 25 µg_LL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4434</v>
      </c>
      <c r="D674" s="1" t="s">
        <v>4435</v>
      </c>
      <c r="E674" s="1" t="s">
        <v>4436</v>
      </c>
      <c r="F674" s="1" t="s">
        <v>112</v>
      </c>
      <c r="G674" s="1">
        <v>6853973</v>
      </c>
    </row>
    <row r="675" spans="1:10" x14ac:dyDescent="0.25">
      <c r="A675" s="1" t="str">
        <f t="shared" si="10"/>
        <v>09 Estrone 25 µg_LL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4437</v>
      </c>
      <c r="D675" s="1" t="s">
        <v>4438</v>
      </c>
      <c r="E675" s="1" t="s">
        <v>4439</v>
      </c>
      <c r="F675" s="1" t="s">
        <v>112</v>
      </c>
      <c r="G675" s="1">
        <v>6978648</v>
      </c>
    </row>
    <row r="676" spans="1:10" x14ac:dyDescent="0.25">
      <c r="A676" s="1" t="str">
        <f t="shared" si="10"/>
        <v>09 Estrone 25 µg_LL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4440</v>
      </c>
      <c r="D676" s="1" t="s">
        <v>4441</v>
      </c>
      <c r="E676" s="1" t="s">
        <v>4442</v>
      </c>
      <c r="F676" s="1" t="s">
        <v>112</v>
      </c>
      <c r="G676" s="1">
        <v>7064583</v>
      </c>
    </row>
    <row r="677" spans="1:10" x14ac:dyDescent="0.25">
      <c r="A677" s="1" t="str">
        <f t="shared" si="10"/>
        <v>09 Estrone 25 µg_LL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4443</v>
      </c>
      <c r="D677" s="1" t="s">
        <v>4444</v>
      </c>
      <c r="E677" s="1" t="s">
        <v>4445</v>
      </c>
      <c r="F677" s="1" t="s">
        <v>112</v>
      </c>
      <c r="G677" s="1">
        <v>7225358</v>
      </c>
    </row>
    <row r="678" spans="1:10" x14ac:dyDescent="0.25">
      <c r="A678" s="1" t="str">
        <f t="shared" si="10"/>
        <v>09 Estrone 25 µg_LL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4446</v>
      </c>
      <c r="D678" s="1" t="s">
        <v>4447</v>
      </c>
      <c r="E678" s="1" t="s">
        <v>4448</v>
      </c>
      <c r="F678" s="1" t="s">
        <v>112</v>
      </c>
      <c r="G678" s="1">
        <v>6899763</v>
      </c>
    </row>
    <row r="679" spans="1:10" x14ac:dyDescent="0.25">
      <c r="A679" s="1" t="str">
        <f t="shared" si="10"/>
        <v>09 Estrone 25 µg_LL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4449</v>
      </c>
      <c r="D679" s="1" t="s">
        <v>4450</v>
      </c>
      <c r="E679" s="1" t="s">
        <v>4451</v>
      </c>
      <c r="F679" s="1" t="s">
        <v>112</v>
      </c>
      <c r="G679" s="1">
        <v>7310407</v>
      </c>
    </row>
    <row r="680" spans="1:10" x14ac:dyDescent="0.25">
      <c r="A680" s="1" t="str">
        <f t="shared" si="10"/>
        <v>09 Estrone 25 µg_LL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4452</v>
      </c>
      <c r="D680" s="1" t="s">
        <v>4453</v>
      </c>
      <c r="E680" s="1" t="s">
        <v>4454</v>
      </c>
      <c r="F680" s="1" t="s">
        <v>112</v>
      </c>
      <c r="G680" s="1">
        <v>8411022</v>
      </c>
    </row>
    <row r="681" spans="1:10" x14ac:dyDescent="0.25">
      <c r="A681" s="1" t="str">
        <f t="shared" si="10"/>
        <v>09 Estrone 25 µg_LL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4455</v>
      </c>
      <c r="D681" s="1" t="s">
        <v>3805</v>
      </c>
      <c r="E681" s="1" t="s">
        <v>4456</v>
      </c>
      <c r="F681" s="1" t="s">
        <v>112</v>
      </c>
      <c r="G681" s="1">
        <v>8945216</v>
      </c>
    </row>
    <row r="682" spans="1:10" x14ac:dyDescent="0.25">
      <c r="A682" s="1" t="str">
        <f t="shared" si="10"/>
        <v>09 Estrone 25 µg_LL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4457</v>
      </c>
      <c r="D682" s="1" t="s">
        <v>4458</v>
      </c>
      <c r="E682" s="1" t="s">
        <v>4459</v>
      </c>
      <c r="F682" s="1" t="s">
        <v>112</v>
      </c>
      <c r="G682" s="1">
        <v>8034424</v>
      </c>
    </row>
    <row r="683" spans="1:10" x14ac:dyDescent="0.25">
      <c r="A683" s="1" t="str">
        <f t="shared" si="10"/>
        <v>09 Estrone 25 µg_LL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4460</v>
      </c>
      <c r="D683" s="1" t="s">
        <v>4461</v>
      </c>
      <c r="E683" s="1" t="s">
        <v>4462</v>
      </c>
      <c r="F683" s="1" t="s">
        <v>112</v>
      </c>
      <c r="G683" s="1">
        <v>1959106</v>
      </c>
    </row>
    <row r="684" spans="1:10" x14ac:dyDescent="0.25">
      <c r="A684" s="1" t="str">
        <f t="shared" si="10"/>
        <v>09 Estrone 25 µg_LL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4463</v>
      </c>
      <c r="D684" s="1" t="s">
        <v>4464</v>
      </c>
      <c r="E684" s="1" t="s">
        <v>4465</v>
      </c>
      <c r="F684" s="1" t="s">
        <v>112</v>
      </c>
      <c r="G684" s="1">
        <v>1957159</v>
      </c>
    </row>
    <row r="685" spans="1:10" x14ac:dyDescent="0.25">
      <c r="A685" s="1" t="str">
        <f t="shared" si="10"/>
        <v>09 Estrone 25 µg_LL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4466</v>
      </c>
      <c r="D685" s="1" t="s">
        <v>4467</v>
      </c>
      <c r="E685" s="1" t="s">
        <v>4468</v>
      </c>
      <c r="F685" s="1" t="s">
        <v>112</v>
      </c>
      <c r="G685" s="1">
        <v>1863999</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242</v>
      </c>
      <c r="D687" s="1" t="s">
        <v>112</v>
      </c>
      <c r="E687" s="1" t="s">
        <v>243</v>
      </c>
      <c r="F687" s="1" t="s">
        <v>244</v>
      </c>
      <c r="G687" s="1" t="s">
        <v>245</v>
      </c>
      <c r="H687" s="1" t="s">
        <v>246</v>
      </c>
      <c r="I687" s="1" t="s">
        <v>247</v>
      </c>
      <c r="J687" s="1" t="s">
        <v>248</v>
      </c>
    </row>
    <row r="688" spans="1:10" x14ac:dyDescent="0.25">
      <c r="A688" s="1" t="str">
        <f t="shared" si="10"/>
        <v>09 Estrone 25 µg_LL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4469</v>
      </c>
      <c r="D688" s="1" t="s">
        <v>112</v>
      </c>
      <c r="E688" s="1" t="s">
        <v>4470</v>
      </c>
      <c r="F688" s="1" t="s">
        <v>4471</v>
      </c>
      <c r="G688" s="1" t="s">
        <v>4472</v>
      </c>
      <c r="H688" s="1" t="s">
        <v>4473</v>
      </c>
      <c r="I688" s="1">
        <v>24</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5"/>
  <sheetViews>
    <sheetView showGridLines="0" topLeftCell="S42" zoomScale="130" zoomScaleNormal="130" zoomScaleSheetLayoutView="40" zoomScalePageLayoutView="30" workbookViewId="0">
      <selection activeCell="T72" sqref="T72"/>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row r="3" spans="1:22" ht="15.75" thickBot="1" x14ac:dyDescent="0.3">
      <c r="A3" s="152"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Estrone-0,04µg/L</v>
      </c>
      <c r="J4" s="35" t="str">
        <f>'Page de garde'!A16</f>
        <v>Estrone-0,2µg/L</v>
      </c>
      <c r="K4" s="35" t="str">
        <f>'Page de garde'!A17</f>
        <v>Estrone-1µg/L</v>
      </c>
      <c r="L4" s="35" t="str">
        <f>'Page de garde'!A18</f>
        <v>Estrone-5µg/L</v>
      </c>
      <c r="M4" s="35" t="str">
        <f>'Page de garde'!A19</f>
        <v>Estrone-25µg/L</v>
      </c>
      <c r="N4" s="3"/>
      <c r="O4" s="36" t="str">
        <f>'Page de garde'!A36</f>
        <v>Testo -30µg/L</v>
      </c>
      <c r="P4" s="36" t="str">
        <f>'Page de garde'!A37</f>
        <v>Testo 30µg/L + EE2 -64ng/L</v>
      </c>
      <c r="Q4" s="36" t="str">
        <f>'Page de garde'!A38</f>
        <v>Testo 30µg/L + FAD-10µg/L</v>
      </c>
      <c r="R4" s="36" t="str">
        <f>'Page de garde'!A39</f>
        <v>Estrone-0,04µg/L + Testostérone</v>
      </c>
      <c r="S4" s="36" t="str">
        <f>'Page de garde'!A40</f>
        <v>Estrone-0,2µg/L + Testostérone</v>
      </c>
      <c r="T4" s="36" t="str">
        <f>'Page de garde'!A41</f>
        <v>Estrone-1µg/L + Testostérone</v>
      </c>
      <c r="U4" s="36" t="str">
        <f>'Page de garde'!A42</f>
        <v>Estrone-5µg/L + Testostérone</v>
      </c>
      <c r="V4" s="36" t="str">
        <f>'Page de garde'!A43</f>
        <v>Estrone-25µg/L + Testostérone</v>
      </c>
    </row>
    <row r="5" spans="1:22" x14ac:dyDescent="0.25">
      <c r="A5" s="226" t="s">
        <v>33</v>
      </c>
      <c r="B5" s="196">
        <v>252096.33333333334</v>
      </c>
      <c r="C5" s="196">
        <v>40945.333333333336</v>
      </c>
      <c r="D5" s="196">
        <v>82799.333333333328</v>
      </c>
      <c r="E5" s="196">
        <v>57146</v>
      </c>
      <c r="F5" s="196">
        <v>571245.33333333337</v>
      </c>
      <c r="G5" s="196">
        <v>3552285</v>
      </c>
      <c r="H5" s="196">
        <v>3583994</v>
      </c>
      <c r="I5" s="196">
        <v>114696.33333333333</v>
      </c>
      <c r="J5" s="196">
        <v>172368.33333333334</v>
      </c>
      <c r="K5" s="196">
        <v>469491.33333333331</v>
      </c>
      <c r="L5" s="196">
        <v>4069780</v>
      </c>
      <c r="M5" s="196">
        <v>5904384.333333333</v>
      </c>
      <c r="N5" s="3"/>
      <c r="O5" s="196">
        <v>1897396</v>
      </c>
      <c r="P5" s="196">
        <v>2123724</v>
      </c>
      <c r="Q5" s="196">
        <v>110975.66666666667</v>
      </c>
      <c r="R5" s="196">
        <v>1331291.3333333333</v>
      </c>
      <c r="S5" s="196">
        <v>1621622.3333333333</v>
      </c>
      <c r="T5" s="196">
        <v>388393.66666666669</v>
      </c>
      <c r="U5" s="196">
        <v>4710573</v>
      </c>
      <c r="V5" s="196">
        <v>4344371.666666667</v>
      </c>
    </row>
    <row r="6" spans="1:22" x14ac:dyDescent="0.25">
      <c r="A6" s="226"/>
      <c r="B6" s="196">
        <v>190400.66666666666</v>
      </c>
      <c r="C6" s="196">
        <v>14946</v>
      </c>
      <c r="D6" s="196">
        <v>139505.66666666666</v>
      </c>
      <c r="E6" s="196"/>
      <c r="F6" s="196">
        <v>693807.66666666663</v>
      </c>
      <c r="G6" s="196">
        <v>2687017</v>
      </c>
      <c r="H6" s="196">
        <v>5352158.666666667</v>
      </c>
      <c r="I6" s="196">
        <v>118041.66666666667</v>
      </c>
      <c r="J6" s="196">
        <v>115849.66666666667</v>
      </c>
      <c r="K6" s="196">
        <v>301657.66666666669</v>
      </c>
      <c r="L6" s="196">
        <v>5048468</v>
      </c>
      <c r="M6" s="196">
        <v>8100114.333333333</v>
      </c>
      <c r="N6" s="3"/>
      <c r="O6" s="196">
        <v>3189190.6666666665</v>
      </c>
      <c r="P6" s="196">
        <v>2621824.3333333335</v>
      </c>
      <c r="Q6" s="196">
        <v>197783.66666666666</v>
      </c>
      <c r="R6" s="196">
        <v>542960.66666666663</v>
      </c>
      <c r="S6" s="196">
        <v>2416484.6666666665</v>
      </c>
      <c r="T6" s="196">
        <v>2533034</v>
      </c>
      <c r="U6" s="196">
        <v>4595574</v>
      </c>
      <c r="V6" s="196">
        <v>4778310.666666667</v>
      </c>
    </row>
    <row r="7" spans="1:22" x14ac:dyDescent="0.25">
      <c r="A7" s="226"/>
      <c r="B7" s="196">
        <v>103426.66666666667</v>
      </c>
      <c r="C7" s="196">
        <v>697564</v>
      </c>
      <c r="D7" s="196">
        <v>62042</v>
      </c>
      <c r="E7" s="196">
        <v>145367.33333333334</v>
      </c>
      <c r="F7" s="196">
        <v>2477048.6666666665</v>
      </c>
      <c r="G7" s="196">
        <v>2788454</v>
      </c>
      <c r="H7" s="196">
        <v>5126141</v>
      </c>
      <c r="I7" s="196">
        <v>26057</v>
      </c>
      <c r="J7" s="196">
        <v>14520.666666666666</v>
      </c>
      <c r="K7" s="196">
        <v>12321.666666666666</v>
      </c>
      <c r="L7" s="196">
        <v>2103644.3333333335</v>
      </c>
      <c r="M7" s="196">
        <v>3179486.3333333335</v>
      </c>
      <c r="N7" s="3"/>
      <c r="O7" s="196">
        <v>1866241.6666666667</v>
      </c>
      <c r="P7" s="196">
        <v>3522291.3333333335</v>
      </c>
      <c r="Q7" s="196">
        <v>77514.666666666672</v>
      </c>
      <c r="R7" s="196">
        <v>2317873.6666666665</v>
      </c>
      <c r="S7" s="196">
        <v>3239394</v>
      </c>
      <c r="T7" s="196">
        <v>2711992.3333333335</v>
      </c>
      <c r="U7" s="196">
        <v>6390451.333333333</v>
      </c>
      <c r="V7" s="196">
        <v>5666174.333333333</v>
      </c>
    </row>
    <row r="8" spans="1:22" x14ac:dyDescent="0.25">
      <c r="A8" s="226"/>
      <c r="B8" s="196">
        <v>56274</v>
      </c>
      <c r="C8" s="196">
        <v>304022.66666666669</v>
      </c>
      <c r="D8" s="196">
        <v>66785.666666666672</v>
      </c>
      <c r="E8" s="196">
        <v>576054.33333333337</v>
      </c>
      <c r="F8" s="196">
        <v>1084551.6666666667</v>
      </c>
      <c r="G8" s="196">
        <v>3707385.3333333335</v>
      </c>
      <c r="H8" s="196">
        <v>7358021.333333333</v>
      </c>
      <c r="I8" s="196">
        <v>96094.333333333328</v>
      </c>
      <c r="J8" s="196">
        <v>22617.666666666668</v>
      </c>
      <c r="K8" s="196">
        <v>436614</v>
      </c>
      <c r="L8" s="196">
        <v>4208190</v>
      </c>
      <c r="M8" s="196">
        <v>6216727.666666667</v>
      </c>
      <c r="N8" s="3"/>
      <c r="O8" s="196">
        <v>1453903.6666666667</v>
      </c>
      <c r="P8" s="196">
        <v>2077713.5</v>
      </c>
      <c r="Q8" s="196">
        <v>43772</v>
      </c>
      <c r="R8" s="196">
        <v>1386750.3333333333</v>
      </c>
      <c r="S8" s="196">
        <v>2868571</v>
      </c>
      <c r="T8" s="196">
        <v>2991190.6666666665</v>
      </c>
      <c r="U8" s="196">
        <v>3499753</v>
      </c>
      <c r="V8" s="196">
        <v>5245401</v>
      </c>
    </row>
    <row r="9" spans="1:22" x14ac:dyDescent="0.25">
      <c r="A9" s="226"/>
      <c r="B9" s="196">
        <v>164928</v>
      </c>
      <c r="C9" s="196">
        <v>135850</v>
      </c>
      <c r="D9" s="196">
        <v>302588</v>
      </c>
      <c r="E9" s="196">
        <v>453499.66666666669</v>
      </c>
      <c r="F9" s="196">
        <v>747616</v>
      </c>
      <c r="G9" s="196">
        <v>1897562</v>
      </c>
      <c r="H9" s="196">
        <v>1375625.3333333333</v>
      </c>
      <c r="I9" s="196">
        <v>100932.33333333333</v>
      </c>
      <c r="J9" s="196">
        <v>17520</v>
      </c>
      <c r="K9" s="196">
        <v>1533094.5</v>
      </c>
      <c r="L9" s="196">
        <v>3721279.3333333335</v>
      </c>
      <c r="M9" s="196">
        <v>5256396.333333333</v>
      </c>
      <c r="N9" s="3"/>
      <c r="O9" s="196">
        <v>1594346.6666666667</v>
      </c>
      <c r="P9" s="196">
        <v>4914694</v>
      </c>
      <c r="Q9" s="196">
        <v>118582.33333333333</v>
      </c>
      <c r="R9" s="196">
        <v>2126298.3333333335</v>
      </c>
      <c r="S9" s="196">
        <v>819153</v>
      </c>
      <c r="T9" s="196">
        <v>927994.66666666663</v>
      </c>
      <c r="U9" s="196">
        <v>1731941.6666666667</v>
      </c>
      <c r="V9" s="196">
        <v>6965734.666666667</v>
      </c>
    </row>
    <row r="10" spans="1:22" x14ac:dyDescent="0.25">
      <c r="A10" s="226"/>
      <c r="B10" s="196">
        <v>168821.33333333334</v>
      </c>
      <c r="C10" s="196">
        <v>44766.666666666664</v>
      </c>
      <c r="D10" s="196">
        <v>54882.333333333336</v>
      </c>
      <c r="E10" s="196">
        <v>116768.5</v>
      </c>
      <c r="F10" s="196">
        <v>179607.66666666666</v>
      </c>
      <c r="G10" s="196">
        <v>1363447.3333333333</v>
      </c>
      <c r="H10" s="196">
        <v>2649756</v>
      </c>
      <c r="I10" s="196">
        <v>87579.333333333328</v>
      </c>
      <c r="J10" s="196">
        <v>96209.666666666672</v>
      </c>
      <c r="K10" s="196">
        <v>56915.333333333336</v>
      </c>
      <c r="L10" s="196"/>
      <c r="M10" s="196">
        <v>7882013</v>
      </c>
      <c r="N10" s="3"/>
      <c r="O10" s="196">
        <v>195765.33333333334</v>
      </c>
      <c r="P10" s="196">
        <v>3298104.6666666665</v>
      </c>
      <c r="Q10" s="196">
        <v>13757</v>
      </c>
      <c r="R10" s="196">
        <v>3468440.3333333335</v>
      </c>
      <c r="S10" s="196">
        <v>907742</v>
      </c>
      <c r="T10" s="196">
        <v>917850</v>
      </c>
      <c r="U10" s="196">
        <v>3747977.6666666665</v>
      </c>
      <c r="V10" s="196">
        <v>7145176</v>
      </c>
    </row>
    <row r="11" spans="1:22" x14ac:dyDescent="0.25">
      <c r="A11" s="226"/>
      <c r="B11" s="196">
        <v>47420</v>
      </c>
      <c r="C11" s="196">
        <v>131365.66666666666</v>
      </c>
      <c r="D11" s="196">
        <v>47881.333333333336</v>
      </c>
      <c r="E11" s="196">
        <v>83404.666666666672</v>
      </c>
      <c r="F11" s="196">
        <v>1547850</v>
      </c>
      <c r="G11" s="196">
        <v>135093</v>
      </c>
      <c r="H11" s="196">
        <v>2078171.6666666667</v>
      </c>
      <c r="I11" s="196">
        <v>242442.33333333334</v>
      </c>
      <c r="J11" s="196">
        <v>187091.33333333334</v>
      </c>
      <c r="K11" s="196">
        <v>1163897.3333333333</v>
      </c>
      <c r="L11" s="196">
        <v>2544829.3333333335</v>
      </c>
      <c r="M11" s="196">
        <v>6192912.666666667</v>
      </c>
      <c r="N11" s="3"/>
      <c r="O11" s="196">
        <v>1588795</v>
      </c>
      <c r="P11" s="196">
        <v>3868420</v>
      </c>
      <c r="Q11" s="196">
        <v>75070.333333333328</v>
      </c>
      <c r="R11" s="196">
        <v>772000</v>
      </c>
      <c r="S11" s="196">
        <v>850062.33333333337</v>
      </c>
      <c r="T11" s="196">
        <v>4121453.6666666665</v>
      </c>
      <c r="U11" s="196">
        <v>3999865</v>
      </c>
      <c r="V11" s="196">
        <v>8463554</v>
      </c>
    </row>
    <row r="12" spans="1:22" x14ac:dyDescent="0.25">
      <c r="A12" s="226"/>
      <c r="B12" s="196">
        <v>138590</v>
      </c>
      <c r="C12" s="196">
        <v>311989.66666666669</v>
      </c>
      <c r="D12" s="196">
        <v>86721.333333333328</v>
      </c>
      <c r="E12" s="196">
        <v>425972</v>
      </c>
      <c r="F12" s="196">
        <v>1557129</v>
      </c>
      <c r="G12" s="196">
        <v>2461994</v>
      </c>
      <c r="H12" s="196">
        <v>5340277</v>
      </c>
      <c r="I12" s="196">
        <v>101026</v>
      </c>
      <c r="J12" s="196">
        <v>318283.66666666669</v>
      </c>
      <c r="K12" s="196">
        <v>40534</v>
      </c>
      <c r="L12" s="196">
        <v>5404950</v>
      </c>
      <c r="M12" s="196">
        <v>7980321</v>
      </c>
      <c r="N12" s="3"/>
      <c r="O12" s="196">
        <v>2302826.6666666665</v>
      </c>
      <c r="P12" s="196">
        <v>3075251.6666666665</v>
      </c>
      <c r="Q12" s="196"/>
      <c r="R12" s="196">
        <v>1440118.3333333333</v>
      </c>
      <c r="S12" s="196">
        <v>1586185</v>
      </c>
      <c r="T12" s="196">
        <v>2966965.3333333335</v>
      </c>
      <c r="U12" s="196">
        <v>4918630.666666667</v>
      </c>
      <c r="V12" s="196">
        <v>1926754.6666666667</v>
      </c>
    </row>
    <row r="13" spans="1:22" ht="16.5" x14ac:dyDescent="0.25">
      <c r="A13" s="226"/>
      <c r="B13" s="14"/>
      <c r="C13" s="13"/>
      <c r="D13" s="32"/>
      <c r="E13" s="32"/>
      <c r="F13" s="32"/>
      <c r="G13" s="32"/>
      <c r="H13" s="32"/>
      <c r="I13" s="32"/>
      <c r="J13" s="32"/>
      <c r="K13" s="13"/>
      <c r="L13" s="13"/>
      <c r="M13" s="13"/>
      <c r="N13" s="3"/>
      <c r="O13" s="196">
        <v>764465.5</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2036981</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56937</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2295364.6666666665</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2945645.6666666665</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3253453.3333333335</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257316.66666666666</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3480834</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Estrone-0,04µg/L</v>
      </c>
      <c r="J22" s="3" t="str">
        <f t="shared" si="0"/>
        <v>Estrone-0,2µg/L</v>
      </c>
      <c r="K22" s="3" t="str">
        <f t="shared" si="0"/>
        <v>Estrone-1µg/L</v>
      </c>
      <c r="L22" s="3" t="str">
        <f t="shared" si="0"/>
        <v>Estrone-5µg/L</v>
      </c>
      <c r="M22" s="3" t="str">
        <f t="shared" si="0"/>
        <v>Estrone-25µg/L</v>
      </c>
      <c r="N22" s="3" t="s">
        <v>41</v>
      </c>
      <c r="O22" s="3" t="str">
        <f t="shared" si="0"/>
        <v>Testo -30µg/L</v>
      </c>
      <c r="P22" s="3" t="str">
        <f t="shared" si="0"/>
        <v>Testo 30µg/L + EE2 -64ng/L</v>
      </c>
      <c r="Q22" s="3" t="str">
        <f t="shared" si="0"/>
        <v>Testo 30µg/L + FAD-10µg/L</v>
      </c>
      <c r="R22" s="3" t="str">
        <f t="shared" si="0"/>
        <v>Estrone-0,04µg/L + Testostérone</v>
      </c>
      <c r="S22" s="3" t="str">
        <f t="shared" si="0"/>
        <v>Estrone-0,2µg/L + Testostérone</v>
      </c>
      <c r="T22" s="3" t="str">
        <f t="shared" si="0"/>
        <v>Estrone-1µg/L + Testostérone</v>
      </c>
      <c r="U22" s="3" t="str">
        <f t="shared" si="0"/>
        <v>Estrone-5µg/L + Testostérone</v>
      </c>
      <c r="V22" s="3" t="str">
        <f t="shared" si="0"/>
        <v>Estrone-25µg/L + Testostérone</v>
      </c>
    </row>
    <row r="23" spans="1:22" x14ac:dyDescent="0.25">
      <c r="A23" s="5" t="s">
        <v>0</v>
      </c>
      <c r="B23" s="5">
        <f t="shared" ref="B23:J23" si="1">AVERAGE(B5:B20)</f>
        <v>140244.625</v>
      </c>
      <c r="C23" s="5">
        <f t="shared" si="1"/>
        <v>210181.25000000003</v>
      </c>
      <c r="D23" s="5">
        <f t="shared" si="1"/>
        <v>105400.70833333336</v>
      </c>
      <c r="E23" s="5">
        <f t="shared" si="1"/>
        <v>265458.92857142858</v>
      </c>
      <c r="F23" s="5">
        <f t="shared" si="1"/>
        <v>1107357</v>
      </c>
      <c r="G23" s="5">
        <f t="shared" si="1"/>
        <v>2324154.7083333335</v>
      </c>
      <c r="H23" s="5">
        <f t="shared" si="1"/>
        <v>4108018.125</v>
      </c>
      <c r="I23" s="5">
        <f t="shared" si="1"/>
        <v>110858.66666666667</v>
      </c>
      <c r="J23" s="5">
        <f t="shared" si="1"/>
        <v>118057.625</v>
      </c>
      <c r="K23" s="5"/>
      <c r="L23" s="5">
        <f>AVERAGE(L5:L20)</f>
        <v>3871591.5714285714</v>
      </c>
      <c r="M23" s="5"/>
      <c r="N23" s="5" t="s">
        <v>0</v>
      </c>
      <c r="O23" s="5">
        <f>AVERAGE(O5:O20)</f>
        <v>1823716.46875</v>
      </c>
      <c r="P23" s="5">
        <f>AVERAGE(P5:P20)</f>
        <v>3187752.9375000005</v>
      </c>
      <c r="Q23" s="5">
        <f>AVERAGE(Q5:Q20)</f>
        <v>91065.095238095251</v>
      </c>
      <c r="R23" s="5">
        <f>AVERAGE(R5:R20)</f>
        <v>1673216.6250000002</v>
      </c>
      <c r="S23" s="5">
        <f>AVERAGE(S5:S20)</f>
        <v>1788651.7916666667</v>
      </c>
      <c r="T23" s="5">
        <f t="shared" ref="T23:V23" si="2">AVERAGE(T5:T20)</f>
        <v>2194859.2916666665</v>
      </c>
      <c r="U23" s="5">
        <f t="shared" si="2"/>
        <v>4199345.791666667</v>
      </c>
      <c r="V23" s="5">
        <f t="shared" si="2"/>
        <v>5566934.625</v>
      </c>
    </row>
    <row r="24" spans="1:22" x14ac:dyDescent="0.25">
      <c r="A24" s="3" t="s">
        <v>1</v>
      </c>
      <c r="B24" s="3">
        <f t="shared" ref="B24:J24" si="3">STDEV(B5:B20)</f>
        <v>69156.248702608689</v>
      </c>
      <c r="C24" s="3">
        <f t="shared" si="3"/>
        <v>227586.63147984169</v>
      </c>
      <c r="D24" s="3">
        <f t="shared" si="3"/>
        <v>84631.470948476199</v>
      </c>
      <c r="E24" s="3">
        <f t="shared" si="3"/>
        <v>212391.98667610058</v>
      </c>
      <c r="F24" s="3">
        <f t="shared" si="3"/>
        <v>729136.0310880224</v>
      </c>
      <c r="G24" s="3">
        <f t="shared" si="3"/>
        <v>1176241.2703549671</v>
      </c>
      <c r="H24" s="3">
        <f t="shared" si="3"/>
        <v>2023180.6425372462</v>
      </c>
      <c r="I24" s="3">
        <f t="shared" si="3"/>
        <v>60388.070609750837</v>
      </c>
      <c r="J24" s="3">
        <f t="shared" si="3"/>
        <v>105711.52355010183</v>
      </c>
      <c r="K24" s="3"/>
      <c r="L24" s="3">
        <f>STDEV(L5:L20)</f>
        <v>1210876.583029812</v>
      </c>
      <c r="M24" s="3"/>
      <c r="N24" s="3" t="s">
        <v>1</v>
      </c>
      <c r="O24" s="3">
        <f>STDEV(O5:O20)</f>
        <v>1095751.3103344364</v>
      </c>
      <c r="P24" s="3">
        <f>STDEV(P5:P20)</f>
        <v>946195.64417073014</v>
      </c>
      <c r="Q24" s="3">
        <f>STDEV(Q5:Q20)</f>
        <v>59434.989279826739</v>
      </c>
      <c r="R24" s="3">
        <f>STDEV(R5:R20)</f>
        <v>940112.03665183624</v>
      </c>
      <c r="S24" s="3">
        <f>STDEV(S5:S20)</f>
        <v>951001.30325647886</v>
      </c>
      <c r="T24" s="3">
        <f t="shared" ref="T24:V24" si="4">STDEV(T5:T20)</f>
        <v>1299607.7849926762</v>
      </c>
      <c r="U24" s="3">
        <f t="shared" si="4"/>
        <v>1339387.0260295728</v>
      </c>
      <c r="V24" s="3">
        <f t="shared" si="4"/>
        <v>2011347.1552834376</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Estrone-0,04µg/L</v>
      </c>
      <c r="J27" s="35" t="str">
        <f t="shared" si="5"/>
        <v>Estrone-0,2µg/L</v>
      </c>
      <c r="K27" s="35" t="str">
        <f t="shared" si="5"/>
        <v>Estrone-1µg/L</v>
      </c>
      <c r="L27" s="35" t="str">
        <f t="shared" si="5"/>
        <v>Estrone-5µg/L</v>
      </c>
      <c r="M27" s="35" t="str">
        <f t="shared" si="5"/>
        <v>Estrone-25µg/L</v>
      </c>
      <c r="N27" s="3"/>
      <c r="O27" s="36" t="str">
        <f>O4</f>
        <v>Testo -30µg/L</v>
      </c>
      <c r="P27" s="36" t="str">
        <f t="shared" ref="P27:V27" si="6">P4</f>
        <v>Testo 30µg/L + EE2 -64ng/L</v>
      </c>
      <c r="Q27" s="36" t="str">
        <f t="shared" si="6"/>
        <v>Testo 30µg/L + FAD-10µg/L</v>
      </c>
      <c r="R27" s="36" t="str">
        <f t="shared" si="6"/>
        <v>Estrone-0,04µg/L + Testostérone</v>
      </c>
      <c r="S27" s="36" t="str">
        <f t="shared" si="6"/>
        <v>Estrone-0,2µg/L + Testostérone</v>
      </c>
      <c r="T27" s="36" t="str">
        <f t="shared" si="6"/>
        <v>Estrone-1µg/L + Testostérone</v>
      </c>
      <c r="U27" s="36" t="str">
        <f t="shared" si="6"/>
        <v>Estrone-5µg/L + Testostérone</v>
      </c>
      <c r="V27" s="36" t="str">
        <f t="shared" si="6"/>
        <v>Estrone-25µg/L + Testostérone</v>
      </c>
    </row>
    <row r="28" spans="1:22" x14ac:dyDescent="0.25">
      <c r="A28" s="227" t="s">
        <v>34</v>
      </c>
      <c r="B28" s="11">
        <f>IF(B5="","",(B5/$O$23))</f>
        <v>0.13823219653553032</v>
      </c>
      <c r="C28" s="11">
        <f>IF(C5="","",(C5/$O$23))</f>
        <v>2.2451589397225667E-2</v>
      </c>
      <c r="D28" s="11">
        <f>IF(D5="","",(D5/$O$23))</f>
        <v>4.5401428759419556E-2</v>
      </c>
      <c r="E28" s="11">
        <f>IF(E5="","",(E5/$O$23))</f>
        <v>3.1334914708078851E-2</v>
      </c>
      <c r="F28" s="11">
        <f>IF(F5="","",(F5/$O$23))</f>
        <v>0.3132314387251614</v>
      </c>
      <c r="G28" s="11">
        <f>IF(G5="","",(G5/$O$23))</f>
        <v>1.9478274506315032</v>
      </c>
      <c r="H28" s="11">
        <f>IF(H5="","",(H5/$O$23))</f>
        <v>1.9652144735286172</v>
      </c>
      <c r="I28" s="11">
        <f>IF(I5="","",(I5/$O$23))</f>
        <v>6.2891537856182081E-2</v>
      </c>
      <c r="J28" s="11">
        <f>IF(J5="","",(J5/$O$23))</f>
        <v>9.4514874590937339E-2</v>
      </c>
      <c r="K28" s="11">
        <f>IF(K5="","",(K5/$O$23))</f>
        <v>0.25743658149620652</v>
      </c>
      <c r="L28" s="11">
        <f>IF(L5="","",(L5/$O$23))</f>
        <v>2.2315859234355013</v>
      </c>
      <c r="M28" s="11">
        <f>IF(M5="","",(M5/$O$23))</f>
        <v>3.237556075468397</v>
      </c>
      <c r="N28" s="6"/>
      <c r="O28" s="11">
        <f t="shared" ref="O28:V39" si="7">IF(O5="","",(O5/$O$23))</f>
        <v>1.0404007599385781</v>
      </c>
      <c r="P28" s="11">
        <f t="shared" si="7"/>
        <v>1.1645033843751103</v>
      </c>
      <c r="Q28" s="11">
        <f t="shared" si="7"/>
        <v>6.0851381543278432E-2</v>
      </c>
      <c r="R28" s="11">
        <f t="shared" si="7"/>
        <v>0.72998810733217667</v>
      </c>
      <c r="S28" s="11">
        <f t="shared" si="7"/>
        <v>0.88918555110971564</v>
      </c>
      <c r="T28" s="11">
        <f t="shared" si="7"/>
        <v>0.21296822906516658</v>
      </c>
      <c r="U28" s="11">
        <f t="shared" si="7"/>
        <v>2.582952493283504</v>
      </c>
      <c r="V28" s="11">
        <f t="shared" si="7"/>
        <v>2.3821530052006157</v>
      </c>
    </row>
    <row r="29" spans="1:22" x14ac:dyDescent="0.25">
      <c r="A29" s="227"/>
      <c r="B29" s="11">
        <f>IF(B6="","",(B6/$O$23))</f>
        <v>0.10440255924056542</v>
      </c>
      <c r="C29" s="11">
        <f>IF(C6="","",(C6/$O$23))</f>
        <v>8.1953528720635997E-3</v>
      </c>
      <c r="D29" s="11">
        <f>IF(D6="","",(D6/$O$23))</f>
        <v>7.6495260670802478E-2</v>
      </c>
      <c r="E29" s="11" t="str">
        <f>IF(E6="","",(E6/$O$23))</f>
        <v/>
      </c>
      <c r="F29" s="11">
        <f>IF(F6="","",(F6/$O$23))</f>
        <v>0.38043614704110879</v>
      </c>
      <c r="G29" s="11">
        <f>IF(G6="","",(G6/$O$23))</f>
        <v>1.4733743134105259</v>
      </c>
      <c r="H29" s="11">
        <f>IF(H6="","",(H6/$O$23))</f>
        <v>2.9347537067179688</v>
      </c>
      <c r="I29" s="11">
        <f>IF(I6="","",(I6/$O$23))</f>
        <v>6.4725887323688003E-2</v>
      </c>
      <c r="J29" s="11">
        <f>IF(J6="","",(J6/$O$23))</f>
        <v>6.3523946102253273E-2</v>
      </c>
      <c r="K29" s="11">
        <f>IF(K6="","",(K6/$O$23))</f>
        <v>0.16540820452941732</v>
      </c>
      <c r="L29" s="11">
        <f>IF(L6="","",(L6/$O$23))</f>
        <v>2.7682307455721382</v>
      </c>
      <c r="M29" s="11">
        <f>IF(M6="","",(M6/$O$23))</f>
        <v>4.4415425709706184</v>
      </c>
      <c r="N29" s="6"/>
      <c r="O29" s="11">
        <f t="shared" si="7"/>
        <v>1.7487316264970623</v>
      </c>
      <c r="P29" s="11">
        <f t="shared" si="7"/>
        <v>1.4376271631359272</v>
      </c>
      <c r="Q29" s="11">
        <f t="shared" si="7"/>
        <v>0.1084508859001697</v>
      </c>
      <c r="R29" s="11">
        <f t="shared" si="7"/>
        <v>0.29772208343263973</v>
      </c>
      <c r="S29" s="11">
        <f t="shared" si="7"/>
        <v>1.3250330893392424</v>
      </c>
      <c r="T29" s="11">
        <f t="shared" si="7"/>
        <v>1.3889406842589824</v>
      </c>
      <c r="U29" s="11">
        <f t="shared" si="7"/>
        <v>2.5198949939569655</v>
      </c>
      <c r="V29" s="11">
        <f t="shared" si="7"/>
        <v>2.6200951455693033</v>
      </c>
    </row>
    <row r="30" spans="1:22" x14ac:dyDescent="0.25">
      <c r="A30" s="227"/>
      <c r="B30" s="11">
        <f>IF(B7="","",(B7/$O$23))</f>
        <v>5.671203196270784E-2</v>
      </c>
      <c r="C30" s="11">
        <f>IF(C7="","",(C7/$O$23))</f>
        <v>0.38249586048763373</v>
      </c>
      <c r="D30" s="11">
        <f>IF(D7="","",(D7/$O$23))</f>
        <v>3.4019542545735977E-2</v>
      </c>
      <c r="E30" s="11">
        <f>IF(E7="","",(E7/$O$23))</f>
        <v>7.970939333183194E-2</v>
      </c>
      <c r="F30" s="11">
        <f>IF(F7="","",(F7/$O$23))</f>
        <v>1.3582421988898687</v>
      </c>
      <c r="G30" s="11">
        <f>IF(G7="","",(G7/$O$23))</f>
        <v>1.5289953497602859</v>
      </c>
      <c r="H30" s="11">
        <f>IF(H7="","",(H7/$O$23))</f>
        <v>2.8108212476216363</v>
      </c>
      <c r="I30" s="11">
        <f>IF(I7="","",(I7/$O$23))</f>
        <v>1.4287856937465626E-2</v>
      </c>
      <c r="J30" s="11">
        <f>IF(J7="","",(J7/$O$23))</f>
        <v>7.9621294842061319E-3</v>
      </c>
      <c r="K30" s="11">
        <f>IF(K7="","",(K7/$O$23))</f>
        <v>6.7563499468270439E-3</v>
      </c>
      <c r="L30" s="11">
        <f>IF(L7="","",(L7/$O$23))</f>
        <v>1.1534930837002311</v>
      </c>
      <c r="M30" s="11">
        <f>IF(M7="","",(M7/$O$23))</f>
        <v>1.7434104411595277</v>
      </c>
      <c r="N30" s="6"/>
      <c r="O30" s="11">
        <f t="shared" si="7"/>
        <v>1.0233178778858174</v>
      </c>
      <c r="P30" s="11">
        <f t="shared" si="7"/>
        <v>1.9313809979177079</v>
      </c>
      <c r="Q30" s="11">
        <f t="shared" si="7"/>
        <v>4.2503682998375439E-2</v>
      </c>
      <c r="R30" s="11">
        <f t="shared" si="7"/>
        <v>1.2709616359693063</v>
      </c>
      <c r="S30" s="11">
        <f t="shared" si="7"/>
        <v>1.7762596628961325</v>
      </c>
      <c r="T30" s="11">
        <f t="shared" si="7"/>
        <v>1.4870690591461126</v>
      </c>
      <c r="U30" s="11">
        <f t="shared" si="7"/>
        <v>3.5040816063439046</v>
      </c>
      <c r="V30" s="11">
        <f t="shared" si="7"/>
        <v>3.1069381838817334</v>
      </c>
    </row>
    <row r="31" spans="1:22" x14ac:dyDescent="0.25">
      <c r="A31" s="227"/>
      <c r="B31" s="11">
        <f>IF(B8="","",(B8/$O$23))</f>
        <v>3.0856770207581097E-2</v>
      </c>
      <c r="C31" s="11">
        <f>IF(C8="","",(C8/$O$23))</f>
        <v>0.16670500698776272</v>
      </c>
      <c r="D31" s="11">
        <f>IF(D8="","",(D8/$O$23))</f>
        <v>3.6620641317365782E-2</v>
      </c>
      <c r="E31" s="11">
        <f>IF(E8="","",(E8/$O$23))</f>
        <v>0.31586836177893862</v>
      </c>
      <c r="F31" s="11">
        <f>IF(F8="","",(F8/$O$23))</f>
        <v>0.59469313637883259</v>
      </c>
      <c r="G31" s="11">
        <f>IF(G8="","",(G8/$O$23))</f>
        <v>2.032873748118547</v>
      </c>
      <c r="H31" s="11">
        <f>IF(H8="","",(H8/$O$23))</f>
        <v>4.0346300860991953</v>
      </c>
      <c r="I31" s="11">
        <f>IF(I8="","",(I8/$O$23))</f>
        <v>5.269148739946275E-2</v>
      </c>
      <c r="J31" s="11">
        <f>IF(J8="","",(J8/$O$23))</f>
        <v>1.240196437013541E-2</v>
      </c>
      <c r="K31" s="11">
        <f>IF(K8="","",(K8/$O$23))</f>
        <v>0.23940892539028347</v>
      </c>
      <c r="L31" s="11">
        <f>IF(L8="","",(L8/$O$23))</f>
        <v>2.3074803962725361</v>
      </c>
      <c r="M31" s="11">
        <f>IF(M8="","",(M8/$O$23))</f>
        <v>3.408823560675359</v>
      </c>
      <c r="N31" s="6"/>
      <c r="O31" s="11">
        <f t="shared" si="7"/>
        <v>0.79722023219058391</v>
      </c>
      <c r="P31" s="11">
        <f t="shared" si="7"/>
        <v>1.1392744078382386</v>
      </c>
      <c r="Q31" s="11">
        <f t="shared" si="7"/>
        <v>2.4001537930949279E-2</v>
      </c>
      <c r="R31" s="11">
        <f t="shared" si="7"/>
        <v>0.76039798789766411</v>
      </c>
      <c r="S31" s="11">
        <f t="shared" si="7"/>
        <v>1.5729259724052158</v>
      </c>
      <c r="T31" s="11">
        <f t="shared" si="7"/>
        <v>1.6401621183565169</v>
      </c>
      <c r="U31" s="11">
        <f t="shared" si="7"/>
        <v>1.9190225344616085</v>
      </c>
      <c r="V31" s="11">
        <f t="shared" si="7"/>
        <v>2.8762151846965933</v>
      </c>
    </row>
    <row r="32" spans="1:22" x14ac:dyDescent="0.25">
      <c r="A32" s="227"/>
      <c r="B32" s="11">
        <f>IF(B9="","",(B9/$O$23))</f>
        <v>9.0435110295979226E-2</v>
      </c>
      <c r="C32" s="11">
        <f>IF(C9="","",(C9/$O$23))</f>
        <v>7.4490745863096494E-2</v>
      </c>
      <c r="D32" s="11">
        <f>IF(D9="","",(D9/$O$23))</f>
        <v>0.16591833499611808</v>
      </c>
      <c r="E32" s="11">
        <f>IF(E9="","",(E9/$O$23))</f>
        <v>0.24866785733283503</v>
      </c>
      <c r="F32" s="11">
        <f>IF(F9="","",(F9/$O$23))</f>
        <v>0.40994091615152556</v>
      </c>
      <c r="G32" s="11">
        <f>IF(G9="","",(G9/$O$23))</f>
        <v>1.0404917828595444</v>
      </c>
      <c r="H32" s="11">
        <f>IF(H9="","",(H9/$O$23))</f>
        <v>0.75429780720037343</v>
      </c>
      <c r="I32" s="11">
        <f>IF(I9="","",(I9/$O$23))</f>
        <v>5.5344312047866585E-2</v>
      </c>
      <c r="J32" s="11">
        <f>IF(J9="","",(J9/$O$23))</f>
        <v>9.6067564778906916E-3</v>
      </c>
      <c r="K32" s="11">
        <f>IF(K9="","",(K9/$O$23))</f>
        <v>0.84064300908068446</v>
      </c>
      <c r="L32" s="11">
        <f>IF(L9="","",(L9/$O$23))</f>
        <v>2.0404922569372577</v>
      </c>
      <c r="M32" s="11">
        <f>IF(M9="","",(M9/$O$23))</f>
        <v>2.8822442651604381</v>
      </c>
      <c r="N32" s="6"/>
      <c r="O32" s="11">
        <f t="shared" si="7"/>
        <v>0.87422946164403148</v>
      </c>
      <c r="P32" s="11">
        <f t="shared" si="7"/>
        <v>2.6948783345519702</v>
      </c>
      <c r="Q32" s="11">
        <f t="shared" si="7"/>
        <v>6.5022351536152587E-2</v>
      </c>
      <c r="R32" s="11">
        <f t="shared" si="7"/>
        <v>1.1659149707578871</v>
      </c>
      <c r="S32" s="11">
        <f t="shared" si="7"/>
        <v>0.44916686011036494</v>
      </c>
      <c r="T32" s="11">
        <f t="shared" si="7"/>
        <v>0.50884810362146193</v>
      </c>
      <c r="U32" s="11">
        <f t="shared" si="7"/>
        <v>0.94967704483897275</v>
      </c>
      <c r="V32" s="11">
        <f t="shared" si="7"/>
        <v>3.8195272050381144</v>
      </c>
    </row>
    <row r="33" spans="1:22" x14ac:dyDescent="0.25">
      <c r="A33" s="227"/>
      <c r="B33" s="11">
        <f>IF(B10="","",(B10/$O$23))</f>
        <v>9.2569945068843834E-2</v>
      </c>
      <c r="C33" s="11">
        <f>IF(C10="","",(C10/$O$23))</f>
        <v>2.4546944348948246E-2</v>
      </c>
      <c r="D33" s="11">
        <f>IF(D10="","",(D10/$O$23))</f>
        <v>3.0093676442451842E-2</v>
      </c>
      <c r="E33" s="11">
        <f>IF(E10="","",(E10/$O$23))</f>
        <v>6.4027770764188308E-2</v>
      </c>
      <c r="F33" s="11">
        <f>IF(F10="","",(F10/$O$23))</f>
        <v>9.8484424385207311E-2</v>
      </c>
      <c r="G33" s="11">
        <f>IF(G10="","",(G10/$O$23))</f>
        <v>0.74762023411888068</v>
      </c>
      <c r="H33" s="11">
        <f>IF(H10="","",(H10/$O$23))</f>
        <v>1.4529429576386832</v>
      </c>
      <c r="I33" s="11">
        <f>IF(I10="","",(I10/$O$23))</f>
        <v>4.8022450218570101E-2</v>
      </c>
      <c r="J33" s="11">
        <f>IF(J10="","",(J10/$O$23))</f>
        <v>5.2754728224069874E-2</v>
      </c>
      <c r="K33" s="11">
        <f>IF(K10="","",(K10/$O$23))</f>
        <v>3.1208433058864615E-2</v>
      </c>
      <c r="L33" s="11" t="str">
        <f>IF(L10="","",(L10/$O$23))</f>
        <v/>
      </c>
      <c r="M33" s="11">
        <f>IF(M10="","",(M10/$O$23))</f>
        <v>4.3219508816534615</v>
      </c>
      <c r="N33" s="6"/>
      <c r="O33" s="11">
        <f t="shared" si="7"/>
        <v>0.10734417146954513</v>
      </c>
      <c r="P33" s="11">
        <f t="shared" si="7"/>
        <v>1.8084525326062511</v>
      </c>
      <c r="Q33" s="11">
        <f t="shared" si="7"/>
        <v>7.5433874923711329E-3</v>
      </c>
      <c r="R33" s="11">
        <f t="shared" si="7"/>
        <v>1.9018528333577256</v>
      </c>
      <c r="S33" s="11">
        <f t="shared" si="7"/>
        <v>0.49774294170967193</v>
      </c>
      <c r="T33" s="11">
        <f t="shared" si="7"/>
        <v>0.50328546993333168</v>
      </c>
      <c r="U33" s="11">
        <f t="shared" si="7"/>
        <v>2.0551317767260069</v>
      </c>
      <c r="V33" s="11">
        <f t="shared" si="7"/>
        <v>3.9179204237254055</v>
      </c>
    </row>
    <row r="34" spans="1:22" x14ac:dyDescent="0.25">
      <c r="A34" s="227"/>
      <c r="B34" s="11">
        <f>IF(B11="","",(B11/$O$23))</f>
        <v>2.6001848868811451E-2</v>
      </c>
      <c r="C34" s="11">
        <f>IF(C11="","",(C11/$O$23))</f>
        <v>7.2031847558357828E-2</v>
      </c>
      <c r="D34" s="11">
        <f>IF(D11="","",(D11/$O$23))</f>
        <v>2.6254812167239929E-2</v>
      </c>
      <c r="E34" s="11">
        <f>IF(E11="","",(E11/$O$23))</f>
        <v>4.5733351700132069E-2</v>
      </c>
      <c r="F34" s="11">
        <f>IF(F11="","",(F11/$O$23))</f>
        <v>0.84873390492597645</v>
      </c>
      <c r="G34" s="11">
        <f>IF(G11="","",(G11/$O$23))</f>
        <v>7.4075659410256123E-2</v>
      </c>
      <c r="H34" s="11">
        <f>IF(H11="","",(H11/$O$23))</f>
        <v>1.1395256347556448</v>
      </c>
      <c r="I34" s="11">
        <f>IF(I11="","",(I11/$O$23))</f>
        <v>0.13293861051740494</v>
      </c>
      <c r="J34" s="11">
        <f>IF(J11="","",(J11/$O$23))</f>
        <v>0.10258794968363052</v>
      </c>
      <c r="K34" s="11">
        <f>IF(K11="","",(K11/$O$23))</f>
        <v>0.63820081316208344</v>
      </c>
      <c r="L34" s="11">
        <f>IF(L11="","",(L11/$O$23))</f>
        <v>1.3954084294021833</v>
      </c>
      <c r="M34" s="11">
        <f>IF(M11="","",(M11/$O$23))</f>
        <v>3.3957650615017876</v>
      </c>
      <c r="N34" s="6"/>
      <c r="O34" s="11">
        <f t="shared" si="7"/>
        <v>0.87118531154625234</v>
      </c>
      <c r="P34" s="11">
        <f t="shared" si="7"/>
        <v>2.1211740236416614</v>
      </c>
      <c r="Q34" s="11">
        <f t="shared" si="7"/>
        <v>4.1163379625993923E-2</v>
      </c>
      <c r="R34" s="11">
        <f t="shared" si="7"/>
        <v>0.4233114155782885</v>
      </c>
      <c r="S34" s="11">
        <f t="shared" si="7"/>
        <v>0.46611540110507288</v>
      </c>
      <c r="T34" s="11">
        <f t="shared" si="7"/>
        <v>2.2599201889598368</v>
      </c>
      <c r="U34" s="11">
        <f t="shared" si="7"/>
        <v>2.1932493721140554</v>
      </c>
      <c r="V34" s="11">
        <f t="shared" si="7"/>
        <v>4.6408277520249817</v>
      </c>
    </row>
    <row r="35" spans="1:22" x14ac:dyDescent="0.25">
      <c r="A35" s="227"/>
      <c r="B35" s="11">
        <f>IF(B12="","",(B12/$O$23))</f>
        <v>7.5993172389889896E-2</v>
      </c>
      <c r="C35" s="11">
        <f>IF(C12="","",(C12/$O$23))</f>
        <v>0.17107355886329667</v>
      </c>
      <c r="D35" s="11">
        <f>IF(D12="","",(D12/$O$23))</f>
        <v>4.7551982349961067E-2</v>
      </c>
      <c r="E35" s="11">
        <f>IF(E12="","",(E12/$O$23))</f>
        <v>0.23357358849315377</v>
      </c>
      <c r="F35" s="11">
        <f>IF(F12="","",(F12/$O$23))</f>
        <v>0.85382186687565387</v>
      </c>
      <c r="G35" s="11">
        <f>IF(G12="","",(G12/$O$23))</f>
        <v>1.3499872607321928</v>
      </c>
      <c r="H35" s="11">
        <f>IF(H12="","",(H12/$O$23))</f>
        <v>2.9282386223447872</v>
      </c>
      <c r="I35" s="11">
        <f>IF(I12="","",(I12/$O$23))</f>
        <v>5.5395672370741153E-2</v>
      </c>
      <c r="J35" s="11">
        <f>IF(J12="","",(J12/$O$23))</f>
        <v>0.17452475322812797</v>
      </c>
      <c r="K35" s="11">
        <f>IF(K12="","",(K12/$O$23))</f>
        <v>2.2226042641256924E-2</v>
      </c>
      <c r="L35" s="11">
        <f>IF(L12="","",(L12/$O$23))</f>
        <v>2.9637008233547544</v>
      </c>
      <c r="M35" s="11">
        <f>IF(M12="","",(M12/$O$23))</f>
        <v>4.3758561907760916</v>
      </c>
      <c r="N35" s="6"/>
      <c r="O35" s="11">
        <f t="shared" si="7"/>
        <v>1.2627109016814742</v>
      </c>
      <c r="P35" s="11">
        <f t="shared" si="7"/>
        <v>1.6862553578706705</v>
      </c>
      <c r="Q35" s="11" t="str">
        <f t="shared" si="7"/>
        <v/>
      </c>
      <c r="R35" s="11">
        <f t="shared" si="7"/>
        <v>0.78966130865748552</v>
      </c>
      <c r="S35" s="11">
        <f t="shared" si="7"/>
        <v>0.86975416802985428</v>
      </c>
      <c r="T35" s="11">
        <f t="shared" si="7"/>
        <v>1.6268786207578263</v>
      </c>
      <c r="U35" s="11">
        <f t="shared" si="7"/>
        <v>2.6970369303282999</v>
      </c>
      <c r="V35" s="11">
        <f t="shared" si="7"/>
        <v>1.0564990225631348</v>
      </c>
    </row>
    <row r="36" spans="1:22" x14ac:dyDescent="0.25">
      <c r="A36" s="227"/>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0.4191800167950312</v>
      </c>
      <c r="P36" s="11" t="str">
        <f t="shared" si="7"/>
        <v/>
      </c>
      <c r="Q36" s="11" t="str">
        <f t="shared" si="7"/>
        <v/>
      </c>
      <c r="R36" s="11" t="str">
        <f t="shared" si="7"/>
        <v/>
      </c>
      <c r="S36" s="11" t="str">
        <f t="shared" si="7"/>
        <v/>
      </c>
      <c r="T36" s="11" t="str">
        <f t="shared" si="7"/>
        <v/>
      </c>
      <c r="U36" s="11" t="str">
        <f t="shared" si="7"/>
        <v/>
      </c>
      <c r="V36" s="11" t="str">
        <f t="shared" si="7"/>
        <v/>
      </c>
    </row>
    <row r="37" spans="1:22" x14ac:dyDescent="0.25">
      <c r="A37" s="227"/>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1.1169395215234166</v>
      </c>
      <c r="P37" s="11" t="str">
        <f t="shared" si="7"/>
        <v/>
      </c>
      <c r="Q37" s="11" t="str">
        <f t="shared" si="7"/>
        <v/>
      </c>
      <c r="R37" s="11" t="str">
        <f t="shared" si="7"/>
        <v/>
      </c>
      <c r="S37" s="11" t="str">
        <f t="shared" si="7"/>
        <v/>
      </c>
      <c r="T37" s="11" t="str">
        <f t="shared" si="7"/>
        <v/>
      </c>
      <c r="U37" s="11" t="str">
        <f t="shared" si="7"/>
        <v/>
      </c>
      <c r="V37" s="11" t="str">
        <f t="shared" si="7"/>
        <v/>
      </c>
    </row>
    <row r="38" spans="1:22" x14ac:dyDescent="0.25">
      <c r="A38" s="227"/>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7"/>
        <v>3.1220313560597165E-2</v>
      </c>
      <c r="P38" s="11" t="str">
        <f t="shared" si="7"/>
        <v/>
      </c>
      <c r="Q38" s="11" t="str">
        <f t="shared" si="7"/>
        <v/>
      </c>
      <c r="R38" s="11" t="str">
        <f t="shared" si="7"/>
        <v/>
      </c>
      <c r="S38" s="11" t="str">
        <f t="shared" si="7"/>
        <v/>
      </c>
      <c r="T38" s="11" t="str">
        <f t="shared" si="7"/>
        <v/>
      </c>
      <c r="U38" s="11" t="str">
        <f t="shared" si="7"/>
        <v/>
      </c>
      <c r="V38" s="11" t="str">
        <f t="shared" si="7"/>
        <v/>
      </c>
    </row>
    <row r="39" spans="1:22" x14ac:dyDescent="0.25">
      <c r="A39" s="227"/>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1.2586192568847836</v>
      </c>
      <c r="P39" s="11" t="str">
        <f t="shared" si="7"/>
        <v/>
      </c>
      <c r="Q39" s="11" t="str">
        <f t="shared" ref="Q39:V39" si="8">IF(Q16="","",(Q16/$O$23))</f>
        <v/>
      </c>
      <c r="R39" s="11" t="str">
        <f t="shared" si="8"/>
        <v/>
      </c>
      <c r="S39" s="11" t="str">
        <f t="shared" si="8"/>
        <v/>
      </c>
      <c r="T39" s="11" t="str">
        <f t="shared" si="8"/>
        <v/>
      </c>
      <c r="U39" s="11" t="str">
        <f t="shared" si="8"/>
        <v/>
      </c>
      <c r="V39" s="11" t="str">
        <f t="shared" si="8"/>
        <v/>
      </c>
    </row>
    <row r="40" spans="1:22" x14ac:dyDescent="0.25">
      <c r="A40" s="227"/>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3" si="9">IF(O17="","",(O17/$O$23))</f>
        <v>1.6151883898299455</v>
      </c>
      <c r="P40" s="11" t="str">
        <f t="shared" si="9"/>
        <v/>
      </c>
      <c r="Q40" s="11" t="str">
        <f t="shared" si="9"/>
        <v/>
      </c>
      <c r="R40" s="11" t="str">
        <f t="shared" si="9"/>
        <v/>
      </c>
      <c r="S40" s="11" t="str">
        <f t="shared" si="9"/>
        <v/>
      </c>
      <c r="T40" s="11" t="str">
        <f t="shared" si="9"/>
        <v/>
      </c>
      <c r="U40" s="11" t="str">
        <f t="shared" si="9"/>
        <v/>
      </c>
      <c r="V40" s="11" t="str">
        <f t="shared" si="9"/>
        <v/>
      </c>
    </row>
    <row r="41" spans="1:22" x14ac:dyDescent="0.25">
      <c r="A41" s="227"/>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1.7839688290819102</v>
      </c>
      <c r="P41" s="11" t="str">
        <f t="shared" si="9"/>
        <v/>
      </c>
      <c r="Q41" s="11" t="str">
        <f t="shared" si="9"/>
        <v/>
      </c>
      <c r="R41" s="11" t="str">
        <f t="shared" si="9"/>
        <v/>
      </c>
      <c r="S41" s="11" t="str">
        <f t="shared" si="9"/>
        <v/>
      </c>
      <c r="T41" s="11" t="str">
        <f t="shared" si="9"/>
        <v/>
      </c>
      <c r="U41" s="11" t="str">
        <f t="shared" si="9"/>
        <v/>
      </c>
      <c r="V41" s="11" t="str">
        <f t="shared" si="9"/>
        <v/>
      </c>
    </row>
    <row r="42" spans="1:22" x14ac:dyDescent="0.25">
      <c r="A42" s="227"/>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0.14109466634527623</v>
      </c>
      <c r="P42" s="11" t="str">
        <f t="shared" si="9"/>
        <v/>
      </c>
      <c r="Q42" s="11" t="str">
        <f t="shared" si="9"/>
        <v/>
      </c>
      <c r="R42" s="11" t="str">
        <f t="shared" si="9"/>
        <v/>
      </c>
      <c r="S42" s="11" t="str">
        <f t="shared" si="9"/>
        <v/>
      </c>
      <c r="T42" s="11" t="str">
        <f t="shared" si="9"/>
        <v/>
      </c>
      <c r="U42" s="11" t="str">
        <f t="shared" si="9"/>
        <v/>
      </c>
      <c r="V42" s="11" t="str">
        <f t="shared" si="9"/>
        <v/>
      </c>
    </row>
    <row r="43" spans="1:22" x14ac:dyDescent="0.25">
      <c r="A43" s="227"/>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1.9086486631256945</v>
      </c>
      <c r="P43" s="11" t="str">
        <f t="shared" si="9"/>
        <v/>
      </c>
      <c r="Q43" s="11" t="str">
        <f t="shared" si="9"/>
        <v/>
      </c>
      <c r="R43" s="11" t="str">
        <f t="shared" si="9"/>
        <v/>
      </c>
      <c r="S43" s="11" t="str">
        <f t="shared" si="9"/>
        <v/>
      </c>
      <c r="T43" s="11" t="str">
        <f t="shared" si="9"/>
        <v/>
      </c>
      <c r="U43" s="11" t="str">
        <f t="shared" si="9"/>
        <v/>
      </c>
      <c r="V43" s="11" t="str">
        <f t="shared" si="9"/>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10">B4</f>
        <v>Témoin solvant</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Estrone-0,04µg/L</v>
      </c>
      <c r="J45" s="7" t="str">
        <f t="shared" si="10"/>
        <v>Estrone-0,2µg/L</v>
      </c>
      <c r="K45" s="7" t="str">
        <f t="shared" si="10"/>
        <v>Estrone-1µg/L</v>
      </c>
      <c r="L45" s="7" t="str">
        <f t="shared" si="10"/>
        <v>Estrone-5µg/L</v>
      </c>
      <c r="M45" s="7" t="str">
        <f t="shared" si="10"/>
        <v>Estrone-25µg/L</v>
      </c>
      <c r="N45" s="7"/>
      <c r="O45" s="7" t="str">
        <f t="shared" si="10"/>
        <v>Testo -30µg/L</v>
      </c>
      <c r="P45" s="7" t="str">
        <f t="shared" si="10"/>
        <v>Testo 30µg/L + EE2 -64ng/L</v>
      </c>
      <c r="Q45" s="7" t="str">
        <f t="shared" si="10"/>
        <v>Testo 30µg/L + FAD-10µg/L</v>
      </c>
      <c r="R45" s="7" t="str">
        <f t="shared" si="10"/>
        <v>Estrone-0,04µg/L + Testostérone</v>
      </c>
      <c r="S45" s="7" t="str">
        <f t="shared" si="10"/>
        <v>Estrone-0,2µg/L + Testostérone</v>
      </c>
      <c r="T45" s="7" t="str">
        <f t="shared" si="10"/>
        <v>Estrone-1µg/L + Testostérone</v>
      </c>
      <c r="U45" s="7" t="str">
        <f t="shared" si="10"/>
        <v>Estrone-5µg/L + Testostérone</v>
      </c>
      <c r="V45" s="7" t="str">
        <f t="shared" si="10"/>
        <v>Estrone-25µg/L + Testostérone</v>
      </c>
    </row>
    <row r="46" spans="1:22" x14ac:dyDescent="0.25">
      <c r="A46" s="8" t="s">
        <v>0</v>
      </c>
      <c r="B46" s="10">
        <f t="shared" ref="B46:H46" si="11">AVERAGE(B28:B43)</f>
        <v>7.6900454321238626E-2</v>
      </c>
      <c r="C46" s="10">
        <f t="shared" si="11"/>
        <v>0.11524886329729811</v>
      </c>
      <c r="D46" s="10">
        <f t="shared" si="11"/>
        <v>5.7794459906136839E-2</v>
      </c>
      <c r="E46" s="10">
        <f t="shared" si="11"/>
        <v>0.14555931972987976</v>
      </c>
      <c r="F46" s="10">
        <f t="shared" si="11"/>
        <v>0.60719800417166681</v>
      </c>
      <c r="G46" s="10">
        <f t="shared" si="11"/>
        <v>1.274405724880217</v>
      </c>
      <c r="H46" s="10">
        <f t="shared" si="11"/>
        <v>2.2525530669883631</v>
      </c>
      <c r="I46" s="10">
        <f>AVERAGE(I28:I43)</f>
        <v>6.0787226833922653E-2</v>
      </c>
      <c r="J46" s="9">
        <f>AVERAGE(J28:J43)</f>
        <v>6.4734637770156409E-2</v>
      </c>
      <c r="K46" s="9">
        <f t="shared" ref="K46:M46" si="12">AVERAGE(K28:K43)</f>
        <v>0.27516104491320298</v>
      </c>
      <c r="L46" s="9">
        <f t="shared" si="12"/>
        <v>2.1229130940963716</v>
      </c>
      <c r="M46" s="9">
        <f t="shared" si="12"/>
        <v>3.47589363092071</v>
      </c>
      <c r="N46" s="8" t="s">
        <v>0</v>
      </c>
      <c r="O46" s="10">
        <f t="shared" ref="O46:V46" si="13">AVERAGE(O28:O43)</f>
        <v>1.0000000000000002</v>
      </c>
      <c r="P46" s="10">
        <f t="shared" si="13"/>
        <v>1.7479432752421922</v>
      </c>
      <c r="Q46" s="10">
        <f t="shared" si="13"/>
        <v>4.9933801003898645E-2</v>
      </c>
      <c r="R46" s="10">
        <f t="shared" si="13"/>
        <v>0.91747629287289678</v>
      </c>
      <c r="S46" s="10">
        <f t="shared" si="13"/>
        <v>0.98077295583815882</v>
      </c>
      <c r="T46" s="10">
        <f t="shared" si="13"/>
        <v>1.2035090592624045</v>
      </c>
      <c r="U46" s="10">
        <f t="shared" si="13"/>
        <v>2.3026308440066647</v>
      </c>
      <c r="V46" s="10">
        <f t="shared" si="13"/>
        <v>3.0525219903374854</v>
      </c>
    </row>
    <row r="47" spans="1:22" x14ac:dyDescent="0.25">
      <c r="A47" s="8" t="s">
        <v>1</v>
      </c>
      <c r="B47" s="8">
        <f t="shared" ref="B47:M47" si="14">STDEV(B28:B43)</f>
        <v>3.7920504578219501E-2</v>
      </c>
      <c r="C47" s="8">
        <f t="shared" si="14"/>
        <v>0.12479277090469698</v>
      </c>
      <c r="D47" s="8">
        <f t="shared" si="14"/>
        <v>4.640604633377237E-2</v>
      </c>
      <c r="E47" s="8">
        <f t="shared" si="14"/>
        <v>0.11646107841625022</v>
      </c>
      <c r="F47" s="8">
        <f t="shared" si="14"/>
        <v>0.39980777910492971</v>
      </c>
      <c r="G47" s="8">
        <f t="shared" si="14"/>
        <v>0.64496937463156212</v>
      </c>
      <c r="H47" s="8">
        <f t="shared" si="14"/>
        <v>1.1093723597966754</v>
      </c>
      <c r="I47" s="8">
        <f t="shared" si="14"/>
        <v>3.3112642038672639E-2</v>
      </c>
      <c r="J47" s="8">
        <f t="shared" si="14"/>
        <v>5.7964889477890122E-2</v>
      </c>
      <c r="K47" s="8">
        <f t="shared" si="14"/>
        <v>0.30723091693379895</v>
      </c>
      <c r="L47" s="8">
        <f t="shared" si="14"/>
        <v>0.66396098504268308</v>
      </c>
      <c r="M47" s="8">
        <f t="shared" si="14"/>
        <v>0.91650459438096488</v>
      </c>
      <c r="N47" s="8" t="s">
        <v>1</v>
      </c>
      <c r="O47" s="8">
        <f t="shared" ref="O47:V47" si="15">STDEV(O28:O43)</f>
        <v>0.60083424650185813</v>
      </c>
      <c r="P47" s="8">
        <f t="shared" si="15"/>
        <v>0.51882826107243907</v>
      </c>
      <c r="Q47" s="8">
        <f t="shared" si="15"/>
        <v>3.2590038143683761E-2</v>
      </c>
      <c r="R47" s="8">
        <f t="shared" si="15"/>
        <v>0.51549243139543621</v>
      </c>
      <c r="S47" s="8">
        <f t="shared" si="15"/>
        <v>0.52146335219986717</v>
      </c>
      <c r="T47" s="8">
        <f t="shared" si="15"/>
        <v>0.71261504036504353</v>
      </c>
      <c r="U47" s="8">
        <f t="shared" si="15"/>
        <v>0.7344272253831251</v>
      </c>
      <c r="V47" s="8">
        <f t="shared" si="15"/>
        <v>1.1028836936818587</v>
      </c>
    </row>
    <row r="48" spans="1:22" x14ac:dyDescent="0.25">
      <c r="A48" s="8" t="s">
        <v>2</v>
      </c>
      <c r="B48" s="8">
        <f t="shared" ref="B48:M48" si="16" xml:space="preserve"> B47/SQRT(COUNT(B28:B43))</f>
        <v>1.3406922966637265E-2</v>
      </c>
      <c r="C48" s="8">
        <f t="shared" si="16"/>
        <v>4.4120907274885261E-2</v>
      </c>
      <c r="D48" s="8">
        <f t="shared" si="16"/>
        <v>1.6407015025333781E-2</v>
      </c>
      <c r="E48" s="8">
        <f t="shared" si="16"/>
        <v>4.4018150129684304E-2</v>
      </c>
      <c r="F48" s="8">
        <f t="shared" si="16"/>
        <v>0.14135339588811452</v>
      </c>
      <c r="G48" s="8">
        <f t="shared" si="16"/>
        <v>0.22803110922981218</v>
      </c>
      <c r="H48" s="8">
        <f t="shared" si="16"/>
        <v>0.39222235923657578</v>
      </c>
      <c r="I48" s="8">
        <f t="shared" si="16"/>
        <v>1.1707086864274083E-2</v>
      </c>
      <c r="J48" s="8">
        <f t="shared" si="16"/>
        <v>2.049368321027243E-2</v>
      </c>
      <c r="K48" s="8">
        <f t="shared" si="16"/>
        <v>0.10862253237702506</v>
      </c>
      <c r="L48" s="8">
        <f t="shared" si="16"/>
        <v>0.25095366381034512</v>
      </c>
      <c r="M48" s="8">
        <f t="shared" si="16"/>
        <v>0.32403330683770321</v>
      </c>
      <c r="N48" s="8" t="s">
        <v>2</v>
      </c>
      <c r="O48" s="8">
        <f t="shared" ref="O48:V48" si="17" xml:space="preserve"> O47/SQRT(COUNT(O28:O43))</f>
        <v>0.15020856162546453</v>
      </c>
      <c r="P48" s="8">
        <f t="shared" si="17"/>
        <v>0.18343349083777305</v>
      </c>
      <c r="Q48" s="8">
        <f t="shared" si="17"/>
        <v>1.2317876592328046E-2</v>
      </c>
      <c r="R48" s="8">
        <f t="shared" si="17"/>
        <v>0.18225409694502703</v>
      </c>
      <c r="S48" s="8">
        <f t="shared" si="17"/>
        <v>0.18436513624039752</v>
      </c>
      <c r="T48" s="8">
        <f t="shared" si="17"/>
        <v>0.25194746370882376</v>
      </c>
      <c r="U48" s="8">
        <f t="shared" si="17"/>
        <v>0.25965923567821431</v>
      </c>
      <c r="V48" s="8">
        <f t="shared" si="17"/>
        <v>0.38992826933125463</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row r="52" spans="1:22" x14ac:dyDescent="0.25">
      <c r="A52" s="45" t="str">
        <f t="shared" ref="A52:H52" si="18">A27</f>
        <v>Noms des groupes</v>
      </c>
      <c r="B52" s="46" t="str">
        <f t="shared" si="18"/>
        <v>Témoin solvant</v>
      </c>
      <c r="C52" s="46" t="str">
        <f t="shared" si="18"/>
        <v>EE2-33,8ng/L</v>
      </c>
      <c r="D52" s="46" t="str">
        <f t="shared" si="18"/>
        <v>EE2-50,6ng/L</v>
      </c>
      <c r="E52" s="46" t="str">
        <f t="shared" si="18"/>
        <v>EE2-76ng/L</v>
      </c>
      <c r="F52" s="46" t="str">
        <f t="shared" si="18"/>
        <v>EE2-114ng/L</v>
      </c>
      <c r="G52" s="46" t="str">
        <f t="shared" si="18"/>
        <v>EE2-170,9ng/L</v>
      </c>
      <c r="H52" s="46" t="str">
        <f t="shared" si="18"/>
        <v>EE2-488ng/L</v>
      </c>
      <c r="I52" s="46" t="str">
        <f>I4</f>
        <v>Estrone-0,04µg/L</v>
      </c>
      <c r="J52" s="46" t="str">
        <f>J4</f>
        <v>Estrone-0,2µg/L</v>
      </c>
      <c r="K52" s="46" t="str">
        <f t="shared" ref="K52:M52" si="19">K4</f>
        <v>Estrone-1µg/L</v>
      </c>
      <c r="L52" s="46" t="str">
        <f t="shared" si="19"/>
        <v>Estrone-5µg/L</v>
      </c>
      <c r="M52" s="46" t="str">
        <f t="shared" si="19"/>
        <v>Estrone-25µg/L</v>
      </c>
      <c r="N52" s="47"/>
      <c r="O52" s="46" t="str">
        <f>O27</f>
        <v>Testo -30µg/L</v>
      </c>
      <c r="P52" s="46" t="str">
        <f>P27</f>
        <v>Testo 30µg/L + EE2 -64ng/L</v>
      </c>
      <c r="Q52" s="46" t="str">
        <f>Q27</f>
        <v>Testo 30µg/L + FAD-10µg/L</v>
      </c>
      <c r="R52" s="46" t="str">
        <f>R27</f>
        <v>Estrone-0,04µg/L + Testostérone</v>
      </c>
      <c r="S52" s="46" t="str">
        <f t="shared" ref="S52:V52" si="20">S27</f>
        <v>Estrone-0,2µg/L + Testostérone</v>
      </c>
      <c r="T52" s="46" t="str">
        <f t="shared" si="20"/>
        <v>Estrone-1µg/L + Testostérone</v>
      </c>
      <c r="U52" s="46" t="str">
        <f t="shared" si="20"/>
        <v>Estrone-5µg/L + Testostérone</v>
      </c>
      <c r="V52" s="46" t="str">
        <f t="shared" si="20"/>
        <v>Estrone-25µg/L + Testostérone</v>
      </c>
    </row>
    <row r="53" spans="1:22" s="3" customFormat="1" x14ac:dyDescent="0.25">
      <c r="A53" s="61" t="s">
        <v>32</v>
      </c>
      <c r="B53" s="141">
        <f t="shared" ref="B53:V53" si="21">B46</f>
        <v>7.6900454321238626E-2</v>
      </c>
      <c r="C53" s="141">
        <f t="shared" si="21"/>
        <v>0.11524886329729811</v>
      </c>
      <c r="D53" s="141">
        <f t="shared" si="21"/>
        <v>5.7794459906136839E-2</v>
      </c>
      <c r="E53" s="141">
        <f t="shared" si="21"/>
        <v>0.14555931972987976</v>
      </c>
      <c r="F53" s="141">
        <f t="shared" si="21"/>
        <v>0.60719800417166681</v>
      </c>
      <c r="G53" s="141">
        <f t="shared" si="21"/>
        <v>1.274405724880217</v>
      </c>
      <c r="H53" s="141">
        <f t="shared" si="21"/>
        <v>2.2525530669883631</v>
      </c>
      <c r="I53" s="141">
        <f t="shared" si="21"/>
        <v>6.0787226833922653E-2</v>
      </c>
      <c r="J53" s="141">
        <f t="shared" si="21"/>
        <v>6.4734637770156409E-2</v>
      </c>
      <c r="K53" s="141">
        <f t="shared" si="21"/>
        <v>0.27516104491320298</v>
      </c>
      <c r="L53" s="141">
        <f t="shared" si="21"/>
        <v>2.1229130940963716</v>
      </c>
      <c r="M53" s="141">
        <f t="shared" si="21"/>
        <v>3.47589363092071</v>
      </c>
      <c r="N53" s="141"/>
      <c r="O53" s="141">
        <f t="shared" si="21"/>
        <v>1.0000000000000002</v>
      </c>
      <c r="P53" s="141">
        <f t="shared" si="21"/>
        <v>1.7479432752421922</v>
      </c>
      <c r="Q53" s="141">
        <f t="shared" si="21"/>
        <v>4.9933801003898645E-2</v>
      </c>
      <c r="R53" s="141">
        <f t="shared" si="21"/>
        <v>0.91747629287289678</v>
      </c>
      <c r="S53" s="141">
        <f t="shared" si="21"/>
        <v>0.98077295583815882</v>
      </c>
      <c r="T53" s="141">
        <f t="shared" si="21"/>
        <v>1.2035090592624045</v>
      </c>
      <c r="U53" s="141">
        <f t="shared" si="21"/>
        <v>2.3026308440066647</v>
      </c>
      <c r="V53" s="141">
        <f t="shared" si="21"/>
        <v>3.0525219903374854</v>
      </c>
    </row>
    <row r="54" spans="1:22" s="3" customFormat="1" x14ac:dyDescent="0.25">
      <c r="A54" s="61" t="s">
        <v>2</v>
      </c>
      <c r="B54" s="141">
        <f t="shared" ref="B54:V54" si="22">B48</f>
        <v>1.3406922966637265E-2</v>
      </c>
      <c r="C54" s="141">
        <f t="shared" si="22"/>
        <v>4.4120907274885261E-2</v>
      </c>
      <c r="D54" s="141">
        <f t="shared" si="22"/>
        <v>1.6407015025333781E-2</v>
      </c>
      <c r="E54" s="141">
        <f t="shared" si="22"/>
        <v>4.4018150129684304E-2</v>
      </c>
      <c r="F54" s="141">
        <f t="shared" si="22"/>
        <v>0.14135339588811452</v>
      </c>
      <c r="G54" s="141">
        <f t="shared" si="22"/>
        <v>0.22803110922981218</v>
      </c>
      <c r="H54" s="141">
        <f t="shared" si="22"/>
        <v>0.39222235923657578</v>
      </c>
      <c r="I54" s="141">
        <f t="shared" si="22"/>
        <v>1.1707086864274083E-2</v>
      </c>
      <c r="J54" s="141">
        <f t="shared" si="22"/>
        <v>2.049368321027243E-2</v>
      </c>
      <c r="K54" s="141">
        <f t="shared" si="22"/>
        <v>0.10862253237702506</v>
      </c>
      <c r="L54" s="141">
        <f t="shared" si="22"/>
        <v>0.25095366381034512</v>
      </c>
      <c r="M54" s="141">
        <f t="shared" si="22"/>
        <v>0.32403330683770321</v>
      </c>
      <c r="N54" s="141"/>
      <c r="O54" s="141">
        <f t="shared" si="22"/>
        <v>0.15020856162546453</v>
      </c>
      <c r="P54" s="141">
        <f t="shared" si="22"/>
        <v>0.18343349083777305</v>
      </c>
      <c r="Q54" s="141">
        <f t="shared" si="22"/>
        <v>1.2317876592328046E-2</v>
      </c>
      <c r="R54" s="141">
        <f t="shared" si="22"/>
        <v>0.18225409694502703</v>
      </c>
      <c r="S54" s="141">
        <f t="shared" si="22"/>
        <v>0.18436513624039752</v>
      </c>
      <c r="T54" s="141">
        <f t="shared" si="22"/>
        <v>0.25194746370882376</v>
      </c>
      <c r="U54" s="141">
        <f t="shared" si="22"/>
        <v>0.25965923567821431</v>
      </c>
      <c r="V54" s="141">
        <f t="shared" si="22"/>
        <v>0.38992826933125463</v>
      </c>
    </row>
    <row r="55" spans="1:22" s="3" customFormat="1" x14ac:dyDescent="0.25">
      <c r="A55" s="61" t="s">
        <v>79</v>
      </c>
      <c r="B55" s="141">
        <f>(B53*100/$B53)-100</f>
        <v>0</v>
      </c>
      <c r="C55" s="141">
        <f t="shared" ref="C55:M55" si="23">(C53*100/$B53)-100</f>
        <v>49.867597421291549</v>
      </c>
      <c r="D55" s="141">
        <f t="shared" si="23"/>
        <v>-24.845099529958219</v>
      </c>
      <c r="E55" s="141">
        <f t="shared" si="23"/>
        <v>89.282782546160718</v>
      </c>
      <c r="F55" s="141">
        <f t="shared" si="23"/>
        <v>689.58961885348549</v>
      </c>
      <c r="G55" s="141">
        <f t="shared" si="23"/>
        <v>1557.2148189874183</v>
      </c>
      <c r="H55" s="141">
        <f t="shared" si="23"/>
        <v>2829.1804409616411</v>
      </c>
      <c r="I55" s="141">
        <f t="shared" si="23"/>
        <v>-20.953357986684566</v>
      </c>
      <c r="J55" s="141">
        <f t="shared" si="23"/>
        <v>-15.82021414367928</v>
      </c>
      <c r="K55" s="141">
        <f t="shared" si="23"/>
        <v>257.81458944802108</v>
      </c>
      <c r="L55" s="141">
        <f t="shared" si="23"/>
        <v>2660.5988974112711</v>
      </c>
      <c r="M55" s="141">
        <f t="shared" si="23"/>
        <v>4419.9910216404614</v>
      </c>
      <c r="N55" s="141"/>
      <c r="O55" s="141">
        <f>(O53*100/$O53)-100</f>
        <v>0</v>
      </c>
      <c r="P55" s="141">
        <f t="shared" ref="P55:V55" si="24">(P53*100/$O53)-100</f>
        <v>74.794327524219199</v>
      </c>
      <c r="Q55" s="141">
        <f t="shared" si="24"/>
        <v>-95.006619899610143</v>
      </c>
      <c r="R55" s="141">
        <f t="shared" si="24"/>
        <v>-8.2523707127103307</v>
      </c>
      <c r="S55" s="141">
        <f t="shared" si="24"/>
        <v>-1.9227044161841462</v>
      </c>
      <c r="T55" s="141">
        <f t="shared" si="24"/>
        <v>20.350905926240415</v>
      </c>
      <c r="U55" s="141">
        <f t="shared" si="24"/>
        <v>130.26308440066643</v>
      </c>
      <c r="V55" s="141">
        <f t="shared" si="24"/>
        <v>205.25219903374847</v>
      </c>
    </row>
    <row r="56" spans="1:22" s="3" customFormat="1" x14ac:dyDescent="0.25">
      <c r="A56" s="61" t="s">
        <v>81</v>
      </c>
      <c r="B56" s="141">
        <f>[1]!SWTEST(B28:B43)</f>
        <v>0.80310669259262757</v>
      </c>
      <c r="C56" s="141">
        <f>[1]!SWTEST(C28:C43)</f>
        <v>4.3863027701554036E-2</v>
      </c>
      <c r="D56" s="141">
        <f>[1]!SWTEST(D28:D43)</f>
        <v>1.7722063291720769E-3</v>
      </c>
      <c r="E56" s="141">
        <f>[1]!SWTEST(E28:E43)</f>
        <v>0.11812741645880109</v>
      </c>
      <c r="F56" s="141">
        <f>[1]!SWTEST(F28:F43)</f>
        <v>0.61274304652887901</v>
      </c>
      <c r="G56" s="141">
        <f>[1]!SWTEST(G28:G43)</f>
        <v>0.64366159760527508</v>
      </c>
      <c r="H56" s="141">
        <f>[1]!SWTEST(H28:H43)</f>
        <v>0.6973947143843463</v>
      </c>
      <c r="I56" s="141">
        <f>[1]!SWTEST(I28:I43)</f>
        <v>3.688862765379386E-2</v>
      </c>
      <c r="J56" s="141">
        <f>[1]!SWTEST(J28:J43)</f>
        <v>0.26655474455838024</v>
      </c>
      <c r="K56" s="141">
        <f>[1]!SWTEST(K28:K43)</f>
        <v>6.8365947308093089E-2</v>
      </c>
      <c r="L56" s="141">
        <f>[1]!SWTEST(L28:L43)</f>
        <v>0.69081864438786089</v>
      </c>
      <c r="M56" s="141">
        <f>[1]!SWTEST(M28:M43)</f>
        <v>0.26713625620099646</v>
      </c>
      <c r="N56" s="141"/>
      <c r="O56" s="141">
        <f>[1]!SWTEST(O28:O43)</f>
        <v>0.37786831774005303</v>
      </c>
      <c r="P56" s="141">
        <f>[1]!SWTEST(P28:P43)</f>
        <v>0.70067227246719677</v>
      </c>
      <c r="Q56" s="141">
        <f>[1]!SWTEST(Q28:Q43)</f>
        <v>0.79067200011640293</v>
      </c>
      <c r="R56" s="141">
        <f>[1]!SWTEST(R28:R43)</f>
        <v>0.53474086478195593</v>
      </c>
      <c r="S56" s="141">
        <f>[1]!SWTEST(S28:S43)</f>
        <v>0.21713143866032014</v>
      </c>
      <c r="T56" s="141">
        <f>[1]!SWTEST(T28:T43)</f>
        <v>0.36044649439832988</v>
      </c>
      <c r="U56" s="141">
        <f>[1]!SWTEST(U28:U43)</f>
        <v>0.79735451527271839</v>
      </c>
      <c r="V56" s="141">
        <f>[1]!SWTEST(V28:V43)</f>
        <v>0.9169428713947213</v>
      </c>
    </row>
    <row r="57" spans="1:22" s="3" customFormat="1" x14ac:dyDescent="0.25">
      <c r="A57" s="61" t="s">
        <v>85</v>
      </c>
      <c r="B57" s="141" t="str">
        <f>IF(B56&gt;0.05,"Oui","Non")</f>
        <v>Oui</v>
      </c>
      <c r="C57" s="141" t="str">
        <f t="shared" ref="C57:V57" si="25">IF(C56&gt;0.05,"Oui","Non")</f>
        <v>Non</v>
      </c>
      <c r="D57" s="141" t="str">
        <f t="shared" si="25"/>
        <v>Non</v>
      </c>
      <c r="E57" s="141" t="str">
        <f t="shared" si="25"/>
        <v>Oui</v>
      </c>
      <c r="F57" s="141" t="str">
        <f t="shared" si="25"/>
        <v>Oui</v>
      </c>
      <c r="G57" s="141" t="str">
        <f t="shared" si="25"/>
        <v>Oui</v>
      </c>
      <c r="H57" s="141" t="str">
        <f t="shared" si="25"/>
        <v>Oui</v>
      </c>
      <c r="I57" s="141" t="str">
        <f t="shared" si="25"/>
        <v>Non</v>
      </c>
      <c r="J57" s="141" t="str">
        <f t="shared" si="25"/>
        <v>Oui</v>
      </c>
      <c r="K57" s="141" t="str">
        <f t="shared" si="25"/>
        <v>Oui</v>
      </c>
      <c r="L57" s="141" t="str">
        <f t="shared" si="25"/>
        <v>Oui</v>
      </c>
      <c r="M57" s="141" t="str">
        <f t="shared" si="25"/>
        <v>Oui</v>
      </c>
      <c r="N57" s="141"/>
      <c r="O57" s="141" t="str">
        <f t="shared" si="25"/>
        <v>Oui</v>
      </c>
      <c r="P57" s="141" t="str">
        <f t="shared" si="25"/>
        <v>Oui</v>
      </c>
      <c r="Q57" s="141" t="str">
        <f t="shared" si="25"/>
        <v>Oui</v>
      </c>
      <c r="R57" s="141" t="str">
        <f t="shared" si="25"/>
        <v>Oui</v>
      </c>
      <c r="S57" s="141" t="str">
        <f t="shared" si="25"/>
        <v>Oui</v>
      </c>
      <c r="T57" s="141" t="str">
        <f t="shared" si="25"/>
        <v>Oui</v>
      </c>
      <c r="U57" s="141" t="str">
        <f t="shared" si="25"/>
        <v>Oui</v>
      </c>
      <c r="V57" s="141" t="str">
        <f t="shared" si="25"/>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4474</v>
      </c>
      <c r="D59" s="150" t="s">
        <v>4474</v>
      </c>
      <c r="E59" s="150" t="s">
        <v>4474</v>
      </c>
      <c r="F59" s="150" t="s">
        <v>4474</v>
      </c>
      <c r="G59" s="150" t="s">
        <v>4474</v>
      </c>
      <c r="H59" s="150" t="s">
        <v>4474</v>
      </c>
      <c r="I59" s="150" t="s">
        <v>4474</v>
      </c>
      <c r="J59" s="150" t="s">
        <v>4474</v>
      </c>
      <c r="K59" s="150" t="s">
        <v>4474</v>
      </c>
      <c r="L59" s="150" t="s">
        <v>4474</v>
      </c>
      <c r="M59" s="150" t="s">
        <v>4474</v>
      </c>
      <c r="N59" s="150"/>
      <c r="O59" s="150" t="str">
        <f t="shared" ref="C59:O59" si="26">IF($B57="Non",IF(O57="Non","MW",IF(O57="Oui","MW","")),IF($B57="Oui",IF(O57="Oui","T-Test Welch",IF(O57="Non","MW",""))))</f>
        <v>T-Test Welch</v>
      </c>
      <c r="P59" s="150" t="str">
        <f>IF($O57="Non",IF(P57="Non","MW",IF(P57="Oui","MW","")),IF($O57="Oui",IF(P57="Oui","T-Test Welch",IF(P57="Non","MW",""))))</f>
        <v>T-Test Welch</v>
      </c>
      <c r="Q59" s="150" t="str">
        <f t="shared" ref="Q59:V59" si="27">IF($O57="Non",IF(Q57="Non","MW",IF(Q57="Oui","MW","")),IF($O57="Oui",IF(Q57="Oui","T-Test Welch",IF(Q57="Non","MW",""))))</f>
        <v>T-Test Welch</v>
      </c>
      <c r="R59" s="150" t="s">
        <v>4475</v>
      </c>
      <c r="S59" s="150" t="s">
        <v>4475</v>
      </c>
      <c r="T59" s="150" t="s">
        <v>4475</v>
      </c>
      <c r="U59" s="150" t="s">
        <v>4475</v>
      </c>
      <c r="V59" s="150" t="s">
        <v>4475</v>
      </c>
    </row>
    <row r="60" spans="1:22" s="3" customFormat="1" ht="15.75" x14ac:dyDescent="0.25">
      <c r="A60" s="61" t="s">
        <v>83</v>
      </c>
      <c r="B60" s="151"/>
      <c r="C60" s="197">
        <v>0.99990000000000001</v>
      </c>
      <c r="D60" s="197">
        <v>0.99990000000000001</v>
      </c>
      <c r="E60" s="197">
        <v>0.99990000000000001</v>
      </c>
      <c r="F60" s="197">
        <v>0.12039999999999999</v>
      </c>
      <c r="G60" s="197">
        <v>1.3299999999999999E-2</v>
      </c>
      <c r="H60" s="197">
        <v>5.0000000000000001E-4</v>
      </c>
      <c r="I60" s="197">
        <v>0.99990000000000001</v>
      </c>
      <c r="J60" s="197">
        <v>0.99990000000000001</v>
      </c>
      <c r="K60" s="197">
        <v>0.99990000000000001</v>
      </c>
      <c r="L60" s="197">
        <v>3.1899999999999998E-2</v>
      </c>
      <c r="M60" s="197">
        <v>1.1999999999999999E-3</v>
      </c>
      <c r="N60" s="151"/>
      <c r="O60" s="197">
        <v>1E-4</v>
      </c>
      <c r="P60" s="197">
        <v>6.1000000000000004E-3</v>
      </c>
      <c r="Q60" s="197">
        <v>1E-4</v>
      </c>
      <c r="R60" s="197">
        <v>0.99860000000000004</v>
      </c>
      <c r="S60" s="197">
        <v>0.99990000000000001</v>
      </c>
      <c r="T60" s="197">
        <v>0.94389999999999996</v>
      </c>
      <c r="U60" s="197">
        <v>5.0000000000000001E-4</v>
      </c>
      <c r="V60" s="197">
        <v>1E-4</v>
      </c>
    </row>
    <row r="61" spans="1:22" s="3" customFormat="1" ht="15.75" thickBot="1" x14ac:dyDescent="0.3">
      <c r="A61" s="62" t="s">
        <v>84</v>
      </c>
      <c r="B61" s="142"/>
      <c r="C61" s="142" t="str">
        <f t="shared" ref="C61:O61" si="28">IF(C60&gt;0.05,"NS",IF(C60&gt;0.01,"*",IF(C60&gt;0.001,"**","***")))</f>
        <v>NS</v>
      </c>
      <c r="D61" s="142" t="str">
        <f t="shared" si="28"/>
        <v>NS</v>
      </c>
      <c r="E61" s="142" t="str">
        <f t="shared" si="28"/>
        <v>NS</v>
      </c>
      <c r="F61" s="142" t="str">
        <f t="shared" si="28"/>
        <v>NS</v>
      </c>
      <c r="G61" s="142" t="str">
        <f t="shared" si="28"/>
        <v>*</v>
      </c>
      <c r="H61" s="142" t="str">
        <f t="shared" si="28"/>
        <v>***</v>
      </c>
      <c r="I61" s="142" t="str">
        <f t="shared" si="28"/>
        <v>NS</v>
      </c>
      <c r="J61" s="142" t="str">
        <f t="shared" si="28"/>
        <v>NS</v>
      </c>
      <c r="K61" s="142" t="str">
        <f t="shared" si="28"/>
        <v>NS</v>
      </c>
      <c r="L61" s="142" t="str">
        <f t="shared" si="28"/>
        <v>*</v>
      </c>
      <c r="M61" s="142" t="str">
        <f t="shared" si="28"/>
        <v>**</v>
      </c>
      <c r="N61" s="142"/>
      <c r="O61" s="142" t="str">
        <f t="shared" si="28"/>
        <v>***</v>
      </c>
      <c r="P61" s="142" t="str">
        <f>IF(P60&gt;0.05,"NS",IF(P60&gt;0.01,"*",IF(P60&gt;0.001,"**","***")))</f>
        <v>**</v>
      </c>
      <c r="Q61" s="142" t="str">
        <f t="shared" ref="Q61:V61" si="29">IF(Q60&gt;0.05,"NS",IF(Q60&gt;0.01,"*",IF(Q60&gt;0.001,"**","***")))</f>
        <v>***</v>
      </c>
      <c r="R61" s="142" t="str">
        <f t="shared" si="29"/>
        <v>NS</v>
      </c>
      <c r="S61" s="142" t="str">
        <f t="shared" si="29"/>
        <v>NS</v>
      </c>
      <c r="T61" s="142" t="str">
        <f t="shared" si="29"/>
        <v>NS</v>
      </c>
      <c r="U61" s="142" t="str">
        <f t="shared" si="29"/>
        <v>***</v>
      </c>
      <c r="V61" s="142" t="str">
        <f t="shared" si="29"/>
        <v>***</v>
      </c>
    </row>
    <row r="63" spans="1:22" x14ac:dyDescent="0.25">
      <c r="A63" s="2" t="s">
        <v>39</v>
      </c>
    </row>
    <row r="64" spans="1:22" x14ac:dyDescent="0.25">
      <c r="A64" s="1" t="s">
        <v>23</v>
      </c>
      <c r="B64" s="1">
        <f>B46+(3*B47)</f>
        <v>0.19066196805589714</v>
      </c>
    </row>
    <row r="65" spans="1:22" x14ac:dyDescent="0.25">
      <c r="A65" s="1" t="s">
        <v>24</v>
      </c>
      <c r="B65" s="1">
        <f>B46+(10*B47)</f>
        <v>0.45610550010343365</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I69" s="197"/>
      <c r="N69" s="12"/>
      <c r="O69" s="12"/>
      <c r="P69" s="12"/>
      <c r="Q69" s="12"/>
      <c r="R69" s="12"/>
      <c r="S69" s="12"/>
      <c r="T69" s="12"/>
      <c r="U69" s="12"/>
      <c r="V69" s="12"/>
    </row>
    <row r="70" spans="1:22" ht="16.5" x14ac:dyDescent="0.25">
      <c r="A70" s="12"/>
      <c r="B70" s="12"/>
      <c r="C70" s="197"/>
      <c r="D70" s="12"/>
      <c r="E70" s="12"/>
      <c r="F70" s="12"/>
      <c r="I70" s="197"/>
      <c r="N70" s="12"/>
      <c r="O70" s="12"/>
      <c r="P70" s="12"/>
      <c r="Q70" s="12"/>
      <c r="R70" s="197"/>
      <c r="S70" s="12"/>
      <c r="T70" s="12"/>
      <c r="U70" s="12"/>
      <c r="V70" s="12"/>
    </row>
    <row r="71" spans="1:22" ht="16.5" x14ac:dyDescent="0.25">
      <c r="A71" s="12"/>
      <c r="B71" s="12"/>
      <c r="C71" s="197"/>
      <c r="D71" s="12"/>
      <c r="E71" s="12"/>
      <c r="F71" s="12"/>
      <c r="I71" s="197"/>
      <c r="N71" s="12"/>
      <c r="O71" s="12"/>
      <c r="P71" s="12"/>
      <c r="Q71" s="12"/>
      <c r="R71" s="197"/>
      <c r="S71" s="12"/>
      <c r="T71" s="12"/>
      <c r="U71" s="12"/>
      <c r="V71" s="12"/>
    </row>
    <row r="72" spans="1:22" ht="16.5" x14ac:dyDescent="0.25">
      <c r="A72" s="12"/>
      <c r="B72" s="12"/>
      <c r="C72" s="197"/>
      <c r="D72" s="12"/>
      <c r="E72" s="12"/>
      <c r="F72" s="12"/>
      <c r="I72" s="197"/>
      <c r="N72" s="12"/>
      <c r="O72" s="12"/>
      <c r="P72" s="12"/>
      <c r="Q72" s="12"/>
      <c r="R72" s="197"/>
      <c r="S72" s="12"/>
      <c r="T72" s="12"/>
      <c r="U72" s="12"/>
      <c r="V72" s="12"/>
    </row>
    <row r="73" spans="1:22" ht="16.5" x14ac:dyDescent="0.25">
      <c r="A73" s="12"/>
      <c r="B73" s="12"/>
      <c r="C73" s="197"/>
      <c r="D73" s="12"/>
      <c r="E73" s="12"/>
      <c r="F73" s="12"/>
      <c r="I73" s="197"/>
      <c r="N73" s="12"/>
      <c r="O73" s="12"/>
      <c r="P73" s="12"/>
      <c r="Q73" s="12"/>
      <c r="R73" s="197"/>
      <c r="S73" s="12"/>
      <c r="T73" s="12"/>
      <c r="U73" s="12"/>
      <c r="V73" s="12"/>
    </row>
    <row r="74" spans="1:22" ht="16.5" x14ac:dyDescent="0.25">
      <c r="A74" s="12"/>
      <c r="B74" s="12"/>
      <c r="C74" s="197"/>
      <c r="D74" s="12"/>
      <c r="E74" s="12"/>
      <c r="F74" s="12"/>
      <c r="N74" s="12"/>
      <c r="O74" s="12"/>
      <c r="P74" s="12"/>
      <c r="Q74" s="12"/>
      <c r="R74" s="197"/>
      <c r="S74" s="12"/>
      <c r="T74" s="12"/>
      <c r="U74" s="12"/>
      <c r="V74" s="12"/>
    </row>
    <row r="75" spans="1:22" ht="15.75" x14ac:dyDescent="0.25">
      <c r="C75" s="197"/>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0"/>
  <sheetViews>
    <sheetView showGridLines="0" topLeftCell="P70" zoomScale="115" zoomScaleNormal="115" workbookViewId="0">
      <selection activeCell="S98" sqref="S98"/>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Estrone-0,04µg/L</v>
      </c>
      <c r="J4" s="35" t="str">
        <f>'R1'!J4</f>
        <v>Estrone-0,2µg/L</v>
      </c>
      <c r="K4" s="35" t="str">
        <f>'R1'!K4</f>
        <v>Estrone-1µg/L</v>
      </c>
      <c r="L4" s="35" t="str">
        <f>'R1'!L4</f>
        <v>Estrone-5µg/L</v>
      </c>
      <c r="M4" s="35" t="str">
        <f>'R1'!M4</f>
        <v>Estrone-25µg/L</v>
      </c>
      <c r="O4" s="35" t="str">
        <f>'R1'!O4</f>
        <v>Testo -30µg/L</v>
      </c>
      <c r="P4" s="35" t="str">
        <f>'R1'!P4</f>
        <v>Testo 30µg/L + EE2 -64ng/L</v>
      </c>
      <c r="Q4" s="35" t="str">
        <f>'R1'!Q4</f>
        <v>Testo 30µg/L + FAD-10µg/L</v>
      </c>
      <c r="R4" s="35" t="str">
        <f>'R1'!R4</f>
        <v>Estrone-0,04µg/L + Testostérone</v>
      </c>
      <c r="S4" s="35" t="str">
        <f>'R1'!S4</f>
        <v>Estrone-0,2µg/L + Testostérone</v>
      </c>
      <c r="T4" s="35" t="str">
        <f>'R1'!T4</f>
        <v>Estrone-1µg/L + Testostérone</v>
      </c>
      <c r="U4" s="35" t="str">
        <f>'R1'!U4</f>
        <v>Estrone-5µg/L + Testostérone</v>
      </c>
      <c r="V4" s="35" t="str">
        <f>'R1'!V4</f>
        <v>Estrone-25µg/L + Testostérone</v>
      </c>
    </row>
    <row r="5" spans="1:22" s="1" customFormat="1" x14ac:dyDescent="0.25">
      <c r="A5" s="34"/>
      <c r="B5" s="35"/>
      <c r="C5" s="194" t="s">
        <v>164</v>
      </c>
      <c r="D5" s="35"/>
      <c r="E5" s="35"/>
      <c r="F5" s="35"/>
      <c r="G5" s="35"/>
      <c r="H5" s="35"/>
      <c r="I5" s="35"/>
      <c r="J5" s="35"/>
      <c r="K5" s="35"/>
      <c r="L5" s="35"/>
      <c r="M5" s="35"/>
      <c r="O5" s="35"/>
      <c r="P5" s="35"/>
      <c r="Q5" s="35"/>
      <c r="R5" s="35"/>
      <c r="S5" s="35"/>
      <c r="T5" s="35"/>
      <c r="U5" s="35"/>
      <c r="V5" s="35"/>
    </row>
    <row r="6" spans="1:22" s="1" customFormat="1" x14ac:dyDescent="0.25">
      <c r="A6" s="71" t="s">
        <v>4</v>
      </c>
      <c r="B6" s="53">
        <f>'R1'!B28</f>
        <v>0.11882259851664731</v>
      </c>
      <c r="C6" s="53">
        <f>'R1'!C28</f>
        <v>7.6206183402119126E-2</v>
      </c>
      <c r="D6" s="53">
        <f>'R1'!D28</f>
        <v>3.7670200609206353E-2</v>
      </c>
      <c r="E6" s="53">
        <f>'R1'!E28</f>
        <v>0.37970076681340331</v>
      </c>
      <c r="F6" s="53">
        <f>'R1'!F28</f>
        <v>0.31525660809586431</v>
      </c>
      <c r="G6" s="53">
        <f>'R1'!G28</f>
        <v>2.2329374507964554</v>
      </c>
      <c r="H6" s="53">
        <f>'R1'!H28</f>
        <v>2.6873093727594943</v>
      </c>
      <c r="I6" s="53">
        <f>'R1'!I28</f>
        <v>8.9904984187017881E-2</v>
      </c>
      <c r="J6" s="53">
        <f>'R1'!J28</f>
        <v>4.0210377062377928E-2</v>
      </c>
      <c r="K6" s="53">
        <f>'R1'!K28</f>
        <v>0.21651762029133617</v>
      </c>
      <c r="L6" s="53">
        <f>'R1'!L28</f>
        <v>2.2956325826847572</v>
      </c>
      <c r="M6" s="53">
        <f>'R1'!M28</f>
        <v>4.3354752470159772</v>
      </c>
      <c r="N6"/>
      <c r="O6" s="53">
        <f>'R1'!O28</f>
        <v>1.5956447952854469</v>
      </c>
      <c r="P6" s="53">
        <f>'R1'!P28</f>
        <v>2.395333896729448</v>
      </c>
      <c r="Q6" s="53">
        <f>'R1'!Q28</f>
        <v>8.6705015864146071E-2</v>
      </c>
      <c r="R6" s="53">
        <f>'R1'!R28</f>
        <v>1.7807181943503045</v>
      </c>
      <c r="S6" s="53">
        <f>'R1'!S28</f>
        <v>0.44198936814139578</v>
      </c>
      <c r="T6" s="53">
        <f>'R1'!T28</f>
        <v>2.7022616891161264</v>
      </c>
      <c r="U6" s="53">
        <f>'R1'!U28</f>
        <v>3.2118779442878513</v>
      </c>
      <c r="V6" s="53">
        <f>'R1'!V28</f>
        <v>2.1553307112204889</v>
      </c>
    </row>
    <row r="7" spans="1:22" s="1" customFormat="1" x14ac:dyDescent="0.25">
      <c r="A7" s="228" t="s">
        <v>34</v>
      </c>
      <c r="B7" s="53">
        <f>'R1'!B29</f>
        <v>0.12744994446492239</v>
      </c>
      <c r="C7" s="53">
        <f>'R1'!C29</f>
        <v>1.8599190231165182E-2</v>
      </c>
      <c r="D7" s="53">
        <f>'R1'!D29</f>
        <v>0.15037737825939079</v>
      </c>
      <c r="E7" s="53">
        <f>'R1'!E29</f>
        <v>0.5350073420197774</v>
      </c>
      <c r="F7" s="53">
        <f>'R1'!F29</f>
        <v>0.69340076883771429</v>
      </c>
      <c r="G7" s="53">
        <f>'R1'!G29</f>
        <v>1.5010434099004821</v>
      </c>
      <c r="H7" s="53">
        <f>'R1'!H29</f>
        <v>3.7694519033749718</v>
      </c>
      <c r="I7" s="53">
        <f>'R1'!I29</f>
        <v>2.531856757983849E-2</v>
      </c>
      <c r="J7" s="53">
        <f>'R1'!J29</f>
        <v>0.11541130103793762</v>
      </c>
      <c r="K7" s="53">
        <f>'R1'!K29</f>
        <v>0.26823765053587517</v>
      </c>
      <c r="L7" s="53">
        <f>'R1'!L29</f>
        <v>2.1353387506264805</v>
      </c>
      <c r="M7" s="53">
        <f>'R1'!M29</f>
        <v>3.6327206048373921</v>
      </c>
      <c r="N7"/>
      <c r="O7" s="53">
        <f>'R1'!O29</f>
        <v>2.0649352209401837</v>
      </c>
      <c r="P7" s="53">
        <f>'R1'!P29</f>
        <v>1.8443952282321521</v>
      </c>
      <c r="Q7" s="53">
        <f>'R1'!Q29</f>
        <v>0.1144247275577891</v>
      </c>
      <c r="R7" s="53">
        <f>'R1'!R29</f>
        <v>0.10791000581266406</v>
      </c>
      <c r="S7" s="53">
        <f>'R1'!S29</f>
        <v>1.5538363249014486</v>
      </c>
      <c r="T7" s="53">
        <f>'R1'!T29</f>
        <v>2.8763886828120664</v>
      </c>
      <c r="U7" s="53">
        <f>'R1'!U29</f>
        <v>4.2511371176972155</v>
      </c>
      <c r="V7" s="53">
        <f>'R1'!V29</f>
        <v>6.0265823159317504</v>
      </c>
    </row>
    <row r="8" spans="1:22" s="1" customFormat="1" x14ac:dyDescent="0.25">
      <c r="A8" s="229"/>
      <c r="B8" s="53">
        <f>'R1'!B30</f>
        <v>4.9458363373587472E-2</v>
      </c>
      <c r="C8" s="53">
        <f>'R1'!C30</f>
        <v>0.68558670646180064</v>
      </c>
      <c r="D8" s="53">
        <f>'R1'!D30</f>
        <v>0.12888853988682103</v>
      </c>
      <c r="E8" s="53">
        <f>'R1'!E30</f>
        <v>0.54900445059202208</v>
      </c>
      <c r="F8" s="53">
        <f>'R1'!F30</f>
        <v>0.62629352907900315</v>
      </c>
      <c r="G8" s="53">
        <f>'R1'!G30</f>
        <v>1.0514130468392167</v>
      </c>
      <c r="H8" s="53">
        <f>'R1'!H30</f>
        <v>3.0032947327653852</v>
      </c>
      <c r="I8" s="53">
        <f>'R1'!I30</f>
        <v>0.11440070276954648</v>
      </c>
      <c r="J8" s="53">
        <f>'R1'!J30</f>
        <v>8.3067484962818322E-2</v>
      </c>
      <c r="K8" s="53">
        <f>'R1'!K30</f>
        <v>0.14072030319282763</v>
      </c>
      <c r="L8" s="53">
        <f>'R1'!L30</f>
        <v>1.3828995116516889</v>
      </c>
      <c r="M8" s="53">
        <f>'R1'!M30</f>
        <v>4.0293413849000208</v>
      </c>
      <c r="N8"/>
      <c r="O8" s="53">
        <f>'R1'!O30</f>
        <v>1.2917723775886989</v>
      </c>
      <c r="P8" s="53">
        <f>'R1'!P30</f>
        <v>1.05041245889926</v>
      </c>
      <c r="Q8" s="53">
        <f>'R1'!Q30</f>
        <v>1.8577612412095417E-2</v>
      </c>
      <c r="R8" s="53">
        <f>'R1'!R30</f>
        <v>1.4662988946150441</v>
      </c>
      <c r="S8" s="53">
        <f>'R1'!S30</f>
        <v>0.99769161826302133</v>
      </c>
      <c r="T8" s="53">
        <f>'R1'!T30</f>
        <v>2.0390053559706165</v>
      </c>
      <c r="U8" s="53">
        <f>'R1'!U30</f>
        <v>1.3968915038338447</v>
      </c>
      <c r="V8" s="53">
        <f>'R1'!V30</f>
        <v>4.0323051094718405</v>
      </c>
    </row>
    <row r="9" spans="1:22" s="1" customFormat="1" x14ac:dyDescent="0.25">
      <c r="A9" s="229"/>
      <c r="B9" s="53">
        <f>'R1'!B31</f>
        <v>5.7339828627626252E-2</v>
      </c>
      <c r="C9" s="53">
        <f>'R1'!C31</f>
        <v>1.9063447018779604E-2</v>
      </c>
      <c r="D9" s="53">
        <f>'R1'!D31</f>
        <v>0.1935759495853166</v>
      </c>
      <c r="E9" s="53">
        <f>'R1'!E31</f>
        <v>0.28221985484133971</v>
      </c>
      <c r="F9" s="53">
        <f>'R1'!F31</f>
        <v>0.4433463237736181</v>
      </c>
      <c r="G9" s="53">
        <f>'R1'!G31</f>
        <v>2.0827093376566093</v>
      </c>
      <c r="H9" s="53">
        <f>'R1'!H31</f>
        <v>2.0152408362672869</v>
      </c>
      <c r="I9" s="53">
        <f>'R1'!I31</f>
        <v>0.11567112467374673</v>
      </c>
      <c r="J9" s="53">
        <f>'R1'!J31</f>
        <v>1.5599428476981919E-2</v>
      </c>
      <c r="K9" s="53">
        <f>'R1'!K31</f>
        <v>4.6725543710988929E-2</v>
      </c>
      <c r="L9" s="53">
        <f>'R1'!L31</f>
        <v>3.9906608084741664</v>
      </c>
      <c r="M9" s="53">
        <f>'R1'!M31</f>
        <v>1.5378860900257758</v>
      </c>
      <c r="N9"/>
      <c r="O9" s="53">
        <f>'R1'!O31</f>
        <v>2.737848184248771</v>
      </c>
      <c r="P9" s="53">
        <f>'R1'!P31</f>
        <v>1.8874107217735991</v>
      </c>
      <c r="Q9" s="53">
        <f>'R1'!Q31</f>
        <v>3.3926782678216666E-2</v>
      </c>
      <c r="R9" s="53">
        <f>'R1'!R31</f>
        <v>0.52879092806199834</v>
      </c>
      <c r="S9" s="53">
        <f>'R1'!S31</f>
        <v>1.0060542466371416</v>
      </c>
      <c r="T9" s="53">
        <f>'R1'!T31</f>
        <v>0.50391503945070448</v>
      </c>
      <c r="U9" s="53">
        <f>'R1'!U31</f>
        <v>2.0075179791059981</v>
      </c>
      <c r="V9" s="53">
        <f>'R1'!V31</f>
        <v>3.1666873176034747</v>
      </c>
    </row>
    <row r="10" spans="1:22" s="1" customFormat="1" x14ac:dyDescent="0.25">
      <c r="A10" s="229"/>
      <c r="B10" s="53">
        <f>'R1'!B32</f>
        <v>3.1766331350324355E-2</v>
      </c>
      <c r="C10" s="53">
        <f>'R1'!C32</f>
        <v>3.1862652955037839E-2</v>
      </c>
      <c r="D10" s="53">
        <f>'R1'!D32</f>
        <v>9.3965840755250385E-2</v>
      </c>
      <c r="E10" s="53">
        <f>'R1'!E32</f>
        <v>0.15454412185728522</v>
      </c>
      <c r="F10" s="53">
        <f>'R1'!F32</f>
        <v>0.77610765952515015</v>
      </c>
      <c r="G10" s="53">
        <f>'R1'!G32</f>
        <v>0.83808582944580401</v>
      </c>
      <c r="H10" s="53">
        <f>'R1'!H32</f>
        <v>3.3823004491078246</v>
      </c>
      <c r="I10" s="53">
        <f>'R1'!I32</f>
        <v>4.3672393538488723E-2</v>
      </c>
      <c r="J10" s="53">
        <f>'R1'!J32</f>
        <v>0.19496382600981416</v>
      </c>
      <c r="K10" s="53">
        <f>'R1'!K32</f>
        <v>0.12612680149763414</v>
      </c>
      <c r="L10" s="53">
        <f>'R1'!L32</f>
        <v>3.08994235607984</v>
      </c>
      <c r="M10" s="53">
        <f>'R1'!M32</f>
        <v>1.7523296814913703</v>
      </c>
      <c r="N10"/>
      <c r="O10" s="53">
        <f>'R1'!O32</f>
        <v>0.21692648659494679</v>
      </c>
      <c r="P10" s="53">
        <f>'R1'!P32</f>
        <v>1.2998462636004218</v>
      </c>
      <c r="Q10" s="53">
        <f>'R1'!Q32</f>
        <v>9.4384272483809428E-2</v>
      </c>
      <c r="R10" s="53">
        <f>'R1'!R32</f>
        <v>0.83699848532608212</v>
      </c>
      <c r="S10" s="53">
        <f>'R1'!S32</f>
        <v>1.2679838330971269</v>
      </c>
      <c r="T10" s="53">
        <f>'R1'!T32</f>
        <v>2.7218734796813693</v>
      </c>
      <c r="U10" s="53">
        <f>'R1'!U32</f>
        <v>1.2219607919904918</v>
      </c>
      <c r="V10" s="53">
        <f>'R1'!V32</f>
        <v>1.3386229391792468</v>
      </c>
    </row>
    <row r="11" spans="1:22" s="1" customFormat="1" x14ac:dyDescent="0.25">
      <c r="A11" s="229"/>
      <c r="B11" s="53">
        <f>'R1'!B33</f>
        <v>4.0542719966400902E-2</v>
      </c>
      <c r="C11" s="53">
        <f>'R1'!C33</f>
        <v>1.5839898811151151E-2</v>
      </c>
      <c r="D11" s="53">
        <f>'R1'!D33</f>
        <v>2.3663304160270258E-2</v>
      </c>
      <c r="E11" s="53">
        <f>'R1'!E33</f>
        <v>4.0980504996599838E-2</v>
      </c>
      <c r="F11" s="53">
        <f>'R1'!F33</f>
        <v>0.47275978303836613</v>
      </c>
      <c r="G11" s="53">
        <f>'R1'!G33</f>
        <v>0.93788346509520848</v>
      </c>
      <c r="H11" s="53">
        <f>'R1'!H33</f>
        <v>3.9722658289430637</v>
      </c>
      <c r="I11" s="53">
        <f>'R1'!I33</f>
        <v>4.7115279164702616E-2</v>
      </c>
      <c r="J11" s="53">
        <f>'R1'!J33</f>
        <v>0.43376176797526883</v>
      </c>
      <c r="K11" s="53">
        <f>'R1'!K33</f>
        <v>2.6968937061061005E-2</v>
      </c>
      <c r="L11" s="53">
        <f>'R1'!L33</f>
        <v>4.1131812223144912</v>
      </c>
      <c r="M11" s="53">
        <f>'R1'!M33</f>
        <v>3.8160909133579386</v>
      </c>
      <c r="N11"/>
      <c r="O11" s="53">
        <f>'R1'!O33</f>
        <v>0.80638222948700189</v>
      </c>
      <c r="P11" s="53">
        <f>'R1'!P33</f>
        <v>0.65335367135468903</v>
      </c>
      <c r="Q11" s="53">
        <f>'R1'!Q33</f>
        <v>0.22339338121532953</v>
      </c>
      <c r="R11" s="53">
        <f>'R1'!R33</f>
        <v>1.0275668873462109</v>
      </c>
      <c r="S11" s="53">
        <f>'R1'!S33</f>
        <v>0.56441101340783406</v>
      </c>
      <c r="T11" s="53">
        <f>'R1'!T33</f>
        <v>1.6490103010728629</v>
      </c>
      <c r="U11" s="53">
        <f>'R1'!U33</f>
        <v>1.7358114160899794</v>
      </c>
      <c r="V11" s="53">
        <f>'R1'!V33</f>
        <v>2.9013177373899341</v>
      </c>
    </row>
    <row r="12" spans="1:22" s="1" customFormat="1" x14ac:dyDescent="0.25">
      <c r="A12" s="229"/>
      <c r="B12" s="53">
        <f>'R1'!B34</f>
        <v>0.1287105784924312</v>
      </c>
      <c r="C12" s="53">
        <f>'R1'!C34</f>
        <v>0.14856795578193235</v>
      </c>
      <c r="D12" s="53">
        <f>'R1'!D34</f>
        <v>3.4441313559746209E-2</v>
      </c>
      <c r="E12" s="53">
        <f>'R1'!E34</f>
        <v>0.51886935787302335</v>
      </c>
      <c r="F12" s="53">
        <f>'R1'!F34</f>
        <v>0.27458419876330181</v>
      </c>
      <c r="G12" s="53">
        <f>'R1'!G34</f>
        <v>2.690285332177178</v>
      </c>
      <c r="H12" s="53">
        <f>'R1'!H34</f>
        <v>1.9200047960595792</v>
      </c>
      <c r="I12" s="53">
        <f>'R1'!I34</f>
        <v>0.11752837427594739</v>
      </c>
      <c r="J12" s="53">
        <f>'R1'!J34</f>
        <v>5.6666467201603801E-2</v>
      </c>
      <c r="K12" s="53">
        <f>'R1'!K34</f>
        <v>0.18573763996941736</v>
      </c>
      <c r="L12" s="53">
        <f>'R1'!L34</f>
        <v>0.26619754560093895</v>
      </c>
      <c r="M12" s="53">
        <f>'R1'!M34</f>
        <v>1.8771476881591389</v>
      </c>
      <c r="N12"/>
      <c r="O12" s="53">
        <f>'R1'!O34</f>
        <v>1.9695499156129317</v>
      </c>
      <c r="P12" s="53">
        <f>'R1'!P34</f>
        <v>0.18150349349339776</v>
      </c>
      <c r="Q12" s="53">
        <f>'R1'!Q34</f>
        <v>3.5134473190894522E-2</v>
      </c>
      <c r="R12" s="53">
        <f>'R1'!R34</f>
        <v>0.68636128343088221</v>
      </c>
      <c r="S12" s="53">
        <f>'R1'!S34</f>
        <v>0.12878265285715909</v>
      </c>
      <c r="T12" s="53">
        <f>'R1'!T34</f>
        <v>2.468927161958439</v>
      </c>
      <c r="U12" s="53">
        <f>'R1'!U34</f>
        <v>2.187746601660336</v>
      </c>
      <c r="V12" s="53">
        <f>'R1'!V34</f>
        <v>2.431213805711093</v>
      </c>
    </row>
    <row r="13" spans="1:22" s="1" customFormat="1" x14ac:dyDescent="0.25">
      <c r="A13" s="229"/>
      <c r="B13" s="53">
        <f>'R1'!B35</f>
        <v>0.33664890241197759</v>
      </c>
      <c r="C13" s="53">
        <f>'R1'!C35</f>
        <v>0.21075300582356421</v>
      </c>
      <c r="D13" s="53">
        <f>'R1'!D35</f>
        <v>0.14903488199046264</v>
      </c>
      <c r="E13" s="53">
        <f>'R1'!E35</f>
        <v>0.17400686975472696</v>
      </c>
      <c r="F13" s="53">
        <f>'R1'!F35</f>
        <v>0.72811636539656377</v>
      </c>
      <c r="G13" s="53">
        <f>'R1'!G35</f>
        <v>2.0895416092648484</v>
      </c>
      <c r="H13" s="53">
        <f>'R1'!H35</f>
        <v>3.353315209448327</v>
      </c>
      <c r="I13" s="53">
        <f>'R1'!I35</f>
        <v>1.3958401968964871E-2</v>
      </c>
      <c r="J13" s="53">
        <f>'R1'!J35</f>
        <v>5.8908780770915423E-2</v>
      </c>
      <c r="K13" s="53">
        <f>'R1'!K35</f>
        <v>0.12727198307053258</v>
      </c>
      <c r="L13" s="53">
        <f>'R1'!L35</f>
        <v>2.1268317510711614</v>
      </c>
      <c r="M13" s="53">
        <f>'R1'!M35</f>
        <v>1.9535896704088245</v>
      </c>
      <c r="N13"/>
      <c r="O13" s="53">
        <f>'R1'!O35</f>
        <v>1.6008294780592514E-2</v>
      </c>
      <c r="P13" s="53">
        <f>'R1'!P35</f>
        <v>3.1878538234004559</v>
      </c>
      <c r="Q13" s="53">
        <f>'R1'!Q35</f>
        <v>0.11799040654613195</v>
      </c>
      <c r="R13" s="53">
        <f>'R1'!R35</f>
        <v>1.7907456515689415</v>
      </c>
      <c r="S13" s="53">
        <f>'R1'!S35</f>
        <v>0.59307881443008881</v>
      </c>
      <c r="T13" s="53">
        <f>'R1'!T35</f>
        <v>2.5294093439075036</v>
      </c>
      <c r="U13" s="53">
        <f>'R1'!U35</f>
        <v>1.9730381813947149</v>
      </c>
      <c r="V13" s="53">
        <f>'R1'!V35</f>
        <v>3.3948587398064278</v>
      </c>
    </row>
    <row r="14" spans="1:22" s="1" customFormat="1" x14ac:dyDescent="0.2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0.23848739933224442</v>
      </c>
      <c r="P14" s="53" t="str">
        <f>'R1'!P36</f>
        <v/>
      </c>
      <c r="Q14" s="53" t="str">
        <f>'R1'!Q36</f>
        <v/>
      </c>
      <c r="R14" s="53" t="str">
        <f>'R1'!R36</f>
        <v/>
      </c>
      <c r="S14" s="53" t="str">
        <f>'R1'!S36</f>
        <v/>
      </c>
      <c r="T14" s="53" t="str">
        <f>'R1'!T36</f>
        <v/>
      </c>
      <c r="U14" s="53" t="str">
        <f>'R1'!U36</f>
        <v/>
      </c>
      <c r="V14" s="53" t="str">
        <f>'R1'!V36</f>
        <v/>
      </c>
    </row>
    <row r="15" spans="1:22" s="1" customFormat="1" x14ac:dyDescent="0.2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0.5268709470682752</v>
      </c>
      <c r="P15" s="53" t="str">
        <f>'R1'!P37</f>
        <v/>
      </c>
      <c r="Q15" s="53" t="str">
        <f>'R1'!Q37</f>
        <v/>
      </c>
      <c r="R15" s="53" t="str">
        <f>'R1'!R37</f>
        <v/>
      </c>
      <c r="S15" s="53" t="str">
        <f>'R1'!S37</f>
        <v/>
      </c>
      <c r="T15" s="53" t="str">
        <f>'R1'!T37</f>
        <v/>
      </c>
      <c r="U15" s="53" t="str">
        <f>'R1'!U37</f>
        <v/>
      </c>
      <c r="V15" s="53" t="str">
        <f>'R1'!V37</f>
        <v/>
      </c>
    </row>
    <row r="16" spans="1:22" s="1" customFormat="1" x14ac:dyDescent="0.2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0.53121120302569969</v>
      </c>
      <c r="P16" s="53" t="str">
        <f>'R1'!P38</f>
        <v/>
      </c>
      <c r="Q16" s="53" t="str">
        <f>'R1'!Q38</f>
        <v/>
      </c>
      <c r="R16" s="53" t="str">
        <f>'R1'!R38</f>
        <v/>
      </c>
      <c r="S16" s="53" t="str">
        <f>'R1'!S38</f>
        <v/>
      </c>
      <c r="T16" s="53" t="str">
        <f>'R1'!T38</f>
        <v/>
      </c>
      <c r="U16" s="53" t="str">
        <f>'R1'!U38</f>
        <v/>
      </c>
      <c r="V16" s="53" t="str">
        <f>'R1'!V38</f>
        <v/>
      </c>
    </row>
    <row r="17" spans="1:22" s="1" customFormat="1" x14ac:dyDescent="0.2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1.0971428965485945</v>
      </c>
      <c r="P17" s="53" t="str">
        <f>'R1'!P39</f>
        <v/>
      </c>
      <c r="Q17" s="53" t="str">
        <f>'R1'!Q39</f>
        <v/>
      </c>
      <c r="R17" s="53" t="str">
        <f>'R1'!R39</f>
        <v/>
      </c>
      <c r="S17" s="53" t="str">
        <f>'R1'!S39</f>
        <v/>
      </c>
      <c r="T17" s="53" t="str">
        <f>'R1'!T39</f>
        <v/>
      </c>
      <c r="U17" s="53" t="str">
        <f>'R1'!U39</f>
        <v/>
      </c>
      <c r="V17" s="53" t="str">
        <f>'R1'!V39</f>
        <v/>
      </c>
    </row>
    <row r="18" spans="1:22" s="1" customFormat="1" x14ac:dyDescent="0.2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0.38887412056484066</v>
      </c>
      <c r="P18" s="53" t="str">
        <f>'R1'!P40</f>
        <v/>
      </c>
      <c r="Q18" s="53" t="str">
        <f>'R1'!Q40</f>
        <v/>
      </c>
      <c r="R18" s="53" t="str">
        <f>'R1'!R40</f>
        <v/>
      </c>
      <c r="S18" s="53" t="str">
        <f>'R1'!S40</f>
        <v/>
      </c>
      <c r="T18" s="53" t="str">
        <f>'R1'!T40</f>
        <v/>
      </c>
      <c r="U18" s="53" t="str">
        <f>'R1'!U40</f>
        <v/>
      </c>
      <c r="V18" s="53" t="str">
        <f>'R1'!V40</f>
        <v/>
      </c>
    </row>
    <row r="19" spans="1:22" s="1" customFormat="1" x14ac:dyDescent="0.2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0.52150607838265139</v>
      </c>
      <c r="P19" s="53" t="str">
        <f>'R1'!P41</f>
        <v/>
      </c>
      <c r="Q19" s="53" t="str">
        <f>'R1'!Q41</f>
        <v/>
      </c>
      <c r="R19" s="53" t="str">
        <f>'R1'!R41</f>
        <v/>
      </c>
      <c r="S19" s="53" t="str">
        <f>'R1'!S41</f>
        <v/>
      </c>
      <c r="T19" s="53" t="str">
        <f>'R1'!T41</f>
        <v/>
      </c>
      <c r="U19" s="53" t="str">
        <f>'R1'!U41</f>
        <v/>
      </c>
      <c r="V19" s="53" t="str">
        <f>'R1'!V41</f>
        <v/>
      </c>
    </row>
    <row r="20" spans="1:22" s="1" customFormat="1" x14ac:dyDescent="0.2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0.99683985053912316</v>
      </c>
      <c r="P20" s="53" t="str">
        <f>'R1'!P42</f>
        <v/>
      </c>
      <c r="Q20" s="53" t="str">
        <f>'R1'!Q42</f>
        <v/>
      </c>
      <c r="R20" s="53" t="str">
        <f>'R1'!R42</f>
        <v/>
      </c>
      <c r="S20" s="53" t="str">
        <f>'R1'!S42</f>
        <v/>
      </c>
      <c r="T20" s="53" t="str">
        <f>'R1'!T42</f>
        <v/>
      </c>
      <c r="U20" s="53" t="str">
        <f>'R1'!U42</f>
        <v/>
      </c>
      <c r="V20" s="53" t="str">
        <f>'R1'!V42</f>
        <v/>
      </c>
    </row>
    <row r="21" spans="1:22" s="1" customFormat="1" x14ac:dyDescent="0.2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t="str">
        <f>'R1'!O43</f>
        <v/>
      </c>
      <c r="P21" s="53" t="str">
        <f>'R1'!P43</f>
        <v/>
      </c>
      <c r="Q21" s="53" t="str">
        <f>'R1'!Q43</f>
        <v/>
      </c>
      <c r="R21" s="53" t="str">
        <f>'R1'!R43</f>
        <v/>
      </c>
      <c r="S21" s="53" t="str">
        <f>'R1'!S43</f>
        <v/>
      </c>
      <c r="T21" s="53" t="str">
        <f>'R1'!T43</f>
        <v/>
      </c>
      <c r="U21" s="53" t="str">
        <f>'R1'!U43</f>
        <v/>
      </c>
      <c r="V21" s="53" t="str">
        <f>'R1'!V43</f>
        <v/>
      </c>
    </row>
    <row r="22" spans="1:22" x14ac:dyDescent="0.25">
      <c r="A22" s="39" t="s">
        <v>5</v>
      </c>
      <c r="B22" s="54">
        <f>'R2'!B28</f>
        <v>9.1833841347578923E-2</v>
      </c>
      <c r="C22" s="54">
        <f>'R2'!C28</f>
        <v>0.23518110975411485</v>
      </c>
      <c r="D22" s="54">
        <f>'R2'!D28</f>
        <v>0.11484122961071287</v>
      </c>
      <c r="E22" s="54">
        <f>'R2'!E28</f>
        <v>0.14383464613517283</v>
      </c>
      <c r="F22" s="54">
        <f>'R2'!F28</f>
        <v>0.64847420565804281</v>
      </c>
      <c r="G22" s="54">
        <f>'R2'!G28</f>
        <v>3.2502802385371701</v>
      </c>
      <c r="H22" s="54">
        <f>'R2'!H28</f>
        <v>3.9948152488087438</v>
      </c>
      <c r="I22" s="54">
        <f>'R2'!I28</f>
        <v>0.23027105705456952</v>
      </c>
      <c r="J22" s="54">
        <f>'R2'!J28</f>
        <v>9.2175239792548505E-2</v>
      </c>
      <c r="K22" s="54">
        <f>'R2'!K28</f>
        <v>0.20773788205561355</v>
      </c>
      <c r="L22" s="54">
        <f>'R2'!L28</f>
        <v>4.8428141734182688</v>
      </c>
      <c r="M22" s="54">
        <f>'R2'!M28</f>
        <v>6.74603063970594</v>
      </c>
      <c r="O22" s="54">
        <f>'R2'!O28</f>
        <v>0.58173592918044692</v>
      </c>
      <c r="P22" s="54">
        <f>'R2'!P28</f>
        <v>2.8411825111844919</v>
      </c>
      <c r="Q22" s="54">
        <f>'R2'!Q28</f>
        <v>8.5759172358895769E-2</v>
      </c>
      <c r="R22" s="54">
        <f>'R2'!R28</f>
        <v>0.32159821279230499</v>
      </c>
      <c r="S22" s="54">
        <f>'R2'!S28</f>
        <v>2.079632869415168</v>
      </c>
      <c r="T22" s="54">
        <f>'R2'!T28</f>
        <v>2.5786406710424856</v>
      </c>
      <c r="U22" s="54">
        <f>'R2'!U28</f>
        <v>6.1552273199498009</v>
      </c>
      <c r="V22" s="54">
        <f>'R2'!V28</f>
        <v>4.513331324045998</v>
      </c>
    </row>
    <row r="23" spans="1:22" x14ac:dyDescent="0.25">
      <c r="A23" s="228" t="s">
        <v>34</v>
      </c>
      <c r="B23" s="54">
        <f>'R2'!B29</f>
        <v>9.3918799974226891E-2</v>
      </c>
      <c r="C23" s="54">
        <f>'R2'!C29</f>
        <v>0.12115607693985879</v>
      </c>
      <c r="D23" s="54">
        <f>'R2'!D29</f>
        <v>0.10753290403039585</v>
      </c>
      <c r="E23" s="54">
        <f>'R2'!E29</f>
        <v>0.30442165838170843</v>
      </c>
      <c r="F23" s="54">
        <f>'R2'!F29</f>
        <v>0.597023968028489</v>
      </c>
      <c r="G23" s="54">
        <f>'R2'!G29</f>
        <v>0.62527695656304494</v>
      </c>
      <c r="H23" s="54">
        <f>'R2'!H29</f>
        <v>5.2552591852673842</v>
      </c>
      <c r="I23" s="54">
        <f>'R2'!I29</f>
        <v>0.27913345351514235</v>
      </c>
      <c r="J23" s="54">
        <f>'R2'!J29</f>
        <v>0.1784788358927368</v>
      </c>
      <c r="K23" s="54">
        <f>'R2'!K29</f>
        <v>0.34364430260627871</v>
      </c>
      <c r="L23" s="54">
        <f>'R2'!L29</f>
        <v>4.8834189401392045</v>
      </c>
      <c r="M23" s="54">
        <f>'R2'!M29</f>
        <v>5.1024583686610265</v>
      </c>
      <c r="O23" s="54">
        <f>'R2'!O29</f>
        <v>1.1460201666431045</v>
      </c>
      <c r="P23" s="54">
        <f>'R2'!P29</f>
        <v>1.7249213478100509</v>
      </c>
      <c r="Q23" s="54">
        <f>'R2'!Q29</f>
        <v>4.4167070803536233E-2</v>
      </c>
      <c r="R23" s="54">
        <f>'R2'!R29</f>
        <v>1.4426749372658416</v>
      </c>
      <c r="S23" s="54">
        <f>'R2'!S29</f>
        <v>1.999536757122871</v>
      </c>
      <c r="T23" s="54">
        <f>'R2'!T29</f>
        <v>4.0207208670584356</v>
      </c>
      <c r="U23" s="54">
        <f>'R2'!U29</f>
        <v>4.9573388707946568</v>
      </c>
      <c r="V23" s="54">
        <f>'R2'!V29</f>
        <v>7.2339337767466256</v>
      </c>
    </row>
    <row r="24" spans="1:22" x14ac:dyDescent="0.25">
      <c r="A24" s="229"/>
      <c r="B24" s="54">
        <f>'R2'!B30</f>
        <v>0.4960402387946089</v>
      </c>
      <c r="C24" s="54">
        <f>'R2'!C30</f>
        <v>0.17975725166353118</v>
      </c>
      <c r="D24" s="54">
        <f>'R2'!D30</f>
        <v>0.30884799014829983</v>
      </c>
      <c r="E24" s="54">
        <f>'R2'!E30</f>
        <v>2.9778311149869893E-2</v>
      </c>
      <c r="F24" s="54">
        <f>'R2'!F30</f>
        <v>0.24253390196993777</v>
      </c>
      <c r="G24" s="54">
        <f>'R2'!G30</f>
        <v>1.8454639607061212</v>
      </c>
      <c r="H24" s="54">
        <f>'R2'!H30</f>
        <v>5.9201155430418373</v>
      </c>
      <c r="I24" s="54">
        <f>'R2'!I30</f>
        <v>0.10413471693805086</v>
      </c>
      <c r="J24" s="54">
        <f>'R2'!J30</f>
        <v>0.13966472888187692</v>
      </c>
      <c r="K24" s="54">
        <f>'R2'!K30</f>
        <v>0.45987745492578785</v>
      </c>
      <c r="L24" s="54">
        <f>'R2'!L30</f>
        <v>3.3628691745507786</v>
      </c>
      <c r="M24" s="54">
        <f>'R2'!M30</f>
        <v>5.187907152202345</v>
      </c>
      <c r="O24" s="54">
        <f>'R2'!O30</f>
        <v>0.53272199510676854</v>
      </c>
      <c r="P24" s="54">
        <f>'R2'!P30</f>
        <v>1.3687424272332398</v>
      </c>
      <c r="Q24" s="54">
        <f>'R2'!Q30</f>
        <v>2.6835907071460295E-2</v>
      </c>
      <c r="R24" s="54">
        <f>'R2'!R30</f>
        <v>0.65642144658010237</v>
      </c>
      <c r="S24" s="54">
        <f>'R2'!S30</f>
        <v>1.3417040799527657</v>
      </c>
      <c r="T24" s="54">
        <f>'R2'!T30</f>
        <v>1.600658164714218</v>
      </c>
      <c r="U24" s="54">
        <f>'R2'!U30</f>
        <v>4.2358176847466193</v>
      </c>
      <c r="V24" s="54">
        <f>'R2'!V30</f>
        <v>7.0732231648060022</v>
      </c>
    </row>
    <row r="25" spans="1:22" x14ac:dyDescent="0.25">
      <c r="A25" s="229"/>
      <c r="B25" s="54">
        <f>'R2'!B31</f>
        <v>0.38715958614726803</v>
      </c>
      <c r="C25" s="54">
        <f>'R2'!C31</f>
        <v>4.7641026702434024E-2</v>
      </c>
      <c r="D25" s="54">
        <f>'R2'!D31</f>
        <v>0.22894203123152171</v>
      </c>
      <c r="E25" s="54">
        <f>'R2'!E31</f>
        <v>0.36766389191448096</v>
      </c>
      <c r="F25" s="54">
        <f>'R2'!F31</f>
        <v>0.99734480065453712</v>
      </c>
      <c r="G25" s="54">
        <f>'R2'!G31</f>
        <v>2.3938466952769484</v>
      </c>
      <c r="H25" s="54">
        <f>'R2'!H31</f>
        <v>4.1336321861794616</v>
      </c>
      <c r="I25" s="54">
        <f>'R2'!I31</f>
        <v>8.8378608242578358E-2</v>
      </c>
      <c r="J25" s="54">
        <f>'R2'!J31</f>
        <v>9.632029083519969E-2</v>
      </c>
      <c r="K25" s="54">
        <f>'R2'!K31</f>
        <v>0.15665449416898328</v>
      </c>
      <c r="L25" s="54">
        <f>'R2'!L31</f>
        <v>1.821646519063278</v>
      </c>
      <c r="M25" s="54">
        <f>'R2'!M31</f>
        <v>4.8157819695545427</v>
      </c>
      <c r="O25" s="54">
        <f>'R2'!O31</f>
        <v>0.93089789765696651</v>
      </c>
      <c r="P25" s="54">
        <f>'R2'!P31</f>
        <v>2.5212169845287553</v>
      </c>
      <c r="Q25" s="54">
        <f>'R2'!Q31</f>
        <v>1.2016523158157948E-2</v>
      </c>
      <c r="R25" s="54">
        <f>'R2'!R31</f>
        <v>0.33705066117425703</v>
      </c>
      <c r="S25" s="54">
        <f>'R2'!S31</f>
        <v>2.4433989096751714</v>
      </c>
      <c r="T25" s="54">
        <f>'R2'!T31</f>
        <v>1.9746813705933508</v>
      </c>
      <c r="U25" s="54">
        <f>'R2'!U31</f>
        <v>2.9617254166242168</v>
      </c>
      <c r="V25" s="54">
        <f>'R2'!V31</f>
        <v>3.9485535654379564</v>
      </c>
    </row>
    <row r="26" spans="1:22" x14ac:dyDescent="0.25">
      <c r="A26" s="229"/>
      <c r="B26" s="54">
        <f>'R2'!B32</f>
        <v>8.0178317059251714E-2</v>
      </c>
      <c r="C26" s="54">
        <f>'R2'!C32</f>
        <v>0.14589766398772253</v>
      </c>
      <c r="D26" s="54">
        <f>'R2'!D32</f>
        <v>0.13929758659529867</v>
      </c>
      <c r="E26" s="54">
        <f>'R2'!E32</f>
        <v>0.11541695552305231</v>
      </c>
      <c r="F26" s="54">
        <f>'R2'!F32</f>
        <v>1.0810731349628939</v>
      </c>
      <c r="G26" s="54">
        <f>'R2'!G32</f>
        <v>2.6484284225760906</v>
      </c>
      <c r="H26" s="54">
        <f>'R2'!H32</f>
        <v>4.5346241139492633</v>
      </c>
      <c r="I26" s="54">
        <f>'R2'!I32</f>
        <v>0.2148882340624228</v>
      </c>
      <c r="J26" s="54">
        <f>'R2'!J32</f>
        <v>0.43918584223281598</v>
      </c>
      <c r="K26" s="54">
        <f>'R2'!K32</f>
        <v>0.13059704576253076</v>
      </c>
      <c r="L26" s="54">
        <f>'R2'!L32</f>
        <v>4.7479176925502218</v>
      </c>
      <c r="M26" s="54">
        <f>'R2'!M32</f>
        <v>6.0562305472182638</v>
      </c>
      <c r="O26" s="54">
        <f>'R2'!O32</f>
        <v>9.7762823596249368E-2</v>
      </c>
      <c r="P26" s="54">
        <f>'R2'!P32</f>
        <v>2.4354004736135493</v>
      </c>
      <c r="Q26" s="54">
        <f>'R2'!Q32</f>
        <v>2.9221015487773026E-2</v>
      </c>
      <c r="R26" s="54">
        <f>'R2'!R32</f>
        <v>1.149108257461527</v>
      </c>
      <c r="S26" s="54">
        <f>'R2'!S32</f>
        <v>4.1068091510288056</v>
      </c>
      <c r="T26" s="54">
        <f>'R2'!T32</f>
        <v>3.4065365807921828</v>
      </c>
      <c r="U26" s="54">
        <f>'R2'!U32</f>
        <v>4.0621547024966329</v>
      </c>
      <c r="V26" s="54">
        <f>'R2'!V32</f>
        <v>3.7797117026165026</v>
      </c>
    </row>
    <row r="27" spans="1:22" x14ac:dyDescent="0.25">
      <c r="A27" s="229"/>
      <c r="B27" s="54">
        <f>'R2'!B33</f>
        <v>0.11901114686400879</v>
      </c>
      <c r="C27" s="54">
        <f>'R2'!C33</f>
        <v>0.33138116514725585</v>
      </c>
      <c r="D27" s="54">
        <f>'R2'!D33</f>
        <v>0.28223412371071432</v>
      </c>
      <c r="E27" s="54">
        <f>'R2'!E33</f>
        <v>0.17060736377723004</v>
      </c>
      <c r="F27" s="54">
        <f>'R2'!F33</f>
        <v>0.42049405796299066</v>
      </c>
      <c r="G27" s="54">
        <f>'R2'!G33</f>
        <v>2.1880706109693775</v>
      </c>
      <c r="H27" s="54">
        <f>'R2'!H33</f>
        <v>5.2830376679941065</v>
      </c>
      <c r="I27" s="54" t="str">
        <f>'R2'!I33</f>
        <v/>
      </c>
      <c r="J27" s="54">
        <f>'R2'!J33</f>
        <v>0.12409233760152084</v>
      </c>
      <c r="K27" s="54">
        <f>'R2'!K33</f>
        <v>4.5122518379603613E-2</v>
      </c>
      <c r="L27" s="54">
        <f>'R2'!L33</f>
        <v>3.5047546023150584</v>
      </c>
      <c r="M27" s="54">
        <f>'R2'!M33</f>
        <v>6.8698573476690443</v>
      </c>
      <c r="O27" s="54">
        <f>'R2'!O33</f>
        <v>0.77227546232319288</v>
      </c>
      <c r="P27" s="54">
        <f>'R2'!P33</f>
        <v>2.7171536555560292</v>
      </c>
      <c r="Q27" s="54">
        <f>'R2'!Q33</f>
        <v>4.4046835361477542E-2</v>
      </c>
      <c r="R27" s="54">
        <f>'R2'!R33</f>
        <v>0.63626811421167551</v>
      </c>
      <c r="S27" s="54">
        <f>'R2'!S33</f>
        <v>2.5386306455714407</v>
      </c>
      <c r="T27" s="54">
        <f>'R2'!T33</f>
        <v>3.8940658470422336</v>
      </c>
      <c r="U27" s="54">
        <f>'R2'!U33</f>
        <v>2.2100906643980878</v>
      </c>
      <c r="V27" s="54">
        <f>'R2'!V33</f>
        <v>6.9066780622171597</v>
      </c>
    </row>
    <row r="28" spans="1:22" x14ac:dyDescent="0.25">
      <c r="A28" s="229"/>
      <c r="B28" s="54">
        <f>'R2'!B34</f>
        <v>8.0475833956024687E-2</v>
      </c>
      <c r="C28" s="54">
        <f>'R2'!C34</f>
        <v>0.1130631492777865</v>
      </c>
      <c r="D28" s="54">
        <f>'R2'!D34</f>
        <v>0.1113421149575157</v>
      </c>
      <c r="E28" s="54">
        <f>'R2'!E34</f>
        <v>0.25031702590174199</v>
      </c>
      <c r="F28" s="54">
        <f>'R2'!F34</f>
        <v>1.0350960965680753</v>
      </c>
      <c r="G28" s="54">
        <f>'R2'!G34</f>
        <v>1.4884621148287962</v>
      </c>
      <c r="H28" s="54">
        <f>'R2'!H34</f>
        <v>3.2743129923098313</v>
      </c>
      <c r="I28" s="54">
        <f>'R2'!I34</f>
        <v>0.15245941816138797</v>
      </c>
      <c r="J28" s="54">
        <f>'R2'!J34</f>
        <v>0.2727677035900884</v>
      </c>
      <c r="K28" s="54">
        <f>'R2'!K34</f>
        <v>0.31004390860848463</v>
      </c>
      <c r="L28" s="54">
        <f>'R2'!L34</f>
        <v>5.3841922427222997</v>
      </c>
      <c r="M28" s="54">
        <f>'R2'!M34</f>
        <v>8.3087733915163646</v>
      </c>
      <c r="O28" s="54">
        <f>'R2'!O34</f>
        <v>3.3946528724532334</v>
      </c>
      <c r="P28" s="54">
        <f>'R2'!P34</f>
        <v>2.0263027462608716</v>
      </c>
      <c r="Q28" s="54">
        <f>'R2'!Q34</f>
        <v>4.8571022980547378E-2</v>
      </c>
      <c r="R28" s="54">
        <f>'R2'!R34</f>
        <v>1.8252723051189359</v>
      </c>
      <c r="S28" s="54">
        <f>'R2'!S34</f>
        <v>1.8875244246525658</v>
      </c>
      <c r="T28" s="54">
        <f>'R2'!T34</f>
        <v>4.3458503743059484</v>
      </c>
      <c r="U28" s="54">
        <f>'R2'!U34</f>
        <v>3.3029772972228169</v>
      </c>
      <c r="V28" s="54">
        <f>'R2'!V34</f>
        <v>6.2113225657277935</v>
      </c>
    </row>
    <row r="29" spans="1:22" x14ac:dyDescent="0.25">
      <c r="A29" s="229"/>
      <c r="B29" s="54">
        <f>'R2'!B35</f>
        <v>0.11411367354161318</v>
      </c>
      <c r="C29" s="54">
        <f>'R2'!C35</f>
        <v>0.75870260692232883</v>
      </c>
      <c r="D29" s="54">
        <f>'R2'!D35</f>
        <v>0.75584855102762172</v>
      </c>
      <c r="E29" s="54">
        <f>'R2'!E35</f>
        <v>8.8366321409083307E-2</v>
      </c>
      <c r="F29" s="54">
        <f>'R2'!F35</f>
        <v>0.73358159075439167</v>
      </c>
      <c r="G29" s="54">
        <f>'R2'!G35</f>
        <v>2.2145390832106049</v>
      </c>
      <c r="H29" s="54">
        <f>'R2'!H35</f>
        <v>6.1169953748116832</v>
      </c>
      <c r="I29" s="54">
        <f>'R2'!I35</f>
        <v>0.20468811445594959</v>
      </c>
      <c r="J29" s="54">
        <f>'R2'!J35</f>
        <v>2.1735700996396372E-2</v>
      </c>
      <c r="K29" s="54">
        <f>'R2'!K35</f>
        <v>0.19905635656039747</v>
      </c>
      <c r="L29" s="54">
        <f>'R2'!L35</f>
        <v>5.1193720725979253</v>
      </c>
      <c r="M29" s="54">
        <f>'R2'!M35</f>
        <v>5.8438418061411195</v>
      </c>
      <c r="O29" s="54">
        <f>'R2'!O35</f>
        <v>0.22350671640006306</v>
      </c>
      <c r="P29" s="54">
        <f>'R2'!P35</f>
        <v>2.3399981847666225</v>
      </c>
      <c r="Q29" s="54">
        <f>'R2'!Q35</f>
        <v>0.22239958493906276</v>
      </c>
      <c r="R29" s="54">
        <f>'R2'!R35</f>
        <v>0.67053901826591378</v>
      </c>
      <c r="S29" s="54">
        <f>'R2'!S35</f>
        <v>1.2030202499449103</v>
      </c>
      <c r="T29" s="54">
        <f>'R2'!T35</f>
        <v>3.5850847495310703</v>
      </c>
      <c r="U29" s="54">
        <f>'R2'!U35</f>
        <v>5.047116130250088</v>
      </c>
      <c r="V29" s="54">
        <f>'R2'!V35</f>
        <v>5.3076841783542115</v>
      </c>
    </row>
    <row r="30" spans="1:22" x14ac:dyDescent="0.2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0.18381322316334325</v>
      </c>
      <c r="P30" s="54" t="str">
        <f>'R2'!P36</f>
        <v/>
      </c>
      <c r="Q30" s="54" t="str">
        <f>'R2'!Q36</f>
        <v/>
      </c>
      <c r="R30" s="54" t="str">
        <f>'R2'!R36</f>
        <v/>
      </c>
      <c r="S30" s="54" t="str">
        <f>'R2'!S36</f>
        <v/>
      </c>
      <c r="T30" s="54" t="str">
        <f>'R2'!T36</f>
        <v/>
      </c>
      <c r="U30" s="54" t="str">
        <f>'R2'!U36</f>
        <v/>
      </c>
      <c r="V30" s="54" t="str">
        <f>'R2'!V36</f>
        <v/>
      </c>
    </row>
    <row r="31" spans="1:22" s="1" customFormat="1" x14ac:dyDescent="0.2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9.0815058070281118E-2</v>
      </c>
      <c r="P31" s="54" t="str">
        <f>'R2'!P37</f>
        <v/>
      </c>
      <c r="Q31" s="54" t="str">
        <f>'R2'!Q37</f>
        <v/>
      </c>
      <c r="R31" s="54" t="str">
        <f>'R2'!R37</f>
        <v/>
      </c>
      <c r="S31" s="54" t="str">
        <f>'R2'!S37</f>
        <v/>
      </c>
      <c r="T31" s="54" t="str">
        <f>'R2'!T37</f>
        <v/>
      </c>
      <c r="U31" s="54" t="str">
        <f>'R2'!U37</f>
        <v/>
      </c>
      <c r="V31" s="54" t="str">
        <f>'R2'!V37</f>
        <v/>
      </c>
    </row>
    <row r="32" spans="1:22" s="1" customFormat="1" x14ac:dyDescent="0.2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0.31938365732664975</v>
      </c>
      <c r="P32" s="54" t="str">
        <f>'R2'!P38</f>
        <v/>
      </c>
      <c r="Q32" s="54" t="str">
        <f>'R2'!Q38</f>
        <v/>
      </c>
      <c r="R32" s="54" t="str">
        <f>'R2'!R38</f>
        <v/>
      </c>
      <c r="S32" s="54" t="str">
        <f>'R2'!S38</f>
        <v/>
      </c>
      <c r="T32" s="54" t="str">
        <f>'R2'!T38</f>
        <v/>
      </c>
      <c r="U32" s="54" t="str">
        <f>'R2'!U38</f>
        <v/>
      </c>
      <c r="V32" s="54" t="str">
        <f>'R2'!V38</f>
        <v/>
      </c>
    </row>
    <row r="33" spans="1:22" s="1" customFormat="1" x14ac:dyDescent="0.2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0.4677900294247721</v>
      </c>
      <c r="P33" s="54" t="str">
        <f>'R2'!P39</f>
        <v/>
      </c>
      <c r="Q33" s="54" t="str">
        <f>'R2'!Q39</f>
        <v/>
      </c>
      <c r="R33" s="54" t="str">
        <f>'R2'!R39</f>
        <v/>
      </c>
      <c r="S33" s="54" t="str">
        <f>'R2'!S39</f>
        <v/>
      </c>
      <c r="T33" s="54" t="str">
        <f>'R2'!T39</f>
        <v/>
      </c>
      <c r="U33" s="54" t="str">
        <f>'R2'!U39</f>
        <v/>
      </c>
      <c r="V33" s="54" t="str">
        <f>'R2'!V39</f>
        <v/>
      </c>
    </row>
    <row r="34" spans="1:22" s="1" customFormat="1" x14ac:dyDescent="0.2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1.0393669413822233</v>
      </c>
      <c r="P34" s="54" t="str">
        <f>'R2'!P40</f>
        <v/>
      </c>
      <c r="Q34" s="54" t="str">
        <f>'R2'!Q40</f>
        <v/>
      </c>
      <c r="R34" s="54" t="str">
        <f>'R2'!R40</f>
        <v/>
      </c>
      <c r="S34" s="54" t="str">
        <f>'R2'!S40</f>
        <v/>
      </c>
      <c r="T34" s="54" t="str">
        <f>'R2'!T40</f>
        <v/>
      </c>
      <c r="U34" s="54" t="str">
        <f>'R2'!U40</f>
        <v/>
      </c>
      <c r="V34" s="54" t="str">
        <f>'R2'!V40</f>
        <v/>
      </c>
    </row>
    <row r="35" spans="1:22" s="1" customFormat="1" x14ac:dyDescent="0.2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1.8430405290710499</v>
      </c>
      <c r="P35" s="54" t="str">
        <f>'R2'!P41</f>
        <v/>
      </c>
      <c r="Q35" s="54" t="str">
        <f>'R2'!Q41</f>
        <v/>
      </c>
      <c r="R35" s="54" t="str">
        <f>'R2'!R41</f>
        <v/>
      </c>
      <c r="S35" s="54" t="str">
        <f>'R2'!S41</f>
        <v/>
      </c>
      <c r="T35" s="54" t="str">
        <f>'R2'!T41</f>
        <v/>
      </c>
      <c r="U35" s="54" t="str">
        <f>'R2'!U41</f>
        <v/>
      </c>
      <c r="V35" s="54" t="str">
        <f>'R2'!V41</f>
        <v/>
      </c>
    </row>
    <row r="36" spans="1:22" x14ac:dyDescent="0.2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3.1997158230938783</v>
      </c>
      <c r="P36" s="54" t="str">
        <f>'R2'!P42</f>
        <v/>
      </c>
      <c r="Q36" s="54" t="str">
        <f>'R2'!Q42</f>
        <v/>
      </c>
      <c r="R36" s="54" t="str">
        <f>'R2'!R42</f>
        <v/>
      </c>
      <c r="S36" s="54" t="str">
        <f>'R2'!S42</f>
        <v/>
      </c>
      <c r="T36" s="54" t="str">
        <f>'R2'!T42</f>
        <v/>
      </c>
      <c r="U36" s="54" t="str">
        <f>'R2'!U42</f>
        <v/>
      </c>
      <c r="V36" s="54" t="str">
        <f>'R2'!V42</f>
        <v/>
      </c>
    </row>
    <row r="37" spans="1:22" x14ac:dyDescent="0.2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1.1765008751077748</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0.13823219653553032</v>
      </c>
      <c r="C38" s="154">
        <f>'R3'!C28</f>
        <v>2.2451589397225667E-2</v>
      </c>
      <c r="D38" s="154">
        <f>'R3'!D28</f>
        <v>4.5401428759419556E-2</v>
      </c>
      <c r="E38" s="154">
        <f>'R3'!E28</f>
        <v>3.1334914708078851E-2</v>
      </c>
      <c r="F38" s="154">
        <f>'R3'!F28</f>
        <v>0.3132314387251614</v>
      </c>
      <c r="G38" s="154">
        <f>'R3'!G28</f>
        <v>1.9478274506315032</v>
      </c>
      <c r="H38" s="154">
        <f>'R3'!H28</f>
        <v>1.9652144735286172</v>
      </c>
      <c r="I38" s="154">
        <f>'R3'!I28</f>
        <v>6.2891537856182081E-2</v>
      </c>
      <c r="J38" s="154">
        <f>'R3'!J28</f>
        <v>9.4514874590937339E-2</v>
      </c>
      <c r="K38" s="154">
        <f>'R3'!K28</f>
        <v>0.25743658149620652</v>
      </c>
      <c r="L38" s="154">
        <f>'R3'!L28</f>
        <v>2.2315859234355013</v>
      </c>
      <c r="M38" s="154">
        <f>'R3'!M28</f>
        <v>3.237556075468397</v>
      </c>
      <c r="N38"/>
      <c r="O38" s="154">
        <f>'R3'!O28</f>
        <v>1.0404007599385781</v>
      </c>
      <c r="P38" s="154">
        <f>'R3'!P28</f>
        <v>1.1645033843751103</v>
      </c>
      <c r="Q38" s="154">
        <f>'R3'!Q28</f>
        <v>6.0851381543278432E-2</v>
      </c>
      <c r="R38" s="154">
        <f>'R3'!R28</f>
        <v>0.72998810733217667</v>
      </c>
      <c r="S38" s="154">
        <f>'R3'!S28</f>
        <v>0.88918555110971564</v>
      </c>
      <c r="T38" s="154">
        <f>'R3'!T28</f>
        <v>0.21296822906516658</v>
      </c>
      <c r="U38" s="154">
        <f>'R3'!U28</f>
        <v>2.582952493283504</v>
      </c>
      <c r="V38" s="154">
        <f>'R3'!V28</f>
        <v>2.3821530052006157</v>
      </c>
    </row>
    <row r="39" spans="1:22" s="1" customFormat="1" x14ac:dyDescent="0.25">
      <c r="A39" s="228" t="s">
        <v>34</v>
      </c>
      <c r="B39" s="154">
        <f>'R3'!B29</f>
        <v>0.10440255924056542</v>
      </c>
      <c r="C39" s="154">
        <f>'R3'!C29</f>
        <v>8.1953528720635997E-3</v>
      </c>
      <c r="D39" s="154">
        <f>'R3'!D29</f>
        <v>7.6495260670802478E-2</v>
      </c>
      <c r="E39" s="154" t="str">
        <f>'R3'!E29</f>
        <v/>
      </c>
      <c r="F39" s="154">
        <f>'R3'!F29</f>
        <v>0.38043614704110879</v>
      </c>
      <c r="G39" s="154">
        <f>'R3'!G29</f>
        <v>1.4733743134105259</v>
      </c>
      <c r="H39" s="154">
        <f>'R3'!H29</f>
        <v>2.9347537067179688</v>
      </c>
      <c r="I39" s="154">
        <f>'R3'!I29</f>
        <v>6.4725887323688003E-2</v>
      </c>
      <c r="J39" s="154">
        <f>'R3'!J29</f>
        <v>6.3523946102253273E-2</v>
      </c>
      <c r="K39" s="154">
        <f>'R3'!K29</f>
        <v>0.16540820452941732</v>
      </c>
      <c r="L39" s="154">
        <f>'R3'!L29</f>
        <v>2.7682307455721382</v>
      </c>
      <c r="M39" s="154">
        <f>'R3'!M29</f>
        <v>4.4415425709706184</v>
      </c>
      <c r="N39"/>
      <c r="O39" s="154">
        <f>'R3'!O29</f>
        <v>1.7487316264970623</v>
      </c>
      <c r="P39" s="154">
        <f>'R3'!P29</f>
        <v>1.4376271631359272</v>
      </c>
      <c r="Q39" s="154">
        <f>'R3'!Q29</f>
        <v>0.1084508859001697</v>
      </c>
      <c r="R39" s="154">
        <f>'R3'!R29</f>
        <v>0.29772208343263973</v>
      </c>
      <c r="S39" s="154">
        <f>'R3'!S29</f>
        <v>1.3250330893392424</v>
      </c>
      <c r="T39" s="154">
        <f>'R3'!T29</f>
        <v>1.3889406842589824</v>
      </c>
      <c r="U39" s="154">
        <f>'R3'!U29</f>
        <v>2.5198949939569655</v>
      </c>
      <c r="V39" s="154">
        <f>'R3'!V29</f>
        <v>2.6200951455693033</v>
      </c>
    </row>
    <row r="40" spans="1:22" s="1" customFormat="1" x14ac:dyDescent="0.25">
      <c r="A40" s="229"/>
      <c r="B40" s="154">
        <f>'R3'!B30</f>
        <v>5.671203196270784E-2</v>
      </c>
      <c r="C40" s="154">
        <f>'R3'!C30</f>
        <v>0.38249586048763373</v>
      </c>
      <c r="D40" s="154">
        <f>'R3'!D30</f>
        <v>3.4019542545735977E-2</v>
      </c>
      <c r="E40" s="154">
        <f>'R3'!E30</f>
        <v>7.970939333183194E-2</v>
      </c>
      <c r="F40" s="154">
        <f>'R3'!F30</f>
        <v>1.3582421988898687</v>
      </c>
      <c r="G40" s="154">
        <f>'R3'!G30</f>
        <v>1.5289953497602859</v>
      </c>
      <c r="H40" s="154">
        <f>'R3'!H30</f>
        <v>2.8108212476216363</v>
      </c>
      <c r="I40" s="154">
        <f>'R3'!I30</f>
        <v>1.4287856937465626E-2</v>
      </c>
      <c r="J40" s="154">
        <f>'R3'!J30</f>
        <v>7.9621294842061319E-3</v>
      </c>
      <c r="K40" s="154">
        <f>'R3'!K30</f>
        <v>6.7563499468270439E-3</v>
      </c>
      <c r="L40" s="154">
        <f>'R3'!L30</f>
        <v>1.1534930837002311</v>
      </c>
      <c r="M40" s="154">
        <f>'R3'!M30</f>
        <v>1.7434104411595277</v>
      </c>
      <c r="N40"/>
      <c r="O40" s="154">
        <f>'R3'!O30</f>
        <v>1.0233178778858174</v>
      </c>
      <c r="P40" s="154">
        <f>'R3'!P30</f>
        <v>1.9313809979177079</v>
      </c>
      <c r="Q40" s="154">
        <f>'R3'!Q30</f>
        <v>4.2503682998375439E-2</v>
      </c>
      <c r="R40" s="154">
        <f>'R3'!R30</f>
        <v>1.2709616359693063</v>
      </c>
      <c r="S40" s="154">
        <f>'R3'!S30</f>
        <v>1.7762596628961325</v>
      </c>
      <c r="T40" s="154">
        <f>'R3'!T30</f>
        <v>1.4870690591461126</v>
      </c>
      <c r="U40" s="154">
        <f>'R3'!U30</f>
        <v>3.5040816063439046</v>
      </c>
      <c r="V40" s="154">
        <f>'R3'!V30</f>
        <v>3.1069381838817334</v>
      </c>
    </row>
    <row r="41" spans="1:22" s="1" customFormat="1" x14ac:dyDescent="0.25">
      <c r="A41" s="229"/>
      <c r="B41" s="154">
        <f>'R3'!B31</f>
        <v>3.0856770207581097E-2</v>
      </c>
      <c r="C41" s="154">
        <f>'R3'!C31</f>
        <v>0.16670500698776272</v>
      </c>
      <c r="D41" s="154">
        <f>'R3'!D31</f>
        <v>3.6620641317365782E-2</v>
      </c>
      <c r="E41" s="154">
        <f>'R3'!E31</f>
        <v>0.31586836177893862</v>
      </c>
      <c r="F41" s="154">
        <f>'R3'!F31</f>
        <v>0.59469313637883259</v>
      </c>
      <c r="G41" s="154">
        <f>'R3'!G31</f>
        <v>2.032873748118547</v>
      </c>
      <c r="H41" s="154">
        <f>'R3'!H31</f>
        <v>4.0346300860991953</v>
      </c>
      <c r="I41" s="154">
        <f>'R3'!I31</f>
        <v>5.269148739946275E-2</v>
      </c>
      <c r="J41" s="154">
        <f>'R3'!J31</f>
        <v>1.240196437013541E-2</v>
      </c>
      <c r="K41" s="154">
        <f>'R3'!K31</f>
        <v>0.23940892539028347</v>
      </c>
      <c r="L41" s="154">
        <f>'R3'!L31</f>
        <v>2.3074803962725361</v>
      </c>
      <c r="M41" s="154">
        <f>'R3'!M31</f>
        <v>3.408823560675359</v>
      </c>
      <c r="N41"/>
      <c r="O41" s="154">
        <f>'R3'!O31</f>
        <v>0.79722023219058391</v>
      </c>
      <c r="P41" s="154">
        <f>'R3'!P31</f>
        <v>1.1392744078382386</v>
      </c>
      <c r="Q41" s="154">
        <f>'R3'!Q31</f>
        <v>2.4001537930949279E-2</v>
      </c>
      <c r="R41" s="154">
        <f>'R3'!R31</f>
        <v>0.76039798789766411</v>
      </c>
      <c r="S41" s="154">
        <f>'R3'!S31</f>
        <v>1.5729259724052158</v>
      </c>
      <c r="T41" s="154">
        <f>'R3'!T31</f>
        <v>1.6401621183565169</v>
      </c>
      <c r="U41" s="154">
        <f>'R3'!U31</f>
        <v>1.9190225344616085</v>
      </c>
      <c r="V41" s="154">
        <f>'R3'!V31</f>
        <v>2.8762151846965933</v>
      </c>
    </row>
    <row r="42" spans="1:22" s="1" customFormat="1" x14ac:dyDescent="0.25">
      <c r="A42" s="229"/>
      <c r="B42" s="154">
        <f>'R3'!B32</f>
        <v>9.0435110295979226E-2</v>
      </c>
      <c r="C42" s="154">
        <f>'R3'!C32</f>
        <v>7.4490745863096494E-2</v>
      </c>
      <c r="D42" s="154">
        <f>'R3'!D32</f>
        <v>0.16591833499611808</v>
      </c>
      <c r="E42" s="154">
        <f>'R3'!E32</f>
        <v>0.24866785733283503</v>
      </c>
      <c r="F42" s="154">
        <f>'R3'!F32</f>
        <v>0.40994091615152556</v>
      </c>
      <c r="G42" s="154">
        <f>'R3'!G32</f>
        <v>1.0404917828595444</v>
      </c>
      <c r="H42" s="154">
        <f>'R3'!H32</f>
        <v>0.75429780720037343</v>
      </c>
      <c r="I42" s="154">
        <f>'R3'!I32</f>
        <v>5.5344312047866585E-2</v>
      </c>
      <c r="J42" s="154">
        <f>'R3'!J32</f>
        <v>9.6067564778906916E-3</v>
      </c>
      <c r="K42" s="154">
        <f>'R3'!K32</f>
        <v>0.84064300908068446</v>
      </c>
      <c r="L42" s="154">
        <f>'R3'!L32</f>
        <v>2.0404922569372577</v>
      </c>
      <c r="M42" s="154">
        <f>'R3'!M32</f>
        <v>2.8822442651604381</v>
      </c>
      <c r="N42"/>
      <c r="O42" s="154">
        <f>'R3'!O32</f>
        <v>0.87422946164403148</v>
      </c>
      <c r="P42" s="154">
        <f>'R3'!P32</f>
        <v>2.6948783345519702</v>
      </c>
      <c r="Q42" s="154">
        <f>'R3'!Q32</f>
        <v>6.5022351536152587E-2</v>
      </c>
      <c r="R42" s="154">
        <f>'R3'!R32</f>
        <v>1.1659149707578871</v>
      </c>
      <c r="S42" s="154">
        <f>'R3'!S32</f>
        <v>0.44916686011036494</v>
      </c>
      <c r="T42" s="154">
        <f>'R3'!T32</f>
        <v>0.50884810362146193</v>
      </c>
      <c r="U42" s="154">
        <f>'R3'!U32</f>
        <v>0.94967704483897275</v>
      </c>
      <c r="V42" s="154">
        <f>'R3'!V32</f>
        <v>3.8195272050381144</v>
      </c>
    </row>
    <row r="43" spans="1:22" s="1" customFormat="1" x14ac:dyDescent="0.25">
      <c r="A43" s="229"/>
      <c r="B43" s="154">
        <f>'R3'!B33</f>
        <v>9.2569945068843834E-2</v>
      </c>
      <c r="C43" s="154">
        <f>'R3'!C33</f>
        <v>2.4546944348948246E-2</v>
      </c>
      <c r="D43" s="154">
        <f>'R3'!D33</f>
        <v>3.0093676442451842E-2</v>
      </c>
      <c r="E43" s="154">
        <f>'R3'!E33</f>
        <v>6.4027770764188308E-2</v>
      </c>
      <c r="F43" s="154">
        <f>'R3'!F33</f>
        <v>9.8484424385207311E-2</v>
      </c>
      <c r="G43" s="154">
        <f>'R3'!G33</f>
        <v>0.74762023411888068</v>
      </c>
      <c r="H43" s="154">
        <f>'R3'!H33</f>
        <v>1.4529429576386832</v>
      </c>
      <c r="I43" s="154">
        <f>'R3'!I33</f>
        <v>4.8022450218570101E-2</v>
      </c>
      <c r="J43" s="154">
        <f>'R3'!J33</f>
        <v>5.2754728224069874E-2</v>
      </c>
      <c r="K43" s="154">
        <f>'R3'!K33</f>
        <v>3.1208433058864615E-2</v>
      </c>
      <c r="L43" s="154" t="str">
        <f>'R3'!L33</f>
        <v/>
      </c>
      <c r="M43" s="154">
        <f>'R3'!M33</f>
        <v>4.3219508816534615</v>
      </c>
      <c r="N43"/>
      <c r="O43" s="154">
        <f>'R3'!O33</f>
        <v>0.10734417146954513</v>
      </c>
      <c r="P43" s="154">
        <f>'R3'!P33</f>
        <v>1.8084525326062511</v>
      </c>
      <c r="Q43" s="154">
        <f>'R3'!Q33</f>
        <v>7.5433874923711329E-3</v>
      </c>
      <c r="R43" s="154">
        <f>'R3'!R33</f>
        <v>1.9018528333577256</v>
      </c>
      <c r="S43" s="154">
        <f>'R3'!S33</f>
        <v>0.49774294170967193</v>
      </c>
      <c r="T43" s="154">
        <f>'R3'!T33</f>
        <v>0.50328546993333168</v>
      </c>
      <c r="U43" s="154">
        <f>'R3'!U33</f>
        <v>2.0551317767260069</v>
      </c>
      <c r="V43" s="154">
        <f>'R3'!V33</f>
        <v>3.9179204237254055</v>
      </c>
    </row>
    <row r="44" spans="1:22" s="1" customFormat="1" x14ac:dyDescent="0.25">
      <c r="A44" s="229"/>
      <c r="B44" s="154">
        <f>'R3'!B34</f>
        <v>2.6001848868811451E-2</v>
      </c>
      <c r="C44" s="154">
        <f>'R3'!C34</f>
        <v>7.2031847558357828E-2</v>
      </c>
      <c r="D44" s="154">
        <f>'R3'!D34</f>
        <v>2.6254812167239929E-2</v>
      </c>
      <c r="E44" s="154">
        <f>'R3'!E34</f>
        <v>4.5733351700132069E-2</v>
      </c>
      <c r="F44" s="154">
        <f>'R3'!F34</f>
        <v>0.84873390492597645</v>
      </c>
      <c r="G44" s="154">
        <f>'R3'!G34</f>
        <v>7.4075659410256123E-2</v>
      </c>
      <c r="H44" s="154">
        <f>'R3'!H34</f>
        <v>1.1395256347556448</v>
      </c>
      <c r="I44" s="154">
        <f>'R3'!I34</f>
        <v>0.13293861051740494</v>
      </c>
      <c r="J44" s="154">
        <f>'R3'!J34</f>
        <v>0.10258794968363052</v>
      </c>
      <c r="K44" s="154">
        <f>'R3'!K34</f>
        <v>0.63820081316208344</v>
      </c>
      <c r="L44" s="154">
        <f>'R3'!L34</f>
        <v>1.3954084294021833</v>
      </c>
      <c r="M44" s="154">
        <f>'R3'!M34</f>
        <v>3.3957650615017876</v>
      </c>
      <c r="N44"/>
      <c r="O44" s="154">
        <f>'R3'!O34</f>
        <v>0.87118531154625234</v>
      </c>
      <c r="P44" s="154">
        <f>'R3'!P34</f>
        <v>2.1211740236416614</v>
      </c>
      <c r="Q44" s="154">
        <f>'R3'!Q34</f>
        <v>4.1163379625993923E-2</v>
      </c>
      <c r="R44" s="154">
        <f>'R3'!R34</f>
        <v>0.4233114155782885</v>
      </c>
      <c r="S44" s="154">
        <f>'R3'!S34</f>
        <v>0.46611540110507288</v>
      </c>
      <c r="T44" s="154">
        <f>'R3'!T34</f>
        <v>2.2599201889598368</v>
      </c>
      <c r="U44" s="154">
        <f>'R3'!U34</f>
        <v>2.1932493721140554</v>
      </c>
      <c r="V44" s="154">
        <f>'R3'!V34</f>
        <v>4.6408277520249817</v>
      </c>
    </row>
    <row r="45" spans="1:22" s="1" customFormat="1" x14ac:dyDescent="0.25">
      <c r="A45" s="229"/>
      <c r="B45" s="154">
        <f>'R3'!B35</f>
        <v>7.5993172389889896E-2</v>
      </c>
      <c r="C45" s="154">
        <f>'R3'!C35</f>
        <v>0.17107355886329667</v>
      </c>
      <c r="D45" s="154">
        <f>'R3'!D35</f>
        <v>4.7551982349961067E-2</v>
      </c>
      <c r="E45" s="154">
        <f>'R3'!E35</f>
        <v>0.23357358849315377</v>
      </c>
      <c r="F45" s="154">
        <f>'R3'!F35</f>
        <v>0.85382186687565387</v>
      </c>
      <c r="G45" s="154">
        <f>'R3'!G35</f>
        <v>1.3499872607321928</v>
      </c>
      <c r="H45" s="154">
        <f>'R3'!H35</f>
        <v>2.9282386223447872</v>
      </c>
      <c r="I45" s="154">
        <f>'R3'!I35</f>
        <v>5.5395672370741153E-2</v>
      </c>
      <c r="J45" s="154">
        <f>'R3'!J35</f>
        <v>0.17452475322812797</v>
      </c>
      <c r="K45" s="154">
        <f>'R3'!K35</f>
        <v>2.2226042641256924E-2</v>
      </c>
      <c r="L45" s="154">
        <f>'R3'!L35</f>
        <v>2.9637008233547544</v>
      </c>
      <c r="M45" s="154">
        <f>'R3'!M35</f>
        <v>4.3758561907760916</v>
      </c>
      <c r="N45"/>
      <c r="O45" s="154">
        <f>'R3'!O35</f>
        <v>1.2627109016814742</v>
      </c>
      <c r="P45" s="154">
        <f>'R3'!P35</f>
        <v>1.6862553578706705</v>
      </c>
      <c r="Q45" s="154" t="str">
        <f>'R3'!Q35</f>
        <v/>
      </c>
      <c r="R45" s="154">
        <f>'R3'!R35</f>
        <v>0.78966130865748552</v>
      </c>
      <c r="S45" s="154">
        <f>'R3'!S35</f>
        <v>0.86975416802985428</v>
      </c>
      <c r="T45" s="154">
        <f>'R3'!T35</f>
        <v>1.6268786207578263</v>
      </c>
      <c r="U45" s="154">
        <f>'R3'!U35</f>
        <v>2.6970369303282999</v>
      </c>
      <c r="V45" s="154">
        <f>'R3'!V35</f>
        <v>1.0564990225631348</v>
      </c>
    </row>
    <row r="46" spans="1:22" s="1" customFormat="1" x14ac:dyDescent="0.25">
      <c r="A46" s="229"/>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0.4191800167950312</v>
      </c>
      <c r="P46" s="154" t="str">
        <f>'R3'!P36</f>
        <v/>
      </c>
      <c r="Q46" s="154" t="str">
        <f>'R3'!Q36</f>
        <v/>
      </c>
      <c r="R46" s="154" t="str">
        <f>'R3'!R36</f>
        <v/>
      </c>
      <c r="S46" s="154" t="str">
        <f>'R3'!S36</f>
        <v/>
      </c>
      <c r="T46" s="154" t="str">
        <f>'R3'!T36</f>
        <v/>
      </c>
      <c r="U46" s="154" t="str">
        <f>'R3'!U36</f>
        <v/>
      </c>
      <c r="V46" s="154" t="str">
        <f>'R3'!V36</f>
        <v/>
      </c>
    </row>
    <row r="47" spans="1:22" s="1" customFormat="1" x14ac:dyDescent="0.25">
      <c r="A47" s="229"/>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1.1169395215234166</v>
      </c>
      <c r="P47" s="154" t="str">
        <f>'R3'!P37</f>
        <v/>
      </c>
      <c r="Q47" s="154" t="str">
        <f>'R3'!Q37</f>
        <v/>
      </c>
      <c r="R47" s="154" t="str">
        <f>'R3'!R37</f>
        <v/>
      </c>
      <c r="S47" s="154" t="str">
        <f>'R3'!S37</f>
        <v/>
      </c>
      <c r="T47" s="154" t="str">
        <f>'R3'!T37</f>
        <v/>
      </c>
      <c r="U47" s="154" t="str">
        <f>'R3'!U37</f>
        <v/>
      </c>
      <c r="V47" s="154" t="str">
        <f>'R3'!V37</f>
        <v/>
      </c>
    </row>
    <row r="48" spans="1:22" s="1" customFormat="1" x14ac:dyDescent="0.25">
      <c r="A48" s="229"/>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3.1220313560597165E-2</v>
      </c>
      <c r="P48" s="154" t="str">
        <f>'R3'!P38</f>
        <v/>
      </c>
      <c r="Q48" s="154" t="str">
        <f>'R3'!Q38</f>
        <v/>
      </c>
      <c r="R48" s="154" t="str">
        <f>'R3'!R38</f>
        <v/>
      </c>
      <c r="S48" s="154" t="str">
        <f>'R3'!S38</f>
        <v/>
      </c>
      <c r="T48" s="154" t="str">
        <f>'R3'!T38</f>
        <v/>
      </c>
      <c r="U48" s="154" t="str">
        <f>'R3'!U38</f>
        <v/>
      </c>
      <c r="V48" s="154" t="str">
        <f>'R3'!V38</f>
        <v/>
      </c>
    </row>
    <row r="49" spans="1:24" s="1" customFormat="1" x14ac:dyDescent="0.25">
      <c r="A49" s="229"/>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1.2586192568847836</v>
      </c>
      <c r="P49" s="154" t="str">
        <f>'R3'!P39</f>
        <v/>
      </c>
      <c r="Q49" s="154" t="str">
        <f>'R3'!Q39</f>
        <v/>
      </c>
      <c r="R49" s="154" t="str">
        <f>'R3'!R39</f>
        <v/>
      </c>
      <c r="S49" s="154" t="str">
        <f>'R3'!S39</f>
        <v/>
      </c>
      <c r="T49" s="154" t="str">
        <f>'R3'!T39</f>
        <v/>
      </c>
      <c r="U49" s="154" t="str">
        <f>'R3'!U39</f>
        <v/>
      </c>
      <c r="V49" s="154" t="str">
        <f>'R3'!V39</f>
        <v/>
      </c>
    </row>
    <row r="50" spans="1:24" s="1" customFormat="1" x14ac:dyDescent="0.25">
      <c r="A50" s="229"/>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1.6151883898299455</v>
      </c>
      <c r="P50" s="154" t="str">
        <f>'R3'!P40</f>
        <v/>
      </c>
      <c r="Q50" s="154" t="str">
        <f>'R3'!Q40</f>
        <v/>
      </c>
      <c r="R50" s="154" t="str">
        <f>'R3'!R40</f>
        <v/>
      </c>
      <c r="S50" s="154" t="str">
        <f>'R3'!S40</f>
        <v/>
      </c>
      <c r="T50" s="154" t="str">
        <f>'R3'!T40</f>
        <v/>
      </c>
      <c r="U50" s="154" t="str">
        <f>'R3'!U40</f>
        <v/>
      </c>
      <c r="V50" s="154" t="str">
        <f>'R3'!V40</f>
        <v/>
      </c>
    </row>
    <row r="51" spans="1:24" s="1" customFormat="1" x14ac:dyDescent="0.25">
      <c r="A51" s="229"/>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1.7839688290819102</v>
      </c>
      <c r="P51" s="154" t="str">
        <f>'R3'!P41</f>
        <v/>
      </c>
      <c r="Q51" s="154" t="str">
        <f>'R3'!Q41</f>
        <v/>
      </c>
      <c r="R51" s="154" t="str">
        <f>'R3'!R41</f>
        <v/>
      </c>
      <c r="S51" s="154" t="str">
        <f>'R3'!S41</f>
        <v/>
      </c>
      <c r="T51" s="154" t="str">
        <f>'R3'!T41</f>
        <v/>
      </c>
      <c r="U51" s="154" t="str">
        <f>'R3'!U41</f>
        <v/>
      </c>
      <c r="V51" s="154" t="str">
        <f>'R3'!V41</f>
        <v/>
      </c>
    </row>
    <row r="52" spans="1:24" s="1" customFormat="1" x14ac:dyDescent="0.25">
      <c r="A52" s="229"/>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0.14109466634527623</v>
      </c>
      <c r="P52" s="154" t="str">
        <f>'R3'!P42</f>
        <v/>
      </c>
      <c r="Q52" s="154" t="str">
        <f>'R3'!Q42</f>
        <v/>
      </c>
      <c r="R52" s="154" t="str">
        <f>'R3'!R42</f>
        <v/>
      </c>
      <c r="S52" s="154" t="str">
        <f>'R3'!S42</f>
        <v/>
      </c>
      <c r="T52" s="154" t="str">
        <f>'R3'!T42</f>
        <v/>
      </c>
      <c r="U52" s="154" t="str">
        <f>'R3'!U42</f>
        <v/>
      </c>
      <c r="V52" s="154" t="str">
        <f>'R3'!V42</f>
        <v/>
      </c>
    </row>
    <row r="53" spans="1:24" s="1" customFormat="1" x14ac:dyDescent="0.25">
      <c r="A53" s="230"/>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1.9086486631256945</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Estrone-0,04µg/L</v>
      </c>
      <c r="J55" s="15" t="str">
        <f t="shared" si="0"/>
        <v>Estrone-0,2µg/L</v>
      </c>
      <c r="K55" s="15" t="str">
        <f t="shared" si="0"/>
        <v>Estrone-1µg/L</v>
      </c>
      <c r="L55" s="15" t="str">
        <f t="shared" si="0"/>
        <v>Estrone-5µg/L</v>
      </c>
      <c r="M55" s="15" t="str">
        <f t="shared" si="0"/>
        <v>Estrone-25µg/L</v>
      </c>
      <c r="O55" s="15" t="str">
        <f t="shared" ref="O55:V55" si="1">O4</f>
        <v>Testo -30µg/L</v>
      </c>
      <c r="P55" s="15" t="str">
        <f t="shared" si="1"/>
        <v>Testo 30µg/L + EE2 -64ng/L</v>
      </c>
      <c r="Q55" s="15" t="str">
        <f t="shared" si="1"/>
        <v>Testo 30µg/L + FAD-10µg/L</v>
      </c>
      <c r="R55" s="15" t="str">
        <f t="shared" si="1"/>
        <v>Estrone-0,04µg/L + Testostérone</v>
      </c>
      <c r="S55" s="15" t="str">
        <f t="shared" si="1"/>
        <v>Estrone-0,2µg/L + Testostérone</v>
      </c>
      <c r="T55" s="15" t="str">
        <f t="shared" si="1"/>
        <v>Estrone-1µg/L + Testostérone</v>
      </c>
      <c r="U55" s="15" t="str">
        <f t="shared" si="1"/>
        <v>Estrone-5µg/L + Testostérone</v>
      </c>
      <c r="V55" s="15" t="str">
        <f t="shared" si="1"/>
        <v>Estrone-25µg/L + Testostérone</v>
      </c>
    </row>
    <row r="56" spans="1:24" x14ac:dyDescent="0.25">
      <c r="A56" t="s">
        <v>48</v>
      </c>
      <c r="B56" s="9">
        <f t="shared" ref="B56:V56" si="2">AVERAGE(B6:B53)</f>
        <v>0.12369476414410034</v>
      </c>
      <c r="C56" s="9">
        <f t="shared" si="2"/>
        <v>0.1692187498857903</v>
      </c>
      <c r="D56" s="9">
        <f t="shared" si="2"/>
        <v>0.13845248414031833</v>
      </c>
      <c r="E56" s="9">
        <f t="shared" si="2"/>
        <v>0.22276759482824679</v>
      </c>
      <c r="F56" s="9">
        <f t="shared" si="2"/>
        <v>0.62262795943509486</v>
      </c>
      <c r="G56" s="9">
        <f t="shared" si="2"/>
        <v>1.6780630567869037</v>
      </c>
      <c r="H56" s="9">
        <f t="shared" si="2"/>
        <v>3.3598499990414648</v>
      </c>
      <c r="I56" s="9">
        <f t="shared" si="2"/>
        <v>0.10120961935911894</v>
      </c>
      <c r="J56" s="9">
        <f t="shared" si="2"/>
        <v>0.12003696731175635</v>
      </c>
      <c r="K56" s="9">
        <f t="shared" si="2"/>
        <v>0.21634703340429071</v>
      </c>
      <c r="L56" s="9">
        <f t="shared" si="2"/>
        <v>2.9533939828058773</v>
      </c>
      <c r="M56" s="9">
        <f t="shared" si="2"/>
        <v>4.1530254812596148</v>
      </c>
      <c r="N56" s="9"/>
      <c r="O56" s="9">
        <f t="shared" si="2"/>
        <v>0.99999999999999967</v>
      </c>
      <c r="P56" s="9">
        <f t="shared" si="2"/>
        <v>1.8524405870989404</v>
      </c>
      <c r="Q56" s="9">
        <f t="shared" si="2"/>
        <v>6.9003930918983214E-2</v>
      </c>
      <c r="R56" s="9">
        <f t="shared" si="2"/>
        <v>0.94183890109857771</v>
      </c>
      <c r="S56" s="9">
        <f t="shared" si="2"/>
        <v>1.3333445252418408</v>
      </c>
      <c r="T56" s="9">
        <f t="shared" si="2"/>
        <v>2.1885459230478688</v>
      </c>
      <c r="U56" s="9">
        <f t="shared" si="2"/>
        <v>2.8891448489415281</v>
      </c>
      <c r="V56" s="9">
        <f t="shared" si="2"/>
        <v>3.9517305391235991</v>
      </c>
    </row>
    <row r="57" spans="1:24" x14ac:dyDescent="0.25">
      <c r="A57" t="s">
        <v>1</v>
      </c>
      <c r="B57" s="3">
        <f>STDEV(B6:B53)</f>
        <v>0.11648976010370021</v>
      </c>
      <c r="C57" s="3">
        <f t="shared" ref="C57:V57" si="3">STDEV(C6:C53)</f>
        <v>0.19741993162066071</v>
      </c>
      <c r="D57" s="3">
        <f t="shared" si="3"/>
        <v>0.15435122232907103</v>
      </c>
      <c r="E57" s="3">
        <f t="shared" si="3"/>
        <v>0.16336707537951425</v>
      </c>
      <c r="F57" s="3">
        <f t="shared" si="3"/>
        <v>0.30577251298202307</v>
      </c>
      <c r="G57" s="3">
        <f t="shared" si="3"/>
        <v>0.75769861234681291</v>
      </c>
      <c r="H57" s="3">
        <f t="shared" si="3"/>
        <v>1.4335288317710713</v>
      </c>
      <c r="I57" s="3">
        <f t="shared" si="3"/>
        <v>7.257509771266453E-2</v>
      </c>
      <c r="J57" s="3">
        <f t="shared" si="3"/>
        <v>0.11766669738955036</v>
      </c>
      <c r="K57" s="3">
        <f t="shared" si="3"/>
        <v>0.19818360754454806</v>
      </c>
      <c r="L57" s="3">
        <f t="shared" si="3"/>
        <v>1.4182761393217016</v>
      </c>
      <c r="M57" s="3">
        <f t="shared" si="3"/>
        <v>1.7799361859974783</v>
      </c>
      <c r="N57" s="3"/>
      <c r="O57" s="3">
        <f t="shared" si="3"/>
        <v>0.80281468007311607</v>
      </c>
      <c r="P57" s="3">
        <f t="shared" si="3"/>
        <v>0.73009960217926662</v>
      </c>
      <c r="Q57" s="3">
        <f t="shared" si="3"/>
        <v>5.8454182002565601E-2</v>
      </c>
      <c r="R57" s="3">
        <f t="shared" si="3"/>
        <v>0.53515986934072612</v>
      </c>
      <c r="S57" s="3">
        <f t="shared" si="3"/>
        <v>0.89095203526260125</v>
      </c>
      <c r="T57" s="3">
        <f t="shared" si="3"/>
        <v>1.153101821077529</v>
      </c>
      <c r="U57" s="3">
        <f t="shared" si="3"/>
        <v>1.3246904641247452</v>
      </c>
      <c r="V57" s="3">
        <f t="shared" si="3"/>
        <v>1.7474123709805194</v>
      </c>
      <c r="W57" s="3"/>
      <c r="X57" s="3"/>
    </row>
    <row r="58" spans="1:24" x14ac:dyDescent="0.25">
      <c r="A58" t="s">
        <v>2</v>
      </c>
      <c r="B58" s="3">
        <f xml:space="preserve"> B57/SQRT(COUNT(B6:B53))</f>
        <v>2.3778372709440564E-2</v>
      </c>
      <c r="C58" s="3">
        <f t="shared" ref="C58:V58" si="4" xml:space="preserve"> C57/SQRT(COUNT(C6:C53))</f>
        <v>4.0298174793813736E-2</v>
      </c>
      <c r="D58" s="3">
        <f t="shared" si="4"/>
        <v>3.1506811323425449E-2</v>
      </c>
      <c r="E58" s="3">
        <f t="shared" si="4"/>
        <v>3.406438999897738E-2</v>
      </c>
      <c r="F58" s="3">
        <f t="shared" si="4"/>
        <v>6.2415552847875144E-2</v>
      </c>
      <c r="G58" s="3">
        <f t="shared" si="4"/>
        <v>0.15466458158871382</v>
      </c>
      <c r="H58" s="3">
        <f t="shared" si="4"/>
        <v>0.29261784745059927</v>
      </c>
      <c r="I58" s="3">
        <f t="shared" si="4"/>
        <v>1.5132953974691193E-2</v>
      </c>
      <c r="J58" s="3">
        <f t="shared" si="4"/>
        <v>2.4018614026906318E-2</v>
      </c>
      <c r="K58" s="3">
        <f t="shared" si="4"/>
        <v>4.045405948901145E-2</v>
      </c>
      <c r="L58" s="3">
        <f t="shared" si="4"/>
        <v>0.29573101816179476</v>
      </c>
      <c r="M58" s="3">
        <f t="shared" si="4"/>
        <v>0.36332795253411954</v>
      </c>
      <c r="N58" s="3"/>
      <c r="O58" s="3">
        <f t="shared" si="4"/>
        <v>0.11710255648325002</v>
      </c>
      <c r="P58" s="3">
        <f t="shared" si="4"/>
        <v>0.14903095722901605</v>
      </c>
      <c r="Q58" s="3">
        <f t="shared" si="4"/>
        <v>1.2188539509450572E-2</v>
      </c>
      <c r="R58" s="3">
        <f t="shared" si="4"/>
        <v>0.10923905089160788</v>
      </c>
      <c r="S58" s="3">
        <f t="shared" si="4"/>
        <v>0.1818648226406282</v>
      </c>
      <c r="T58" s="3">
        <f t="shared" si="4"/>
        <v>0.23537592359283424</v>
      </c>
      <c r="U58" s="3">
        <f t="shared" si="4"/>
        <v>0.27040130868635426</v>
      </c>
      <c r="V58" s="3">
        <f t="shared" si="4"/>
        <v>0.35668905659410133</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Estrone-0,04µg/L</v>
      </c>
      <c r="J62" s="3" t="str">
        <f t="shared" si="6"/>
        <v>Estrone-0,2µg/L</v>
      </c>
      <c r="K62" s="3" t="str">
        <f t="shared" si="6"/>
        <v>Estrone-1µg/L</v>
      </c>
      <c r="L62" s="3" t="str">
        <f t="shared" si="6"/>
        <v>Estrone-5µg/L</v>
      </c>
      <c r="M62" s="3" t="str">
        <f t="shared" si="6"/>
        <v>Estrone-25µg/L</v>
      </c>
      <c r="N62" s="3"/>
      <c r="O62" s="3" t="str">
        <f t="shared" si="6"/>
        <v>Testo -30µg/L</v>
      </c>
      <c r="P62" s="3" t="str">
        <f t="shared" si="6"/>
        <v>Testo 30µg/L + EE2 -64ng/L</v>
      </c>
      <c r="Q62" s="3" t="str">
        <f t="shared" si="6"/>
        <v>Testo 30µg/L + FAD-10µg/L</v>
      </c>
      <c r="R62" s="3" t="str">
        <f t="shared" si="6"/>
        <v>Estrone-0,04µg/L + Testostérone</v>
      </c>
      <c r="S62" s="3" t="str">
        <f t="shared" si="6"/>
        <v>Estrone-0,2µg/L + Testostérone</v>
      </c>
      <c r="T62" s="3" t="str">
        <f t="shared" si="6"/>
        <v>Estrone-1µg/L + Testostérone</v>
      </c>
      <c r="U62" s="3" t="str">
        <f t="shared" si="6"/>
        <v>Estrone-5µg/L + Testostérone</v>
      </c>
      <c r="V62" s="3" t="str">
        <f t="shared" si="6"/>
        <v>Estrone-25µg/L + Testostérone</v>
      </c>
    </row>
    <row r="63" spans="1:24" s="1" customFormat="1" x14ac:dyDescent="0.25">
      <c r="A63" s="1" t="s">
        <v>49</v>
      </c>
      <c r="B63" s="3">
        <f>COUNT(B6:B53)</f>
        <v>24</v>
      </c>
      <c r="C63" s="3">
        <f t="shared" ref="C63:V63" si="7">COUNT(C6:C53)</f>
        <v>24</v>
      </c>
      <c r="D63" s="3">
        <f t="shared" si="7"/>
        <v>24</v>
      </c>
      <c r="E63" s="3">
        <f t="shared" si="7"/>
        <v>23</v>
      </c>
      <c r="F63" s="3">
        <f t="shared" si="7"/>
        <v>24</v>
      </c>
      <c r="G63" s="3">
        <f t="shared" si="7"/>
        <v>24</v>
      </c>
      <c r="H63" s="3">
        <f t="shared" si="7"/>
        <v>24</v>
      </c>
      <c r="I63" s="3">
        <f t="shared" si="7"/>
        <v>23</v>
      </c>
      <c r="J63" s="3">
        <f t="shared" si="7"/>
        <v>24</v>
      </c>
      <c r="K63" s="3">
        <f t="shared" si="7"/>
        <v>24</v>
      </c>
      <c r="L63" s="3">
        <f t="shared" si="7"/>
        <v>23</v>
      </c>
      <c r="M63" s="3">
        <f t="shared" si="7"/>
        <v>24</v>
      </c>
      <c r="N63" s="3"/>
      <c r="O63" s="3">
        <f t="shared" si="7"/>
        <v>47</v>
      </c>
      <c r="P63" s="3">
        <f t="shared" si="7"/>
        <v>24</v>
      </c>
      <c r="Q63" s="3">
        <f t="shared" si="7"/>
        <v>23</v>
      </c>
      <c r="R63" s="3">
        <f t="shared" si="7"/>
        <v>24</v>
      </c>
      <c r="S63" s="3">
        <f t="shared" si="7"/>
        <v>24</v>
      </c>
      <c r="T63" s="3">
        <f t="shared" si="7"/>
        <v>24</v>
      </c>
      <c r="U63" s="3">
        <f t="shared" si="7"/>
        <v>24</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75" thickBot="1" x14ac:dyDescent="0.3"/>
    <row r="72" spans="1:22" s="48" customFormat="1" ht="27" thickBot="1" x14ac:dyDescent="0.3">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Estrone-0,04µg/L</v>
      </c>
      <c r="J74" s="46" t="str">
        <f t="shared" si="9"/>
        <v>Estrone-0,2µg/L</v>
      </c>
      <c r="K74" s="46" t="str">
        <f t="shared" si="9"/>
        <v>Estrone-1µg/L</v>
      </c>
      <c r="L74" s="46" t="str">
        <f t="shared" si="9"/>
        <v>Estrone-5µg/L</v>
      </c>
      <c r="M74" s="46" t="str">
        <f t="shared" si="9"/>
        <v>Estrone-25µg/L</v>
      </c>
      <c r="N74" s="46"/>
      <c r="O74" s="46" t="str">
        <f t="shared" ref="O74:V74" si="10">O4</f>
        <v>Testo -30µg/L</v>
      </c>
      <c r="P74" s="46" t="str">
        <f t="shared" si="10"/>
        <v>Testo 30µg/L + EE2 -64ng/L</v>
      </c>
      <c r="Q74" s="46" t="str">
        <f t="shared" si="10"/>
        <v>Testo 30µg/L + FAD-10µg/L</v>
      </c>
      <c r="R74" s="46" t="str">
        <f t="shared" si="10"/>
        <v>Estrone-0,04µg/L + Testostérone</v>
      </c>
      <c r="S74" s="46" t="str">
        <f t="shared" si="10"/>
        <v>Estrone-0,2µg/L + Testostérone</v>
      </c>
      <c r="T74" s="46" t="str">
        <f t="shared" si="10"/>
        <v>Estrone-1µg/L + Testostérone</v>
      </c>
      <c r="U74" s="46" t="str">
        <f t="shared" si="10"/>
        <v>Estrone-5µg/L + Testostérone</v>
      </c>
      <c r="V74" s="46" t="str">
        <f t="shared" si="10"/>
        <v>Estrone-25µg/L + Testostérone</v>
      </c>
    </row>
    <row r="75" spans="1:22" s="3" customFormat="1" x14ac:dyDescent="0.25">
      <c r="A75" s="61" t="s">
        <v>32</v>
      </c>
      <c r="B75" s="141">
        <f>B56</f>
        <v>0.12369476414410034</v>
      </c>
      <c r="C75" s="141">
        <f t="shared" ref="C75:V75" si="11">C56</f>
        <v>0.1692187498857903</v>
      </c>
      <c r="D75" s="141">
        <f t="shared" si="11"/>
        <v>0.13845248414031833</v>
      </c>
      <c r="E75" s="141">
        <f t="shared" si="11"/>
        <v>0.22276759482824679</v>
      </c>
      <c r="F75" s="141">
        <f t="shared" si="11"/>
        <v>0.62262795943509486</v>
      </c>
      <c r="G75" s="141">
        <f t="shared" si="11"/>
        <v>1.6780630567869037</v>
      </c>
      <c r="H75" s="141">
        <f t="shared" si="11"/>
        <v>3.3598499990414648</v>
      </c>
      <c r="I75" s="141">
        <f t="shared" si="11"/>
        <v>0.10120961935911894</v>
      </c>
      <c r="J75" s="141">
        <f t="shared" si="11"/>
        <v>0.12003696731175635</v>
      </c>
      <c r="K75" s="141">
        <f t="shared" si="11"/>
        <v>0.21634703340429071</v>
      </c>
      <c r="L75" s="141">
        <f t="shared" si="11"/>
        <v>2.9533939828058773</v>
      </c>
      <c r="M75" s="141">
        <f t="shared" si="11"/>
        <v>4.1530254812596148</v>
      </c>
      <c r="N75" s="141"/>
      <c r="O75" s="141">
        <f t="shared" si="11"/>
        <v>0.99999999999999967</v>
      </c>
      <c r="P75" s="141">
        <f t="shared" si="11"/>
        <v>1.8524405870989404</v>
      </c>
      <c r="Q75" s="141">
        <f t="shared" si="11"/>
        <v>6.9003930918983214E-2</v>
      </c>
      <c r="R75" s="141">
        <f t="shared" si="11"/>
        <v>0.94183890109857771</v>
      </c>
      <c r="S75" s="141">
        <f t="shared" si="11"/>
        <v>1.3333445252418408</v>
      </c>
      <c r="T75" s="141">
        <f t="shared" si="11"/>
        <v>2.1885459230478688</v>
      </c>
      <c r="U75" s="141">
        <f t="shared" si="11"/>
        <v>2.8891448489415281</v>
      </c>
      <c r="V75" s="141">
        <f t="shared" si="11"/>
        <v>3.9517305391235991</v>
      </c>
    </row>
    <row r="76" spans="1:22" s="3" customFormat="1" x14ac:dyDescent="0.25">
      <c r="A76" s="61" t="s">
        <v>2</v>
      </c>
      <c r="B76" s="141">
        <f>B58</f>
        <v>2.3778372709440564E-2</v>
      </c>
      <c r="C76" s="141">
        <f t="shared" ref="C76:V76" si="12">C58</f>
        <v>4.0298174793813736E-2</v>
      </c>
      <c r="D76" s="141">
        <f t="shared" si="12"/>
        <v>3.1506811323425449E-2</v>
      </c>
      <c r="E76" s="141">
        <f t="shared" si="12"/>
        <v>3.406438999897738E-2</v>
      </c>
      <c r="F76" s="141">
        <f t="shared" si="12"/>
        <v>6.2415552847875144E-2</v>
      </c>
      <c r="G76" s="141">
        <f t="shared" si="12"/>
        <v>0.15466458158871382</v>
      </c>
      <c r="H76" s="141">
        <f t="shared" si="12"/>
        <v>0.29261784745059927</v>
      </c>
      <c r="I76" s="141">
        <f t="shared" si="12"/>
        <v>1.5132953974691193E-2</v>
      </c>
      <c r="J76" s="141">
        <f t="shared" si="12"/>
        <v>2.4018614026906318E-2</v>
      </c>
      <c r="K76" s="141">
        <f t="shared" si="12"/>
        <v>4.045405948901145E-2</v>
      </c>
      <c r="L76" s="141">
        <f t="shared" si="12"/>
        <v>0.29573101816179476</v>
      </c>
      <c r="M76" s="141">
        <f t="shared" si="12"/>
        <v>0.36332795253411954</v>
      </c>
      <c r="N76" s="141"/>
      <c r="O76" s="141">
        <f t="shared" si="12"/>
        <v>0.11710255648325002</v>
      </c>
      <c r="P76" s="141">
        <f t="shared" si="12"/>
        <v>0.14903095722901605</v>
      </c>
      <c r="Q76" s="141">
        <f t="shared" si="12"/>
        <v>1.2188539509450572E-2</v>
      </c>
      <c r="R76" s="141">
        <f t="shared" si="12"/>
        <v>0.10923905089160788</v>
      </c>
      <c r="S76" s="141">
        <f t="shared" si="12"/>
        <v>0.1818648226406282</v>
      </c>
      <c r="T76" s="141">
        <f t="shared" si="12"/>
        <v>0.23537592359283424</v>
      </c>
      <c r="U76" s="141">
        <f t="shared" si="12"/>
        <v>0.27040130868635426</v>
      </c>
      <c r="V76" s="141">
        <f t="shared" si="12"/>
        <v>0.35668905659410133</v>
      </c>
    </row>
    <row r="77" spans="1:22" s="3" customFormat="1" x14ac:dyDescent="0.25">
      <c r="A77" s="61" t="s">
        <v>79</v>
      </c>
      <c r="B77" s="141">
        <f>(B75*100/$B$75)-100</f>
        <v>0</v>
      </c>
      <c r="C77" s="141">
        <f t="shared" ref="C77:M77" si="13">(C75*100/$B$75)-100</f>
        <v>36.803486434281098</v>
      </c>
      <c r="D77" s="141">
        <f t="shared" si="13"/>
        <v>11.930755596918985</v>
      </c>
      <c r="E77" s="141">
        <f t="shared" si="13"/>
        <v>80.094603332385077</v>
      </c>
      <c r="F77" s="141">
        <f t="shared" si="13"/>
        <v>403.35837878291579</v>
      </c>
      <c r="G77" s="141">
        <f t="shared" si="13"/>
        <v>1256.6160770006525</v>
      </c>
      <c r="H77" s="141">
        <f t="shared" si="13"/>
        <v>2616.2426981366407</v>
      </c>
      <c r="I77" s="141">
        <f t="shared" si="13"/>
        <v>-18.177927692062156</v>
      </c>
      <c r="J77" s="141">
        <f t="shared" si="13"/>
        <v>-2.9571153295403576</v>
      </c>
      <c r="K77" s="141">
        <f t="shared" si="13"/>
        <v>74.903954020441404</v>
      </c>
      <c r="L77" s="141">
        <f t="shared" si="13"/>
        <v>2287.6467231590095</v>
      </c>
      <c r="M77" s="141">
        <f t="shared" si="13"/>
        <v>3257.4787987157456</v>
      </c>
      <c r="N77" s="141"/>
      <c r="O77" s="141">
        <f>(O75*100/$O$75)-100</f>
        <v>0</v>
      </c>
      <c r="P77" s="141">
        <f t="shared" ref="P77:V77" si="14">(P75*100/$O$75)-100</f>
        <v>85.244058709894091</v>
      </c>
      <c r="Q77" s="141">
        <f t="shared" si="14"/>
        <v>-93.099606908101677</v>
      </c>
      <c r="R77" s="141">
        <f t="shared" si="14"/>
        <v>-5.8161098901422008</v>
      </c>
      <c r="S77" s="141">
        <f t="shared" si="14"/>
        <v>33.334452524184144</v>
      </c>
      <c r="T77" s="141">
        <f t="shared" si="14"/>
        <v>118.85459230478696</v>
      </c>
      <c r="U77" s="141">
        <f t="shared" si="14"/>
        <v>188.91448489415291</v>
      </c>
      <c r="V77" s="141">
        <f t="shared" si="14"/>
        <v>295.17305391236005</v>
      </c>
    </row>
    <row r="78" spans="1:22" s="3" customFormat="1" x14ac:dyDescent="0.25">
      <c r="A78" s="61" t="s">
        <v>81</v>
      </c>
      <c r="B78" s="141">
        <f>[1]!DPTEST(B6:B53)</f>
        <v>1.1155590831868345E-5</v>
      </c>
      <c r="C78" s="141">
        <f>[1]!DPTEST(C6:C53)</f>
        <v>5.4261839017244462E-5</v>
      </c>
      <c r="D78" s="141">
        <f>[1]!DPTEST(D6:D53)</f>
        <v>7.6969663975745561E-9</v>
      </c>
      <c r="E78" s="141">
        <f>[1]!DPTEST(E6:E53)</f>
        <v>0.30679351440341796</v>
      </c>
      <c r="F78" s="141">
        <f>[1]!DPTEST(F6:F53)</f>
        <v>0.52306408309625374</v>
      </c>
      <c r="G78" s="141">
        <f>[1]!DPTEST(G6:G53)</f>
        <v>0.9716964467640623</v>
      </c>
      <c r="H78" s="141">
        <f>[1]!DPTEST(H6:H53)</f>
        <v>0.8841309356218483</v>
      </c>
      <c r="I78" s="141">
        <f>[1]!DPTEST(I6:I53)</f>
        <v>9.6646919848862645E-2</v>
      </c>
      <c r="J78" s="141">
        <f>[1]!DPTEST(J6:J53)</f>
        <v>4.7213463337958395E-4</v>
      </c>
      <c r="K78" s="141">
        <f>[1]!DPTEST(K6:K53)</f>
        <v>1.8639669173059481E-4</v>
      </c>
      <c r="L78" s="141">
        <f>[1]!DPTEST(L6:L53)</f>
        <v>0.50798394424239413</v>
      </c>
      <c r="M78" s="141">
        <f>[1]!DPTEST(M6:M53)</f>
        <v>0.63202294382433255</v>
      </c>
      <c r="N78" s="141"/>
      <c r="O78" s="141">
        <f>[1]!DPTEST(O6:O53)</f>
        <v>2.3102267559179657E-3</v>
      </c>
      <c r="P78" s="141">
        <f>[1]!DPTEST(P6:P53)</f>
        <v>0.78295077939949287</v>
      </c>
      <c r="Q78" s="141">
        <f>[1]!DPTEST(Q6:Q53)</f>
        <v>1.0923339643259533E-3</v>
      </c>
      <c r="R78" s="141">
        <f>[1]!DPTEST(R6:R53)</f>
        <v>0.29775183608601818</v>
      </c>
      <c r="S78" s="141">
        <f>[1]!DPTEST(S6:S53)</f>
        <v>3.1089882085197917E-3</v>
      </c>
      <c r="T78" s="141">
        <f>[1]!DPTEST(T6:T53)</f>
        <v>0.79114720956692641</v>
      </c>
      <c r="U78" s="141">
        <f>[1]!DPTEST(U6:U53)</f>
        <v>0.20947945276220692</v>
      </c>
      <c r="V78" s="141">
        <f>[1]!DPTEST(V6:V53)</f>
        <v>0.50965390553558254</v>
      </c>
    </row>
    <row r="79" spans="1:22" s="3" customFormat="1" x14ac:dyDescent="0.25">
      <c r="A79" s="61" t="s">
        <v>85</v>
      </c>
      <c r="B79" s="141" t="str">
        <f>IF(B78&gt;0.05,"Oui","Non")</f>
        <v>Non</v>
      </c>
      <c r="C79" s="141" t="str">
        <f t="shared" ref="C79:V79" si="15">IF(C78&gt;0.05,"Oui","Non")</f>
        <v>Non</v>
      </c>
      <c r="D79" s="141" t="str">
        <f t="shared" si="15"/>
        <v>Non</v>
      </c>
      <c r="E79" s="141" t="str">
        <f t="shared" si="15"/>
        <v>Oui</v>
      </c>
      <c r="F79" s="141" t="str">
        <f t="shared" si="15"/>
        <v>Oui</v>
      </c>
      <c r="G79" s="141" t="str">
        <f t="shared" si="15"/>
        <v>Oui</v>
      </c>
      <c r="H79" s="141" t="str">
        <f t="shared" si="15"/>
        <v>Oui</v>
      </c>
      <c r="I79" s="141" t="str">
        <f t="shared" si="15"/>
        <v>Oui</v>
      </c>
      <c r="J79" s="141" t="str">
        <f t="shared" si="15"/>
        <v>Non</v>
      </c>
      <c r="K79" s="141" t="str">
        <f t="shared" si="15"/>
        <v>Non</v>
      </c>
      <c r="L79" s="141" t="str">
        <f t="shared" si="15"/>
        <v>Oui</v>
      </c>
      <c r="M79" s="141" t="str">
        <f t="shared" si="15"/>
        <v>Oui</v>
      </c>
      <c r="N79" s="141"/>
      <c r="O79" s="141" t="str">
        <f t="shared" si="15"/>
        <v>Non</v>
      </c>
      <c r="P79" s="141" t="str">
        <f t="shared" si="15"/>
        <v>Oui</v>
      </c>
      <c r="Q79" s="141" t="str">
        <f t="shared" si="15"/>
        <v>Non</v>
      </c>
      <c r="R79" s="141" t="str">
        <f t="shared" si="15"/>
        <v>Oui</v>
      </c>
      <c r="S79" s="141" t="str">
        <f t="shared" si="15"/>
        <v>Non</v>
      </c>
      <c r="T79" s="141" t="str">
        <f t="shared" si="15"/>
        <v>Oui</v>
      </c>
      <c r="U79" s="141" t="str">
        <f t="shared" si="15"/>
        <v>Oui</v>
      </c>
      <c r="V79" s="141" t="str">
        <f t="shared" si="15"/>
        <v>Oui</v>
      </c>
    </row>
    <row r="80" spans="1:22" s="3" customFormat="1" x14ac:dyDescent="0.2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25">
      <c r="A81" s="61" t="s">
        <v>82</v>
      </c>
      <c r="B81" s="141"/>
      <c r="C81" s="141" t="str">
        <f t="shared" ref="C81:M81" si="16">IF($B80="Non","Kruskal-Wallis","ANOVA")</f>
        <v>Kruskal-Wallis</v>
      </c>
      <c r="D81" s="141" t="str">
        <f t="shared" si="16"/>
        <v>Kruskal-Wallis</v>
      </c>
      <c r="E81" s="141" t="str">
        <f t="shared" si="16"/>
        <v>Kruskal-Wallis</v>
      </c>
      <c r="F81" s="141" t="str">
        <f t="shared" si="16"/>
        <v>Kruskal-Wallis</v>
      </c>
      <c r="G81" s="141" t="str">
        <f t="shared" si="16"/>
        <v>Kruskal-Wallis</v>
      </c>
      <c r="H81" s="141" t="str">
        <f t="shared" si="16"/>
        <v>Kruskal-Wallis</v>
      </c>
      <c r="I81" s="141" t="str">
        <f t="shared" si="16"/>
        <v>Kruskal-Wallis</v>
      </c>
      <c r="J81" s="141" t="str">
        <f t="shared" si="16"/>
        <v>Kruskal-Wallis</v>
      </c>
      <c r="K81" s="141" t="str">
        <f t="shared" si="16"/>
        <v>Kruskal-Wallis</v>
      </c>
      <c r="L81" s="141" t="str">
        <f t="shared" si="16"/>
        <v>Kruskal-Wallis</v>
      </c>
      <c r="M81" s="141" t="str">
        <f t="shared" si="16"/>
        <v>Kruskal-Wallis</v>
      </c>
      <c r="N81" s="141"/>
      <c r="O81" s="141" t="str">
        <f>IF($B79="Non",IF(O79="Non","Mann Withney",IF(O79="Oui","Mann Withney","")),IF($B79="Oui",IF(O79="Oui","T-Test Welch",IF(O79="Non","Mann Withney",""))))</f>
        <v>Mann Withney</v>
      </c>
      <c r="P81" s="141" t="str">
        <f t="shared" ref="P81:V81" si="17">IF($O79="Non",IF(P79="Non","Mann Withney",IF(P$79="Oui","Mann Withney","")),IF($O79="Oui",IF(P79="Oui","T-Test Welch",IF(P79="Non","Mann Withney",""))))</f>
        <v>Mann Withney</v>
      </c>
      <c r="Q81" s="141" t="str">
        <f t="shared" si="17"/>
        <v>Mann Withney</v>
      </c>
      <c r="R81" s="141" t="s">
        <v>1722</v>
      </c>
      <c r="S81" s="141" t="s">
        <v>1722</v>
      </c>
      <c r="T81" s="141" t="s">
        <v>1722</v>
      </c>
      <c r="U81" s="141" t="s">
        <v>1722</v>
      </c>
      <c r="V81" s="141" t="s">
        <v>1722</v>
      </c>
    </row>
    <row r="82" spans="1:22" s="3" customFormat="1" ht="15.75" x14ac:dyDescent="0.25">
      <c r="A82" s="61" t="s">
        <v>83</v>
      </c>
      <c r="B82" s="141"/>
      <c r="C82" s="197">
        <v>0.99990000000000001</v>
      </c>
      <c r="D82" s="197">
        <v>0.99990000000000001</v>
      </c>
      <c r="E82" s="197">
        <v>0.99990000000000001</v>
      </c>
      <c r="F82" s="197">
        <v>2.0000000000000001E-4</v>
      </c>
      <c r="G82" s="197">
        <v>1E-4</v>
      </c>
      <c r="H82" s="197">
        <v>1E-4</v>
      </c>
      <c r="I82" s="197" t="s">
        <v>4476</v>
      </c>
      <c r="J82" s="197">
        <v>0.99990000000000001</v>
      </c>
      <c r="K82" s="197">
        <v>0.89780000000000004</v>
      </c>
      <c r="L82" s="197">
        <v>1E-4</v>
      </c>
      <c r="M82" s="197">
        <v>1E-4</v>
      </c>
      <c r="N82" s="141"/>
      <c r="O82" s="197">
        <v>1E-4</v>
      </c>
      <c r="P82" s="197">
        <v>1E-4</v>
      </c>
      <c r="Q82" s="197">
        <v>1E-4</v>
      </c>
      <c r="R82" s="197">
        <v>0.99990000000000001</v>
      </c>
      <c r="S82" s="197">
        <v>0.95179999999999998</v>
      </c>
      <c r="T82" s="197">
        <v>2.9999999999999997E-4</v>
      </c>
      <c r="U82" s="197">
        <v>1E-4</v>
      </c>
      <c r="V82" s="197">
        <v>1E-4</v>
      </c>
    </row>
    <row r="83" spans="1:22" s="3" customFormat="1" ht="15.75" thickBot="1" x14ac:dyDescent="0.3">
      <c r="A83" s="62" t="s">
        <v>84</v>
      </c>
      <c r="B83" s="142"/>
      <c r="C83" s="142" t="str">
        <f t="shared" ref="C83:O83" si="18">IF(C82&gt;0.05,"NS",IF(C82&gt;0.01,"*",IF(C82&gt;0.001,"**","***")))</f>
        <v>NS</v>
      </c>
      <c r="D83" s="142" t="str">
        <f t="shared" si="18"/>
        <v>NS</v>
      </c>
      <c r="E83" s="142" t="str">
        <f t="shared" si="18"/>
        <v>NS</v>
      </c>
      <c r="F83" s="142" t="str">
        <f t="shared" si="18"/>
        <v>***</v>
      </c>
      <c r="G83" s="142" t="str">
        <f t="shared" si="18"/>
        <v>***</v>
      </c>
      <c r="H83" s="142" t="str">
        <f t="shared" si="18"/>
        <v>***</v>
      </c>
      <c r="I83" s="142" t="str">
        <f t="shared" si="18"/>
        <v>NS</v>
      </c>
      <c r="J83" s="142" t="str">
        <f t="shared" si="18"/>
        <v>NS</v>
      </c>
      <c r="K83" s="142" t="str">
        <f t="shared" si="18"/>
        <v>NS</v>
      </c>
      <c r="L83" s="142" t="str">
        <f t="shared" si="18"/>
        <v>***</v>
      </c>
      <c r="M83" s="142" t="str">
        <f t="shared" si="18"/>
        <v>***</v>
      </c>
      <c r="N83" s="142"/>
      <c r="O83" s="142" t="str">
        <f t="shared" si="18"/>
        <v>***</v>
      </c>
      <c r="P83" s="142" t="str">
        <f t="shared" ref="P83" si="19">IF(P82&gt;0.05,"NS",IF(P82&gt;0.01,"*",IF(P82&gt;0.001,"**","***")))</f>
        <v>***</v>
      </c>
      <c r="Q83" s="142" t="str">
        <f t="shared" ref="Q83:V83" si="20">IF(Q82&gt;0.05,"NS",IF(Q82&gt;0.01,"*",IF(Q82&gt;0.001,"**","***")))</f>
        <v>***</v>
      </c>
      <c r="R83" s="142" t="str">
        <f t="shared" si="20"/>
        <v>NS</v>
      </c>
      <c r="S83" s="142" t="str">
        <f t="shared" si="20"/>
        <v>NS</v>
      </c>
      <c r="T83" s="142" t="str">
        <f t="shared" si="20"/>
        <v>***</v>
      </c>
      <c r="U83" s="142" t="str">
        <f t="shared" si="20"/>
        <v>***</v>
      </c>
      <c r="V83" s="142" t="str">
        <f t="shared" si="20"/>
        <v>***</v>
      </c>
    </row>
    <row r="84" spans="1:22" s="1" customFormat="1" x14ac:dyDescent="0.25"/>
    <row r="85" spans="1:22" s="1" customFormat="1" x14ac:dyDescent="0.25">
      <c r="A85" s="2" t="s">
        <v>39</v>
      </c>
    </row>
    <row r="86" spans="1:22" x14ac:dyDescent="0.25">
      <c r="A86" s="1" t="s">
        <v>23</v>
      </c>
      <c r="B86" s="1">
        <f>B56+(3*B57)</f>
        <v>0.47316404445520099</v>
      </c>
    </row>
    <row r="87" spans="1:22" x14ac:dyDescent="0.25">
      <c r="A87" s="1" t="s">
        <v>24</v>
      </c>
      <c r="B87" s="1">
        <f>B56+(10*B57)</f>
        <v>1.2885923651811027</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5" spans="1:22" ht="15.75" x14ac:dyDescent="0.25">
      <c r="B95" s="197"/>
      <c r="R95" s="197"/>
    </row>
    <row r="96" spans="1:22" ht="15.75" x14ac:dyDescent="0.25">
      <c r="B96" s="197"/>
      <c r="I96" s="197"/>
      <c r="R96" s="197"/>
    </row>
    <row r="97" spans="2:18" ht="15.75" x14ac:dyDescent="0.25">
      <c r="B97" s="197"/>
      <c r="I97" s="197"/>
      <c r="R97" s="197"/>
    </row>
    <row r="98" spans="2:18" ht="15.75" x14ac:dyDescent="0.25">
      <c r="B98" s="197"/>
      <c r="I98" s="197"/>
      <c r="R98" s="197"/>
    </row>
    <row r="99" spans="2:18" ht="15.75" x14ac:dyDescent="0.25">
      <c r="B99" s="197"/>
      <c r="I99" s="197"/>
      <c r="R99" s="197"/>
    </row>
    <row r="100" spans="2:18" ht="15.75" x14ac:dyDescent="0.25">
      <c r="B100" s="197"/>
      <c r="I100" s="197"/>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1" t="s">
        <v>104</v>
      </c>
      <c r="B1" s="232"/>
      <c r="C1" s="232"/>
      <c r="D1" s="232"/>
      <c r="E1" s="232"/>
      <c r="F1" s="232"/>
      <c r="G1" s="232"/>
      <c r="H1" s="232"/>
      <c r="I1" s="232"/>
      <c r="J1" s="232"/>
      <c r="K1" s="232"/>
      <c r="L1" s="232"/>
      <c r="M1" s="232"/>
      <c r="N1" s="232"/>
      <c r="O1" s="233"/>
    </row>
    <row r="2" spans="1:15" s="48" customFormat="1" ht="27" thickBot="1" x14ac:dyDescent="0.3">
      <c r="A2" s="231" t="s">
        <v>105</v>
      </c>
      <c r="B2" s="232"/>
      <c r="C2" s="232"/>
      <c r="D2" s="232"/>
      <c r="E2" s="232"/>
      <c r="F2" s="232"/>
      <c r="G2" s="232"/>
      <c r="H2" s="232"/>
      <c r="I2" s="232"/>
      <c r="J2" s="232"/>
      <c r="K2" s="232"/>
      <c r="L2" s="232"/>
      <c r="M2" s="232"/>
      <c r="N2" s="232"/>
      <c r="O2" s="233"/>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Estrone-0,04µg/L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Estrone-0,04µg/L : 0%</v>
      </c>
      <c r="O7"/>
    </row>
    <row r="8" spans="1:15" s="76" customFormat="1" ht="15.75" x14ac:dyDescent="0.25">
      <c r="A8" s="79" t="str">
        <f>'Page de garde'!A16</f>
        <v>Estrone-0,2µg/L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Estrone-0,2µg/L : 0%</v>
      </c>
      <c r="O8"/>
    </row>
    <row r="9" spans="1:15" s="76" customFormat="1" ht="15.75" x14ac:dyDescent="0.25">
      <c r="A9" s="79" t="str">
        <f>'Page de garde'!A17</f>
        <v>Estrone-1µg/L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Estrone-1µg/L : 0%</v>
      </c>
      <c r="O9"/>
    </row>
    <row r="10" spans="1:15" s="76" customFormat="1" ht="15.75" x14ac:dyDescent="0.25">
      <c r="A10" s="79" t="str">
        <f>'Page de garde'!A18</f>
        <v>Estrone-5µg/L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75" x14ac:dyDescent="0.25">
      <c r="A11" s="79" t="str">
        <f>'Page de garde'!A19</f>
        <v>Estrone-25µg/L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Estrone-0,04µg/L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Estrone-0,04µg/L : 0%</v>
      </c>
    </row>
    <row r="33" spans="1:14" s="76" customFormat="1" ht="15.75" x14ac:dyDescent="0.25">
      <c r="A33" s="127" t="str">
        <f>'Page de garde'!A40</f>
        <v>Estrone-0,2µg/L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Estrone-0,2µg/L : 0%</v>
      </c>
    </row>
    <row r="34" spans="1:14" s="76" customFormat="1" ht="15.75" x14ac:dyDescent="0.25">
      <c r="A34" s="127" t="str">
        <f>'Page de garde'!A41</f>
        <v>Estrone-1µg/L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75" x14ac:dyDescent="0.25">
      <c r="A35" s="127" t="str">
        <f>'Page de garde'!A42</f>
        <v>Estrone-5µg/L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75" x14ac:dyDescent="0.25">
      <c r="A36" s="127" t="str">
        <f>'Page de garde'!A43</f>
        <v>Estrone-25µg/L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9" customWidth="1"/>
    <col min="2" max="2" width="46.28515625" style="179" customWidth="1"/>
    <col min="3" max="3" width="15.28515625" style="179" customWidth="1"/>
    <col min="4" max="4" width="24.7109375" style="179" customWidth="1"/>
    <col min="5" max="5" width="24.42578125" style="179" customWidth="1"/>
    <col min="6" max="6" width="23.140625" style="179" customWidth="1"/>
    <col min="7" max="7" width="21.28515625" style="179" customWidth="1"/>
    <col min="8" max="16384" width="11.42578125" style="179"/>
  </cols>
  <sheetData>
    <row r="1" spans="1:7" ht="30.75" thickBot="1" x14ac:dyDescent="0.3">
      <c r="A1" s="184" t="s">
        <v>131</v>
      </c>
      <c r="B1" s="185" t="s">
        <v>132</v>
      </c>
      <c r="C1" s="185" t="s">
        <v>138</v>
      </c>
      <c r="D1" s="185" t="s">
        <v>137</v>
      </c>
      <c r="E1" s="185" t="s">
        <v>139</v>
      </c>
      <c r="F1" s="186" t="s">
        <v>140</v>
      </c>
      <c r="G1" s="187" t="s">
        <v>141</v>
      </c>
    </row>
    <row r="2" spans="1:7" ht="60" x14ac:dyDescent="0.2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0.12369476414410034</v>
      </c>
      <c r="D2" s="17" t="s">
        <v>9</v>
      </c>
      <c r="E2" s="18"/>
      <c r="F2" s="19" t="str">
        <f>'pooled normalised values'!J74</f>
        <v>Estrone-0,2µg/L</v>
      </c>
      <c r="G2" s="19" t="str">
        <f>'pooled normalised values'!K74</f>
        <v>Estrone-1µg/L</v>
      </c>
      <c r="H2" s="19" t="str">
        <f>'pooled normalised values'!L74</f>
        <v>Estrone-5µg/L</v>
      </c>
      <c r="I2" s="19" t="str">
        <f>'pooled normalised values'!M74</f>
        <v>Estrone-25µg/L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Estrone-0,04µg/L + Testostérone</v>
      </c>
      <c r="W2" s="19" t="str">
        <f>'pooled normalised values'!S74</f>
        <v>Estrone-0,2µg/L + Testostérone</v>
      </c>
      <c r="X2" s="19" t="str">
        <f>'pooled normalised values'!T74</f>
        <v>Estrone-1µg/L + Testostérone</v>
      </c>
      <c r="Y2" s="19" t="str">
        <f>'pooled normalised values'!U74</f>
        <v>Estrone-5µg/L + Testostérone</v>
      </c>
      <c r="Z2" s="19" t="str">
        <f>'pooled normalised values'!V74</f>
        <v>Estrone-25µg/L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0.12003696731175635</v>
      </c>
      <c r="G3" s="19">
        <f>HLOOKUP(G2,'pooled normalised values'!C74:W83,2,FALSE)</f>
        <v>0.21634703340429071</v>
      </c>
      <c r="H3" s="19">
        <f>HLOOKUP(H2,'pooled normalised values'!C74:X83,2,FALSE)</f>
        <v>2.9533939828058773</v>
      </c>
      <c r="I3" s="19">
        <f>HLOOKUP(I2,'pooled normalised values'!D74:Y83,2,FALSE)</f>
        <v>4.1530254812596148</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0.94183890109857771</v>
      </c>
      <c r="W3" s="19">
        <f>HLOOKUP(W2,'pooled normalised values'!N74:AM83,2,FALSE)</f>
        <v>1.3333445252418408</v>
      </c>
      <c r="X3" s="19">
        <f>HLOOKUP(X2,'pooled normalised values'!N74:AN83,2,FALSE)</f>
        <v>2.1885459230478688</v>
      </c>
      <c r="Y3" s="19">
        <f>HLOOKUP(Y2,'pooled normalised values'!N74:AO83,2,FALSE)</f>
        <v>2.8891448489415281</v>
      </c>
      <c r="Z3" s="19">
        <f>HLOOKUP(Z2,'pooled normalised values'!N74:AP83,2,FALSE)</f>
        <v>3.9517305391235991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0.99999999999999967</v>
      </c>
      <c r="D4" s="21" t="s">
        <v>2</v>
      </c>
      <c r="E4" s="22"/>
      <c r="F4" s="19">
        <f>HLOOKUP(F2,'pooled normalised values'!B74:V83,3,FALSE)</f>
        <v>2.4018614026906318E-2</v>
      </c>
      <c r="G4" s="19">
        <f>HLOOKUP(G2,'pooled normalised values'!C74:W83,3,FALSE)</f>
        <v>4.045405948901145E-2</v>
      </c>
      <c r="H4" s="19">
        <f>HLOOKUP(H2,'pooled normalised values'!C74:X83,3,FALSE)</f>
        <v>0.29573101816179476</v>
      </c>
      <c r="I4" s="19">
        <f>HLOOKUP(I2,'pooled normalised values'!D74:Y83,3,FALSE)</f>
        <v>0.36332795253411954</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0.10923905089160788</v>
      </c>
      <c r="W4" s="19">
        <f>HLOOKUP(W2,'pooled normalised values'!N74:AM83,3,FALSE)</f>
        <v>0.1818648226406282</v>
      </c>
      <c r="X4" s="19">
        <f>HLOOKUP(X2,'pooled normalised values'!N74:AN83,3,FALSE)</f>
        <v>0.23537592359283424</v>
      </c>
      <c r="Y4" s="19">
        <f>HLOOKUP(Y2,'pooled normalised values'!N74:AO83,3,FALSE)</f>
        <v>0.27040130868635426</v>
      </c>
      <c r="Z4" s="19">
        <f>HLOOKUP(Z2,'pooled normalised values'!N74:AP83,3,FALSE)</f>
        <v>0.35668905659410133</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1.8524405870989404</v>
      </c>
      <c r="D5" s="23" t="s">
        <v>11</v>
      </c>
      <c r="E5" s="22"/>
      <c r="F5" s="19" t="str">
        <f>HLOOKUP(F2,'pooled normalised values'!B74:V83,10,FALSE)</f>
        <v>NS</v>
      </c>
      <c r="G5" s="19" t="str">
        <f>HLOOKUP(G2,'pooled normalised values'!C74:W83,10,FALSE)</f>
        <v>NS</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6.9003930918983214E-2</v>
      </c>
      <c r="D6" s="21" t="s">
        <v>12</v>
      </c>
      <c r="E6" s="24">
        <f>$B$2</f>
        <v>0.12369476414410034</v>
      </c>
      <c r="F6" s="24">
        <f>$B$2</f>
        <v>0.12369476414410034</v>
      </c>
      <c r="G6" s="24">
        <f t="shared" ref="G6:R6" si="0">$B$2</f>
        <v>0.12369476414410034</v>
      </c>
      <c r="H6" s="24">
        <f t="shared" si="0"/>
        <v>0.12369476414410034</v>
      </c>
      <c r="I6" s="24">
        <f t="shared" si="0"/>
        <v>0.12369476414410034</v>
      </c>
      <c r="J6" s="24">
        <f t="shared" si="0"/>
        <v>0.12369476414410034</v>
      </c>
      <c r="K6" s="24">
        <f t="shared" si="0"/>
        <v>0.12369476414410034</v>
      </c>
      <c r="L6" s="24">
        <f t="shared" si="0"/>
        <v>0.12369476414410034</v>
      </c>
      <c r="M6" s="24">
        <f t="shared" si="0"/>
        <v>0.12369476414410034</v>
      </c>
      <c r="N6" s="24">
        <f t="shared" si="0"/>
        <v>0.12369476414410034</v>
      </c>
      <c r="O6" s="24">
        <f t="shared" si="0"/>
        <v>0.12369476414410034</v>
      </c>
      <c r="P6" s="24">
        <f t="shared" si="0"/>
        <v>0.12369476414410034</v>
      </c>
      <c r="Q6" s="24">
        <f t="shared" si="0"/>
        <v>0.12369476414410034</v>
      </c>
      <c r="R6" s="24">
        <f t="shared" si="0"/>
        <v>0.12369476414410034</v>
      </c>
      <c r="S6" s="24">
        <f>$B$2</f>
        <v>0.12369476414410034</v>
      </c>
      <c r="T6" s="24">
        <f>$B$2</f>
        <v>0.12369476414410034</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0.99999999999999967</v>
      </c>
      <c r="V7" s="25">
        <f t="shared" si="1"/>
        <v>0.99999999999999967</v>
      </c>
      <c r="W7" s="25">
        <f t="shared" si="1"/>
        <v>0.99999999999999967</v>
      </c>
      <c r="X7" s="25">
        <f t="shared" si="1"/>
        <v>0.99999999999999967</v>
      </c>
      <c r="Y7" s="25">
        <f t="shared" si="1"/>
        <v>0.99999999999999967</v>
      </c>
      <c r="Z7" s="25">
        <f t="shared" si="1"/>
        <v>0.99999999999999967</v>
      </c>
      <c r="AA7" s="25">
        <f t="shared" si="1"/>
        <v>0.99999999999999967</v>
      </c>
      <c r="AB7" s="25">
        <f t="shared" si="1"/>
        <v>0.99999999999999967</v>
      </c>
      <c r="AC7" s="25">
        <f t="shared" si="1"/>
        <v>0.99999999999999967</v>
      </c>
      <c r="AD7" s="25">
        <f t="shared" si="1"/>
        <v>0.99999999999999967</v>
      </c>
      <c r="AE7" s="25">
        <f t="shared" si="1"/>
        <v>0.99999999999999967</v>
      </c>
      <c r="AF7" s="25">
        <f t="shared" si="1"/>
        <v>0.99999999999999967</v>
      </c>
      <c r="AG7" s="25">
        <f t="shared" si="1"/>
        <v>0.99999999999999967</v>
      </c>
      <c r="AH7" s="25">
        <f t="shared" si="1"/>
        <v>0.99999999999999967</v>
      </c>
      <c r="AI7" s="25">
        <f t="shared" si="1"/>
        <v>0.99999999999999967</v>
      </c>
      <c r="AJ7" s="25">
        <f t="shared" si="1"/>
        <v>0.99999999999999967</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6.9003930918983214E-2</v>
      </c>
      <c r="V8" s="25">
        <f t="shared" ref="V8:AJ8" si="2">$B$6</f>
        <v>6.9003930918983214E-2</v>
      </c>
      <c r="W8" s="25">
        <f t="shared" si="2"/>
        <v>6.9003930918983214E-2</v>
      </c>
      <c r="X8" s="25">
        <f t="shared" si="2"/>
        <v>6.9003930918983214E-2</v>
      </c>
      <c r="Y8" s="25">
        <f t="shared" si="2"/>
        <v>6.9003930918983214E-2</v>
      </c>
      <c r="Z8" s="25">
        <f t="shared" si="2"/>
        <v>6.9003930918983214E-2</v>
      </c>
      <c r="AA8" s="25">
        <f t="shared" si="2"/>
        <v>6.9003930918983214E-2</v>
      </c>
      <c r="AB8" s="25">
        <f t="shared" si="2"/>
        <v>6.9003930918983214E-2</v>
      </c>
      <c r="AC8" s="25">
        <f t="shared" si="2"/>
        <v>6.9003930918983214E-2</v>
      </c>
      <c r="AD8" s="25">
        <f t="shared" si="2"/>
        <v>6.9003930918983214E-2</v>
      </c>
      <c r="AE8" s="25">
        <f t="shared" si="2"/>
        <v>6.9003930918983214E-2</v>
      </c>
      <c r="AF8" s="25">
        <f t="shared" si="2"/>
        <v>6.9003930918983214E-2</v>
      </c>
      <c r="AG8" s="25">
        <f t="shared" si="2"/>
        <v>6.9003930918983214E-2</v>
      </c>
      <c r="AH8" s="25">
        <f t="shared" si="2"/>
        <v>6.9003930918983214E-2</v>
      </c>
      <c r="AI8" s="25">
        <f t="shared" si="2"/>
        <v>6.9003930918983214E-2</v>
      </c>
      <c r="AJ8" s="25">
        <f t="shared" si="2"/>
        <v>6.9003930918983214E-2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1.7834366561799573</v>
      </c>
      <c r="V9" s="25">
        <f>$B$5-V8</f>
        <v>1.7834366561799573</v>
      </c>
      <c r="W9" s="25">
        <f t="shared" ref="W9:AH9" si="4">$B$5-W8</f>
        <v>1.7834366561799573</v>
      </c>
      <c r="X9" s="25">
        <f t="shared" si="4"/>
        <v>1.7834366561799573</v>
      </c>
      <c r="Y9" s="25">
        <f t="shared" si="4"/>
        <v>1.7834366561799573</v>
      </c>
      <c r="Z9" s="25">
        <f t="shared" si="4"/>
        <v>1.7834366561799573</v>
      </c>
      <c r="AA9" s="25">
        <f t="shared" si="4"/>
        <v>1.7834366561799573</v>
      </c>
      <c r="AB9" s="25">
        <f t="shared" si="4"/>
        <v>1.7834366561799573</v>
      </c>
      <c r="AC9" s="25">
        <f t="shared" si="4"/>
        <v>1.7834366561799573</v>
      </c>
      <c r="AD9" s="25">
        <f t="shared" si="4"/>
        <v>1.7834366561799573</v>
      </c>
      <c r="AE9" s="25">
        <f t="shared" si="4"/>
        <v>1.7834366561799573</v>
      </c>
      <c r="AF9" s="25">
        <f t="shared" si="4"/>
        <v>1.7834366561799573</v>
      </c>
      <c r="AG9" s="25">
        <f t="shared" si="4"/>
        <v>1.7834366561799573</v>
      </c>
      <c r="AH9" s="25">
        <f t="shared" si="4"/>
        <v>1.7834366561799573</v>
      </c>
      <c r="AI9" s="25">
        <f>$B$5-AI8</f>
        <v>1.7834366561799573</v>
      </c>
      <c r="AJ9" s="25">
        <f>$B$5-AJ8</f>
        <v>1.7834366561799573</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0.71656334382004272</v>
      </c>
      <c r="V10" s="25">
        <f>2.5-V9</f>
        <v>0.71656334382004272</v>
      </c>
      <c r="W10" s="25">
        <f t="shared" ref="W10:AH10" si="6">2.5-W9</f>
        <v>0.71656334382004272</v>
      </c>
      <c r="X10" s="25">
        <f t="shared" si="6"/>
        <v>0.71656334382004272</v>
      </c>
      <c r="Y10" s="25">
        <f t="shared" si="6"/>
        <v>0.71656334382004272</v>
      </c>
      <c r="Z10" s="25">
        <f t="shared" si="6"/>
        <v>0.71656334382004272</v>
      </c>
      <c r="AA10" s="25">
        <f t="shared" si="6"/>
        <v>0.71656334382004272</v>
      </c>
      <c r="AB10" s="25">
        <f t="shared" si="6"/>
        <v>0.71656334382004272</v>
      </c>
      <c r="AC10" s="25">
        <f t="shared" si="6"/>
        <v>0.71656334382004272</v>
      </c>
      <c r="AD10" s="25">
        <f t="shared" si="6"/>
        <v>0.71656334382004272</v>
      </c>
      <c r="AE10" s="25">
        <f t="shared" si="6"/>
        <v>0.71656334382004272</v>
      </c>
      <c r="AF10" s="25">
        <f t="shared" si="6"/>
        <v>0.71656334382004272</v>
      </c>
      <c r="AG10" s="25">
        <f t="shared" si="6"/>
        <v>0.71656334382004272</v>
      </c>
      <c r="AH10" s="25">
        <f t="shared" si="6"/>
        <v>0.71656334382004272</v>
      </c>
      <c r="AI10" s="25">
        <f>2.5-AI9</f>
        <v>0.71656334382004272</v>
      </c>
      <c r="AJ10" s="25">
        <f>2.5-AJ9</f>
        <v>0.71656334382004272</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0.12369476414410034</v>
      </c>
      <c r="D2" s="17" t="s">
        <v>9</v>
      </c>
      <c r="E2" s="18"/>
      <c r="F2" s="19" t="str">
        <f>'pooled normalised values'!J74</f>
        <v>Estrone-0,2µg/L</v>
      </c>
      <c r="G2" s="18"/>
      <c r="H2" s="20"/>
      <c r="I2" s="19" t="str">
        <f>'pooled normalised values'!R74</f>
        <v>Estrone-0,04µg/L + Testostérone</v>
      </c>
      <c r="J2" s="20"/>
      <c r="K2" s="17" t="s">
        <v>9</v>
      </c>
    </row>
    <row r="3" spans="1:11" x14ac:dyDescent="0.2">
      <c r="A3" s="17" t="s">
        <v>71</v>
      </c>
      <c r="B3" s="63">
        <f>'summary results'!E6</f>
        <v>0</v>
      </c>
      <c r="D3" s="21" t="s">
        <v>10</v>
      </c>
      <c r="E3" s="22"/>
      <c r="F3" s="19">
        <f>HLOOKUP(F2,'pooled normalised values'!B74:V83,2,FALSE)</f>
        <v>0.12003696731175635</v>
      </c>
      <c r="G3" s="22"/>
      <c r="H3" s="20"/>
      <c r="I3" s="19">
        <f>HLOOKUP(I2,'pooled normalised values'!N74:AL83,2,FALSE)</f>
        <v>0.94183890109857771</v>
      </c>
      <c r="J3" s="20"/>
      <c r="K3" s="21" t="s">
        <v>10</v>
      </c>
    </row>
    <row r="4" spans="1:11" x14ac:dyDescent="0.2">
      <c r="A4" s="17" t="s">
        <v>72</v>
      </c>
      <c r="B4" s="63">
        <f>'pooled normalised values'!O75</f>
        <v>0.99999999999999967</v>
      </c>
      <c r="D4" s="21" t="s">
        <v>2</v>
      </c>
      <c r="E4" s="22"/>
      <c r="F4" s="19">
        <f>HLOOKUP(F2,'pooled normalised values'!B74:V83,3,FALSE)</f>
        <v>2.4018614026906318E-2</v>
      </c>
      <c r="G4" s="22"/>
      <c r="H4" s="20"/>
      <c r="I4" s="19">
        <f>HLOOKUP(I2,'pooled normalised values'!N74:AL83,3,FALSE)</f>
        <v>0.10923905089160788</v>
      </c>
      <c r="J4" s="20"/>
      <c r="K4" s="21" t="s">
        <v>2</v>
      </c>
    </row>
    <row r="5" spans="1:11" x14ac:dyDescent="0.2">
      <c r="A5" s="17" t="s">
        <v>73</v>
      </c>
      <c r="B5" s="63">
        <f>'pooled normalised values'!P75</f>
        <v>1.8524405870989404</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6.9003930918983214E-2</v>
      </c>
      <c r="D6" s="21" t="s">
        <v>12</v>
      </c>
      <c r="E6" s="24">
        <f>$B$2</f>
        <v>0.12369476414410034</v>
      </c>
      <c r="F6" s="24">
        <f>$B$2</f>
        <v>0.12369476414410034</v>
      </c>
      <c r="G6" s="24">
        <f>$B$2</f>
        <v>0.12369476414410034</v>
      </c>
      <c r="H6" s="25"/>
      <c r="I6" s="25"/>
      <c r="J6" s="25"/>
      <c r="K6" s="21" t="s">
        <v>12</v>
      </c>
    </row>
    <row r="7" spans="1:11" x14ac:dyDescent="0.2">
      <c r="B7" s="26"/>
      <c r="D7" s="26" t="s">
        <v>13</v>
      </c>
      <c r="E7" s="24"/>
      <c r="F7" s="24"/>
      <c r="G7" s="27"/>
      <c r="H7" s="25">
        <f t="shared" ref="H7:J7" si="0">$B$4</f>
        <v>0.99999999999999967</v>
      </c>
      <c r="I7" s="25">
        <f t="shared" si="0"/>
        <v>0.99999999999999967</v>
      </c>
      <c r="J7" s="25">
        <f t="shared" si="0"/>
        <v>0.99999999999999967</v>
      </c>
      <c r="K7" s="26" t="s">
        <v>13</v>
      </c>
    </row>
    <row r="8" spans="1:11" x14ac:dyDescent="0.2">
      <c r="D8" s="28" t="s">
        <v>14</v>
      </c>
      <c r="E8" s="24">
        <v>0</v>
      </c>
      <c r="F8" s="24">
        <v>0</v>
      </c>
      <c r="G8" s="27">
        <v>0</v>
      </c>
      <c r="H8" s="25">
        <f>$B$6</f>
        <v>6.9003930918983214E-2</v>
      </c>
      <c r="I8" s="25">
        <f t="shared" ref="I8:J8" si="1">$B$6</f>
        <v>6.9003930918983214E-2</v>
      </c>
      <c r="J8" s="25">
        <f t="shared" si="1"/>
        <v>6.9003930918983214E-2</v>
      </c>
      <c r="K8" s="28" t="s">
        <v>14</v>
      </c>
    </row>
    <row r="9" spans="1:11" x14ac:dyDescent="0.2">
      <c r="D9" s="28" t="s">
        <v>15</v>
      </c>
      <c r="E9" s="29">
        <f>$B$3-E8</f>
        <v>0</v>
      </c>
      <c r="F9" s="29">
        <f>$B$3-F8</f>
        <v>0</v>
      </c>
      <c r="G9" s="29">
        <f>$B$3-G8</f>
        <v>0</v>
      </c>
      <c r="H9" s="25">
        <f>$B$5-H8</f>
        <v>1.7834366561799573</v>
      </c>
      <c r="I9" s="25">
        <f>$B$5-I8</f>
        <v>1.7834366561799573</v>
      </c>
      <c r="J9" s="25">
        <f>$B$5-J8</f>
        <v>1.7834366561799573</v>
      </c>
      <c r="K9" s="28" t="s">
        <v>15</v>
      </c>
    </row>
    <row r="10" spans="1:11" x14ac:dyDescent="0.2">
      <c r="D10" s="28" t="s">
        <v>16</v>
      </c>
      <c r="E10" s="27">
        <f t="shared" ref="E10:J10" si="2">2.5-E9</f>
        <v>2.5</v>
      </c>
      <c r="F10" s="27">
        <f t="shared" si="2"/>
        <v>2.5</v>
      </c>
      <c r="G10" s="27">
        <f t="shared" si="2"/>
        <v>2.5</v>
      </c>
      <c r="H10" s="25">
        <f t="shared" si="2"/>
        <v>0.71656334382004272</v>
      </c>
      <c r="I10" s="25">
        <f t="shared" si="2"/>
        <v>0.71656334382004272</v>
      </c>
      <c r="J10" s="25">
        <f t="shared" si="2"/>
        <v>0.71656334382004272</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4" t="s">
        <v>99</v>
      </c>
      <c r="R1" s="234"/>
      <c r="S1" s="234"/>
      <c r="U1" s="234" t="s">
        <v>98</v>
      </c>
      <c r="V1" s="234"/>
      <c r="W1" s="234"/>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25">
      <c r="A3" s="1" t="str">
        <f>Q7</f>
        <v>Estrone-0,04µg/L</v>
      </c>
      <c r="B3" t="str">
        <f t="shared" si="0"/>
        <v>Estrone-0,04µg/L + Testostérone</v>
      </c>
      <c r="D3" t="str">
        <f>CONCATENATE(VLOOKUP(Tableau3[[#This Row],[Nom ND]],liste_groupe[],3,FALSE),VLOOKUP(Tableau3[[#This Row],[Nom ND]],liste_groupe[],4,FALSE))</f>
        <v>0,04µg/L</v>
      </c>
      <c r="E3">
        <f>HLOOKUP(Tableau3[[#This Row],[Nom ND]],'pooled normalised values'!$B$74:$V$83,4,FALSE)</f>
        <v>-18.177927692062156</v>
      </c>
      <c r="F3" t="str">
        <f>HLOOKUP(Tableau3[[#This Row],[Nom ND]],'pooled normalised values'!$B$74:$V$83,8,FALSE)</f>
        <v>Kruskal-Wallis</v>
      </c>
      <c r="G3" t="str">
        <f>VLOOKUP(Tableau3[[#This Row],[Nom ND]],'summary results'!$A$6:$N$26,9,FALSE)</f>
        <v>NC</v>
      </c>
      <c r="H3">
        <f>VLOOKUP(Tableau3[[#This Row],[Nom ND]],'summary results'!$A$6:$N$26,11,FALSE)</f>
        <v>0</v>
      </c>
      <c r="I3">
        <f>HLOOKUP(Tableau3[[#This Row],[Nom D]],'pooled normalised values'!$B$74:$V$83,4,FALSE)</f>
        <v>-5.8161098901422008</v>
      </c>
      <c r="J3" t="str">
        <f>HLOOKUP(Tableau3[[#This Row],[Nom D]],'pooled normalised values'!$B$74:$V$83,8,FALSE)</f>
        <v>Krustall Wallis</v>
      </c>
      <c r="K3" t="str">
        <f>VLOOKUP(Tableau3[[#This Row],[Nom D]],'summary results'!$A$29:$N$51,9,FALSE)</f>
        <v>NC</v>
      </c>
      <c r="L3">
        <f>VLOOKUP(Tableau3[[#This Row],[Nom D]],'summary results'!$A$29:$N$51,11,FALSE)</f>
        <v>0</v>
      </c>
      <c r="M3" s="1" t="e">
        <f>'summary results'!$G$30</f>
        <v>#NUM!</v>
      </c>
      <c r="N3" s="1" t="e">
        <f>'summary results'!$G$31</f>
        <v>#NUM!</v>
      </c>
      <c r="Q3" s="118" t="s">
        <v>78</v>
      </c>
      <c r="R3" s="1" t="s">
        <v>106</v>
      </c>
      <c r="U3" s="118" t="s">
        <v>78</v>
      </c>
      <c r="V3" s="1" t="s">
        <v>50</v>
      </c>
    </row>
    <row r="4" spans="1:23" x14ac:dyDescent="0.25">
      <c r="A4" s="1" t="str">
        <f t="shared" ref="A4:A15" si="1">Q8</f>
        <v>Estrone-0,2µg/L</v>
      </c>
      <c r="B4" s="44" t="str">
        <f t="shared" ref="B4:B15" si="2">U8</f>
        <v>Estrone-0,2µg/L + Testostérone</v>
      </c>
      <c r="D4" s="44" t="str">
        <f>CONCATENATE(VLOOKUP(Tableau3[[#This Row],[Nom ND]],liste_groupe[],3,FALSE),VLOOKUP(Tableau3[[#This Row],[Nom ND]],liste_groupe[],4,FALSE))</f>
        <v>0,2µg/L</v>
      </c>
      <c r="E4" s="44">
        <f>HLOOKUP(Tableau3[[#This Row],[Nom ND]],'pooled normalised values'!$B$74:$V$83,4,FALSE)</f>
        <v>-2.9571153295403576</v>
      </c>
      <c r="F4" s="44" t="str">
        <f>HLOOKUP(Tableau3[[#This Row],[Nom ND]],'pooled normalised values'!$B$74:$V$83,8,FALSE)</f>
        <v>Kruskal-Wallis</v>
      </c>
      <c r="G4" s="44" t="str">
        <f>VLOOKUP(Tableau3[[#This Row],[Nom ND]],'summary results'!$A$6:$N$26,9,FALSE)</f>
        <v>NC</v>
      </c>
      <c r="H4" s="44">
        <f>VLOOKUP(Tableau3[[#This Row],[Nom ND]],'summary results'!$A$6:$N$26,11,FALSE)</f>
        <v>0</v>
      </c>
      <c r="I4" s="44">
        <f>HLOOKUP(Tableau3[[#This Row],[Nom D]],'pooled normalised values'!$B$74:$V$83,4,FALSE)</f>
        <v>33.334452524184144</v>
      </c>
      <c r="J4" s="44" t="str">
        <f>HLOOKUP(Tableau3[[#This Row],[Nom D]],'pooled normalised values'!$B$74:$V$83,8,FALSE)</f>
        <v>Krustall Wallis</v>
      </c>
      <c r="K4" s="44" t="str">
        <f>VLOOKUP(Tableau3[[#This Row],[Nom D]],'summary results'!$A$29:$N$51,9,FALSE)</f>
        <v>NC</v>
      </c>
      <c r="L4" s="44">
        <f>VLOOKUP(Tableau3[[#This Row],[Nom D]],'summary results'!$A$29:$N$51,11,FALSE)</f>
        <v>0</v>
      </c>
      <c r="M4" t="e">
        <f>'summary results'!$G$30</f>
        <v>#NUM!</v>
      </c>
      <c r="N4" t="e">
        <f>'summary results'!$G$31</f>
        <v>#NUM!</v>
      </c>
    </row>
    <row r="5" spans="1:23" x14ac:dyDescent="0.25">
      <c r="A5" s="1" t="str">
        <f t="shared" si="1"/>
        <v>Estrone-1µg/L</v>
      </c>
      <c r="B5" s="44" t="str">
        <f t="shared" si="2"/>
        <v>Estrone-1µg/L + Testostérone</v>
      </c>
      <c r="D5" s="44" t="str">
        <f>CONCATENATE(VLOOKUP(Tableau3[[#This Row],[Nom ND]],liste_groupe[],3,FALSE),VLOOKUP(Tableau3[[#This Row],[Nom ND]],liste_groupe[],4,FALSE))</f>
        <v>1µg/L</v>
      </c>
      <c r="E5" s="44">
        <f>HLOOKUP(Tableau3[[#This Row],[Nom ND]],'pooled normalised values'!$B$74:$V$83,4,FALSE)</f>
        <v>74.903954020441404</v>
      </c>
      <c r="F5" s="44" t="str">
        <f>HLOOKUP(Tableau3[[#This Row],[Nom ND]],'pooled normalised values'!$B$74:$V$83,8,FALSE)</f>
        <v>Kruskal-Wallis</v>
      </c>
      <c r="G5" s="44" t="str">
        <f>VLOOKUP(Tableau3[[#This Row],[Nom ND]],'summary results'!$A$6:$N$26,9,FALSE)</f>
        <v>NC</v>
      </c>
      <c r="H5" s="44">
        <f>VLOOKUP(Tableau3[[#This Row],[Nom ND]],'summary results'!$A$6:$N$26,11,FALSE)</f>
        <v>0</v>
      </c>
      <c r="I5" s="44">
        <f>HLOOKUP(Tableau3[[#This Row],[Nom D]],'pooled normalised values'!$B$74:$V$83,4,FALSE)</f>
        <v>118.85459230478696</v>
      </c>
      <c r="J5" s="44" t="str">
        <f>HLOOKUP(Tableau3[[#This Row],[Nom D]],'pooled normalised values'!$B$74:$V$83,8,FALSE)</f>
        <v>Krustall Wallis</v>
      </c>
      <c r="K5" s="44" t="e">
        <f>VLOOKUP(Tableau3[[#This Row],[Nom D]],'summary results'!$A$29:$N$51,9,FALSE)</f>
        <v>#NUM!</v>
      </c>
      <c r="L5" s="44" t="e">
        <f>VLOOKUP(Tableau3[[#This Row],[Nom D]],'summary results'!$A$29:$N$51,11,FALSE)</f>
        <v>#NUM!</v>
      </c>
      <c r="M5" t="e">
        <f>'summary results'!$G$30</f>
        <v>#NUM!</v>
      </c>
      <c r="N5" t="e">
        <f>'summary results'!$G$31</f>
        <v>#NUM!</v>
      </c>
      <c r="Q5" s="118" t="s">
        <v>100</v>
      </c>
      <c r="U5" s="118" t="s">
        <v>100</v>
      </c>
    </row>
    <row r="6" spans="1:23" x14ac:dyDescent="0.25">
      <c r="A6" s="1" t="str">
        <f t="shared" si="1"/>
        <v>Estrone-5µg/L</v>
      </c>
      <c r="B6" s="44" t="str">
        <f t="shared" si="2"/>
        <v>Estrone-5µg/L + Testostérone</v>
      </c>
      <c r="D6" s="44" t="str">
        <f>CONCATENATE(VLOOKUP(Tableau3[[#This Row],[Nom ND]],liste_groupe[],3,FALSE),VLOOKUP(Tableau3[[#This Row],[Nom ND]],liste_groupe[],4,FALSE))</f>
        <v>5µg/L</v>
      </c>
      <c r="E6" s="44">
        <f>HLOOKUP(Tableau3[[#This Row],[Nom ND]],'pooled normalised values'!$B$74:$V$83,4,FALSE)</f>
        <v>2287.6467231590095</v>
      </c>
      <c r="F6" s="44" t="str">
        <f>HLOOKUP(Tableau3[[#This Row],[Nom ND]],'pooled normalised values'!$B$74:$V$83,8,FALSE)</f>
        <v>Kruskal-Wallis</v>
      </c>
      <c r="G6" s="44" t="e">
        <f>VLOOKUP(Tableau3[[#This Row],[Nom ND]],'summary results'!$A$6:$N$26,9,FALSE)</f>
        <v>#NUM!</v>
      </c>
      <c r="H6" s="44" t="e">
        <f>VLOOKUP(Tableau3[[#This Row],[Nom ND]],'summary results'!$A$6:$N$26,11,FALSE)</f>
        <v>#NUM!</v>
      </c>
      <c r="I6" s="44">
        <f>HLOOKUP(Tableau3[[#This Row],[Nom D]],'pooled normalised values'!$B$74:$V$83,4,FALSE)</f>
        <v>188.91448489415291</v>
      </c>
      <c r="J6" s="44" t="str">
        <f>HLOOKUP(Tableau3[[#This Row],[Nom D]],'pooled normalised values'!$B$74:$V$83,8,FALSE)</f>
        <v>Krustall Wallis</v>
      </c>
      <c r="K6" s="44" t="e">
        <f>VLOOKUP(Tableau3[[#This Row],[Nom D]],'summary results'!$A$29:$N$51,9,FALSE)</f>
        <v>#NUM!</v>
      </c>
      <c r="L6" s="44" t="e">
        <f>VLOOKUP(Tableau3[[#This Row],[Nom D]],'summary results'!$A$29:$N$51,11,FALSE)</f>
        <v>#NUM!</v>
      </c>
      <c r="M6" t="e">
        <f>'summary results'!$G$30</f>
        <v>#NUM!</v>
      </c>
      <c r="N6" t="e">
        <f>'summary results'!$G$31</f>
        <v>#NUM!</v>
      </c>
      <c r="Q6" s="145" t="s">
        <v>112</v>
      </c>
      <c r="U6" s="145" t="s">
        <v>101</v>
      </c>
    </row>
    <row r="7" spans="1:23" x14ac:dyDescent="0.25">
      <c r="A7" s="1" t="str">
        <f t="shared" si="1"/>
        <v>Estrone-25µg/L</v>
      </c>
      <c r="B7" s="44" t="str">
        <f t="shared" si="2"/>
        <v>Estrone-25µg/L + Testostérone</v>
      </c>
      <c r="D7" s="44" t="str">
        <f>CONCATENATE(VLOOKUP(Tableau3[[#This Row],[Nom ND]],liste_groupe[],3,FALSE),VLOOKUP(Tableau3[[#This Row],[Nom ND]],liste_groupe[],4,FALSE))</f>
        <v>25µg/L</v>
      </c>
      <c r="E7" s="44">
        <f>HLOOKUP(Tableau3[[#This Row],[Nom ND]],'pooled normalised values'!$B$74:$V$83,4,FALSE)</f>
        <v>3257.4787987157456</v>
      </c>
      <c r="F7" s="44" t="str">
        <f>HLOOKUP(Tableau3[[#This Row],[Nom ND]],'pooled normalised values'!$B$74:$V$83,8,FALSE)</f>
        <v>Kruskal-Wallis</v>
      </c>
      <c r="G7" s="44" t="e">
        <f>VLOOKUP(Tableau3[[#This Row],[Nom ND]],'summary results'!$A$6:$N$26,9,FALSE)</f>
        <v>#NUM!</v>
      </c>
      <c r="H7" s="44" t="e">
        <f>VLOOKUP(Tableau3[[#This Row],[Nom ND]],'summary results'!$A$6:$N$26,11,FALSE)</f>
        <v>#NUM!</v>
      </c>
      <c r="I7" s="44">
        <f>HLOOKUP(Tableau3[[#This Row],[Nom D]],'pooled normalised values'!$B$74:$V$83,4,FALSE)</f>
        <v>295.17305391236005</v>
      </c>
      <c r="J7" s="44" t="str">
        <f>HLOOKUP(Tableau3[[#This Row],[Nom D]],'pooled normalised values'!$B$74:$V$83,8,FALSE)</f>
        <v>Krustall Wallis</v>
      </c>
      <c r="K7" s="44" t="e">
        <f>VLOOKUP(Tableau3[[#This Row],[Nom D]],'summary results'!$A$29:$N$51,9,FALSE)</f>
        <v>#NUM!</v>
      </c>
      <c r="L7" s="44" t="e">
        <f>VLOOKUP(Tableau3[[#This Row],[Nom D]],'summary results'!$A$29:$N$51,11,FALSE)</f>
        <v>#NUM!</v>
      </c>
      <c r="M7" t="e">
        <f>'summary results'!$G$30</f>
        <v>#NUM!</v>
      </c>
      <c r="N7" t="e">
        <f>'summary results'!$G$31</f>
        <v>#NUM!</v>
      </c>
      <c r="Q7" s="145" t="s">
        <v>165</v>
      </c>
      <c r="U7" s="145" t="s">
        <v>1717</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145" t="s">
        <v>166</v>
      </c>
      <c r="U8" s="145" t="s">
        <v>1718</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145" t="s">
        <v>167</v>
      </c>
      <c r="U9" s="145" t="s">
        <v>1719</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145" t="s">
        <v>168</v>
      </c>
      <c r="U10" s="145" t="s">
        <v>1720</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145" t="s">
        <v>169</v>
      </c>
      <c r="U11" s="145" t="s">
        <v>1721</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9D2E19-C24E-4068-BD30-10C3E84F6A2E}"/>
</file>

<file path=customXml/itemProps2.xml><?xml version="1.0" encoding="utf-8"?>
<ds:datastoreItem xmlns:ds="http://schemas.openxmlformats.org/officeDocument/2006/customXml" ds:itemID="{A6380DCA-D0D2-47D0-8D5B-BD1A24B558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2021-05-18T10:04:56Z</dcterms:modified>
</cp:coreProperties>
</file>