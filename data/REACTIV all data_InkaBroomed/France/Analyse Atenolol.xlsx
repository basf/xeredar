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filterPrivacy="1" hidePivotFieldList="1" defaultThemeVersion="124226"/>
  <xr:revisionPtr revIDLastSave="0" documentId="13_ncr:1_{A73AA501-3BFD-446E-B8FB-CCF95B1EC84D}" xr6:coauthVersionLast="47" xr6:coauthVersionMax="47" xr10:uidLastSave="{00000000-0000-0000-0000-000000000000}"/>
  <bookViews>
    <workbookView xWindow="-120" yWindow="-120" windowWidth="29040" windowHeight="15840" tabRatio="855" firstSheet="6"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garde'!$A$1:$I$51</definedName>
  </definedNames>
  <calcPr calcId="191029"/>
  <pivotCaches>
    <pivotCache cacheId="31" r:id="rId21"/>
    <pivotCache cacheId="36" r:id="rId22"/>
    <pivotCache cacheId="41" r:id="rId23"/>
    <pivotCache cacheId="46"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81" i="4" l="1"/>
  <c r="E81" i="4"/>
  <c r="F81" i="4"/>
  <c r="G81" i="4"/>
  <c r="H81" i="4"/>
  <c r="I81" i="4"/>
  <c r="J81" i="4"/>
  <c r="K81" i="4"/>
  <c r="L81" i="4"/>
  <c r="M81" i="4"/>
  <c r="N60" i="23"/>
  <c r="D78" i="4"/>
  <c r="H78" i="4"/>
  <c r="L78" i="4"/>
  <c r="P78" i="4"/>
  <c r="T78" i="4"/>
  <c r="J78" i="4"/>
  <c r="R78" i="4"/>
  <c r="C78" i="4"/>
  <c r="K78" i="4"/>
  <c r="S78" i="4"/>
  <c r="E78" i="4"/>
  <c r="I78" i="4"/>
  <c r="M78" i="4"/>
  <c r="Q78" i="4"/>
  <c r="U78" i="4"/>
  <c r="F78" i="4"/>
  <c r="N78" i="4"/>
  <c r="V78" i="4"/>
  <c r="G78" i="4"/>
  <c r="O78" i="4"/>
  <c r="B78" i="4"/>
  <c r="F60" i="23"/>
  <c r="J60" i="23"/>
  <c r="R60" i="23"/>
  <c r="V60" i="23"/>
  <c r="G60" i="23"/>
  <c r="K60" i="23"/>
  <c r="O60" i="23"/>
  <c r="S60" i="23"/>
  <c r="D60" i="23"/>
  <c r="H60" i="23"/>
  <c r="L60" i="23"/>
  <c r="P60" i="23"/>
  <c r="T60" i="23"/>
  <c r="E60" i="23"/>
  <c r="I60" i="23"/>
  <c r="M60" i="23"/>
  <c r="Q60" i="23"/>
  <c r="U60" i="23"/>
  <c r="C60" i="23"/>
  <c r="C56" i="23"/>
  <c r="G56" i="23"/>
  <c r="K56" i="23"/>
  <c r="O56" i="23"/>
  <c r="S56" i="23"/>
  <c r="N56" i="23"/>
  <c r="D56" i="23"/>
  <c r="H56" i="23"/>
  <c r="L56" i="23"/>
  <c r="P56" i="23"/>
  <c r="T56" i="23"/>
  <c r="J56" i="23"/>
  <c r="V56" i="23"/>
  <c r="E56" i="23"/>
  <c r="I56" i="23"/>
  <c r="M56" i="23"/>
  <c r="Q56" i="23"/>
  <c r="U56" i="23"/>
  <c r="F56" i="23"/>
  <c r="R56" i="23"/>
  <c r="B56" i="23"/>
  <c r="N60" i="33" l="1"/>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D60" i="33"/>
  <c r="H60" i="33"/>
  <c r="L60" i="33"/>
  <c r="P60" i="33"/>
  <c r="T60" i="33"/>
  <c r="O60" i="33"/>
  <c r="S60" i="33"/>
  <c r="E60" i="33"/>
  <c r="I60" i="33"/>
  <c r="M60" i="33"/>
  <c r="Q60" i="33"/>
  <c r="U60" i="33"/>
  <c r="K60" i="33"/>
  <c r="F60" i="33"/>
  <c r="J60" i="33"/>
  <c r="R60" i="33"/>
  <c r="V60" i="33"/>
  <c r="G60" i="33"/>
  <c r="C60" i="33"/>
  <c r="C56" i="33"/>
  <c r="G56" i="33"/>
  <c r="K56" i="33"/>
  <c r="O56" i="33"/>
  <c r="S56" i="33"/>
  <c r="N56" i="33"/>
  <c r="R56" i="33"/>
  <c r="D56" i="33"/>
  <c r="H56" i="33"/>
  <c r="L56" i="33"/>
  <c r="P56" i="33"/>
  <c r="T56" i="33"/>
  <c r="J56" i="33"/>
  <c r="V56" i="33"/>
  <c r="E56" i="33"/>
  <c r="I56" i="33"/>
  <c r="M56" i="33"/>
  <c r="Q56" i="33"/>
  <c r="U56" i="33"/>
  <c r="F56" i="33"/>
  <c r="B56" i="33"/>
  <c r="B39" i="10" l="1"/>
  <c r="C39" i="10"/>
  <c r="D39" i="10"/>
  <c r="E39" i="10"/>
  <c r="B40" i="10"/>
  <c r="C40" i="10"/>
  <c r="D40" i="10"/>
  <c r="E40" i="10"/>
  <c r="B41" i="10"/>
  <c r="C41" i="10"/>
  <c r="D41" i="10"/>
  <c r="E41" i="10"/>
  <c r="B42" i="10"/>
  <c r="C42" i="10"/>
  <c r="D42" i="10"/>
  <c r="E42" i="10"/>
  <c r="C38" i="10"/>
  <c r="D38" i="10"/>
  <c r="E38" i="10"/>
  <c r="B38" i="10"/>
  <c r="A7" i="10" l="1"/>
  <c r="A8" i="10"/>
  <c r="A9" i="10"/>
  <c r="A10" i="10"/>
  <c r="A11" i="10"/>
  <c r="A12" i="10"/>
  <c r="A13" i="10"/>
  <c r="A14" i="10"/>
  <c r="A7" i="22" s="1"/>
  <c r="A15" i="10"/>
  <c r="A8" i="22" s="1"/>
  <c r="A16" i="10"/>
  <c r="A9" i="22" s="1"/>
  <c r="A17" i="10"/>
  <c r="A10" i="22" s="1"/>
  <c r="A18" i="10"/>
  <c r="A11" i="22" s="1"/>
  <c r="A19" i="10"/>
  <c r="A12" i="22" s="1"/>
  <c r="A20" i="10"/>
  <c r="A13" i="22" s="1"/>
  <c r="A21" i="10"/>
  <c r="A14" i="22" s="1"/>
  <c r="A22" i="10"/>
  <c r="A15" i="22" s="1"/>
  <c r="A23" i="10"/>
  <c r="A16" i="22" s="1"/>
  <c r="A24" i="10"/>
  <c r="A17" i="22" s="1"/>
  <c r="A25" i="10"/>
  <c r="A18" i="22" s="1"/>
  <c r="A26" i="10"/>
  <c r="A19" i="22" s="1"/>
  <c r="A27" i="10"/>
  <c r="A20" i="22" s="1"/>
  <c r="A28" i="10"/>
  <c r="A21" i="22" s="1"/>
  <c r="A29" i="10"/>
  <c r="A22" i="22" s="1"/>
  <c r="A30" i="10"/>
  <c r="A23" i="22" s="1"/>
  <c r="A31" i="10"/>
  <c r="A24" i="22" s="1"/>
  <c r="A32" i="10"/>
  <c r="A25" i="22" s="1"/>
  <c r="A33" i="10"/>
  <c r="A26" i="22" s="1"/>
  <c r="A34" i="10"/>
  <c r="A35" i="10"/>
  <c r="A36" i="10"/>
  <c r="A37" i="10"/>
  <c r="A38" i="10"/>
  <c r="A39" i="10"/>
  <c r="A40" i="10"/>
  <c r="A41" i="10"/>
  <c r="A42"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P35" i="33"/>
  <c r="P45" i="4" s="1"/>
  <c r="I35" i="33"/>
  <c r="I45"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O36" i="33" l="1"/>
  <c r="O46" i="4" s="1"/>
  <c r="O37" i="33"/>
  <c r="O47" i="4" s="1"/>
  <c r="O38" i="33"/>
  <c r="O48" i="4" s="1"/>
  <c r="O39" i="33"/>
  <c r="O49" i="4" s="1"/>
  <c r="O40" i="33"/>
  <c r="O50" i="4" s="1"/>
  <c r="O41" i="33"/>
  <c r="O51" i="4" s="1"/>
  <c r="O42" i="33"/>
  <c r="O52" i="4" s="1"/>
  <c r="O43" i="33"/>
  <c r="O53" i="4" s="1"/>
  <c r="H28" i="33"/>
  <c r="H38" i="4" s="1"/>
  <c r="U28" i="33"/>
  <c r="L29" i="33"/>
  <c r="L39" i="4" s="1"/>
  <c r="D30" i="33"/>
  <c r="D40" i="4" s="1"/>
  <c r="Q30" i="33"/>
  <c r="Q40" i="4" s="1"/>
  <c r="D31" i="33"/>
  <c r="D41" i="4" s="1"/>
  <c r="L31" i="33"/>
  <c r="L41" i="4" s="1"/>
  <c r="D32" i="33"/>
  <c r="D42" i="4" s="1"/>
  <c r="Q32" i="33"/>
  <c r="Q42" i="4" s="1"/>
  <c r="H33" i="33"/>
  <c r="H43" i="4" s="1"/>
  <c r="Q33" i="33"/>
  <c r="Q43" i="4" s="1"/>
  <c r="H34" i="33"/>
  <c r="H44" i="4" s="1"/>
  <c r="U34" i="33"/>
  <c r="U44" i="4" s="1"/>
  <c r="L35" i="33"/>
  <c r="L45" i="4" s="1"/>
  <c r="U35" i="33"/>
  <c r="U45" i="4" s="1"/>
  <c r="E28" i="33"/>
  <c r="E38" i="4" s="1"/>
  <c r="I28" i="33"/>
  <c r="I38" i="4" s="1"/>
  <c r="M28" i="33"/>
  <c r="M38" i="4" s="1"/>
  <c r="R28" i="33"/>
  <c r="V28" i="33"/>
  <c r="E29" i="33"/>
  <c r="E39" i="4" s="1"/>
  <c r="I29" i="33"/>
  <c r="I39" i="4" s="1"/>
  <c r="M29" i="33"/>
  <c r="M39" i="4" s="1"/>
  <c r="R29" i="33"/>
  <c r="R39" i="4" s="1"/>
  <c r="V29" i="33"/>
  <c r="V39" i="4" s="1"/>
  <c r="E30" i="33"/>
  <c r="E40" i="4" s="1"/>
  <c r="I30" i="33"/>
  <c r="I40" i="4" s="1"/>
  <c r="M30" i="33"/>
  <c r="M40" i="4" s="1"/>
  <c r="R30" i="33"/>
  <c r="R40" i="4" s="1"/>
  <c r="V30" i="33"/>
  <c r="V40" i="4" s="1"/>
  <c r="E31" i="33"/>
  <c r="E41" i="4" s="1"/>
  <c r="I31" i="33"/>
  <c r="I41" i="4" s="1"/>
  <c r="M31" i="33"/>
  <c r="M41" i="4" s="1"/>
  <c r="R31" i="33"/>
  <c r="R41" i="4" s="1"/>
  <c r="V31" i="33"/>
  <c r="V41" i="4" s="1"/>
  <c r="E32" i="33"/>
  <c r="E42" i="4" s="1"/>
  <c r="I32" i="33"/>
  <c r="I42" i="4" s="1"/>
  <c r="M32" i="33"/>
  <c r="M42" i="4" s="1"/>
  <c r="R32" i="33"/>
  <c r="R42" i="4" s="1"/>
  <c r="V32" i="33"/>
  <c r="V42" i="4" s="1"/>
  <c r="E33" i="33"/>
  <c r="E43" i="4" s="1"/>
  <c r="I33" i="33"/>
  <c r="I43" i="4" s="1"/>
  <c r="M33" i="33"/>
  <c r="M43" i="4" s="1"/>
  <c r="R33" i="33"/>
  <c r="R43" i="4" s="1"/>
  <c r="V33" i="33"/>
  <c r="V43" i="4" s="1"/>
  <c r="E34" i="33"/>
  <c r="E44" i="4" s="1"/>
  <c r="I34" i="33"/>
  <c r="I44" i="4" s="1"/>
  <c r="M34" i="33"/>
  <c r="M44" i="4" s="1"/>
  <c r="R34" i="33"/>
  <c r="R44" i="4" s="1"/>
  <c r="V34" i="33"/>
  <c r="V44" i="4" s="1"/>
  <c r="E35" i="33"/>
  <c r="E45" i="4" s="1"/>
  <c r="M35" i="33"/>
  <c r="M45" i="4" s="1"/>
  <c r="R35" i="33"/>
  <c r="R45" i="4" s="1"/>
  <c r="V35" i="33"/>
  <c r="V45" i="4" s="1"/>
  <c r="L28" i="33"/>
  <c r="D29" i="33"/>
  <c r="D39" i="4" s="1"/>
  <c r="Q29" i="33"/>
  <c r="Q39" i="4" s="1"/>
  <c r="H30" i="33"/>
  <c r="H40" i="4" s="1"/>
  <c r="U30" i="33"/>
  <c r="U40" i="4" s="1"/>
  <c r="Q31" i="33"/>
  <c r="Q41" i="4" s="1"/>
  <c r="H32" i="33"/>
  <c r="H42" i="4" s="1"/>
  <c r="D33" i="33"/>
  <c r="D43" i="4" s="1"/>
  <c r="U33" i="33"/>
  <c r="U43" i="4" s="1"/>
  <c r="L34" i="33"/>
  <c r="L44" i="4" s="1"/>
  <c r="D35" i="33"/>
  <c r="D45" i="4" s="1"/>
  <c r="B28" i="33"/>
  <c r="B38" i="4" s="1"/>
  <c r="F28" i="33"/>
  <c r="J28" i="33"/>
  <c r="O28" i="33"/>
  <c r="S28" i="33"/>
  <c r="B29" i="33"/>
  <c r="B39" i="4" s="1"/>
  <c r="F29" i="33"/>
  <c r="F39" i="4" s="1"/>
  <c r="J29" i="33"/>
  <c r="J39" i="4" s="1"/>
  <c r="O29" i="33"/>
  <c r="O39" i="4" s="1"/>
  <c r="S29" i="33"/>
  <c r="S39" i="4" s="1"/>
  <c r="B30" i="33"/>
  <c r="B40" i="4" s="1"/>
  <c r="F30" i="33"/>
  <c r="F40" i="4" s="1"/>
  <c r="J30" i="33"/>
  <c r="J40" i="4" s="1"/>
  <c r="O30" i="33"/>
  <c r="O40" i="4" s="1"/>
  <c r="S30" i="33"/>
  <c r="S40" i="4" s="1"/>
  <c r="B31" i="33"/>
  <c r="B41" i="4" s="1"/>
  <c r="F31" i="33"/>
  <c r="F41" i="4" s="1"/>
  <c r="J31" i="33"/>
  <c r="J41" i="4" s="1"/>
  <c r="O31" i="33"/>
  <c r="O41" i="4" s="1"/>
  <c r="S31" i="33"/>
  <c r="S41" i="4" s="1"/>
  <c r="B32" i="33"/>
  <c r="B42" i="4" s="1"/>
  <c r="F32" i="33"/>
  <c r="F42" i="4" s="1"/>
  <c r="J32" i="33"/>
  <c r="J42" i="4" s="1"/>
  <c r="O32" i="33"/>
  <c r="O42" i="4" s="1"/>
  <c r="S32" i="33"/>
  <c r="S42" i="4" s="1"/>
  <c r="B33" i="33"/>
  <c r="B43" i="4" s="1"/>
  <c r="F33" i="33"/>
  <c r="F43" i="4" s="1"/>
  <c r="J33" i="33"/>
  <c r="J43" i="4" s="1"/>
  <c r="O33" i="33"/>
  <c r="O43" i="4" s="1"/>
  <c r="S33" i="33"/>
  <c r="S43" i="4" s="1"/>
  <c r="B34" i="33"/>
  <c r="B44" i="4" s="1"/>
  <c r="F34" i="33"/>
  <c r="F44" i="4" s="1"/>
  <c r="J34" i="33"/>
  <c r="J44" i="4" s="1"/>
  <c r="O34" i="33"/>
  <c r="O44" i="4" s="1"/>
  <c r="S34" i="33"/>
  <c r="S44" i="4" s="1"/>
  <c r="B35" i="33"/>
  <c r="B45" i="4" s="1"/>
  <c r="F35" i="33"/>
  <c r="F45" i="4" s="1"/>
  <c r="J35" i="33"/>
  <c r="J45" i="4" s="1"/>
  <c r="O35" i="33"/>
  <c r="O45" i="4" s="1"/>
  <c r="S35" i="33"/>
  <c r="S45" i="4" s="1"/>
  <c r="D28" i="33"/>
  <c r="D38" i="4" s="1"/>
  <c r="Q28" i="33"/>
  <c r="H29" i="33"/>
  <c r="H39" i="4" s="1"/>
  <c r="U29" i="33"/>
  <c r="U39" i="4" s="1"/>
  <c r="L30" i="33"/>
  <c r="L40" i="4" s="1"/>
  <c r="H31" i="33"/>
  <c r="H41" i="4" s="1"/>
  <c r="U31" i="33"/>
  <c r="U41" i="4" s="1"/>
  <c r="L32" i="33"/>
  <c r="L42" i="4" s="1"/>
  <c r="U32" i="33"/>
  <c r="U42" i="4" s="1"/>
  <c r="L33" i="33"/>
  <c r="L43" i="4" s="1"/>
  <c r="D34" i="33"/>
  <c r="D44" i="4" s="1"/>
  <c r="Q34" i="33"/>
  <c r="Q44" i="4" s="1"/>
  <c r="H35" i="33"/>
  <c r="H45" i="4" s="1"/>
  <c r="Q35" i="33"/>
  <c r="Q45" i="4" s="1"/>
  <c r="C28" i="33"/>
  <c r="G28" i="33"/>
  <c r="K28" i="33"/>
  <c r="P28" i="33"/>
  <c r="T28" i="33"/>
  <c r="T47" i="33" s="1"/>
  <c r="T48" i="33" s="1"/>
  <c r="T54" i="33" s="1"/>
  <c r="C29" i="33"/>
  <c r="C39" i="4" s="1"/>
  <c r="G29" i="33"/>
  <c r="G39" i="4" s="1"/>
  <c r="K29" i="33"/>
  <c r="K39" i="4" s="1"/>
  <c r="P29" i="33"/>
  <c r="P39" i="4" s="1"/>
  <c r="T29" i="33"/>
  <c r="T39" i="4" s="1"/>
  <c r="C30" i="33"/>
  <c r="C40" i="4" s="1"/>
  <c r="G30" i="33"/>
  <c r="G40" i="4" s="1"/>
  <c r="K30" i="33"/>
  <c r="K40" i="4" s="1"/>
  <c r="P30" i="33"/>
  <c r="P40" i="4" s="1"/>
  <c r="T30" i="33"/>
  <c r="T40" i="4" s="1"/>
  <c r="C31" i="33"/>
  <c r="C41" i="4" s="1"/>
  <c r="G31" i="33"/>
  <c r="G41" i="4" s="1"/>
  <c r="K31" i="33"/>
  <c r="K41" i="4" s="1"/>
  <c r="P31" i="33"/>
  <c r="P41" i="4" s="1"/>
  <c r="T31" i="33"/>
  <c r="T41" i="4" s="1"/>
  <c r="C32" i="33"/>
  <c r="C42" i="4" s="1"/>
  <c r="G32" i="33"/>
  <c r="G42" i="4" s="1"/>
  <c r="K32" i="33"/>
  <c r="K42" i="4" s="1"/>
  <c r="P32" i="33"/>
  <c r="P42" i="4" s="1"/>
  <c r="T32" i="33"/>
  <c r="T42" i="4" s="1"/>
  <c r="C33" i="33"/>
  <c r="C43" i="4" s="1"/>
  <c r="G33" i="33"/>
  <c r="G43" i="4" s="1"/>
  <c r="K33" i="33"/>
  <c r="K43" i="4" s="1"/>
  <c r="P33" i="33"/>
  <c r="P43" i="4" s="1"/>
  <c r="T33" i="33"/>
  <c r="T43" i="4" s="1"/>
  <c r="C34" i="33"/>
  <c r="C44" i="4" s="1"/>
  <c r="G34" i="33"/>
  <c r="G44" i="4" s="1"/>
  <c r="K34" i="33"/>
  <c r="K44" i="4" s="1"/>
  <c r="P34" i="33"/>
  <c r="P44" i="4" s="1"/>
  <c r="T34" i="33"/>
  <c r="T44" i="4" s="1"/>
  <c r="C35" i="33"/>
  <c r="C45" i="4" s="1"/>
  <c r="G35" i="33"/>
  <c r="G45" i="4" s="1"/>
  <c r="K35" i="33"/>
  <c r="K45" i="4" s="1"/>
  <c r="U38" i="4"/>
  <c r="R38" i="4"/>
  <c r="B22" i="33"/>
  <c r="E22" i="33"/>
  <c r="I45" i="33"/>
  <c r="I52" i="33"/>
  <c r="I27" i="33"/>
  <c r="G38" i="4"/>
  <c r="K38" i="4"/>
  <c r="P38" i="4"/>
  <c r="B27" i="33"/>
  <c r="B52" i="33" s="1"/>
  <c r="L38" i="4"/>
  <c r="Q38" i="4"/>
  <c r="D27" i="33"/>
  <c r="D52" i="33" s="1"/>
  <c r="I22" i="33"/>
  <c r="E27" i="33"/>
  <c r="E52" i="33" s="1"/>
  <c r="F38" i="4"/>
  <c r="O38" i="4"/>
  <c r="S38" i="4"/>
  <c r="D45" i="33"/>
  <c r="G57" i="33"/>
  <c r="H57" i="33"/>
  <c r="C57" i="33"/>
  <c r="J57" i="33"/>
  <c r="D57" i="33"/>
  <c r="L57" i="33"/>
  <c r="F57" i="33"/>
  <c r="K57" i="33"/>
  <c r="B57" i="33"/>
  <c r="E57" i="33"/>
  <c r="I57" i="33"/>
  <c r="M57" i="33"/>
  <c r="F22" i="33"/>
  <c r="B46" i="33"/>
  <c r="F45" i="33"/>
  <c r="G22" i="33"/>
  <c r="G27" i="33"/>
  <c r="G52" i="33" s="1"/>
  <c r="C22" i="33"/>
  <c r="C27" i="33"/>
  <c r="C52" i="33" s="1"/>
  <c r="H27" i="33"/>
  <c r="H52" i="33" s="1"/>
  <c r="H45" i="33"/>
  <c r="C46" i="33" l="1"/>
  <c r="C53" i="33" s="1"/>
  <c r="J46" i="33"/>
  <c r="J53" i="33" s="1"/>
  <c r="V46" i="33"/>
  <c r="V53" i="33" s="1"/>
  <c r="S47" i="33"/>
  <c r="S48" i="33" s="1"/>
  <c r="S54" i="33" s="1"/>
  <c r="J38" i="4"/>
  <c r="K47" i="33"/>
  <c r="K48" i="33" s="1"/>
  <c r="K54" i="33" s="1"/>
  <c r="R46" i="33"/>
  <c r="R53" i="33" s="1"/>
  <c r="Q46" i="33"/>
  <c r="Q53" i="33" s="1"/>
  <c r="I46" i="33"/>
  <c r="I53" i="33" s="1"/>
  <c r="H46" i="33"/>
  <c r="H53" i="33" s="1"/>
  <c r="O47" i="33"/>
  <c r="O48" i="33" s="1"/>
  <c r="O54" i="33" s="1"/>
  <c r="Q47" i="33"/>
  <c r="Q48" i="33" s="1"/>
  <c r="Q54" i="33" s="1"/>
  <c r="C47" i="33"/>
  <c r="C48" i="33" s="1"/>
  <c r="C54" i="33" s="1"/>
  <c r="T57" i="33"/>
  <c r="P57" i="33"/>
  <c r="Q57" i="33"/>
  <c r="R57" i="33"/>
  <c r="S57" i="33"/>
  <c r="U57" i="33"/>
  <c r="V57" i="33"/>
  <c r="O57" i="33"/>
  <c r="R47" i="33"/>
  <c r="R48" i="33" s="1"/>
  <c r="R54" i="33" s="1"/>
  <c r="U47" i="33"/>
  <c r="U48" i="33" s="1"/>
  <c r="U54" i="33" s="1"/>
  <c r="D47" i="33"/>
  <c r="D48" i="33" s="1"/>
  <c r="D54" i="33" s="1"/>
  <c r="S46" i="33"/>
  <c r="S53" i="33" s="1"/>
  <c r="F47" i="33"/>
  <c r="F48" i="33" s="1"/>
  <c r="F54" i="33" s="1"/>
  <c r="T46" i="33"/>
  <c r="T53" i="33" s="1"/>
  <c r="P46" i="33"/>
  <c r="P53" i="33" s="1"/>
  <c r="G47" i="33"/>
  <c r="G48" i="33" s="1"/>
  <c r="G54" i="33" s="1"/>
  <c r="C38" i="4"/>
  <c r="I47" i="33"/>
  <c r="I48" i="33" s="1"/>
  <c r="I54" i="33" s="1"/>
  <c r="M46" i="33"/>
  <c r="M53" i="33" s="1"/>
  <c r="E46" i="33"/>
  <c r="E53" i="33" s="1"/>
  <c r="U46" i="33"/>
  <c r="U53" i="33" s="1"/>
  <c r="D46" i="33"/>
  <c r="D53" i="33" s="1"/>
  <c r="J47" i="33"/>
  <c r="J48" i="33" s="1"/>
  <c r="J54" i="33" s="1"/>
  <c r="G46" i="33"/>
  <c r="G53" i="33" s="1"/>
  <c r="L46" i="33"/>
  <c r="L53" i="33" s="1"/>
  <c r="T38" i="4"/>
  <c r="K46" i="33"/>
  <c r="K53" i="33" s="1"/>
  <c r="F46" i="33"/>
  <c r="F53" i="33" s="1"/>
  <c r="B47" i="33"/>
  <c r="B48" i="33" s="1"/>
  <c r="B54" i="33" s="1"/>
  <c r="V47" i="33"/>
  <c r="V48" i="33" s="1"/>
  <c r="V54" i="33" s="1"/>
  <c r="M47" i="33"/>
  <c r="M48" i="33" s="1"/>
  <c r="M54" i="33" s="1"/>
  <c r="E47" i="33"/>
  <c r="E48" i="33" s="1"/>
  <c r="E54" i="33" s="1"/>
  <c r="L47" i="33"/>
  <c r="L48" i="33" s="1"/>
  <c r="L54" i="33" s="1"/>
  <c r="H47" i="33"/>
  <c r="H48" i="33" s="1"/>
  <c r="H54" i="33" s="1"/>
  <c r="O46" i="33"/>
  <c r="O53" i="33" s="1"/>
  <c r="P47" i="33"/>
  <c r="P48" i="33" s="1"/>
  <c r="P54" i="33" s="1"/>
  <c r="V38" i="4"/>
  <c r="O59" i="33"/>
  <c r="O61" i="33" s="1"/>
  <c r="J59" i="33"/>
  <c r="J61" i="33" s="1"/>
  <c r="F59" i="33"/>
  <c r="F61" i="33" s="1"/>
  <c r="I59" i="33"/>
  <c r="I61" i="33" s="1"/>
  <c r="D59" i="33"/>
  <c r="D61" i="33" s="1"/>
  <c r="H59" i="33"/>
  <c r="H61" i="33" s="1"/>
  <c r="M59" i="33"/>
  <c r="M61" i="33" s="1"/>
  <c r="G59" i="33"/>
  <c r="G61" i="33" s="1"/>
  <c r="L59" i="33"/>
  <c r="L61" i="33" s="1"/>
  <c r="E59" i="33"/>
  <c r="E61" i="33" s="1"/>
  <c r="K59" i="33"/>
  <c r="K61" i="33" s="1"/>
  <c r="C59" i="33"/>
  <c r="C61" i="33" s="1"/>
  <c r="P59" i="33"/>
  <c r="P61" i="33" s="1"/>
  <c r="Q59" i="33"/>
  <c r="Q61" i="33" s="1"/>
  <c r="B53" i="33"/>
  <c r="B65" i="33"/>
  <c r="B64" i="33"/>
  <c r="M55" i="33" l="1"/>
  <c r="V59" i="33"/>
  <c r="V61" i="33" s="1"/>
  <c r="U59" i="33"/>
  <c r="U61" i="33" s="1"/>
  <c r="R59" i="33"/>
  <c r="R61" i="33" s="1"/>
  <c r="T59" i="33"/>
  <c r="T61" i="33" s="1"/>
  <c r="S59" i="33"/>
  <c r="S61" i="33" s="1"/>
  <c r="D55" i="33"/>
  <c r="B55" i="33"/>
  <c r="K55" i="33"/>
  <c r="P55" i="33"/>
  <c r="L55" i="33"/>
  <c r="T55" i="33"/>
  <c r="G55" i="33"/>
  <c r="S55" i="33"/>
  <c r="F55" i="33"/>
  <c r="O55" i="33"/>
  <c r="C55" i="33"/>
  <c r="J55" i="33"/>
  <c r="R55" i="33"/>
  <c r="Q55" i="33"/>
  <c r="H55" i="33"/>
  <c r="I55" i="33"/>
  <c r="E55" i="33"/>
  <c r="V55" i="33"/>
  <c r="U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U35" i="1"/>
  <c r="U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V33" i="4"/>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P22" i="23"/>
  <c r="S23" i="1"/>
  <c r="T23" i="1"/>
  <c r="U23" i="1"/>
  <c r="V23" i="1"/>
  <c r="S24" i="1"/>
  <c r="T24" i="1"/>
  <c r="U24" i="1"/>
  <c r="V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31" i="1"/>
  <c r="Q9" i="4" s="1"/>
  <c r="Q34" i="1"/>
  <c r="Q12" i="4" s="1"/>
  <c r="P28" i="1"/>
  <c r="P30" i="1"/>
  <c r="P8" i="4" s="1"/>
  <c r="P33" i="1"/>
  <c r="P11" i="4" s="1"/>
  <c r="P34" i="1"/>
  <c r="P12" i="4" s="1"/>
  <c r="Q28" i="1"/>
  <c r="Q33" i="1"/>
  <c r="Q11" i="4" s="1"/>
  <c r="Q35" i="1"/>
  <c r="Q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O40" i="23" l="1"/>
  <c r="O34" i="4" s="1"/>
  <c r="S35" i="1"/>
  <c r="S13" i="4" s="1"/>
  <c r="S34" i="1"/>
  <c r="S12" i="4" s="1"/>
  <c r="S33" i="1"/>
  <c r="S11" i="4" s="1"/>
  <c r="S32" i="1"/>
  <c r="S10" i="4" s="1"/>
  <c r="S31" i="1"/>
  <c r="S9" i="4" s="1"/>
  <c r="S30" i="1"/>
  <c r="S8" i="4" s="1"/>
  <c r="S29" i="1"/>
  <c r="S7" i="4" s="1"/>
  <c r="S28" i="1"/>
  <c r="T35" i="23"/>
  <c r="T29" i="4" s="1"/>
  <c r="P35" i="23"/>
  <c r="P29" i="4" s="1"/>
  <c r="S34" i="23"/>
  <c r="S28" i="4" s="1"/>
  <c r="V33" i="23"/>
  <c r="V27" i="4" s="1"/>
  <c r="R33" i="23"/>
  <c r="R27" i="4" s="1"/>
  <c r="U32" i="23"/>
  <c r="U26" i="4" s="1"/>
  <c r="Q32" i="23"/>
  <c r="Q26" i="4" s="1"/>
  <c r="T31" i="23"/>
  <c r="T25" i="4" s="1"/>
  <c r="P31" i="23"/>
  <c r="P25" i="4" s="1"/>
  <c r="S30" i="23"/>
  <c r="S24" i="4" s="1"/>
  <c r="V29" i="23"/>
  <c r="V23" i="4" s="1"/>
  <c r="R29" i="23"/>
  <c r="R23" i="4" s="1"/>
  <c r="U28" i="23"/>
  <c r="Q28" i="23"/>
  <c r="V35" i="1"/>
  <c r="V13" i="4" s="1"/>
  <c r="V34" i="1"/>
  <c r="V12" i="4" s="1"/>
  <c r="V33" i="1"/>
  <c r="V11" i="4" s="1"/>
  <c r="V32" i="1"/>
  <c r="V10" i="4" s="1"/>
  <c r="V31" i="1"/>
  <c r="V9" i="4" s="1"/>
  <c r="V30" i="1"/>
  <c r="V8" i="4" s="1"/>
  <c r="V29" i="1"/>
  <c r="V7" i="4" s="1"/>
  <c r="V28" i="1"/>
  <c r="S35" i="23"/>
  <c r="S29" i="4" s="1"/>
  <c r="V34" i="23"/>
  <c r="V28" i="4" s="1"/>
  <c r="R34" i="23"/>
  <c r="R28" i="4" s="1"/>
  <c r="U33" i="23"/>
  <c r="U27" i="4" s="1"/>
  <c r="Q33" i="23"/>
  <c r="Q27" i="4" s="1"/>
  <c r="T32" i="23"/>
  <c r="T26" i="4" s="1"/>
  <c r="P32" i="23"/>
  <c r="P26" i="4" s="1"/>
  <c r="S31" i="23"/>
  <c r="S25" i="4" s="1"/>
  <c r="V30" i="23"/>
  <c r="V24" i="4" s="1"/>
  <c r="R30" i="23"/>
  <c r="R24" i="4" s="1"/>
  <c r="U29" i="23"/>
  <c r="U23" i="4" s="1"/>
  <c r="Q29" i="23"/>
  <c r="Q23" i="4" s="1"/>
  <c r="T28" i="23"/>
  <c r="P28" i="23"/>
  <c r="U34" i="1"/>
  <c r="U12" i="4" s="1"/>
  <c r="U33" i="1"/>
  <c r="U11" i="4" s="1"/>
  <c r="U32" i="1"/>
  <c r="U10" i="4" s="1"/>
  <c r="U31" i="1"/>
  <c r="U9" i="4" s="1"/>
  <c r="U30" i="1"/>
  <c r="U8" i="4" s="1"/>
  <c r="U29" i="1"/>
  <c r="U7" i="4" s="1"/>
  <c r="U28" i="1"/>
  <c r="V35" i="23"/>
  <c r="V29" i="4" s="1"/>
  <c r="R35" i="23"/>
  <c r="R29" i="4" s="1"/>
  <c r="U34" i="23"/>
  <c r="U28" i="4" s="1"/>
  <c r="Q34" i="23"/>
  <c r="Q28" i="4" s="1"/>
  <c r="T33" i="23"/>
  <c r="T27" i="4" s="1"/>
  <c r="P33" i="23"/>
  <c r="P27" i="4" s="1"/>
  <c r="S32" i="23"/>
  <c r="S26" i="4" s="1"/>
  <c r="V31" i="23"/>
  <c r="V25" i="4" s="1"/>
  <c r="R31" i="23"/>
  <c r="R25" i="4" s="1"/>
  <c r="U30" i="23"/>
  <c r="U24" i="4" s="1"/>
  <c r="Q30" i="23"/>
  <c r="Q24" i="4" s="1"/>
  <c r="T29" i="23"/>
  <c r="T23" i="4" s="1"/>
  <c r="P29" i="23"/>
  <c r="P23" i="4" s="1"/>
  <c r="S28" i="23"/>
  <c r="R33" i="1"/>
  <c r="R11" i="4" s="1"/>
  <c r="T35" i="1"/>
  <c r="T13" i="4" s="1"/>
  <c r="T34" i="1"/>
  <c r="T12" i="4" s="1"/>
  <c r="T33" i="1"/>
  <c r="T11" i="4" s="1"/>
  <c r="T32" i="1"/>
  <c r="T10" i="4" s="1"/>
  <c r="T31" i="1"/>
  <c r="T9" i="4" s="1"/>
  <c r="T30" i="1"/>
  <c r="T8" i="4" s="1"/>
  <c r="T29" i="1"/>
  <c r="T7" i="4" s="1"/>
  <c r="T28" i="1"/>
  <c r="U35" i="23"/>
  <c r="Q35" i="23"/>
  <c r="Q29" i="4" s="1"/>
  <c r="T34" i="23"/>
  <c r="T28" i="4" s="1"/>
  <c r="P34" i="23"/>
  <c r="P28" i="4" s="1"/>
  <c r="S33" i="23"/>
  <c r="S27" i="4" s="1"/>
  <c r="V32" i="23"/>
  <c r="V26" i="4" s="1"/>
  <c r="R32" i="23"/>
  <c r="R26" i="4" s="1"/>
  <c r="U31" i="23"/>
  <c r="U25" i="4" s="1"/>
  <c r="Q31" i="23"/>
  <c r="Q25" i="4" s="1"/>
  <c r="T30" i="23"/>
  <c r="T24" i="4" s="1"/>
  <c r="P30" i="23"/>
  <c r="P24" i="4" s="1"/>
  <c r="S29" i="23"/>
  <c r="S23" i="4" s="1"/>
  <c r="V28" i="23"/>
  <c r="V22" i="4" s="1"/>
  <c r="R28" i="23"/>
  <c r="R46" i="23" s="1"/>
  <c r="R53" i="23" s="1"/>
  <c r="H28" i="23"/>
  <c r="E35" i="23"/>
  <c r="E29" i="4" s="1"/>
  <c r="O39" i="23"/>
  <c r="O33" i="4" s="1"/>
  <c r="D29" i="23"/>
  <c r="D23" i="4" s="1"/>
  <c r="G32" i="23"/>
  <c r="G26" i="4" s="1"/>
  <c r="O43" i="23"/>
  <c r="J35" i="23"/>
  <c r="J29" i="4" s="1"/>
  <c r="H32" i="23"/>
  <c r="H26" i="4" s="1"/>
  <c r="G31" i="23"/>
  <c r="G25" i="4" s="1"/>
  <c r="I30" i="23"/>
  <c r="I24" i="4" s="1"/>
  <c r="F33" i="23"/>
  <c r="F27" i="4" s="1"/>
  <c r="G29" i="23"/>
  <c r="G23" i="4" s="1"/>
  <c r="I35" i="23"/>
  <c r="I29" i="4" s="1"/>
  <c r="H29" i="23"/>
  <c r="H23" i="4" s="1"/>
  <c r="J31" i="23"/>
  <c r="J25" i="4" s="1"/>
  <c r="H33" i="23"/>
  <c r="H27" i="4" s="1"/>
  <c r="H35" i="23"/>
  <c r="H29" i="4" s="1"/>
  <c r="D28" i="23"/>
  <c r="F34" i="23"/>
  <c r="F28" i="4" s="1"/>
  <c r="F28" i="23"/>
  <c r="F22" i="4" s="1"/>
  <c r="J32" i="23"/>
  <c r="J26" i="4" s="1"/>
  <c r="F31" i="23"/>
  <c r="F25" i="4" s="1"/>
  <c r="D33" i="23"/>
  <c r="D27" i="4" s="1"/>
  <c r="E34" i="23"/>
  <c r="E28" i="4" s="1"/>
  <c r="J33" i="23"/>
  <c r="J27" i="4" s="1"/>
  <c r="E28" i="23"/>
  <c r="C30" i="23"/>
  <c r="C24" i="4" s="1"/>
  <c r="G34" i="23"/>
  <c r="G28" i="4" s="1"/>
  <c r="C29" i="23"/>
  <c r="C23" i="4" s="1"/>
  <c r="J34" i="23"/>
  <c r="J28" i="4" s="1"/>
  <c r="J28" i="23"/>
  <c r="D34" i="23"/>
  <c r="D28" i="4" s="1"/>
  <c r="D31" i="23"/>
  <c r="D25" i="4" s="1"/>
  <c r="G28" i="23"/>
  <c r="D32" i="23"/>
  <c r="D26" i="4" s="1"/>
  <c r="E32" i="23"/>
  <c r="E26" i="4" s="1"/>
  <c r="H31" i="23"/>
  <c r="H25" i="4" s="1"/>
  <c r="D35" i="23"/>
  <c r="D29" i="4" s="1"/>
  <c r="G33" i="23"/>
  <c r="G27" i="4" s="1"/>
  <c r="I28" i="23"/>
  <c r="I22" i="4" s="1"/>
  <c r="G30" i="23"/>
  <c r="G24" i="4" s="1"/>
  <c r="I32" i="23"/>
  <c r="I26" i="4" s="1"/>
  <c r="F35" i="23"/>
  <c r="F29" i="4" s="1"/>
  <c r="C32" i="23"/>
  <c r="C26" i="4" s="1"/>
  <c r="F30" i="23"/>
  <c r="F24" i="4" s="1"/>
  <c r="H30" i="23"/>
  <c r="H24" i="4" s="1"/>
  <c r="G35" i="23"/>
  <c r="G29" i="4" s="1"/>
  <c r="F29" i="23"/>
  <c r="F23" i="4" s="1"/>
  <c r="O42" i="23"/>
  <c r="O36" i="4" s="1"/>
  <c r="O36" i="23"/>
  <c r="O30" i="4" s="1"/>
  <c r="C34" i="23"/>
  <c r="C28" i="4" s="1"/>
  <c r="I34" i="23"/>
  <c r="I28" i="4" s="1"/>
  <c r="E31" i="23"/>
  <c r="E25" i="4" s="1"/>
  <c r="D30" i="23"/>
  <c r="I33" i="23"/>
  <c r="I27" i="4" s="1"/>
  <c r="O41" i="23"/>
  <c r="O35" i="4" s="1"/>
  <c r="O33" i="23"/>
  <c r="O27" i="4" s="1"/>
  <c r="M30" i="23"/>
  <c r="M24" i="4" s="1"/>
  <c r="M34" i="23"/>
  <c r="M28" i="4" s="1"/>
  <c r="L29" i="23"/>
  <c r="L23" i="4" s="1"/>
  <c r="I31" i="23"/>
  <c r="I25" i="4" s="1"/>
  <c r="E29" i="23"/>
  <c r="E23" i="4" s="1"/>
  <c r="F32" i="23"/>
  <c r="H34" i="23"/>
  <c r="H46" i="23" s="1"/>
  <c r="H53" i="23" s="1"/>
  <c r="C28" i="23"/>
  <c r="C22" i="4" s="1"/>
  <c r="L33" i="23"/>
  <c r="L27" i="4" s="1"/>
  <c r="K28" i="23"/>
  <c r="K22" i="4" s="1"/>
  <c r="K32" i="23"/>
  <c r="K26" i="4" s="1"/>
  <c r="M35" i="23"/>
  <c r="M29" i="4" s="1"/>
  <c r="L34" i="23"/>
  <c r="L28" i="4" s="1"/>
  <c r="K33" i="23"/>
  <c r="K27" i="4" s="1"/>
  <c r="M31" i="23"/>
  <c r="M25" i="4" s="1"/>
  <c r="L30" i="23"/>
  <c r="L24" i="4" s="1"/>
  <c r="K29" i="23"/>
  <c r="O29" i="23"/>
  <c r="O23" i="4" s="1"/>
  <c r="J30" i="23"/>
  <c r="J24" i="4" s="1"/>
  <c r="C33" i="23"/>
  <c r="C27" i="4" s="1"/>
  <c r="I29" i="23"/>
  <c r="C31" i="23"/>
  <c r="E33" i="23"/>
  <c r="E27" i="4" s="1"/>
  <c r="C35" i="23"/>
  <c r="C29" i="4" s="1"/>
  <c r="J29" i="23"/>
  <c r="E30" i="23"/>
  <c r="L35" i="23"/>
  <c r="L29" i="4" s="1"/>
  <c r="K34" i="23"/>
  <c r="K28" i="4" s="1"/>
  <c r="M32" i="23"/>
  <c r="M26" i="4" s="1"/>
  <c r="L31" i="23"/>
  <c r="L25" i="4" s="1"/>
  <c r="K30" i="23"/>
  <c r="K24" i="4" s="1"/>
  <c r="M28" i="23"/>
  <c r="K35" i="23"/>
  <c r="K29" i="4" s="1"/>
  <c r="M33" i="23"/>
  <c r="M27" i="4" s="1"/>
  <c r="L32" i="23"/>
  <c r="L26" i="4" s="1"/>
  <c r="K31" i="23"/>
  <c r="K25" i="4" s="1"/>
  <c r="M29" i="23"/>
  <c r="M23" i="4" s="1"/>
  <c r="L28" i="23"/>
  <c r="L22" i="4" s="1"/>
  <c r="O35" i="23"/>
  <c r="O29" i="4" s="1"/>
  <c r="O38" i="1"/>
  <c r="O16" i="4" s="1"/>
  <c r="O41" i="1"/>
  <c r="O19" i="4" s="1"/>
  <c r="O43" i="1"/>
  <c r="O40" i="1"/>
  <c r="O18" i="4" s="1"/>
  <c r="O42" i="1"/>
  <c r="O20" i="4" s="1"/>
  <c r="O39" i="1"/>
  <c r="O17" i="4" s="1"/>
  <c r="O32" i="1"/>
  <c r="O10" i="4" s="1"/>
  <c r="F30" i="1"/>
  <c r="F8" i="4" s="1"/>
  <c r="F32" i="1"/>
  <c r="F10" i="4" s="1"/>
  <c r="L33" i="1"/>
  <c r="L11" i="4" s="1"/>
  <c r="F29" i="1"/>
  <c r="F7" i="4" s="1"/>
  <c r="I29" i="1"/>
  <c r="I7" i="4" s="1"/>
  <c r="H35" i="1"/>
  <c r="H13" i="4" s="1"/>
  <c r="H30" i="1"/>
  <c r="H8" i="4" s="1"/>
  <c r="K32" i="1"/>
  <c r="K10" i="4" s="1"/>
  <c r="F34" i="1"/>
  <c r="F12" i="4" s="1"/>
  <c r="I34" i="1"/>
  <c r="I12" i="4" s="1"/>
  <c r="H31" i="1"/>
  <c r="H9" i="4" s="1"/>
  <c r="J34" i="1"/>
  <c r="J12" i="4" s="1"/>
  <c r="J28" i="1"/>
  <c r="J6" i="4" s="1"/>
  <c r="M30" i="1"/>
  <c r="M8" i="4" s="1"/>
  <c r="G30" i="1"/>
  <c r="G8" i="4" s="1"/>
  <c r="E30" i="1"/>
  <c r="E8" i="4" s="1"/>
  <c r="K28" i="1"/>
  <c r="K6" i="4" s="1"/>
  <c r="B33" i="1"/>
  <c r="B11" i="4" s="1"/>
  <c r="I33" i="1"/>
  <c r="I11" i="4" s="1"/>
  <c r="H33" i="1"/>
  <c r="H11" i="4" s="1"/>
  <c r="E35" i="1"/>
  <c r="E13" i="4" s="1"/>
  <c r="J30" i="1"/>
  <c r="J8" i="4" s="1"/>
  <c r="M34" i="1"/>
  <c r="M12" i="4" s="1"/>
  <c r="L29" i="1"/>
  <c r="L7" i="4" s="1"/>
  <c r="J33" i="1"/>
  <c r="J11" i="4" s="1"/>
  <c r="J29" i="1"/>
  <c r="M35" i="1"/>
  <c r="M13" i="4" s="1"/>
  <c r="L34" i="1"/>
  <c r="L12" i="4" s="1"/>
  <c r="K33" i="1"/>
  <c r="K11" i="4" s="1"/>
  <c r="M31" i="1"/>
  <c r="M9" i="4" s="1"/>
  <c r="L30" i="1"/>
  <c r="L8" i="4" s="1"/>
  <c r="K29" i="1"/>
  <c r="G34" i="1"/>
  <c r="G12" i="4" s="1"/>
  <c r="G35" i="1"/>
  <c r="G13" i="4" s="1"/>
  <c r="E33" i="1"/>
  <c r="E11" i="4" s="1"/>
  <c r="E29" i="1"/>
  <c r="E7" i="4" s="1"/>
  <c r="D33" i="1"/>
  <c r="D11" i="4" s="1"/>
  <c r="D35" i="1"/>
  <c r="D13" i="4" s="1"/>
  <c r="H34" i="1"/>
  <c r="H12" i="4" s="1"/>
  <c r="G29" i="1"/>
  <c r="J32" i="1"/>
  <c r="J10" i="4" s="1"/>
  <c r="L35" i="1"/>
  <c r="L13" i="4" s="1"/>
  <c r="K34" i="1"/>
  <c r="K12" i="4" s="1"/>
  <c r="M32" i="1"/>
  <c r="M10" i="4" s="1"/>
  <c r="L31" i="1"/>
  <c r="L9" i="4" s="1"/>
  <c r="K30" i="1"/>
  <c r="K8" i="4" s="1"/>
  <c r="M28" i="1"/>
  <c r="M6" i="4" s="1"/>
  <c r="F33" i="1"/>
  <c r="F11" i="4" s="1"/>
  <c r="C35" i="1"/>
  <c r="C13" i="4" s="1"/>
  <c r="H32" i="1"/>
  <c r="H10" i="4" s="1"/>
  <c r="F35" i="1"/>
  <c r="F13" i="4" s="1"/>
  <c r="I30" i="1"/>
  <c r="I8" i="4" s="1"/>
  <c r="E32" i="1"/>
  <c r="E10" i="4" s="1"/>
  <c r="C33" i="1"/>
  <c r="C11" i="4" s="1"/>
  <c r="J35" i="1"/>
  <c r="J13" i="4" s="1"/>
  <c r="J31" i="1"/>
  <c r="J9" i="4" s="1"/>
  <c r="K35" i="1"/>
  <c r="K13" i="4" s="1"/>
  <c r="M33" i="1"/>
  <c r="M11" i="4" s="1"/>
  <c r="L32" i="1"/>
  <c r="L10" i="4" s="1"/>
  <c r="K31" i="1"/>
  <c r="K9" i="4" s="1"/>
  <c r="M29" i="1"/>
  <c r="M7" i="4" s="1"/>
  <c r="L28" i="1"/>
  <c r="L6" i="4" s="1"/>
  <c r="E22" i="4"/>
  <c r="T6" i="4"/>
  <c r="M22" i="4"/>
  <c r="H22" i="4"/>
  <c r="G22" i="4"/>
  <c r="Q22" i="4"/>
  <c r="Q6" i="4"/>
  <c r="D22" i="4"/>
  <c r="J22" i="4"/>
  <c r="P6"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G47" i="23"/>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U46" i="23"/>
  <c r="U53" i="23" s="1"/>
  <c r="R31" i="1"/>
  <c r="R9" i="4" s="1"/>
  <c r="U29"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D17" i="4"/>
  <c r="G7" i="4"/>
  <c r="C4" i="4"/>
  <c r="U47" i="23"/>
  <c r="U48" i="23" s="1"/>
  <c r="U54" i="23" s="1"/>
  <c r="A47" i="22"/>
  <c r="G27" i="23"/>
  <c r="G52" i="23" s="1"/>
  <c r="A50" i="22"/>
  <c r="H50" i="22" s="1"/>
  <c r="K27" i="23"/>
  <c r="L22" i="1"/>
  <c r="D27" i="1"/>
  <c r="D52" i="1" s="1"/>
  <c r="D45" i="1"/>
  <c r="D22" i="23"/>
  <c r="D45" i="23"/>
  <c r="D27" i="23"/>
  <c r="D52" i="23" s="1"/>
  <c r="S46" i="23"/>
  <c r="S53" i="23" s="1"/>
  <c r="S47" i="23"/>
  <c r="S48" i="23" s="1"/>
  <c r="S54"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G56" i="1"/>
  <c r="I56" i="1"/>
  <c r="B56" i="1"/>
  <c r="O56" i="1"/>
  <c r="L56" i="1"/>
  <c r="Q56" i="1"/>
  <c r="H56" i="1"/>
  <c r="J56" i="1"/>
  <c r="R56" i="1"/>
  <c r="V56" i="1"/>
  <c r="T56" i="1"/>
  <c r="P56" i="1"/>
  <c r="U56" i="1"/>
  <c r="F56" i="1"/>
  <c r="K56" i="1"/>
  <c r="C56" i="1"/>
  <c r="D56" i="1"/>
  <c r="M56" i="1"/>
  <c r="S56" i="1"/>
  <c r="E56" i="1"/>
  <c r="D47" i="23" l="1"/>
  <c r="D48" i="23" s="1"/>
  <c r="D54" i="23" s="1"/>
  <c r="R22" i="4"/>
  <c r="P46" i="23"/>
  <c r="P53" i="23" s="1"/>
  <c r="P47" i="23"/>
  <c r="P48" i="23" s="1"/>
  <c r="P54" i="23" s="1"/>
  <c r="Q47" i="23"/>
  <c r="Q48" i="23" s="1"/>
  <c r="Q54" i="23" s="1"/>
  <c r="D46" i="23"/>
  <c r="D53" i="23" s="1"/>
  <c r="G46" i="23"/>
  <c r="G53" i="23" s="1"/>
  <c r="T47" i="23"/>
  <c r="T48" i="23" s="1"/>
  <c r="T54" i="23" s="1"/>
  <c r="R47" i="23"/>
  <c r="R48" i="23" s="1"/>
  <c r="R54" i="23" s="1"/>
  <c r="F47" i="23"/>
  <c r="F48" i="23" s="1"/>
  <c r="F54" i="23" s="1"/>
  <c r="T46" i="23"/>
  <c r="T53" i="23" s="1"/>
  <c r="V47" i="23"/>
  <c r="V48" i="23" s="1"/>
  <c r="V54" i="23" s="1"/>
  <c r="G48" i="23"/>
  <c r="G54" i="23" s="1"/>
  <c r="V46" i="23"/>
  <c r="V53" i="23" s="1"/>
  <c r="F46" i="23"/>
  <c r="F53" i="23" s="1"/>
  <c r="I46" i="23"/>
  <c r="I53" i="23" s="1"/>
  <c r="Q46" i="23"/>
  <c r="Q53" i="23" s="1"/>
  <c r="R57" i="23"/>
  <c r="P57" i="23"/>
  <c r="S57" i="1"/>
  <c r="V57" i="23"/>
  <c r="U57" i="1"/>
  <c r="T57" i="23"/>
  <c r="T57" i="1"/>
  <c r="V57" i="1"/>
  <c r="Q57" i="23"/>
  <c r="S57" i="23"/>
  <c r="U57" i="23"/>
  <c r="T22" i="4"/>
  <c r="S6" i="4"/>
  <c r="P22" i="4"/>
  <c r="S22" i="4"/>
  <c r="S57" i="4" s="1"/>
  <c r="S58" i="4" s="1"/>
  <c r="S76" i="4" s="1"/>
  <c r="U22" i="4"/>
  <c r="G57" i="23"/>
  <c r="D57" i="23"/>
  <c r="J47" i="23"/>
  <c r="J48" i="23" s="1"/>
  <c r="J54" i="23" s="1"/>
  <c r="I47" i="23"/>
  <c r="I48" i="23" s="1"/>
  <c r="I54" i="23" s="1"/>
  <c r="C47" i="23"/>
  <c r="C48" i="23" s="1"/>
  <c r="C54" i="23" s="1"/>
  <c r="D24" i="4"/>
  <c r="H47" i="23"/>
  <c r="H48" i="23" s="1"/>
  <c r="H54" i="23" s="1"/>
  <c r="K46" i="23"/>
  <c r="K53" i="23" s="1"/>
  <c r="J46" i="23"/>
  <c r="J53" i="23" s="1"/>
  <c r="L46" i="23"/>
  <c r="L53" i="23" s="1"/>
  <c r="M46" i="23"/>
  <c r="M53" i="23" s="1"/>
  <c r="M47" i="23"/>
  <c r="M48" i="23" s="1"/>
  <c r="M54" i="23" s="1"/>
  <c r="H57" i="23"/>
  <c r="F57" i="23"/>
  <c r="H28" i="4"/>
  <c r="F26" i="4"/>
  <c r="L57" i="23"/>
  <c r="E57" i="23"/>
  <c r="C57" i="23"/>
  <c r="J57" i="23"/>
  <c r="I57" i="23"/>
  <c r="K57" i="23"/>
  <c r="M57" i="23"/>
  <c r="C46" i="23"/>
  <c r="C53" i="23" s="1"/>
  <c r="E47" i="23"/>
  <c r="E48" i="23" s="1"/>
  <c r="E54" i="23" s="1"/>
  <c r="E46" i="23"/>
  <c r="E53" i="23" s="1"/>
  <c r="E24" i="4"/>
  <c r="C25" i="4"/>
  <c r="L47" i="23"/>
  <c r="L48" i="23" s="1"/>
  <c r="L54" i="23" s="1"/>
  <c r="K47" i="23"/>
  <c r="K48" i="23" s="1"/>
  <c r="K54" i="23" s="1"/>
  <c r="J23" i="4"/>
  <c r="J63" i="4" s="1"/>
  <c r="J64" i="4" s="1"/>
  <c r="I23" i="4"/>
  <c r="K23" i="4"/>
  <c r="J47" i="1"/>
  <c r="J48" i="1" s="1"/>
  <c r="J54" i="1" s="1"/>
  <c r="K46" i="1"/>
  <c r="K53" i="1" s="1"/>
  <c r="M57" i="1"/>
  <c r="L57" i="1"/>
  <c r="J57" i="1"/>
  <c r="K57" i="1"/>
  <c r="J46" i="1"/>
  <c r="J53" i="1" s="1"/>
  <c r="L47" i="1"/>
  <c r="L48" i="1" s="1"/>
  <c r="L54" i="1" s="1"/>
  <c r="L46" i="1"/>
  <c r="L53" i="1" s="1"/>
  <c r="J7" i="4"/>
  <c r="K7" i="4"/>
  <c r="K47" i="1"/>
  <c r="K48" i="1" s="1"/>
  <c r="K54" i="1" s="1"/>
  <c r="M46" i="1"/>
  <c r="M53" i="1" s="1"/>
  <c r="M47" i="1"/>
  <c r="M48" i="1" s="1"/>
  <c r="M54" i="1" s="1"/>
  <c r="F46" i="1"/>
  <c r="F53" i="1" s="1"/>
  <c r="L63" i="4"/>
  <c r="L64" i="4" s="1"/>
  <c r="M63" i="4"/>
  <c r="M64" i="4" s="1"/>
  <c r="P47" i="1"/>
  <c r="P48" i="1" s="1"/>
  <c r="P54" i="1" s="1"/>
  <c r="C6" i="4"/>
  <c r="B22" i="4"/>
  <c r="I6" i="4"/>
  <c r="P7" i="4"/>
  <c r="E6" i="4"/>
  <c r="D6" i="4"/>
  <c r="R6" i="4"/>
  <c r="H6" i="4"/>
  <c r="F6" i="4"/>
  <c r="O6" i="4"/>
  <c r="B6" i="4"/>
  <c r="G6" i="4"/>
  <c r="Q7" i="4"/>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V79" i="4"/>
  <c r="M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D47" i="1"/>
  <c r="D48" i="1" s="1"/>
  <c r="D54" i="1" s="1"/>
  <c r="D8" i="4"/>
  <c r="T4" i="1"/>
  <c r="T4" i="23"/>
  <c r="F74" i="4"/>
  <c r="I74" i="4"/>
  <c r="O74" i="4"/>
  <c r="P74" i="4"/>
  <c r="AD2" i="12"/>
  <c r="S63" i="4" l="1"/>
  <c r="S64" i="4" s="1"/>
  <c r="U79" i="4"/>
  <c r="T79" i="4"/>
  <c r="S79" i="4"/>
  <c r="J57" i="4"/>
  <c r="J58" i="4" s="1"/>
  <c r="J76" i="4" s="1"/>
  <c r="F4" i="12" s="1"/>
  <c r="U63" i="4"/>
  <c r="U64" i="4" s="1"/>
  <c r="T63" i="4"/>
  <c r="T64" i="4" s="1"/>
  <c r="J56" i="4"/>
  <c r="J75" i="4" s="1"/>
  <c r="K63" i="4"/>
  <c r="K64" i="4" s="1"/>
  <c r="J79" i="4"/>
  <c r="K79" i="4"/>
  <c r="K57" i="4"/>
  <c r="K58" i="4" s="1"/>
  <c r="K76" i="4" s="1"/>
  <c r="K56" i="4"/>
  <c r="K75" i="4" s="1"/>
  <c r="G3" i="12" s="1"/>
  <c r="G55" i="1"/>
  <c r="C63" i="4"/>
  <c r="C64" i="4" s="1"/>
  <c r="I63" i="4"/>
  <c r="I64" i="4" s="1"/>
  <c r="I57" i="4"/>
  <c r="I58" i="4" s="1"/>
  <c r="I76" i="4" s="1"/>
  <c r="R63" i="4"/>
  <c r="R64" i="4" s="1"/>
  <c r="H56" i="4"/>
  <c r="H75" i="4" s="1"/>
  <c r="V4" i="4"/>
  <c r="V55" i="4" s="1"/>
  <c r="F63" i="4"/>
  <c r="F64" i="4" s="1"/>
  <c r="C55" i="23"/>
  <c r="F55" i="23"/>
  <c r="D63" i="4"/>
  <c r="D64" i="4" s="1"/>
  <c r="B63" i="4"/>
  <c r="B64" i="4" s="1"/>
  <c r="O63" i="4"/>
  <c r="O64" i="4" s="1"/>
  <c r="G56" i="4"/>
  <c r="G75" i="4" s="1"/>
  <c r="H57" i="4"/>
  <c r="H58" i="4" s="1"/>
  <c r="H76" i="4" s="1"/>
  <c r="H63" i="4"/>
  <c r="H64" i="4" s="1"/>
  <c r="P63" i="4"/>
  <c r="P64" i="4" s="1"/>
  <c r="G63" i="4"/>
  <c r="G64" i="4" s="1"/>
  <c r="E63" i="4"/>
  <c r="E64" i="4" s="1"/>
  <c r="Q63" i="4"/>
  <c r="Q64" i="4" s="1"/>
  <c r="Q55" i="23"/>
  <c r="V55" i="23"/>
  <c r="V27" i="23"/>
  <c r="V52" i="23" s="1"/>
  <c r="I56" i="4"/>
  <c r="I75" i="4" s="1"/>
  <c r="J3" i="12" s="1"/>
  <c r="J4" i="12"/>
  <c r="M4" i="12"/>
  <c r="G4" i="12"/>
  <c r="H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L55" i="23"/>
  <c r="R55" i="23"/>
  <c r="T55" i="23"/>
  <c r="D55" i="23"/>
  <c r="H55" i="23"/>
  <c r="K55" i="23"/>
  <c r="J55" i="23"/>
  <c r="M55" i="23"/>
  <c r="G55" i="23"/>
  <c r="U55" i="23"/>
  <c r="E55" i="23"/>
  <c r="P55" i="23"/>
  <c r="I55" i="23"/>
  <c r="S55" i="23"/>
  <c r="R59" i="23"/>
  <c r="O55" i="23"/>
  <c r="O79" i="4"/>
  <c r="B79" i="4"/>
  <c r="B64" i="23"/>
  <c r="L59" i="23"/>
  <c r="F59" i="23"/>
  <c r="Q59" i="23"/>
  <c r="V59" i="23"/>
  <c r="P59" i="23"/>
  <c r="T59" i="23"/>
  <c r="U59" i="23"/>
  <c r="S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E59" i="23"/>
  <c r="J59" i="23"/>
  <c r="K59" i="23"/>
  <c r="D59" i="23"/>
  <c r="I59" i="23"/>
  <c r="O59" i="23"/>
  <c r="G59" i="23"/>
  <c r="H59" i="23"/>
  <c r="M59" i="23"/>
  <c r="P55" i="1"/>
  <c r="C55" i="1"/>
  <c r="H55" i="1"/>
  <c r="U55" i="1"/>
  <c r="T55" i="1"/>
  <c r="F55" i="1"/>
  <c r="Q55" i="1"/>
  <c r="I55" i="1"/>
  <c r="L55" i="1"/>
  <c r="J55" i="1"/>
  <c r="D55" i="1"/>
  <c r="K55" i="1"/>
  <c r="E55" i="1"/>
  <c r="H3" i="12"/>
  <c r="O55" i="1"/>
  <c r="O59" i="1"/>
  <c r="O60" i="1" s="1"/>
  <c r="J59" i="1"/>
  <c r="J60" i="1" s="1"/>
  <c r="F59" i="1"/>
  <c r="M59" i="1"/>
  <c r="M60" i="1" s="1"/>
  <c r="I59" i="1"/>
  <c r="I60" i="1" s="1"/>
  <c r="E59" i="1"/>
  <c r="L59" i="1"/>
  <c r="L60" i="1" s="1"/>
  <c r="H59" i="1"/>
  <c r="H60" i="1" s="1"/>
  <c r="D59" i="1"/>
  <c r="D60" i="1" s="1"/>
  <c r="K59" i="1"/>
  <c r="K60" i="1" s="1"/>
  <c r="C59" i="1"/>
  <c r="C60" i="1" s="1"/>
  <c r="G59" i="1"/>
  <c r="G60" i="1" s="1"/>
  <c r="S55" i="1"/>
  <c r="M55" i="1"/>
  <c r="R55" i="1"/>
  <c r="V55" i="1"/>
  <c r="T59" i="1"/>
  <c r="T60" i="1" s="1"/>
  <c r="P59" i="1"/>
  <c r="P60" i="1" s="1"/>
  <c r="S59" i="1"/>
  <c r="S60" i="1" s="1"/>
  <c r="V59" i="1"/>
  <c r="V60" i="1" s="1"/>
  <c r="R59" i="1"/>
  <c r="R60" i="1" s="1"/>
  <c r="U59" i="1"/>
  <c r="U60" i="1" s="1"/>
  <c r="Q59" i="1"/>
  <c r="Q60" i="1" s="1"/>
  <c r="B65" i="1"/>
  <c r="B64" i="1"/>
  <c r="B55" i="1"/>
  <c r="T27" i="23"/>
  <c r="T52" i="23" s="1"/>
  <c r="T45" i="23"/>
  <c r="T22" i="23"/>
  <c r="F3" i="12"/>
  <c r="T27" i="1"/>
  <c r="T52" i="1" s="1"/>
  <c r="T45" i="1"/>
  <c r="T4" i="4"/>
  <c r="T62" i="4" s="1"/>
  <c r="T22" i="1"/>
  <c r="E60" i="1"/>
  <c r="F60" i="1"/>
  <c r="R80" i="4" l="1"/>
  <c r="J80" i="4"/>
  <c r="F4" i="27"/>
  <c r="AA2" i="12"/>
  <c r="V62" i="4"/>
  <c r="V74" i="4"/>
  <c r="Z2" i="12" s="1"/>
  <c r="AH2" i="12"/>
  <c r="I3" i="12"/>
  <c r="B80" i="4"/>
  <c r="P75" i="4"/>
  <c r="B5" i="27" s="1"/>
  <c r="O81" i="4"/>
  <c r="AE2" i="12"/>
  <c r="U74" i="4"/>
  <c r="Y2" i="12" s="1"/>
  <c r="U62" i="4"/>
  <c r="B6" i="12"/>
  <c r="B6" i="27"/>
  <c r="R61" i="23"/>
  <c r="U55" i="4"/>
  <c r="F3" i="27"/>
  <c r="V77" i="4"/>
  <c r="U77" i="4"/>
  <c r="O77" i="4"/>
  <c r="S77" i="4"/>
  <c r="Q77" i="4"/>
  <c r="R77" i="4"/>
  <c r="T81" i="4"/>
  <c r="U81" i="4"/>
  <c r="P81" i="4"/>
  <c r="V81" i="4"/>
  <c r="S81" i="4"/>
  <c r="Q81" i="4"/>
  <c r="R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P77" i="4" l="1"/>
  <c r="B5" i="12"/>
  <c r="AD4" i="12"/>
  <c r="AB4" i="12"/>
  <c r="AE4" i="12"/>
  <c r="Z4" i="12"/>
  <c r="W4" i="12"/>
  <c r="AG4" i="12"/>
  <c r="AC4" i="12"/>
  <c r="AH4" i="12"/>
  <c r="AF4" i="12"/>
  <c r="Y4" i="12"/>
  <c r="AA4" i="12"/>
  <c r="F83" i="4"/>
  <c r="D83" i="4"/>
  <c r="C81" i="4"/>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V83" i="4"/>
  <c r="T83" i="4"/>
  <c r="M83" i="4"/>
  <c r="P83" i="4"/>
  <c r="U83" i="4"/>
  <c r="S5" i="12"/>
  <c r="Q83" i="4"/>
  <c r="K83" i="4"/>
  <c r="J83" i="4"/>
  <c r="R83" i="4"/>
  <c r="S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P5" i="12" l="1"/>
  <c r="R5" i="12"/>
  <c r="Q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K12" i="22" s="1"/>
  <c r="M12" i="22" s="1"/>
  <c r="F16" i="22"/>
  <c r="G16" i="22" s="1"/>
  <c r="F22" i="22"/>
  <c r="I22" i="22" s="1"/>
  <c r="J5" i="12"/>
  <c r="F15" i="22"/>
  <c r="I15" i="22" s="1"/>
  <c r="L5" i="12"/>
  <c r="F21" i="22"/>
  <c r="G21" i="22" s="1"/>
  <c r="F5" i="12"/>
  <c r="F24" i="22"/>
  <c r="K24" i="22" s="1"/>
  <c r="M24" i="22" s="1"/>
  <c r="F10" i="22"/>
  <c r="F11" i="22"/>
  <c r="I11" i="22" s="1"/>
  <c r="F13" i="22"/>
  <c r="I13" i="22" s="1"/>
  <c r="F14" i="22"/>
  <c r="I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I33" i="22"/>
  <c r="K33" i="22"/>
  <c r="N33" i="22" s="1"/>
  <c r="G46" i="22"/>
  <c r="J46" i="22" s="1"/>
  <c r="I46" i="22"/>
  <c r="M46" i="22" s="1"/>
  <c r="K46" i="22"/>
  <c r="N46" i="22" s="1"/>
  <c r="G37" i="22"/>
  <c r="J37" i="22" s="1"/>
  <c r="I37" i="22"/>
  <c r="K37" i="22"/>
  <c r="L3" i="28" s="1"/>
  <c r="G40" i="22"/>
  <c r="J40" i="22" s="1"/>
  <c r="I40" i="22"/>
  <c r="M40" i="22" s="1"/>
  <c r="K40" i="22"/>
  <c r="N40" i="22" s="1"/>
  <c r="G41" i="22"/>
  <c r="J41" i="22" s="1"/>
  <c r="I41" i="22"/>
  <c r="M41" i="22" s="1"/>
  <c r="K41" i="22"/>
  <c r="N41" i="22" s="1"/>
  <c r="G50" i="22"/>
  <c r="J50" i="22" s="1"/>
  <c r="I50" i="22"/>
  <c r="M50" i="22" s="1"/>
  <c r="K50" i="22"/>
  <c r="N50" i="22" s="1"/>
  <c r="G35" i="22"/>
  <c r="J35" i="22" s="1"/>
  <c r="I35" i="22"/>
  <c r="K35" i="22"/>
  <c r="N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I32" i="22"/>
  <c r="K32" i="22"/>
  <c r="G45" i="22"/>
  <c r="J45" i="22" s="1"/>
  <c r="I45" i="22"/>
  <c r="M45" i="22" s="1"/>
  <c r="K45" i="22"/>
  <c r="N45" i="22" s="1"/>
  <c r="G36" i="22"/>
  <c r="J36" i="22" s="1"/>
  <c r="I36" i="22"/>
  <c r="K36" i="22"/>
  <c r="N36" i="22" s="1"/>
  <c r="G48" i="22"/>
  <c r="J48" i="22" s="1"/>
  <c r="I48" i="22"/>
  <c r="M48" i="22" s="1"/>
  <c r="K48" i="22"/>
  <c r="N48" i="22" s="1"/>
  <c r="G43" i="22"/>
  <c r="J43" i="22" s="1"/>
  <c r="I43" i="22"/>
  <c r="M43" i="22" s="1"/>
  <c r="K43" i="22"/>
  <c r="N43" i="22" s="1"/>
  <c r="M35" i="22" l="1"/>
  <c r="G13" i="22"/>
  <c r="I34" i="22"/>
  <c r="K34" i="22" s="1"/>
  <c r="N34" i="22" s="1"/>
  <c r="M33" i="22"/>
  <c r="I12" i="22"/>
  <c r="G2" i="28" s="1"/>
  <c r="G15" i="22"/>
  <c r="K14" i="22"/>
  <c r="M14" i="22" s="1"/>
  <c r="M36" i="22"/>
  <c r="M32" i="22"/>
  <c r="I25" i="22"/>
  <c r="K26" i="22"/>
  <c r="M26" i="22" s="1"/>
  <c r="I26" i="22"/>
  <c r="I17" i="22"/>
  <c r="G12" i="22"/>
  <c r="G14" i="22"/>
  <c r="I7" i="22"/>
  <c r="G3" i="28" s="1"/>
  <c r="G11" i="22"/>
  <c r="K15" i="22"/>
  <c r="M15" i="22" s="1"/>
  <c r="I24" i="22"/>
  <c r="K25" i="22"/>
  <c r="M25" i="22" s="1"/>
  <c r="G24" i="22"/>
  <c r="G7" i="22"/>
  <c r="K21" i="22"/>
  <c r="M21" i="22" s="1"/>
  <c r="G22" i="22"/>
  <c r="M37" i="22"/>
  <c r="K9" i="28"/>
  <c r="K12" i="28"/>
  <c r="K4" i="28"/>
  <c r="K15" i="28"/>
  <c r="K7" i="28"/>
  <c r="K10" i="28"/>
  <c r="K13" i="28"/>
  <c r="K5" i="28"/>
  <c r="K8" i="28"/>
  <c r="K11" i="28"/>
  <c r="K14" i="28"/>
  <c r="K6" i="28"/>
  <c r="N37" i="22"/>
  <c r="L12" i="28"/>
  <c r="L4" i="28"/>
  <c r="L9" i="28"/>
  <c r="L10" i="28"/>
  <c r="L15" i="28"/>
  <c r="L7" i="28"/>
  <c r="L8" i="28"/>
  <c r="L13" i="28"/>
  <c r="L5" i="28"/>
  <c r="L14" i="28"/>
  <c r="L6" i="28"/>
  <c r="L11" i="28"/>
  <c r="G17" i="22"/>
  <c r="K16" i="22"/>
  <c r="M16" i="22" s="1"/>
  <c r="I18" i="22"/>
  <c r="G10" i="22"/>
  <c r="I10" i="22" s="1"/>
  <c r="K10" i="22" s="1"/>
  <c r="K19" i="22"/>
  <c r="M19" i="22" s="1"/>
  <c r="I19" i="22"/>
  <c r="K18" i="22"/>
  <c r="M18" i="22" s="1"/>
  <c r="K13" i="22"/>
  <c r="M13" i="22" s="1"/>
  <c r="K9" i="22"/>
  <c r="M9" i="22" s="1"/>
  <c r="I16" i="22"/>
  <c r="G20" i="22"/>
  <c r="K8" i="22"/>
  <c r="M8" i="22" s="1"/>
  <c r="K23" i="22"/>
  <c r="M23" i="22" s="1"/>
  <c r="I21" i="22"/>
  <c r="K22" i="22"/>
  <c r="M22" i="22" s="1"/>
  <c r="I8" i="22"/>
  <c r="I23" i="22"/>
  <c r="K20" i="22"/>
  <c r="M20" i="22" s="1"/>
  <c r="K11" i="22"/>
  <c r="M11" i="22" s="1"/>
  <c r="M7" i="22"/>
  <c r="H3" i="28"/>
  <c r="N12" i="22"/>
  <c r="N7" i="22"/>
  <c r="N24"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c r="N14" i="22" l="1"/>
  <c r="M34" i="22"/>
  <c r="N21" i="22"/>
  <c r="N11" i="22"/>
  <c r="N26" i="22"/>
  <c r="M10" i="22"/>
  <c r="N10" i="22"/>
  <c r="N9" i="22"/>
  <c r="N25" i="22"/>
  <c r="N15" i="22"/>
  <c r="N18" i="22"/>
  <c r="N8" i="22"/>
  <c r="N16" i="22"/>
  <c r="N19" i="22"/>
  <c r="N20" i="22"/>
  <c r="N13"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<sst xmlns="http://schemas.openxmlformats.org/spreadsheetml/2006/main" count="7608" uniqueCount="4411">
  <si>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</si>
  <si>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</si>
  <si>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</si>
  <si>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</si>
  <si>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</si>
  <si>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</si>
  <si>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</si>
  <si>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</si>
  <si>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</si>
  <si>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</si>
  <si>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</si>
  <si>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</si>
  <si>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</si>
  <si>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</si>
  <si>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</si>
  <si>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</si>
  <si>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</si>
  <si>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</si>
  <si>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</si>
  <si>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</si>
  <si>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</si>
  <si>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</si>
  <si>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</si>
  <si>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</si>
  <si>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</si>
  <si>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</si>
  <si>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</si>
  <si>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</si>
  <si>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</si>
  <si>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</si>
  <si>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</si>
  <si>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</si>
  <si>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</si>
  <si>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</si>
  <si>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</si>
  <si>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</si>
  <si>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</si>
  <si>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</si>
  <si>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</si>
  <si>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</si>
  <si>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</si>
  <si>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</si>
  <si>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</si>
  <si>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</si>
  <si>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</si>
  <si>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</si>
  <si>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</si>
  <si>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</si>
  <si>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</si>
  <si>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</si>
  <si>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</si>
  <si>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</si>
  <si>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</si>
  <si>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</si>
  <si>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</si>
  <si>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</si>
  <si>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</si>
  <si>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</si>
  <si>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</si>
  <si>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</si>
  <si>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</si>
  <si>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</si>
  <si>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</si>
  <si>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</si>
  <si>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</si>
  <si>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</si>
  <si>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</si>
  <si>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</si>
  <si>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</si>
  <si>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</si>
  <si>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</si>
  <si>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</si>
  <si>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</si>
  <si>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</si>
  <si>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</si>
  <si>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</si>
  <si>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</si>
  <si>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</si>
  <si>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</si>
  <si>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</si>
  <si>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</si>
  <si>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</si>
  <si>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</si>
  <si>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</si>
  <si>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</si>
  <si>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</si>
  <si>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</si>
  <si>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</si>
  <si>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</si>
  <si>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</si>
  <si>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</si>
  <si>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</si>
  <si>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</si>
  <si>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</si>
  <si>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</si>
  <si>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</si>
  <si>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</si>
  <si>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</si>
  <si>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</si>
  <si>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</si>
  <si>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</si>
  <si>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</si>
  <si>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</si>
  <si>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</si>
  <si>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</si>
  <si>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</si>
  <si>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</si>
  <si>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</si>
  <si>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</si>
  <si>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</si>
  <si>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</si>
  <si>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</si>
  <si>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</si>
  <si>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</si>
  <si>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</si>
  <si>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</si>
  <si>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</si>
  <si>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</si>
  <si>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</si>
  <si>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</si>
  <si>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</si>
  <si>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</si>
  <si>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</si>
  <si>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</si>
  <si>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</si>
  <si>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</si>
  <si>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</si>
  <si>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</si>
  <si>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</si>
  <si>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</si>
  <si>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</si>
  <si>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</si>
  <si>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</si>
  <si>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</si>
  <si>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</si>
  <si>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</si>
  <si>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</si>
  <si>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</si>
  <si>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</si>
  <si>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</si>
  <si>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</si>
  <si>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</si>
  <si>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</si>
  <si>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</si>
  <si>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</si>
  <si>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</si>
  <si>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</si>
  <si>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</si>
  <si>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</si>
  <si>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</si>
  <si>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</si>
  <si>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</si>
  <si>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</si>
  <si>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</si>
  <si>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</si>
  <si>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</si>
  <si>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</si>
  <si>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</si>
  <si>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</si>
  <si>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</si>
  <si>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</si>
  <si>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</si>
  <si>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</si>
  <si>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</si>
  <si>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F:\Données chgh\2020-CHG-CZA-Atenolol-1\plaque 1/@01 TS/A1_01.tif </t>
  </si>
  <si>
    <t xml:space="preserve"> 12523.709 </t>
  </si>
  <si>
    <t xml:space="preserve"> 69.8687 </t>
  </si>
  <si>
    <t xml:space="preserve">F:\Données chgh\2020-CHG-CZA-Atenolol-1\plaque 1/@01 TS/A1_02.tif </t>
  </si>
  <si>
    <t xml:space="preserve"> 6662.0075 </t>
  </si>
  <si>
    <t xml:space="preserve"> 67.1948 </t>
  </si>
  <si>
    <t xml:space="preserve">F:\Données chgh\2020-CHG-CZA-Atenolol-1\plaque 1/@01 TS/A1_03.tif </t>
  </si>
  <si>
    <t xml:space="preserve"> 2768.6265 </t>
  </si>
  <si>
    <t xml:space="preserve"> 64.1484 </t>
  </si>
  <si>
    <t>F:\Données chgh\2020-CHG-CZA-Atenolol-1\plaque 1/@01 TS/B1_01- exclu.tif</t>
  </si>
  <si>
    <t xml:space="preserve">F:\Données chgh\2020-CHG-CZA-Atenolol-1\plaque 1/@01 TS/B1_02.tif </t>
  </si>
  <si>
    <t xml:space="preserve"> 12242.5204 </t>
  </si>
  <si>
    <t xml:space="preserve"> 69.2756 </t>
  </si>
  <si>
    <t xml:space="preserve">F:\Données chgh\2020-CHG-CZA-Atenolol-1\plaque 1/@01 TS/B1_03.tif </t>
  </si>
  <si>
    <t xml:space="preserve"> 475.8577 </t>
  </si>
  <si>
    <t xml:space="preserve"> 63.1818 </t>
  </si>
  <si>
    <t xml:space="preserve">F:\Données chgh\2020-CHG-CZA-Atenolol-1\plaque 1/@01 TS/C1_01.tif </t>
  </si>
  <si>
    <t xml:space="preserve"> 7072.9755 </t>
  </si>
  <si>
    <t xml:space="preserve"> 74.422 </t>
  </si>
  <si>
    <t xml:space="preserve">F:\Données chgh\2020-CHG-CZA-Atenolol-1\plaque 1/@01 TS/C1_02.tif </t>
  </si>
  <si>
    <t xml:space="preserve"> 12761.6378 </t>
  </si>
  <si>
    <t xml:space="preserve"> 79.5492 </t>
  </si>
  <si>
    <t xml:space="preserve">F:\Données chgh\2020-CHG-CZA-Atenolol-1\plaque 1/@01 TS/C1_03.tif </t>
  </si>
  <si>
    <t xml:space="preserve"> 11204.2854 </t>
  </si>
  <si>
    <t xml:space="preserve"> 74.6004 </t>
  </si>
  <si>
    <t xml:space="preserve">F:\Données chgh\2020-CHG-CZA-Atenolol-1\plaque 1/@01 TS/D1_01.tif </t>
  </si>
  <si>
    <t xml:space="preserve"> 1989.9503 </t>
  </si>
  <si>
    <t xml:space="preserve"> 64.6304 </t>
  </si>
  <si>
    <t>F:\Données chgh\2020-CHG-CZA-Atenolol-1\plaque 1/@01 TS/D1_02- exclu.tif</t>
  </si>
  <si>
    <t xml:space="preserve">F:\Données chgh\2020-CHG-CZA-Atenolol-1\plaque 1/@01 TS/D1_03.tif </t>
  </si>
  <si>
    <t xml:space="preserve"> 735.4164 </t>
  </si>
  <si>
    <t xml:space="preserve"> 66.1176 </t>
  </si>
  <si>
    <t xml:space="preserve">F:\Données chgh\2020-CHG-CZA-Atenolol-1\plaque 1/@01 TS/E1_01.tif </t>
  </si>
  <si>
    <t xml:space="preserve"> 10512.1288 </t>
  </si>
  <si>
    <t xml:space="preserve"> 74.7407 </t>
  </si>
  <si>
    <t xml:space="preserve">F:\Données chgh\2020-CHG-CZA-Atenolol-1\plaque 1/@01 TS/E1_02.tif </t>
  </si>
  <si>
    <t xml:space="preserve"> 2033.2101 </t>
  </si>
  <si>
    <t xml:space="preserve"> 64.5532 </t>
  </si>
  <si>
    <t xml:space="preserve">F:\Données chgh\2020-CHG-CZA-Atenolol-1\plaque 1/@01 TS/E1_03.tif </t>
  </si>
  <si>
    <t xml:space="preserve"> 7635.3528 </t>
  </si>
  <si>
    <t xml:space="preserve"> 71.4873 </t>
  </si>
  <si>
    <t>F:\Données chgh\2020-CHG-CZA-Atenolol-1\plaque 1/@01 TS/F1_01- exclu.tif</t>
  </si>
  <si>
    <t xml:space="preserve">F:\Données chgh\2020-CHG-CZA-Atenolol-1\plaque 1/@01 TS/F1_02.tif </t>
  </si>
  <si>
    <t xml:space="preserve"> 8846.6269 </t>
  </si>
  <si>
    <t xml:space="preserve"> 70.0587 </t>
  </si>
  <si>
    <t xml:space="preserve">F:\Données chgh\2020-CHG-CZA-Atenolol-1\plaque 1/@01 TS/F1_03.tif </t>
  </si>
  <si>
    <t xml:space="preserve"> 4736.9469 </t>
  </si>
  <si>
    <t xml:space="preserve"> 66.3379 </t>
  </si>
  <si>
    <t xml:space="preserve">F:\Données chgh\2020-CHG-CZA-Atenolol-1\plaque 1/@01 TS/G1_01.tif </t>
  </si>
  <si>
    <t xml:space="preserve"> 1535.7225 </t>
  </si>
  <si>
    <t xml:space="preserve"> 62.493 </t>
  </si>
  <si>
    <t xml:space="preserve">F:\Données chgh\2020-CHG-CZA-Atenolol-1\plaque 1/@01 TS/G1_02.tif </t>
  </si>
  <si>
    <t xml:space="preserve"> 1124.7545 </t>
  </si>
  <si>
    <t xml:space="preserve"> 63.6154 </t>
  </si>
  <si>
    <t xml:space="preserve">F:\Données chgh\2020-CHG-CZA-Atenolol-1\plaque 1/@01 TS/G1_03.tif </t>
  </si>
  <si>
    <t xml:space="preserve"> 6294.2993 </t>
  </si>
  <si>
    <t xml:space="preserve"> 66.4089 </t>
  </si>
  <si>
    <t xml:space="preserve">F:\Données chgh\2020-CHG-CZA-Atenolol-1\plaque 1/@01 TS/H1_01.tif </t>
  </si>
  <si>
    <t xml:space="preserve"> 8630.328 </t>
  </si>
  <si>
    <t xml:space="preserve"> 75.4261 </t>
  </si>
  <si>
    <t xml:space="preserve">F:\Données chgh\2020-CHG-CZA-Atenolol-1\plaque 1/@01 TS/H1_02.tif </t>
  </si>
  <si>
    <t xml:space="preserve"> 12350.6698 </t>
  </si>
  <si>
    <t xml:space="preserve"> 74.7723 </t>
  </si>
  <si>
    <t xml:space="preserve">F:\Données chgh\2020-CHG-CZA-Atenolol-1\plaque 1/@01 TS/H1_03.tif </t>
  </si>
  <si>
    <t xml:space="preserve"> 8565.4383 </t>
  </si>
  <si>
    <t xml:space="preserve"> 73.1465 </t>
  </si>
  <si>
    <t xml:space="preserve">group </t>
  </si>
  <si>
    <t xml:space="preserve"> mean of mean fluo </t>
  </si>
  <si>
    <t xml:space="preserve"> SD mean fluo </t>
  </si>
  <si>
    <t xml:space="preserve"> mean of total fluo </t>
  </si>
  <si>
    <t xml:space="preserve"> SD total fluo </t>
  </si>
  <si>
    <t xml:space="preserve"> n fluorescent </t>
  </si>
  <si>
    <t xml:space="preserve">F:\Données chgh\2020-CHG-CZA-Atenolol-1\plaque 1/@01 TS/ </t>
  </si>
  <si>
    <t xml:space="preserve"> 69.3215 </t>
  </si>
  <si>
    <t xml:space="preserve"> 5.5161 </t>
  </si>
  <si>
    <t xml:space="preserve"> 378500.371 </t>
  </si>
  <si>
    <t xml:space="preserve">file name </t>
  </si>
  <si>
    <t xml:space="preserve">F:\Données chgh\2020-CHG-CZA-Atenolol-1\plaque 1/@02 EE2 34/A2_01.tif </t>
  </si>
  <si>
    <t xml:space="preserve"> 5385.8438 </t>
  </si>
  <si>
    <t xml:space="preserve"> 68.4498 </t>
  </si>
  <si>
    <t xml:space="preserve">F:\Données chgh\2020-CHG-CZA-Atenolol-1\plaque 1/@02 EE2 34/A2_02.tif </t>
  </si>
  <si>
    <t xml:space="preserve"> 4563.9078 </t>
  </si>
  <si>
    <t xml:space="preserve"> 69.1754 </t>
  </si>
  <si>
    <t>F:\Données chgh\2020-CHG-CZA-Atenolol-1\plaque 1/@02 EE2 34/A2_03- exclu.tif</t>
  </si>
  <si>
    <t xml:space="preserve">F:\Données chgh\2020-CHG-CZA-Atenolol-1\plaque 1/@02 EE2 34/B2_01.tif </t>
  </si>
  <si>
    <t xml:space="preserve"> 9863.232 </t>
  </si>
  <si>
    <t xml:space="preserve"> 69.7719 </t>
  </si>
  <si>
    <t xml:space="preserve">F:\Données chgh\2020-CHG-CZA-Atenolol-1\plaque 1/@02 EE2 34/B2_02.tif </t>
  </si>
  <si>
    <t xml:space="preserve"> 9625.3031 </t>
  </si>
  <si>
    <t xml:space="preserve"> 68.8966 </t>
  </si>
  <si>
    <t xml:space="preserve">F:\Données chgh\2020-CHG-CZA-Atenolol-1\plaque 1/@02 EE2 34/B2_03.tif </t>
  </si>
  <si>
    <t xml:space="preserve"> 8673.5877 </t>
  </si>
  <si>
    <t xml:space="preserve"> 71.5611 </t>
  </si>
  <si>
    <t xml:space="preserve">F:\Données chgh\2020-CHG-CZA-Atenolol-1\plaque 1/@02 EE2 34/C2_01.tif </t>
  </si>
  <si>
    <t xml:space="preserve"> 7938.1713 </t>
  </si>
  <si>
    <t xml:space="preserve"> 83.3815 </t>
  </si>
  <si>
    <t xml:space="preserve">F:\Données chgh\2020-CHG-CZA-Atenolol-1\plaque 1/@02 EE2 34/C2_02.tif </t>
  </si>
  <si>
    <t xml:space="preserve"> 5710.2922 </t>
  </si>
  <si>
    <t xml:space="preserve"> 71.4848 </t>
  </si>
  <si>
    <t xml:space="preserve">F:\Données chgh\2020-CHG-CZA-Atenolol-1\plaque 1/@02 EE2 34/C2_03.tif </t>
  </si>
  <si>
    <t xml:space="preserve"> 1838.541 </t>
  </si>
  <si>
    <t xml:space="preserve"> 66.0353 </t>
  </si>
  <si>
    <t xml:space="preserve">F:\Données chgh\2020-CHG-CZA-Atenolol-1\plaque 1/@02 EE2 34/D2_01.tif </t>
  </si>
  <si>
    <t xml:space="preserve"> 1362.6834 </t>
  </si>
  <si>
    <t xml:space="preserve"> 63.3175 </t>
  </si>
  <si>
    <t xml:space="preserve">F:\Données chgh\2020-CHG-CZA-Atenolol-1\plaque 1/@02 EE2 34/D2_02.tif </t>
  </si>
  <si>
    <t xml:space="preserve"> 3352.6337 </t>
  </si>
  <si>
    <t xml:space="preserve"> 67.4129 </t>
  </si>
  <si>
    <t xml:space="preserve">F:\Données chgh\2020-CHG-CZA-Atenolol-1\plaque 1/@02 EE2 34/D2_03.tif </t>
  </si>
  <si>
    <t xml:space="preserve"> 2465.808 </t>
  </si>
  <si>
    <t xml:space="preserve"> 65.3158 </t>
  </si>
  <si>
    <t xml:space="preserve">F:\Données chgh\2020-CHG-CZA-Atenolol-1\plaque 1/@02 EE2 34/E2_01.tif </t>
  </si>
  <si>
    <t xml:space="preserve"> 519.1175 </t>
  </si>
  <si>
    <t xml:space="preserve"> 62.7083 </t>
  </si>
  <si>
    <t>F:\Données chgh\2020-CHG-CZA-Atenolol-1\plaque 1/@02 EE2 34/E2_02- exclu.tif</t>
  </si>
  <si>
    <t xml:space="preserve">F:\Données chgh\2020-CHG-CZA-Atenolol-1\plaque 1/@02 EE2 34/E2_03.tif </t>
  </si>
  <si>
    <t xml:space="preserve"> 281.1886 </t>
  </si>
  <si>
    <t xml:space="preserve"> 63.4615 </t>
  </si>
  <si>
    <t xml:space="preserve">F:\Données chgh\2020-CHG-CZA-Atenolol-1\plaque 1/@02 EE2 34/F2_01.tif </t>
  </si>
  <si>
    <t xml:space="preserve"> 1773.6514 </t>
  </si>
  <si>
    <t xml:space="preserve"> 67.5732 </t>
  </si>
  <si>
    <t xml:space="preserve">F:\Données chgh\2020-CHG-CZA-Atenolol-1\plaque 1/@02 EE2 34/F2_02.tif </t>
  </si>
  <si>
    <t xml:space="preserve"> 1449.2029 </t>
  </si>
  <si>
    <t xml:space="preserve"> 64.6866 </t>
  </si>
  <si>
    <t xml:space="preserve">F:\Données chgh\2020-CHG-CZA-Atenolol-1\plaque 1/@02 EE2 34/F2_03.tif </t>
  </si>
  <si>
    <t xml:space="preserve"> 3093.0749 </t>
  </si>
  <si>
    <t xml:space="preserve"> 69.2238 </t>
  </si>
  <si>
    <t xml:space="preserve">F:\Données chgh\2020-CHG-CZA-Atenolol-1\plaque 1/@02 EE2 34/G2_01.tif </t>
  </si>
  <si>
    <t xml:space="preserve"> 5342.584 </t>
  </si>
  <si>
    <t xml:space="preserve">F:\Données chgh\2020-CHG-CZA-Atenolol-1\plaque 1/@02 EE2 34/G2_02.tif </t>
  </si>
  <si>
    <t xml:space="preserve"> 5061.3953 </t>
  </si>
  <si>
    <t xml:space="preserve"> 67.9786 </t>
  </si>
  <si>
    <t xml:space="preserve">F:\Données chgh\2020-CHG-CZA-Atenolol-1\plaque 1/@02 EE2 34/G2_03.tif </t>
  </si>
  <si>
    <t xml:space="preserve"> 1665.5019 </t>
  </si>
  <si>
    <t xml:space="preserve"> 68.4675 </t>
  </si>
  <si>
    <t xml:space="preserve">F:\Données chgh\2020-CHG-CZA-Atenolol-1\plaque 1/@02 EE2 34/H2_01.tif </t>
  </si>
  <si>
    <t xml:space="preserve"> 8240.9899 </t>
  </si>
  <si>
    <t xml:space="preserve"> 71.3806 </t>
  </si>
  <si>
    <t xml:space="preserve">F:\Données chgh\2020-CHG-CZA-Atenolol-1\plaque 1/@02 EE2 34/H2_02.tif </t>
  </si>
  <si>
    <t xml:space="preserve"> 8111.2105 </t>
  </si>
  <si>
    <t xml:space="preserve"> 75.208 </t>
  </si>
  <si>
    <t xml:space="preserve">F:\Données chgh\2020-CHG-CZA-Atenolol-1\plaque 1/@02 EE2 34/H2_03.tif </t>
  </si>
  <si>
    <t xml:space="preserve"> 3504.0429 </t>
  </si>
  <si>
    <t xml:space="preserve"> 67.1358 </t>
  </si>
  <si>
    <t xml:space="preserve">F:\Données chgh\2020-CHG-CZA-Atenolol-1\plaque 1/@02 EE2 34/ </t>
  </si>
  <si>
    <t xml:space="preserve"> 68.2545 </t>
  </si>
  <si>
    <t xml:space="preserve"> 4.4751 </t>
  </si>
  <si>
    <t xml:space="preserve"> 303234.042 </t>
  </si>
  <si>
    <t xml:space="preserve"> 225269.327 </t>
  </si>
  <si>
    <t>F:\Données chgh\2020-CHG-CZA-Atenolol-1\plaque 1/@03 EE2 51/A3_01- exclu.tif</t>
  </si>
  <si>
    <t xml:space="preserve">F:\Données chgh\2020-CHG-CZA-Atenolol-1\plaque 1/@03 EE2 51/A3_02.tif </t>
  </si>
  <si>
    <t xml:space="preserve"> 497.4876 </t>
  </si>
  <si>
    <t xml:space="preserve"> 64.913 </t>
  </si>
  <si>
    <t xml:space="preserve">F:\Données chgh\2020-CHG-CZA-Atenolol-1\plaque 1/@03 EE2 51/A3_03.tif </t>
  </si>
  <si>
    <t xml:space="preserve"> 454.2278 </t>
  </si>
  <si>
    <t xml:space="preserve"> 63.0952 </t>
  </si>
  <si>
    <t>F:\Données chgh\2020-CHG-CZA-Atenolol-1\plaque 1/@03 EE2 51/B3_01- exclu.tif</t>
  </si>
  <si>
    <t xml:space="preserve">F:\Données chgh\2020-CHG-CZA-Atenolol-1\plaque 1/@03 EE2 51/B3_02.tif </t>
  </si>
  <si>
    <t xml:space="preserve"> 3331.0038 </t>
  </si>
  <si>
    <t xml:space="preserve"> 65.8506 </t>
  </si>
  <si>
    <t xml:space="preserve">F:\Données chgh\2020-CHG-CZA-Atenolol-1\plaque 1/@03 EE2 51/B3_03.tif </t>
  </si>
  <si>
    <t xml:space="preserve"> 1492.4627 </t>
  </si>
  <si>
    <t xml:space="preserve"> 63.8841 </t>
  </si>
  <si>
    <t xml:space="preserve">F:\Données chgh\2020-CHG-CZA-Atenolol-1\plaque 1/@03 EE2 51/C3_01.tif </t>
  </si>
  <si>
    <t xml:space="preserve"> 4845.0964 </t>
  </si>
  <si>
    <t xml:space="preserve"> 71.8259 </t>
  </si>
  <si>
    <t xml:space="preserve">F:\Données chgh\2020-CHG-CZA-Atenolol-1\plaque 1/@03 EE2 51/C3_02.tif </t>
  </si>
  <si>
    <t xml:space="preserve"> 3590.5625 </t>
  </si>
  <si>
    <t xml:space="preserve"> 66.6928 </t>
  </si>
  <si>
    <t xml:space="preserve">F:\Données chgh\2020-CHG-CZA-Atenolol-1\plaque 1/@03 EE2 51/C3_03.tif </t>
  </si>
  <si>
    <t xml:space="preserve"> 3655.4522 </t>
  </si>
  <si>
    <t xml:space="preserve"> 67.2249 </t>
  </si>
  <si>
    <t xml:space="preserve">F:\Données chgh\2020-CHG-CZA-Atenolol-1\plaque 1/@03 EE2 51/D3_01.tif </t>
  </si>
  <si>
    <t xml:space="preserve"> 6251.0395 </t>
  </si>
  <si>
    <t xml:space="preserve"> 72.0346 </t>
  </si>
  <si>
    <t xml:space="preserve">F:\Données chgh\2020-CHG-CZA-Atenolol-1\plaque 1/@03 EE2 51/D3_02.tif </t>
  </si>
  <si>
    <t xml:space="preserve"> 6424.0787 </t>
  </si>
  <si>
    <t xml:space="preserve"> 67.0741 </t>
  </si>
  <si>
    <t xml:space="preserve">F:\Données chgh\2020-CHG-CZA-Atenolol-1\plaque 1/@03 EE2 51/D3_03.tif </t>
  </si>
  <si>
    <t xml:space="preserve"> 6921.5663 </t>
  </si>
  <si>
    <t xml:space="preserve"> 75.5687 </t>
  </si>
  <si>
    <t xml:space="preserve">F:\Données chgh\2020-CHG-CZA-Atenolol-1\plaque 1/@03 EE2 51/E3_01.tif </t>
  </si>
  <si>
    <t xml:space="preserve"> 1622.2421 </t>
  </si>
  <si>
    <t xml:space="preserve"> 65.0667 </t>
  </si>
  <si>
    <t>F:\Données chgh\2020-CHG-CZA-Atenolol-1\plaque 1/@03 EE2 51/E3_02- exclu.tif</t>
  </si>
  <si>
    <t>F:\Données chgh\2020-CHG-CZA-Atenolol-1\plaque 1/@03 EE2 51/E3_03- exclu.tif</t>
  </si>
  <si>
    <t xml:space="preserve">F:\Données chgh\2020-CHG-CZA-Atenolol-1\plaque 1/@03 EE2 51/F3_01.tif </t>
  </si>
  <si>
    <t xml:space="preserve"> 6207.7798 </t>
  </si>
  <si>
    <t xml:space="preserve"> 70.5889 </t>
  </si>
  <si>
    <t xml:space="preserve">F:\Données chgh\2020-CHG-CZA-Atenolol-1\plaque 1/@03 EE2 51/F3_02.tif </t>
  </si>
  <si>
    <t xml:space="preserve"> 6142.8901 </t>
  </si>
  <si>
    <t xml:space="preserve"> 74.6972 </t>
  </si>
  <si>
    <t xml:space="preserve">F:\Données chgh\2020-CHG-CZA-Atenolol-1\plaque 1/@03 EE2 51/F3_03.tif </t>
  </si>
  <si>
    <t xml:space="preserve"> 778.6762 </t>
  </si>
  <si>
    <t xml:space="preserve"> 64.9722 </t>
  </si>
  <si>
    <t xml:space="preserve">F:\Données chgh\2020-CHG-CZA-Atenolol-1\plaque 1/@03 EE2 51/G3_01.tif </t>
  </si>
  <si>
    <t xml:space="preserve"> 3006.5554 </t>
  </si>
  <si>
    <t xml:space="preserve"> 67.518 </t>
  </si>
  <si>
    <t xml:space="preserve">F:\Données chgh\2020-CHG-CZA-Atenolol-1\plaque 1/@03 EE2 51/G3_02.tif </t>
  </si>
  <si>
    <t xml:space="preserve"> 2855.1461 </t>
  </si>
  <si>
    <t xml:space="preserve"> 66.7197 </t>
  </si>
  <si>
    <t xml:space="preserve">F:\Données chgh\2020-CHG-CZA-Atenolol-1\plaque 1/@03 EE2 51/G3_03.tif </t>
  </si>
  <si>
    <t xml:space="preserve"> 4672.0572 </t>
  </si>
  <si>
    <t xml:space="preserve"> 67.125 </t>
  </si>
  <si>
    <t xml:space="preserve">F:\Données chgh\2020-CHG-CZA-Atenolol-1\plaque 1/@03 EE2 51/H3_01.tif </t>
  </si>
  <si>
    <t xml:space="preserve"> 6078.0004 </t>
  </si>
  <si>
    <t xml:space="preserve"> 65.516 </t>
  </si>
  <si>
    <t xml:space="preserve">F:\Données chgh\2020-CHG-CZA-Atenolol-1\plaque 1/@03 EE2 51/H3_02.tif </t>
  </si>
  <si>
    <t xml:space="preserve"> 3612.1924 </t>
  </si>
  <si>
    <t xml:space="preserve"> 64.2515 </t>
  </si>
  <si>
    <t xml:space="preserve">F:\Données chgh\2020-CHG-CZA-Atenolol-1\plaque 1/@03 EE2 51/H3_03.tif </t>
  </si>
  <si>
    <t xml:space="preserve"> 64.2872 </t>
  </si>
  <si>
    <t xml:space="preserve">F:\Données chgh\2020-CHG-CZA-Atenolol-1\plaque 1/@03 EE2 51/ </t>
  </si>
  <si>
    <t xml:space="preserve"> 66.944 </t>
  </si>
  <si>
    <t xml:space="preserve"> 3.4931 </t>
  </si>
  <si>
    <t xml:space="preserve"> 217046.042 </t>
  </si>
  <si>
    <t xml:space="preserve"> 168450.962 </t>
  </si>
  <si>
    <t>F:\Données chgh\2020-CHG-CZA-Atenolol-1\plaque 1/@04 EE2 76/A4_01- exclu.tif</t>
  </si>
  <si>
    <t xml:space="preserve">F:\Données chgh\2020-CHG-CZA-Atenolol-1\plaque 1/@04 EE2 76/A4_02.tif </t>
  </si>
  <si>
    <t xml:space="preserve"> 65.0309 </t>
  </si>
  <si>
    <t>F:\Données chgh\2020-CHG-CZA-Atenolol-1\plaque 1/@04 EE2 76/A4_03- exclu.tif</t>
  </si>
  <si>
    <t xml:space="preserve">F:\Données chgh\2020-CHG-CZA-Atenolol-1\plaque 1/@04 EE2 76/B4_01.tif </t>
  </si>
  <si>
    <t xml:space="preserve"> 9149.4454 </t>
  </si>
  <si>
    <t xml:space="preserve"> 66.6336 </t>
  </si>
  <si>
    <t xml:space="preserve">F:\Données chgh\2020-CHG-CZA-Atenolol-1\plaque 1/@04 EE2 76/B4_02.tif </t>
  </si>
  <si>
    <t xml:space="preserve"> 6618.7478 </t>
  </si>
  <si>
    <t xml:space="preserve"> 66.8562 </t>
  </si>
  <si>
    <t xml:space="preserve">F:\Données chgh\2020-CHG-CZA-Atenolol-1\plaque 1/@04 EE2 76/B4_03.tif </t>
  </si>
  <si>
    <t xml:space="preserve"> 4866.7263 </t>
  </si>
  <si>
    <t xml:space="preserve"> 68.4489 </t>
  </si>
  <si>
    <t xml:space="preserve">F:\Données chgh\2020-CHG-CZA-Atenolol-1\plaque 1/@04 EE2 76/C4_01.tif </t>
  </si>
  <si>
    <t xml:space="preserve"> 12134.3709 </t>
  </si>
  <si>
    <t xml:space="preserve"> 72.7504 </t>
  </si>
  <si>
    <t xml:space="preserve">F:\Données chgh\2020-CHG-CZA-Atenolol-1\plaque 1/@04 EE2 76/C4_02.tif </t>
  </si>
  <si>
    <t xml:space="preserve"> 11939.7018 </t>
  </si>
  <si>
    <t xml:space="preserve"> 75.9728 </t>
  </si>
  <si>
    <t xml:space="preserve">F:\Données chgh\2020-CHG-CZA-Atenolol-1\plaque 1/@04 EE2 76/C4_03.tif </t>
  </si>
  <si>
    <t xml:space="preserve"> 8695.2176 </t>
  </si>
  <si>
    <t xml:space="preserve"> 72.9204 </t>
  </si>
  <si>
    <t xml:space="preserve">F:\Données chgh\2020-CHG-CZA-Atenolol-1\plaque 1/@04 EE2 76/D4_01.tif </t>
  </si>
  <si>
    <t xml:space="preserve"> 27643.0053 </t>
  </si>
  <si>
    <t xml:space="preserve"> 73.4429 </t>
  </si>
  <si>
    <t xml:space="preserve">F:\Données chgh\2020-CHG-CZA-Atenolol-1\plaque 1/@04 EE2 76/D4_02.tif </t>
  </si>
  <si>
    <t xml:space="preserve"> 23360.2862 </t>
  </si>
  <si>
    <t xml:space="preserve"> 69.7704 </t>
  </si>
  <si>
    <t xml:space="preserve">F:\Données chgh\2020-CHG-CZA-Atenolol-1\plaque 1/@04 EE2 76/D4_03.tif </t>
  </si>
  <si>
    <t xml:space="preserve"> 23533.3254 </t>
  </si>
  <si>
    <t xml:space="preserve"> 68.9697 </t>
  </si>
  <si>
    <t xml:space="preserve">F:\Données chgh\2020-CHG-CZA-Atenolol-1\plaque 1/@04 EE2 76/E4_01.tif </t>
  </si>
  <si>
    <t xml:space="preserve"> 13561.9439 </t>
  </si>
  <si>
    <t xml:space="preserve"> 68.5805 </t>
  </si>
  <si>
    <t xml:space="preserve">F:\Données chgh\2020-CHG-CZA-Atenolol-1\plaque 1/@04 EE2 76/E4_02.tif </t>
  </si>
  <si>
    <t xml:space="preserve"> 10403.9793 </t>
  </si>
  <si>
    <t xml:space="preserve"> 67.4782 </t>
  </si>
  <si>
    <t xml:space="preserve">F:\Données chgh\2020-CHG-CZA-Atenolol-1\plaque 1/@04 EE2 76/E4_03.tif </t>
  </si>
  <si>
    <t xml:space="preserve"> 9993.0113 </t>
  </si>
  <si>
    <t xml:space="preserve"> 68.8853 </t>
  </si>
  <si>
    <t xml:space="preserve">F:\Données chgh\2020-CHG-CZA-Atenolol-1\plaque 1/@04 EE2 76/F4_01.tif </t>
  </si>
  <si>
    <t xml:space="preserve"> 7700.2425 </t>
  </si>
  <si>
    <t xml:space="preserve"> 65.7022 </t>
  </si>
  <si>
    <t xml:space="preserve">F:\Données chgh\2020-CHG-CZA-Atenolol-1\plaque 1/@04 EE2 76/F4_02.tif </t>
  </si>
  <si>
    <t xml:space="preserve"> 8370.7692 </t>
  </si>
  <si>
    <t xml:space="preserve"> 64.938 </t>
  </si>
  <si>
    <t xml:space="preserve">F:\Données chgh\2020-CHG-CZA-Atenolol-1\plaque 1/@04 EE2 76/F4_03.tif </t>
  </si>
  <si>
    <t xml:space="preserve"> 9171.0753 </t>
  </si>
  <si>
    <t xml:space="preserve"> 69.1274 </t>
  </si>
  <si>
    <t>F:\Données chgh\2020-CHG-CZA-Atenolol-1\plaque 1/@04 EE2 76/G4_01- exclu.tif</t>
  </si>
  <si>
    <t xml:space="preserve">F:\Données chgh\2020-CHG-CZA-Atenolol-1\plaque 1/@04 EE2 76/G4_02.tif </t>
  </si>
  <si>
    <t xml:space="preserve"> 5926.5911 </t>
  </si>
  <si>
    <t xml:space="preserve"> 66.2664 </t>
  </si>
  <si>
    <t xml:space="preserve">F:\Données chgh\2020-CHG-CZA-Atenolol-1\plaque 1/@04 EE2 76/G4_03.tif </t>
  </si>
  <si>
    <t xml:space="preserve"> 9582.0433 </t>
  </si>
  <si>
    <t xml:space="preserve"> 66.8488 </t>
  </si>
  <si>
    <t xml:space="preserve">F:\Données chgh\2020-CHG-CZA-Atenolol-1\plaque 1/@04 EE2 76/H4_01.tif </t>
  </si>
  <si>
    <t xml:space="preserve"> 9690.1928 </t>
  </si>
  <si>
    <t xml:space="preserve"> 69.9844 </t>
  </si>
  <si>
    <t xml:space="preserve">F:\Données chgh\2020-CHG-CZA-Atenolol-1\plaque 1/@04 EE2 76/H4_02.tif </t>
  </si>
  <si>
    <t xml:space="preserve"> 3244.4842 </t>
  </si>
  <si>
    <t xml:space="preserve"> 64.6867 </t>
  </si>
  <si>
    <t xml:space="preserve">F:\Données chgh\2020-CHG-CZA-Atenolol-1\plaque 1/@04 EE2 76/H4_03.tif </t>
  </si>
  <si>
    <t xml:space="preserve"> 2054.84 </t>
  </si>
  <si>
    <t xml:space="preserve"> 65.8526 </t>
  </si>
  <si>
    <t xml:space="preserve">F:\Données chgh\2020-CHG-CZA-Atenolol-1\plaque 1/@04 EE2 76/ </t>
  </si>
  <si>
    <t xml:space="preserve"> 68.6156 </t>
  </si>
  <si>
    <t xml:space="preserve"> 3.2191 </t>
  </si>
  <si>
    <t xml:space="preserve"> 707795.917 </t>
  </si>
  <si>
    <t xml:space="preserve"> 471488.722 </t>
  </si>
  <si>
    <t xml:space="preserve">F:\Données chgh\2020-CHG-CZA-Atenolol-1\plaque 1/@05 EE2 114/A5_01.tif </t>
  </si>
  <si>
    <t xml:space="preserve"> 29135.4681 </t>
  </si>
  <si>
    <t xml:space="preserve"> 68.2272 </t>
  </si>
  <si>
    <t xml:space="preserve">F:\Données chgh\2020-CHG-CZA-Atenolol-1\plaque 1/@05 EE2 114/A5_02.tif </t>
  </si>
  <si>
    <t xml:space="preserve"> 24290.3717 </t>
  </si>
  <si>
    <t xml:space="preserve"> 67.1638 </t>
  </si>
  <si>
    <t>F:\Données chgh\2020-CHG-CZA-Atenolol-1\plaque 1/@05 EE2 114/A5_03- exclu.tif</t>
  </si>
  <si>
    <t>F:\Données chgh\2020-CHG-CZA-Atenolol-1\plaque 1/@05 EE2 114/B5_01- exclu.tif</t>
  </si>
  <si>
    <t xml:space="preserve">F:\Données chgh\2020-CHG-CZA-Atenolol-1\plaque 1/@05 EE2 114/B5_02.tif </t>
  </si>
  <si>
    <t xml:space="preserve"> 35689.3261 </t>
  </si>
  <si>
    <t xml:space="preserve"> 70.1212 </t>
  </si>
  <si>
    <t xml:space="preserve">F:\Données chgh\2020-CHG-CZA-Atenolol-1\plaque 1/@05 EE2 114/B5_03.tif </t>
  </si>
  <si>
    <t xml:space="preserve"> 26518.2508 </t>
  </si>
  <si>
    <t xml:space="preserve"> 68.4152 </t>
  </si>
  <si>
    <t xml:space="preserve">F:\Données chgh\2020-CHG-CZA-Atenolol-1\plaque 1/@05 EE2 114/C5_01.tif </t>
  </si>
  <si>
    <t xml:space="preserve"> 84810.8168 </t>
  </si>
  <si>
    <t xml:space="preserve"> 87.9559 </t>
  </si>
  <si>
    <t xml:space="preserve">F:\Données chgh\2020-CHG-CZA-Atenolol-1\plaque 1/@05 EE2 114/C5_02.tif </t>
  </si>
  <si>
    <t xml:space="preserve"> 78840.9659 </t>
  </si>
  <si>
    <t xml:space="preserve"> 93.1059 </t>
  </si>
  <si>
    <t xml:space="preserve">F:\Données chgh\2020-CHG-CZA-Atenolol-1\plaque 1/@05 EE2 114/C5_03.tif </t>
  </si>
  <si>
    <t xml:space="preserve"> 77499.9125 </t>
  </si>
  <si>
    <t xml:space="preserve"> 88.2375 </t>
  </si>
  <si>
    <t xml:space="preserve">F:\Données chgh\2020-CHG-CZA-Atenolol-1\plaque 1/@05 EE2 114/D5_01.tif </t>
  </si>
  <si>
    <t xml:space="preserve"> 16049.3818 </t>
  </si>
  <si>
    <t xml:space="preserve"> 68.2197 </t>
  </si>
  <si>
    <t xml:space="preserve">F:\Données chgh\2020-CHG-CZA-Atenolol-1\plaque 1/@05 EE2 114/D5_02.tif </t>
  </si>
  <si>
    <t xml:space="preserve"> 8435.6589 </t>
  </si>
  <si>
    <t xml:space="preserve"> 64.3846 </t>
  </si>
  <si>
    <t xml:space="preserve">F:\Données chgh\2020-CHG-CZA-Atenolol-1\plaque 1/@05 EE2 114/D5_03.tif </t>
  </si>
  <si>
    <t xml:space="preserve"> 9409.0042 </t>
  </si>
  <si>
    <t xml:space="preserve"> 67.0552 </t>
  </si>
  <si>
    <t xml:space="preserve">F:\Données chgh\2020-CHG-CZA-Atenolol-1\plaque 1/@05 EE2 114/E5_01.tif </t>
  </si>
  <si>
    <t xml:space="preserve"> 17130.8765 </t>
  </si>
  <si>
    <t xml:space="preserve"> 68.3131 </t>
  </si>
  <si>
    <t xml:space="preserve">F:\Données chgh\2020-CHG-CZA-Atenolol-1\plaque 1/@05 EE2 114/E5_02.tif </t>
  </si>
  <si>
    <t xml:space="preserve"> 13843.1326 </t>
  </si>
  <si>
    <t xml:space="preserve"> 68.0766 </t>
  </si>
  <si>
    <t xml:space="preserve">F:\Données chgh\2020-CHG-CZA-Atenolol-1\plaque 1/@05 EE2 114/E5_03.tif </t>
  </si>
  <si>
    <t xml:space="preserve"> 17282.2858 </t>
  </si>
  <si>
    <t xml:space="preserve"> 66.9387 </t>
  </si>
  <si>
    <t xml:space="preserve">F:\Données chgh\2020-CHG-CZA-Atenolol-1\plaque 1/@05 EE2 114/F5_01.tif </t>
  </si>
  <si>
    <t xml:space="preserve"> 6726.8972 </t>
  </si>
  <si>
    <t xml:space="preserve"> 64.9325 </t>
  </si>
  <si>
    <t xml:space="preserve">F:\Données chgh\2020-CHG-CZA-Atenolol-1\plaque 1/@05 EE2 114/F5_02.tif </t>
  </si>
  <si>
    <t xml:space="preserve"> 12826.5275 </t>
  </si>
  <si>
    <t xml:space="preserve"> 65.1079 </t>
  </si>
  <si>
    <t xml:space="preserve">F:\Données chgh\2020-CHG-CZA-Atenolol-1\plaque 1/@05 EE2 114/F5_03.tif </t>
  </si>
  <si>
    <t xml:space="preserve"> 5083.0252 </t>
  </si>
  <si>
    <t xml:space="preserve"> 64.983 </t>
  </si>
  <si>
    <t xml:space="preserve">F:\Données chgh\2020-CHG-CZA-Atenolol-1\plaque 1/@05 EE2 114/G5_01.tif </t>
  </si>
  <si>
    <t xml:space="preserve"> 35667.6962 </t>
  </si>
  <si>
    <t xml:space="preserve"> 67.8563 </t>
  </si>
  <si>
    <t xml:space="preserve">F:\Données chgh\2020-CHG-CZA-Atenolol-1\plaque 1/@05 EE2 114/G5_02.tif </t>
  </si>
  <si>
    <t xml:space="preserve"> 34478.052 </t>
  </si>
  <si>
    <t xml:space="preserve"> 68.7553 </t>
  </si>
  <si>
    <t xml:space="preserve">F:\Données chgh\2020-CHG-CZA-Atenolol-1\plaque 1/@05 EE2 114/G5_03.tif </t>
  </si>
  <si>
    <t xml:space="preserve"> 33699.3758 </t>
  </si>
  <si>
    <t xml:space="preserve"> 68.0379 </t>
  </si>
  <si>
    <t xml:space="preserve">F:\Données chgh\2020-CHG-CZA-Atenolol-1\plaque 1/@05 EE2 114/H5_01.tif </t>
  </si>
  <si>
    <t xml:space="preserve"> 33894.0449 </t>
  </si>
  <si>
    <t xml:space="preserve"> 68.8564 </t>
  </si>
  <si>
    <t xml:space="preserve">F:\Données chgh\2020-CHG-CZA-Atenolol-1\plaque 1/@05 EE2 114/H5_02.tif </t>
  </si>
  <si>
    <t xml:space="preserve"> 32682.7708 </t>
  </si>
  <si>
    <t xml:space="preserve"> 68.4659 </t>
  </si>
  <si>
    <t xml:space="preserve">F:\Données chgh\2020-CHG-CZA-Atenolol-1\plaque 1/@05 EE2 114/H5_03.tif </t>
  </si>
  <si>
    <t xml:space="preserve"> 33915.6748 </t>
  </si>
  <si>
    <t xml:space="preserve"> 67.9636 </t>
  </si>
  <si>
    <t xml:space="preserve">F:\Données chgh\2020-CHG-CZA-Atenolol-1\plaque 1/@05 EE2 114/ </t>
  </si>
  <si>
    <t xml:space="preserve"> 70.2009 </t>
  </si>
  <si>
    <t xml:space="preserve"> 7.73 </t>
  </si>
  <si>
    <t xml:space="preserve"> 2161185.21 </t>
  </si>
  <si>
    <t xml:space="preserve"> 2086094.4 </t>
  </si>
  <si>
    <t xml:space="preserve">F:\Données chgh\2020-CHG-CZA-Atenolol-1\plaque 1/@06 EE2 171/A6_01.tif </t>
  </si>
  <si>
    <t xml:space="preserve"> 34175.2335 </t>
  </si>
  <si>
    <t xml:space="preserve"> 73.3418 </t>
  </si>
  <si>
    <t xml:space="preserve">F:\Données chgh\2020-CHG-CZA-Atenolol-1\plaque 1/@06 EE2 171/A6_02.tif </t>
  </si>
  <si>
    <t xml:space="preserve"> 29741.1051 </t>
  </si>
  <si>
    <t xml:space="preserve"> 70.5978 </t>
  </si>
  <si>
    <t xml:space="preserve">F:\Données chgh\2020-CHG-CZA-Atenolol-1\plaque 1/@06 EE2 171/A6_03.tif </t>
  </si>
  <si>
    <t xml:space="preserve"> 32012.2441 </t>
  </si>
  <si>
    <t xml:space="preserve"> 74.4412 </t>
  </si>
  <si>
    <t xml:space="preserve">F:\Données chgh\2020-CHG-CZA-Atenolol-1\plaque 1/@06 EE2 171/B6_01.tif </t>
  </si>
  <si>
    <t xml:space="preserve"> 60953.0431 </t>
  </si>
  <si>
    <t xml:space="preserve"> 76.5096 </t>
  </si>
  <si>
    <t xml:space="preserve">F:\Données chgh\2020-CHG-CZA-Atenolol-1\plaque 1/@06 EE2 171/B6_02.tif </t>
  </si>
  <si>
    <t xml:space="preserve"> 61277.4915 </t>
  </si>
  <si>
    <t xml:space="preserve"> 75.2146 </t>
  </si>
  <si>
    <t xml:space="preserve">F:\Données chgh\2020-CHG-CZA-Atenolol-1\plaque 1/@06 EE2 171/B6_03.tif </t>
  </si>
  <si>
    <t xml:space="preserve"> 54399.185 </t>
  </si>
  <si>
    <t xml:space="preserve"> 74.8553 </t>
  </si>
  <si>
    <t xml:space="preserve">F:\Données chgh\2020-CHG-CZA-Atenolol-1\plaque 1/@06 EE2 171/C6_01.tif </t>
  </si>
  <si>
    <t xml:space="preserve"> 3028.1852 </t>
  </si>
  <si>
    <t xml:space="preserve"> 64.8286 </t>
  </si>
  <si>
    <t xml:space="preserve">F:\Données chgh\2020-CHG-CZA-Atenolol-1\plaque 1/@06 EE2 171/C6_02.tif </t>
  </si>
  <si>
    <t xml:space="preserve"> 2617.2173 </t>
  </si>
  <si>
    <t xml:space="preserve"> 64.9835 </t>
  </si>
  <si>
    <t xml:space="preserve">F:\Données chgh\2020-CHG-CZA-Atenolol-1\plaque 1/@06 EE2 171/C6_03.tif </t>
  </si>
  <si>
    <t xml:space="preserve"> 1708.7617 </t>
  </si>
  <si>
    <t xml:space="preserve"> 63.0759 </t>
  </si>
  <si>
    <t xml:space="preserve">F:\Données chgh\2020-CHG-CZA-Atenolol-1\plaque 1/@06 EE2 171/D6_01.tif </t>
  </si>
  <si>
    <t xml:space="preserve"> 57189.4414 </t>
  </si>
  <si>
    <t xml:space="preserve"> 74.2141 </t>
  </si>
  <si>
    <t>F:\Données chgh\2020-CHG-CZA-Atenolol-1\plaque 1/@06 EE2 171/D6_02- exclu.tif</t>
  </si>
  <si>
    <t xml:space="preserve">F:\Données chgh\2020-CHG-CZA-Atenolol-1\plaque 1/@06 EE2 171/D6_03.tif </t>
  </si>
  <si>
    <t xml:space="preserve"> 57578.7795 </t>
  </si>
  <si>
    <t xml:space="preserve"> 72.76 </t>
  </si>
  <si>
    <t xml:space="preserve">F:\Données chgh\2020-CHG-CZA-Atenolol-1\plaque 1/@06 EE2 171/E6_01.tif </t>
  </si>
  <si>
    <t xml:space="preserve"> 79900.8308 </t>
  </si>
  <si>
    <t xml:space="preserve"> 76.379 </t>
  </si>
  <si>
    <t xml:space="preserve">F:\Données chgh\2020-CHG-CZA-Atenolol-1\plaque 1/@06 EE2 171/E6_02.tif </t>
  </si>
  <si>
    <t xml:space="preserve"> 70318.7874 </t>
  </si>
  <si>
    <t xml:space="preserve"> 76.8074 </t>
  </si>
  <si>
    <t xml:space="preserve">F:\Données chgh\2020-CHG-CZA-Atenolol-1\plaque 1/@06 EE2 171/E6_03.tif </t>
  </si>
  <si>
    <t xml:space="preserve"> 69864.5597 </t>
  </si>
  <si>
    <t xml:space="preserve"> 75.9994 </t>
  </si>
  <si>
    <t xml:space="preserve">F:\Données chgh\2020-CHG-CZA-Atenolol-1\plaque 1/@06 EE2 171/F6_01.tif </t>
  </si>
  <si>
    <t xml:space="preserve"> 45509.2983 </t>
  </si>
  <si>
    <t xml:space="preserve"> 72.9653 </t>
  </si>
  <si>
    <t xml:space="preserve">F:\Données chgh\2020-CHG-CZA-Atenolol-1\plaque 1/@06 EE2 171/F6_02.tif </t>
  </si>
  <si>
    <t xml:space="preserve"> 57989.7475 </t>
  </si>
  <si>
    <t xml:space="preserve"> 73.8847 </t>
  </si>
  <si>
    <t xml:space="preserve">F:\Données chgh\2020-CHG-CZA-Atenolol-1\plaque 1/@06 EE2 171/F6_03.tif </t>
  </si>
  <si>
    <t xml:space="preserve"> 58422.3454 </t>
  </si>
  <si>
    <t xml:space="preserve"> 72.3873 </t>
  </si>
  <si>
    <t xml:space="preserve">F:\Données chgh\2020-CHG-CZA-Atenolol-1\plaque 1/@06 EE2 171/G6_01.tif </t>
  </si>
  <si>
    <t xml:space="preserve"> 55696.9787 </t>
  </si>
  <si>
    <t xml:space="preserve"> 82.6365 </t>
  </si>
  <si>
    <t xml:space="preserve">F:\Données chgh\2020-CHG-CZA-Atenolol-1\plaque 1/@06 EE2 171/G6_02.tif </t>
  </si>
  <si>
    <t xml:space="preserve"> 56735.2136 </t>
  </si>
  <si>
    <t xml:space="preserve"> 81.7968 </t>
  </si>
  <si>
    <t xml:space="preserve">F:\Données chgh\2020-CHG-CZA-Atenolol-1\plaque 1/@06 EE2 171/G6_03.tif </t>
  </si>
  <si>
    <t xml:space="preserve"> 57081.2919 </t>
  </si>
  <si>
    <t xml:space="preserve"> 81.2217 </t>
  </si>
  <si>
    <t>F:\Données chgh\2020-CHG-CZA-Atenolol-1\plaque 1/@06 EE2 171/H6_01- exclu.tif</t>
  </si>
  <si>
    <t xml:space="preserve">F:\Données chgh\2020-CHG-CZA-Atenolol-1\plaque 1/@06 EE2 171/H6_02.tif </t>
  </si>
  <si>
    <t xml:space="preserve"> 64067.7479 </t>
  </si>
  <si>
    <t xml:space="preserve"> 75.4666 </t>
  </si>
  <si>
    <t xml:space="preserve">F:\Données chgh\2020-CHG-CZA-Atenolol-1\plaque 1/@06 EE2 171/H6_03.tif </t>
  </si>
  <si>
    <t xml:space="preserve"> 57146.1816 </t>
  </si>
  <si>
    <t xml:space="preserve"> 74.5439 </t>
  </si>
  <si>
    <t xml:space="preserve">F:\Données chgh\2020-CHG-CZA-Atenolol-1\plaque 1/@06 EE2 171/ </t>
  </si>
  <si>
    <t xml:space="preserve"> 73.7577 </t>
  </si>
  <si>
    <t xml:space="preserve"> 4.9531 </t>
  </si>
  <si>
    <t xml:space="preserve"> 3632646.25 </t>
  </si>
  <si>
    <t xml:space="preserve"> 1669065.33 </t>
  </si>
  <si>
    <t xml:space="preserve">F:\Données chgh\2020-CHG-CZA-Atenolol-1\plaque 1/@07 EE2 488/A7_01.tif </t>
  </si>
  <si>
    <t xml:space="preserve"> 75596.4817 </t>
  </si>
  <si>
    <t xml:space="preserve"> 95.3994 </t>
  </si>
  <si>
    <t xml:space="preserve">F:\Données chgh\2020-CHG-CZA-Atenolol-1\plaque 1/@07 EE2 488/A7_02.tif </t>
  </si>
  <si>
    <t xml:space="preserve"> 85329.9343 </t>
  </si>
  <si>
    <t xml:space="preserve"> 88.6798 </t>
  </si>
  <si>
    <t xml:space="preserve">F:\Données chgh\2020-CHG-CZA-Atenolol-1\plaque 1/@07 EE2 488/A7_03.tif </t>
  </si>
  <si>
    <t xml:space="preserve"> 80203.6493 </t>
  </si>
  <si>
    <t xml:space="preserve"> 91.8344 </t>
  </si>
  <si>
    <t xml:space="preserve">F:\Données chgh\2020-CHG-CZA-Atenolol-1\plaque 1/@07 EE2 488/B7_01.tif </t>
  </si>
  <si>
    <t xml:space="preserve"> 50549.0637 </t>
  </si>
  <si>
    <t xml:space="preserve"> 97.4604 </t>
  </si>
  <si>
    <t xml:space="preserve">F:\Données chgh\2020-CHG-CZA-Atenolol-1\plaque 1/@07 EE2 488/B7_02.tif </t>
  </si>
  <si>
    <t xml:space="preserve"> 47737.1774 </t>
  </si>
  <si>
    <t xml:space="preserve"> 100.8917 </t>
  </si>
  <si>
    <t xml:space="preserve">F:\Données chgh\2020-CHG-CZA-Atenolol-1\plaque 1/@07 EE2 488/B7_03.tif </t>
  </si>
  <si>
    <t xml:space="preserve"> 53144.6511 </t>
  </si>
  <si>
    <t xml:space="preserve"> 90.4978 </t>
  </si>
  <si>
    <t xml:space="preserve">F:\Données chgh\2020-CHG-CZA-Atenolol-1\plaque 1/@07 EE2 488/C7_01.tif </t>
  </si>
  <si>
    <t xml:space="preserve"> 66987.7837 </t>
  </si>
  <si>
    <t xml:space="preserve"> 94.1514 </t>
  </si>
  <si>
    <t xml:space="preserve">F:\Données chgh\2020-CHG-CZA-Atenolol-1\plaque 1/@07 EE2 488/C7_02.tif </t>
  </si>
  <si>
    <t xml:space="preserve"> 68047.6485 </t>
  </si>
  <si>
    <t xml:space="preserve"> 91.6993 </t>
  </si>
  <si>
    <t xml:space="preserve">F:\Données chgh\2020-CHG-CZA-Atenolol-1\plaque 1/@07 EE2 488/C7_03.tif </t>
  </si>
  <si>
    <t xml:space="preserve"> 71421.9121 </t>
  </si>
  <si>
    <t xml:space="preserve"> 91.6644 </t>
  </si>
  <si>
    <t xml:space="preserve">F:\Données chgh\2020-CHG-CZA-Atenolol-1\plaque 1/@07 EE2 488/D7_01.tif </t>
  </si>
  <si>
    <t xml:space="preserve"> 85654.3827 </t>
  </si>
  <si>
    <t xml:space="preserve"> 99.9311 </t>
  </si>
  <si>
    <t xml:space="preserve">F:\Données chgh\2020-CHG-CZA-Atenolol-1\plaque 1/@07 EE2 488/D7_02.tif </t>
  </si>
  <si>
    <t xml:space="preserve"> 86714.2476 </t>
  </si>
  <si>
    <t xml:space="preserve"> 98.1008 </t>
  </si>
  <si>
    <t xml:space="preserve">F:\Données chgh\2020-CHG-CZA-Atenolol-1\plaque 1/@07 EE2 488/D7_03.tif </t>
  </si>
  <si>
    <t xml:space="preserve"> 81501.443 </t>
  </si>
  <si>
    <t xml:space="preserve"> 95.22 </t>
  </si>
  <si>
    <t xml:space="preserve">F:\Données chgh\2020-CHG-CZA-Atenolol-1\plaque 1/@07 EE2 488/E7_01.tif </t>
  </si>
  <si>
    <t xml:space="preserve"> 52603.9037 </t>
  </si>
  <si>
    <t xml:space="preserve"> 92.7467 </t>
  </si>
  <si>
    <t xml:space="preserve">F:\Données chgh\2020-CHG-CZA-Atenolol-1\plaque 1/@07 EE2 488/E7_02.tif </t>
  </si>
  <si>
    <t xml:space="preserve"> 66144.2178 </t>
  </si>
  <si>
    <t xml:space="preserve"> 87.6978 </t>
  </si>
  <si>
    <t xml:space="preserve">F:\Données chgh\2020-CHG-CZA-Atenolol-1\plaque 1/@07 EE2 488/E7_03.tif </t>
  </si>
  <si>
    <t xml:space="preserve"> 60585.3349 </t>
  </si>
  <si>
    <t xml:space="preserve"> 85.6965 </t>
  </si>
  <si>
    <t xml:space="preserve">F:\Données chgh\2020-CHG-CZA-Atenolol-1\plaque 1/@07 EE2 488/F7_01.tif </t>
  </si>
  <si>
    <t xml:space="preserve"> 57211.0713 </t>
  </si>
  <si>
    <t xml:space="preserve"> 102.4423 </t>
  </si>
  <si>
    <t xml:space="preserve">F:\Données chgh\2020-CHG-CZA-Atenolol-1\plaque 1/@07 EE2 488/F7_02.tif </t>
  </si>
  <si>
    <t xml:space="preserve"> 57492.2599 </t>
  </si>
  <si>
    <t xml:space="preserve"> 106.2472 </t>
  </si>
  <si>
    <t xml:space="preserve">F:\Données chgh\2020-CHG-CZA-Atenolol-1\plaque 1/@07 EE2 488/F7_03.tif </t>
  </si>
  <si>
    <t xml:space="preserve"> 51046.5513 </t>
  </si>
  <si>
    <t xml:space="preserve"> 109.7992 </t>
  </si>
  <si>
    <t xml:space="preserve">F:\Données chgh\2020-CHG-CZA-Atenolol-1\plaque 1/@07 EE2 488/G7_01.tif </t>
  </si>
  <si>
    <t xml:space="preserve"> 55459.0498 </t>
  </si>
  <si>
    <t xml:space="preserve"> 93.296 </t>
  </si>
  <si>
    <t xml:space="preserve">F:\Données chgh\2020-CHG-CZA-Atenolol-1\plaque 1/@07 EE2 488/G7_02.tif </t>
  </si>
  <si>
    <t xml:space="preserve"> 56129.5766 </t>
  </si>
  <si>
    <t xml:space="preserve"> 91.9649 </t>
  </si>
  <si>
    <t xml:space="preserve">F:\Données chgh\2020-CHG-CZA-Atenolol-1\plaque 1/@07 EE2 488/G7_03.tif </t>
  </si>
  <si>
    <t xml:space="preserve"> 63462.1108 </t>
  </si>
  <si>
    <t xml:space="preserve"> 92.833 </t>
  </si>
  <si>
    <t xml:space="preserve">F:\Données chgh\2020-CHG-CZA-Atenolol-1\plaque 1/@07 EE2 488/H7_01.tif </t>
  </si>
  <si>
    <t xml:space="preserve"> 64521.9757 </t>
  </si>
  <si>
    <t xml:space="preserve"> 105.1934 </t>
  </si>
  <si>
    <t xml:space="preserve">F:\Données chgh\2020-CHG-CZA-Atenolol-1\plaque 1/@07 EE2 488/H7_02.tif </t>
  </si>
  <si>
    <t xml:space="preserve"> 66079.3281 </t>
  </si>
  <si>
    <t xml:space="preserve"> 105.6013 </t>
  </si>
  <si>
    <t xml:space="preserve">F:\Données chgh\2020-CHG-CZA-Atenolol-1\plaque 1/@07 EE2 488/H7_03.tif </t>
  </si>
  <si>
    <t xml:space="preserve"> 67160.8228 </t>
  </si>
  <si>
    <t xml:space="preserve"> 104.5771 </t>
  </si>
  <si>
    <t xml:space="preserve">F:\Données chgh\2020-CHG-CZA-Atenolol-1\plaque 1/@07 EE2 488/ </t>
  </si>
  <si>
    <t xml:space="preserve"> 96.4011 </t>
  </si>
  <si>
    <t xml:space="preserve"> 6.5656 </t>
  </si>
  <si>
    <t xml:space="preserve"> 6294963.54 </t>
  </si>
  <si>
    <t xml:space="preserve"> 1146145.79 </t>
  </si>
  <si>
    <t xml:space="preserve">F:\Données chgh\2020-CHG-CZA-Atenolol-1\plaque 1/@08 Atenolol 0.01/A8_01.tif </t>
  </si>
  <si>
    <t xml:space="preserve"> 1405.9432 </t>
  </si>
  <si>
    <t xml:space="preserve"> 66.7077 </t>
  </si>
  <si>
    <t xml:space="preserve">F:\Données chgh\2020-CHG-CZA-Atenolol-1\plaque 1/@08 Atenolol 0.01/A8_02.tif </t>
  </si>
  <si>
    <t xml:space="preserve"> 1319.4236 </t>
  </si>
  <si>
    <t xml:space="preserve"> 67.918 </t>
  </si>
  <si>
    <t xml:space="preserve">F:\Données chgh\2020-CHG-CZA-Atenolol-1\plaque 1/@08 Atenolol 0.01/A8_03.tif </t>
  </si>
  <si>
    <t xml:space="preserve"> 627.2669 </t>
  </si>
  <si>
    <t xml:space="preserve"> 63.2414 </t>
  </si>
  <si>
    <t xml:space="preserve">F:\Données chgh\2020-CHG-CZA-Atenolol-1\plaque 1/@08 Atenolol 0.01/B8_01.tif </t>
  </si>
  <si>
    <t xml:space="preserve"> 6878.3065 </t>
  </si>
  <si>
    <t xml:space="preserve"> 79.7799 </t>
  </si>
  <si>
    <t xml:space="preserve">F:\Données chgh\2020-CHG-CZA-Atenolol-1\plaque 1/@08 Atenolol 0.01/B8_02.tif </t>
  </si>
  <si>
    <t xml:space="preserve"> 7094.6054 </t>
  </si>
  <si>
    <t xml:space="preserve"> 83.9543 </t>
  </si>
  <si>
    <t xml:space="preserve">F:\Données chgh\2020-CHG-CZA-Atenolol-1\plaque 1/@08 Atenolol 0.01/B8_03.tif </t>
  </si>
  <si>
    <t xml:space="preserve"> 4347.6088 </t>
  </si>
  <si>
    <t xml:space="preserve"> 66.6766 </t>
  </si>
  <si>
    <t xml:space="preserve">F:\Données chgh\2020-CHG-CZA-Atenolol-1\plaque 1/@08 Atenolol 0.01/C8_01.tif </t>
  </si>
  <si>
    <t xml:space="preserve"> 63.56 </t>
  </si>
  <si>
    <t xml:space="preserve">F:\Données chgh\2020-CHG-CZA-Atenolol-1\plaque 1/@08 Atenolol 0.01/C8_02.tif </t>
  </si>
  <si>
    <t xml:space="preserve"> 1470.8328 </t>
  </si>
  <si>
    <t xml:space="preserve"> 66.0441 </t>
  </si>
  <si>
    <t xml:space="preserve">F:\Données chgh\2020-CHG-CZA-Atenolol-1\plaque 1/@08 Atenolol 0.01/C8_03.tif </t>
  </si>
  <si>
    <t xml:space="preserve"> 1341.0535 </t>
  </si>
  <si>
    <t xml:space="preserve"> 63.5484 </t>
  </si>
  <si>
    <t xml:space="preserve">F:\Données chgh\2020-CHG-CZA-Atenolol-1\plaque 1/@08 Atenolol 0.01/D8_01.tif </t>
  </si>
  <si>
    <t xml:space="preserve"> 8976.4063 </t>
  </si>
  <si>
    <t xml:space="preserve"> 75.1566 </t>
  </si>
  <si>
    <t xml:space="preserve">F:\Données chgh\2020-CHG-CZA-Atenolol-1\plaque 1/@08 Atenolol 0.01/D8_02.tif </t>
  </si>
  <si>
    <t xml:space="preserve"> 605.637 </t>
  </si>
  <si>
    <t xml:space="preserve"> 63.4643 </t>
  </si>
  <si>
    <t xml:space="preserve">F:\Données chgh\2020-CHG-CZA-Atenolol-1\plaque 1/@08 Atenolol 0.01/D8_03.tif </t>
  </si>
  <si>
    <t xml:space="preserve"> 562.3773 </t>
  </si>
  <si>
    <t xml:space="preserve"> 62.1538 </t>
  </si>
  <si>
    <t xml:space="preserve">F:\Données chgh\2020-CHG-CZA-Atenolol-1\plaque 1/@08 Atenolol 0.01/E8_01.tif </t>
  </si>
  <si>
    <t xml:space="preserve"> 10382.3494 </t>
  </si>
  <si>
    <t xml:space="preserve"> 69.8479 </t>
  </si>
  <si>
    <t xml:space="preserve">F:\Données chgh\2020-CHG-CZA-Atenolol-1\plaque 1/@08 Atenolol 0.01/E8_02.tif </t>
  </si>
  <si>
    <t xml:space="preserve"> 9452.264 </t>
  </si>
  <si>
    <t xml:space="preserve"> 70.1327 </t>
  </si>
  <si>
    <t xml:space="preserve">F:\Données chgh\2020-CHG-CZA-Atenolol-1\plaque 1/@08 Atenolol 0.01/E8_03.tif </t>
  </si>
  <si>
    <t xml:space="preserve"> 8046.3208 </t>
  </si>
  <si>
    <t xml:space="preserve"> 70.7392 </t>
  </si>
  <si>
    <t xml:space="preserve">F:\Données chgh\2020-CHG-CZA-Atenolol-1\plaque 1/@08 Atenolol 0.01/F8_01.tif </t>
  </si>
  <si>
    <t xml:space="preserve"> 5775.1819 </t>
  </si>
  <si>
    <t xml:space="preserve"> 66.3446 </t>
  </si>
  <si>
    <t xml:space="preserve">F:\Données chgh\2020-CHG-CZA-Atenolol-1\plaque 1/@08 Atenolol 0.01/F8_02.tif </t>
  </si>
  <si>
    <t xml:space="preserve"> 68.0129 </t>
  </si>
  <si>
    <t xml:space="preserve">F:\Données chgh\2020-CHG-CZA-Atenolol-1\plaque 1/@08 Atenolol 0.01/F8_03.tif </t>
  </si>
  <si>
    <t xml:space="preserve"> 6575.488 </t>
  </si>
  <si>
    <t xml:space="preserve"> 67.625 </t>
  </si>
  <si>
    <t xml:space="preserve">F:\Données chgh\2020-CHG-CZA-Atenolol-1\plaque 1/@08 Atenolol 0.01/G8_01.tif </t>
  </si>
  <si>
    <t xml:space="preserve"> 66.0323 </t>
  </si>
  <si>
    <t xml:space="preserve">F:\Données chgh\2020-CHG-CZA-Atenolol-1\plaque 1/@08 Atenolol 0.01/G8_02.tif </t>
  </si>
  <si>
    <t xml:space="preserve"> 3915.0109 </t>
  </si>
  <si>
    <t xml:space="preserve"> 66.8232 </t>
  </si>
  <si>
    <t xml:space="preserve">F:\Données chgh\2020-CHG-CZA-Atenolol-1\plaque 1/@08 Atenolol 0.01/G8_03.tif </t>
  </si>
  <si>
    <t xml:space="preserve"> 6705.2673 </t>
  </si>
  <si>
    <t xml:space="preserve"> 67.0194 </t>
  </si>
  <si>
    <t xml:space="preserve">F:\Données chgh\2020-CHG-CZA-Atenolol-1\plaque 1/@08 Atenolol 0.01/H8_01.tif </t>
  </si>
  <si>
    <t xml:space="preserve"> 8760.1073 </t>
  </si>
  <si>
    <t xml:space="preserve"> 70.3309 </t>
  </si>
  <si>
    <t xml:space="preserve">F:\Données chgh\2020-CHG-CZA-Atenolol-1\plaque 1/@08 Atenolol 0.01/H8_02.tif </t>
  </si>
  <si>
    <t xml:space="preserve"> 11420.5844 </t>
  </si>
  <si>
    <t xml:space="preserve"> 76.8523 </t>
  </si>
  <si>
    <t xml:space="preserve">F:\Données chgh\2020-CHG-CZA-Atenolol-1\plaque 1/@08 Atenolol 0.01/H8_03.tif </t>
  </si>
  <si>
    <t xml:space="preserve"> 4758.5768 </t>
  </si>
  <si>
    <t xml:space="preserve"> 64.1318 </t>
  </si>
  <si>
    <t xml:space="preserve">F:\Données chgh\2020-CHG-CZA-Atenolol-1\plaque 1/@08 Atenolol 0.01/ </t>
  </si>
  <si>
    <t xml:space="preserve"> 68.5874 </t>
  </si>
  <si>
    <t xml:space="preserve"> 5.4523 </t>
  </si>
  <si>
    <t xml:space="preserve"> 361033.583 </t>
  </si>
  <si>
    <t xml:space="preserve"> 257145.928 </t>
  </si>
  <si>
    <t xml:space="preserve">F:\Données chgh\2020-CHG-CZA-Atenolol-1\plaque 1/@09 Atenolol 0.1/A9_01.tif </t>
  </si>
  <si>
    <t xml:space="preserve"> 800.3061 </t>
  </si>
  <si>
    <t xml:space="preserve"> 68.5946 </t>
  </si>
  <si>
    <t xml:space="preserve">F:\Données chgh\2020-CHG-CZA-Atenolol-1\plaque 1/@09 Atenolol 0.1/A9_02.tif </t>
  </si>
  <si>
    <t xml:space="preserve"> 9214.3351 </t>
  </si>
  <si>
    <t xml:space="preserve"> 71.1174 </t>
  </si>
  <si>
    <t xml:space="preserve">F:\Données chgh\2020-CHG-CZA-Atenolol-1\plaque 1/@09 Atenolol 0.1/A9_03.tif </t>
  </si>
  <si>
    <t xml:space="preserve"> 63.8197 </t>
  </si>
  <si>
    <t xml:space="preserve">F:\Données chgh\2020-CHG-CZA-Atenolol-1\plaque 1/@09 Atenolol 0.1/B9_01.tif </t>
  </si>
  <si>
    <t xml:space="preserve"> 3525.6728 </t>
  </si>
  <si>
    <t xml:space="preserve"> 66.1718 </t>
  </si>
  <si>
    <t xml:space="preserve">F:\Données chgh\2020-CHG-CZA-Atenolol-1\plaque 1/@09 Atenolol 0.1/B9_02.tif </t>
  </si>
  <si>
    <t xml:space="preserve"> 67.1382 </t>
  </si>
  <si>
    <t xml:space="preserve">F:\Données chgh\2020-CHG-CZA-Atenolol-1\plaque 1/@09 Atenolol 0.1/B9_03.tif </t>
  </si>
  <si>
    <t xml:space="preserve"> 2963.2956 </t>
  </si>
  <si>
    <t xml:space="preserve"> 63.6934 </t>
  </si>
  <si>
    <t xml:space="preserve">F:\Données chgh\2020-CHG-CZA-Atenolol-1\plaque 1/@09 Atenolol 0.1/C9_01.tif </t>
  </si>
  <si>
    <t xml:space="preserve"> 1038.2349 </t>
  </si>
  <si>
    <t xml:space="preserve"> 65.5833 </t>
  </si>
  <si>
    <t xml:space="preserve">F:\Données chgh\2020-CHG-CZA-Atenolol-1\plaque 1/@09 Atenolol 0.1/C9_02.tif </t>
  </si>
  <si>
    <t xml:space="preserve"> 64.973 </t>
  </si>
  <si>
    <t xml:space="preserve">F:\Données chgh\2020-CHG-CZA-Atenolol-1\plaque 1/@09 Atenolol 0.1/C9_03.tif </t>
  </si>
  <si>
    <t xml:space="preserve"> 908.4556 </t>
  </si>
  <si>
    <t xml:space="preserve"> 63.6667 </t>
  </si>
  <si>
    <t xml:space="preserve">F:\Données chgh\2020-CHG-CZA-Atenolol-1\plaque 1/@09 Atenolol 0.1/D9_01.tif </t>
  </si>
  <si>
    <t xml:space="preserve"> 6467.3385 </t>
  </si>
  <si>
    <t xml:space="preserve"> 73.9699 </t>
  </si>
  <si>
    <t xml:space="preserve">F:\Données chgh\2020-CHG-CZA-Atenolol-1\plaque 1/@09 Atenolol 0.1/D9_02.tif </t>
  </si>
  <si>
    <t xml:space="preserve"> 70.8044 </t>
  </si>
  <si>
    <t xml:space="preserve">F:\Données chgh\2020-CHG-CZA-Atenolol-1\plaque 1/@09 Atenolol 0.1/D9_03.tif </t>
  </si>
  <si>
    <t xml:space="preserve"> 68.7934 </t>
  </si>
  <si>
    <t xml:space="preserve">F:\Données chgh\2020-CHG-CZA-Atenolol-1\plaque 1/@09 Atenolol 0.1/E9_01.tif </t>
  </si>
  <si>
    <t xml:space="preserve"> 68.3804 </t>
  </si>
  <si>
    <t xml:space="preserve">F:\Données chgh\2020-CHG-CZA-Atenolol-1\plaque 1/@09 Atenolol 0.1/E9_02.tif </t>
  </si>
  <si>
    <t xml:space="preserve"> 64.1585 </t>
  </si>
  <si>
    <t xml:space="preserve">F:\Données chgh\2020-CHG-CZA-Atenolol-1\plaque 1/@09 Atenolol 0.1/E9_03.tif </t>
  </si>
  <si>
    <t xml:space="preserve"> 62.6667 </t>
  </si>
  <si>
    <t xml:space="preserve">F:\Données chgh\2020-CHG-CZA-Atenolol-1\plaque 1/@09 Atenolol 0.1/F9_01.tif </t>
  </si>
  <si>
    <t xml:space="preserve"> 74.597 </t>
  </si>
  <si>
    <t xml:space="preserve">F:\Données chgh\2020-CHG-CZA-Atenolol-1\plaque 1/@09 Atenolol 0.1/F9_02.tif </t>
  </si>
  <si>
    <t xml:space="preserve"> 74.5094 </t>
  </si>
  <si>
    <t xml:space="preserve">F:\Données chgh\2020-CHG-CZA-Atenolol-1\plaque 1/@09 Atenolol 0.1/F9_03.tif </t>
  </si>
  <si>
    <t xml:space="preserve"> 75.6875 </t>
  </si>
  <si>
    <t xml:space="preserve">F:\Données chgh\2020-CHG-CZA-Atenolol-1\plaque 1/@09 Atenolol 0.1/G9_01.tif </t>
  </si>
  <si>
    <t xml:space="preserve"> 64.6 </t>
  </si>
  <si>
    <t xml:space="preserve">F:\Données chgh\2020-CHG-CZA-Atenolol-1\plaque 1/@09 Atenolol 0.1/G9_02.tif </t>
  </si>
  <si>
    <t xml:space="preserve"> 65.0635 </t>
  </si>
  <si>
    <t xml:space="preserve">F:\Données chgh\2020-CHG-CZA-Atenolol-1\plaque 1/@09 Atenolol 0.1/G9_03.tif </t>
  </si>
  <si>
    <t xml:space="preserve"> 3568.9326 </t>
  </si>
  <si>
    <t xml:space="preserve"> 66.3636 </t>
  </si>
  <si>
    <t xml:space="preserve">F:\Données chgh\2020-CHG-CZA-Atenolol-1\plaque 1/@09 Atenolol 0.1/H9_01.tif </t>
  </si>
  <si>
    <t xml:space="preserve"> 62.8649 </t>
  </si>
  <si>
    <t xml:space="preserve">F:\Données chgh\2020-CHG-CZA-Atenolol-1\plaque 1/@09 Atenolol 0.1/H9_02.tif </t>
  </si>
  <si>
    <t xml:space="preserve"> 64.2941 </t>
  </si>
  <si>
    <t xml:space="preserve">F:\Données chgh\2020-CHG-CZA-Atenolol-1\plaque 1/@09 Atenolol 0.1/H9_03.tif </t>
  </si>
  <si>
    <t xml:space="preserve"> 64.9559 </t>
  </si>
  <si>
    <t xml:space="preserve">F:\Données chgh\2020-CHG-CZA-Atenolol-1\plaque 1/@09 Atenolol 0.1/ </t>
  </si>
  <si>
    <t xml:space="preserve"> 67.3528 </t>
  </si>
  <si>
    <t xml:space="preserve"> 4.0572 </t>
  </si>
  <si>
    <t xml:space="preserve"> 243515.542 </t>
  </si>
  <si>
    <t xml:space="preserve"> 216432.185 </t>
  </si>
  <si>
    <t xml:space="preserve">F:\Données chgh\2020-CHG-CZA-Atenolol-1\plaque 1/@10 Atenolol 1/A10_01.tif </t>
  </si>
  <si>
    <t xml:space="preserve"> 8781.7372 </t>
  </si>
  <si>
    <t xml:space="preserve"> 80.6897 </t>
  </si>
  <si>
    <t xml:space="preserve">F:\Données chgh\2020-CHG-CZA-Atenolol-1\plaque 1/@10 Atenolol 1/A10_02.tif </t>
  </si>
  <si>
    <t xml:space="preserve"> 78.4674 </t>
  </si>
  <si>
    <t xml:space="preserve">F:\Données chgh\2020-CHG-CZA-Atenolol-1\plaque 1/@10 Atenolol 1/A10_03.tif </t>
  </si>
  <si>
    <t xml:space="preserve"> 73.1656 </t>
  </si>
  <si>
    <t xml:space="preserve">F:\Données chgh\2020-CHG-CZA-Atenolol-1\plaque 1/@10 Atenolol 1/B10_01.tif </t>
  </si>
  <si>
    <t xml:space="preserve"> 69.3522 </t>
  </si>
  <si>
    <t xml:space="preserve">F:\Données chgh\2020-CHG-CZA-Atenolol-1\plaque 1/@10 Atenolol 1/B10_02.tif </t>
  </si>
  <si>
    <t xml:space="preserve"> 6337.5591 </t>
  </si>
  <si>
    <t xml:space="preserve"> 72.4096 </t>
  </si>
  <si>
    <t xml:space="preserve">F:\Données chgh\2020-CHG-CZA-Atenolol-1\plaque 1/@10 Atenolol 1/B10_03.tif </t>
  </si>
  <si>
    <t xml:space="preserve"> 6748.5271 </t>
  </si>
  <si>
    <t xml:space="preserve"> 72.5321 </t>
  </si>
  <si>
    <t xml:space="preserve">F:\Données chgh\2020-CHG-CZA-Atenolol-1\plaque 1/@10 Atenolol 1/C10_01.tif </t>
  </si>
  <si>
    <t xml:space="preserve">F:\Données chgh\2020-CHG-CZA-Atenolol-1\plaque 1/@10 Atenolol 1/C10_02.tif </t>
  </si>
  <si>
    <t xml:space="preserve"> 584.0072 </t>
  </si>
  <si>
    <t xml:space="preserve"> 64.5556 </t>
  </si>
  <si>
    <t xml:space="preserve">F:\Données chgh\2020-CHG-CZA-Atenolol-1\plaque 1/@10 Atenolol 1/C10_03.tif </t>
  </si>
  <si>
    <t xml:space="preserve"> 367.7082 </t>
  </si>
  <si>
    <t xml:space="preserve"> 64.2353 </t>
  </si>
  <si>
    <t xml:space="preserve">F:\Données chgh\2020-CHG-CZA-Atenolol-1\plaque 1/@10 Atenolol 1/D10_01.tif </t>
  </si>
  <si>
    <t xml:space="preserve"> 11615.2534 </t>
  </si>
  <si>
    <t xml:space="preserve"> 77.4637 </t>
  </si>
  <si>
    <t>F:\Données chgh\2020-CHG-CZA-Atenolol-1\plaque 1/@10 Atenolol 1/D10_02- exclu.tif</t>
  </si>
  <si>
    <t xml:space="preserve">F:\Données chgh\2020-CHG-CZA-Atenolol-1\plaque 1/@10 Atenolol 1/D10_03.tif </t>
  </si>
  <si>
    <t xml:space="preserve"> 70.236 </t>
  </si>
  <si>
    <t xml:space="preserve">F:\Données chgh\2020-CHG-CZA-Atenolol-1\plaque 1/@10 Atenolol 1/E10_01.tif </t>
  </si>
  <si>
    <t xml:space="preserve"> 2314.3987 </t>
  </si>
  <si>
    <t xml:space="preserve"> 64.8598 </t>
  </si>
  <si>
    <t xml:space="preserve">F:\Données chgh\2020-CHG-CZA-Atenolol-1\plaque 1/@10 Atenolol 1/E10_02.tif </t>
  </si>
  <si>
    <t xml:space="preserve"> 1016.605 </t>
  </si>
  <si>
    <t xml:space="preserve"> 63.6809 </t>
  </si>
  <si>
    <t xml:space="preserve">F:\Données chgh\2020-CHG-CZA-Atenolol-1\plaque 1/@10 Atenolol 1/E10_03.tif </t>
  </si>
  <si>
    <t xml:space="preserve"> 62.8696 </t>
  </si>
  <si>
    <t xml:space="preserve">F:\Données chgh\2020-CHG-CZA-Atenolol-1\plaque 1/@10 Atenolol 1/F10_01.tif </t>
  </si>
  <si>
    <t xml:space="preserve"> 11182.6555 </t>
  </si>
  <si>
    <t xml:space="preserve"> 75.4971 </t>
  </si>
  <si>
    <t xml:space="preserve">F:\Données chgh\2020-CHG-CZA-Atenolol-1\plaque 1/@10 Atenolol 1/F10_02.tif </t>
  </si>
  <si>
    <t xml:space="preserve"> 3763.6017 </t>
  </si>
  <si>
    <t xml:space="preserve"> 65.5402 </t>
  </si>
  <si>
    <t xml:space="preserve">F:\Données chgh\2020-CHG-CZA-Atenolol-1\plaque 1/@10 Atenolol 1/F10_03.tif </t>
  </si>
  <si>
    <t xml:space="preserve"> 67.5231 </t>
  </si>
  <si>
    <t xml:space="preserve">F:\Données chgh\2020-CHG-CZA-Atenolol-1\plaque 1/@10 Atenolol 1/G10_01.tif </t>
  </si>
  <si>
    <t xml:space="preserve"> 8197.7301 </t>
  </si>
  <si>
    <t xml:space="preserve"> 69.8602 </t>
  </si>
  <si>
    <t xml:space="preserve">F:\Données chgh\2020-CHG-CZA-Atenolol-1\plaque 1/@10 Atenolol 1/G10_02.tif </t>
  </si>
  <si>
    <t xml:space="preserve"> 4369.2387 </t>
  </si>
  <si>
    <t xml:space="preserve"> 67.9604 </t>
  </si>
  <si>
    <t xml:space="preserve">F:\Données chgh\2020-CHG-CZA-Atenolol-1\plaque 1/@10 Atenolol 1/G10_03.tif </t>
  </si>
  <si>
    <t xml:space="preserve"> 5212.8046 </t>
  </si>
  <si>
    <t xml:space="preserve"> 66.751 </t>
  </si>
  <si>
    <t xml:space="preserve">F:\Données chgh\2020-CHG-CZA-Atenolol-1\plaque 1/@10 Atenolol 1/H10_01.tif </t>
  </si>
  <si>
    <t xml:space="preserve"> 7159.4951 </t>
  </si>
  <si>
    <t xml:space="preserve"> 76.5015 </t>
  </si>
  <si>
    <t>F:\Données chgh\2020-CHG-CZA-Atenolol-1\plaque 1/@10 Atenolol 1/H10_02- exclu.tif</t>
  </si>
  <si>
    <t xml:space="preserve">F:\Données chgh\2020-CHG-CZA-Atenolol-1\plaque 1/@10 Atenolol 1/H10_03.tif </t>
  </si>
  <si>
    <t xml:space="preserve"> 7678.6126 </t>
  </si>
  <si>
    <t xml:space="preserve"> 80.3408 </t>
  </si>
  <si>
    <t xml:space="preserve">F:\Données chgh\2020-CHG-CZA-Atenolol-1\plaque 1/@10 Atenolol 1/ </t>
  </si>
  <si>
    <t xml:space="preserve"> 70.2539 </t>
  </si>
  <si>
    <t xml:space="preserve"> 5.6825 </t>
  </si>
  <si>
    <t xml:space="preserve"> 397814.25 </t>
  </si>
  <si>
    <t xml:space="preserve"> 274332.388 </t>
  </si>
  <si>
    <t xml:space="preserve">F:\Données chgh\2020-CHG-CZA-Atenolol-1\plaque 1/@11 Atenolol 10/A11_01.tif </t>
  </si>
  <si>
    <t xml:space="preserve"> 6380.8189 </t>
  </si>
  <si>
    <t xml:space="preserve"> 67.3695 </t>
  </si>
  <si>
    <t xml:space="preserve">F:\Données chgh\2020-CHG-CZA-Atenolol-1\plaque 1/@11 Atenolol 10/A11_02.tif </t>
  </si>
  <si>
    <t xml:space="preserve"> 865.1958 </t>
  </si>
  <si>
    <t xml:space="preserve"> 63.025 </t>
  </si>
  <si>
    <t xml:space="preserve">F:\Données chgh\2020-CHG-CZA-Atenolol-1\plaque 1/@11 Atenolol 10/A11_03.tif </t>
  </si>
  <si>
    <t xml:space="preserve"> 61.8462 </t>
  </si>
  <si>
    <t xml:space="preserve">F:\Données chgh\2020-CHG-CZA-Atenolol-1\plaque 1/@11 Atenolol 10/B11_01.tif </t>
  </si>
  <si>
    <t xml:space="preserve"> 6445.7086 </t>
  </si>
  <si>
    <t xml:space="preserve"> 68.8389 </t>
  </si>
  <si>
    <t xml:space="preserve">F:\Données chgh\2020-CHG-CZA-Atenolol-1\plaque 1/@11 Atenolol 10/B11_02.tif </t>
  </si>
  <si>
    <t xml:space="preserve"> 4109.68 </t>
  </si>
  <si>
    <t xml:space="preserve"> 67.7632 </t>
  </si>
  <si>
    <t xml:space="preserve">F:\Données chgh\2020-CHG-CZA-Atenolol-1\plaque 1/@11 Atenolol 10/B11_03.tif </t>
  </si>
  <si>
    <t xml:space="preserve"> 7332.5343 </t>
  </si>
  <si>
    <t xml:space="preserve"> 72.7965 </t>
  </si>
  <si>
    <t xml:space="preserve">F:\Données chgh\2020-CHG-CZA-Atenolol-1\plaque 1/@11 Atenolol 10/C11_01.tif </t>
  </si>
  <si>
    <t xml:space="preserve"> 2725.3667 </t>
  </si>
  <si>
    <t xml:space="preserve"> 69.3254 </t>
  </si>
  <si>
    <t xml:space="preserve">F:\Données chgh\2020-CHG-CZA-Atenolol-1\plaque 1/@11 Atenolol 10/C11_02.tif </t>
  </si>
  <si>
    <t xml:space="preserve"> 4499.0181 </t>
  </si>
  <si>
    <t xml:space="preserve"> 69.4231 </t>
  </si>
  <si>
    <t xml:space="preserve">F:\Données chgh\2020-CHG-CZA-Atenolol-1\plaque 1/@11 Atenolol 10/C11_03.tif </t>
  </si>
  <si>
    <t xml:space="preserve"> 4909.9861 </t>
  </si>
  <si>
    <t xml:space="preserve"> 69.859 </t>
  </si>
  <si>
    <t xml:space="preserve">F:\Données chgh\2020-CHG-CZA-Atenolol-1\plaque 1/@11 Atenolol 10/D11_01.tif </t>
  </si>
  <si>
    <t xml:space="preserve"> 259.5587 </t>
  </si>
  <si>
    <t xml:space="preserve"> 63.1667 </t>
  </si>
  <si>
    <t xml:space="preserve">F:\Données chgh\2020-CHG-CZA-Atenolol-1\plaque 1/@11 Atenolol 10/D11_02.tif </t>
  </si>
  <si>
    <t xml:space="preserve"> 3871.7511 </t>
  </si>
  <si>
    <t xml:space="preserve"> 65.0056 </t>
  </si>
  <si>
    <t>F:\Données chgh\2020-CHG-CZA-Atenolol-1\plaque 1/@11 Atenolol 10/D11_03- exclu.tif</t>
  </si>
  <si>
    <t xml:space="preserve">F:\Données chgh\2020-CHG-CZA-Atenolol-1\plaque 1/@11 Atenolol 10/E11_01.tif </t>
  </si>
  <si>
    <t xml:space="preserve"> 5753.552 </t>
  </si>
  <si>
    <t xml:space="preserve"> 67.1165 </t>
  </si>
  <si>
    <t xml:space="preserve">F:\Données chgh\2020-CHG-CZA-Atenolol-1\plaque 1/@11 Atenolol 10/E11_02.tif </t>
  </si>
  <si>
    <t xml:space="preserve"> 4088.0501 </t>
  </si>
  <si>
    <t xml:space="preserve"> 67.5714 </t>
  </si>
  <si>
    <t xml:space="preserve">F:\Données chgh\2020-CHG-CZA-Atenolol-1\plaque 1/@11 Atenolol 10/E11_03.tif </t>
  </si>
  <si>
    <t xml:space="preserve"> 2141.3596 </t>
  </si>
  <si>
    <t xml:space="preserve"> 64.3434 </t>
  </si>
  <si>
    <t xml:space="preserve">F:\Données chgh\2020-CHG-CZA-Atenolol-1\plaque 1/@11 Atenolol 10/F11_01.tif </t>
  </si>
  <si>
    <t xml:space="preserve"> 6813.4168 </t>
  </si>
  <si>
    <t xml:space="preserve"> 70.8508 </t>
  </si>
  <si>
    <t xml:space="preserve">F:\Données chgh\2020-CHG-CZA-Atenolol-1\plaque 1/@11 Atenolol 10/F11_02.tif </t>
  </si>
  <si>
    <t xml:space="preserve"> 3201.2244 </t>
  </si>
  <si>
    <t xml:space="preserve"> 67.4459 </t>
  </si>
  <si>
    <t xml:space="preserve">F:\Données chgh\2020-CHG-CZA-Atenolol-1\plaque 1/@11 Atenolol 10/F11_03.tif </t>
  </si>
  <si>
    <t xml:space="preserve"> 5126.285 </t>
  </si>
  <si>
    <t xml:space="preserve"> 66.5316 </t>
  </si>
  <si>
    <t xml:space="preserve">F:\Données chgh\2020-CHG-CZA-Atenolol-1\plaque 1/@11 Atenolol 10/G11_01.tif </t>
  </si>
  <si>
    <t xml:space="preserve"> 973.3453 </t>
  </si>
  <si>
    <t xml:space="preserve"> 63.1778 </t>
  </si>
  <si>
    <t xml:space="preserve">F:\Données chgh\2020-CHG-CZA-Atenolol-1\plaque 1/@11 Atenolol 10/G11_02.tif </t>
  </si>
  <si>
    <t xml:space="preserve"> 951.7154 </t>
  </si>
  <si>
    <t xml:space="preserve"> 65.3864 </t>
  </si>
  <si>
    <t xml:space="preserve">F:\Données chgh\2020-CHG-CZA-Atenolol-1\plaque 1/@11 Atenolol 10/G11_03.tif </t>
  </si>
  <si>
    <t xml:space="preserve"> 64.2842 </t>
  </si>
  <si>
    <t xml:space="preserve">F:\Données chgh\2020-CHG-CZA-Atenolol-1\plaque 1/@11 Atenolol 10/H11_01.tif </t>
  </si>
  <si>
    <t xml:space="preserve"> 66.0952 </t>
  </si>
  <si>
    <t xml:space="preserve">F:\Données chgh\2020-CHG-CZA-Atenolol-1\plaque 1/@11 Atenolol 10/H11_02.tif </t>
  </si>
  <si>
    <t xml:space="preserve">F:\Données chgh\2020-CHG-CZA-Atenolol-1\plaque 1/@11 Atenolol 10/H11_03.tif </t>
  </si>
  <si>
    <t xml:space="preserve"> 64.5111 </t>
  </si>
  <si>
    <t xml:space="preserve">F:\Données chgh\2020-CHG-CZA-Atenolol-1\plaque 1/@11 Atenolol 10/ </t>
  </si>
  <si>
    <t xml:space="preserve"> 66.5167 </t>
  </si>
  <si>
    <t xml:space="preserve"> 2.7814 </t>
  </si>
  <si>
    <t xml:space="preserve"> 214123.417 </t>
  </si>
  <si>
    <t xml:space="preserve"> 166347.278 </t>
  </si>
  <si>
    <t xml:space="preserve">F:\Données chgh\2020-CHG-CZA-Atenolol-1\plaque 1/@12  Atenolol 100/A12_01.tif </t>
  </si>
  <si>
    <t xml:space="preserve"> 10014.6412 </t>
  </si>
  <si>
    <t xml:space="preserve"> 69.1404 </t>
  </si>
  <si>
    <t xml:space="preserve">F:\Données chgh\2020-CHG-CZA-Atenolol-1\plaque 1/@12  Atenolol 100/A12_02.tif </t>
  </si>
  <si>
    <t xml:space="preserve"> 7051.3456 </t>
  </si>
  <si>
    <t xml:space="preserve"> 66.2975 </t>
  </si>
  <si>
    <t xml:space="preserve">F:\Données chgh\2020-CHG-CZA-Atenolol-1\plaque 1/@12  Atenolol 100/A12_03.tif </t>
  </si>
  <si>
    <t xml:space="preserve"> 7116.2353 </t>
  </si>
  <si>
    <t xml:space="preserve"> 67.6778 </t>
  </si>
  <si>
    <t xml:space="preserve">F:\Données chgh\2020-CHG-CZA-Atenolol-1\plaque 1/@12  Atenolol 100/B12_01.tif </t>
  </si>
  <si>
    <t xml:space="preserve"> 13951.282 </t>
  </si>
  <si>
    <t xml:space="preserve"> 75.9147 </t>
  </si>
  <si>
    <t xml:space="preserve">F:\Données chgh\2020-CHG-CZA-Atenolol-1\plaque 1/@12  Atenolol 100/B12_02.tif </t>
  </si>
  <si>
    <t xml:space="preserve"> 8392.3991 </t>
  </si>
  <si>
    <t xml:space="preserve"> 72.1418 </t>
  </si>
  <si>
    <t xml:space="preserve">F:\Données chgh\2020-CHG-CZA-Atenolol-1\plaque 1/@12  Atenolol 100/B12_03.tif </t>
  </si>
  <si>
    <t xml:space="preserve"> 13345.645 </t>
  </si>
  <si>
    <t xml:space="preserve"> 79.1005 </t>
  </si>
  <si>
    <t xml:space="preserve">F:\Données chgh\2020-CHG-CZA-Atenolol-1\plaque 1/@12  Atenolol 100/C12_01.tif </t>
  </si>
  <si>
    <t xml:space="preserve"> 7419.0539 </t>
  </si>
  <si>
    <t xml:space="preserve"> 70.898 </t>
  </si>
  <si>
    <t xml:space="preserve">F:\Données chgh\2020-CHG-CZA-Atenolol-1\plaque 1/@12  Atenolol 100/C12_02.tif </t>
  </si>
  <si>
    <t xml:space="preserve"> 2876.776 </t>
  </si>
  <si>
    <t xml:space="preserve"> 64.8346 </t>
  </si>
  <si>
    <t xml:space="preserve">F:\Données chgh\2020-CHG-CZA-Atenolol-1\plaque 1/@12  Atenolol 100/C12_03.tif </t>
  </si>
  <si>
    <t xml:space="preserve"> 5147.9149 </t>
  </si>
  <si>
    <t xml:space="preserve"> 67.3025 </t>
  </si>
  <si>
    <t xml:space="preserve">F:\Données chgh\2020-CHG-CZA-Atenolol-1\plaque 1/@12  Atenolol 100/D12_01.tif </t>
  </si>
  <si>
    <t xml:space="preserve"> 71.1591 </t>
  </si>
  <si>
    <t xml:space="preserve">F:\Données chgh\2020-CHG-CZA-Atenolol-1\plaque 1/@12  Atenolol 100/D12_02.tif </t>
  </si>
  <si>
    <t xml:space="preserve"> 5818.4417 </t>
  </si>
  <si>
    <t xml:space="preserve"> 72.6914 </t>
  </si>
  <si>
    <t xml:space="preserve">F:\Données chgh\2020-CHG-CZA-Atenolol-1\plaque 1/@12  Atenolol 100/D12_03.tif </t>
  </si>
  <si>
    <t xml:space="preserve"> 6034.7406 </t>
  </si>
  <si>
    <t xml:space="preserve"> 70.509 </t>
  </si>
  <si>
    <t xml:space="preserve">F:\Données chgh\2020-CHG-CZA-Atenolol-1\plaque 1/@12  Atenolol 100/E12_01.tif </t>
  </si>
  <si>
    <t xml:space="preserve"> 6964.8261 </t>
  </si>
  <si>
    <t xml:space="preserve"> 64.8292 </t>
  </si>
  <si>
    <t xml:space="preserve">F:\Données chgh\2020-CHG-CZA-Atenolol-1\plaque 1/@12  Atenolol 100/E12_02.tif </t>
  </si>
  <si>
    <t xml:space="preserve"> 63.2174 </t>
  </si>
  <si>
    <t xml:space="preserve">F:\Données chgh\2020-CHG-CZA-Atenolol-1\plaque 1/@12  Atenolol 100/E12_03.tif </t>
  </si>
  <si>
    <t xml:space="preserve"> 4174.5697 </t>
  </si>
  <si>
    <t xml:space="preserve"> 63.7202 </t>
  </si>
  <si>
    <t xml:space="preserve">F:\Données chgh\2020-CHG-CZA-Atenolol-1\plaque 1/@12  Atenolol 100/F12_01.tif </t>
  </si>
  <si>
    <t xml:space="preserve"> 74.1502 </t>
  </si>
  <si>
    <t xml:space="preserve">F:\Données chgh\2020-CHG-CZA-Atenolol-1\plaque 1/@12  Atenolol 100/F12_02.tif </t>
  </si>
  <si>
    <t xml:space="preserve"> 8608.6981 </t>
  </si>
  <si>
    <t xml:space="preserve"> 73.1683 </t>
  </si>
  <si>
    <t xml:space="preserve">F:\Données chgh\2020-CHG-CZA-Atenolol-1\plaque 1/@12  Atenolol 100/F12_03.tif </t>
  </si>
  <si>
    <t xml:space="preserve"> 65.4156 </t>
  </si>
  <si>
    <t xml:space="preserve">F:\Données chgh\2020-CHG-CZA-Atenolol-1\plaque 1/@12  Atenolol 100/G12_01.tif </t>
  </si>
  <si>
    <t xml:space="preserve"> 68.573 </t>
  </si>
  <si>
    <t xml:space="preserve">F:\Données chgh\2020-CHG-CZA-Atenolol-1\plaque 1/@12  Atenolol 100/G12_02.tif </t>
  </si>
  <si>
    <t xml:space="preserve"> 64.9459 </t>
  </si>
  <si>
    <t xml:space="preserve">F:\Données chgh\2020-CHG-CZA-Atenolol-1\plaque 1/@12  Atenolol 100/G12_03.tif </t>
  </si>
  <si>
    <t xml:space="preserve"> 1189.6442 </t>
  </si>
  <si>
    <t xml:space="preserve"> 64.4364 </t>
  </si>
  <si>
    <t xml:space="preserve">F:\Données chgh\2020-CHG-CZA-Atenolol-1\plaque 1/@12  Atenolol 100/H12_01.tif </t>
  </si>
  <si>
    <t xml:space="preserve"> 7981.4311 </t>
  </si>
  <si>
    <t xml:space="preserve"> 73.9024 </t>
  </si>
  <si>
    <t xml:space="preserve">F:\Données chgh\2020-CHG-CZA-Atenolol-1\plaque 1/@12  Atenolol 100/H12_02.tif </t>
  </si>
  <si>
    <t xml:space="preserve"> 9928.1216 </t>
  </si>
  <si>
    <t xml:space="preserve"> 70.9216 </t>
  </si>
  <si>
    <t xml:space="preserve">F:\Données chgh\2020-CHG-CZA-Atenolol-1\plaque 1/@12  Atenolol 100/H12_03.tif </t>
  </si>
  <si>
    <t xml:space="preserve"> 6272.6694 </t>
  </si>
  <si>
    <t xml:space="preserve"> 70.6448 </t>
  </si>
  <si>
    <t xml:space="preserve">F:\Données chgh\2020-CHG-CZA-Atenolol-1\plaque 1/@12  Atenolol 100/ </t>
  </si>
  <si>
    <t xml:space="preserve"> 69.3997 </t>
  </si>
  <si>
    <t xml:space="preserve"> 4.2358 </t>
  </si>
  <si>
    <t xml:space="preserve"> 469974.375 </t>
  </si>
  <si>
    <t xml:space="preserve"> 272528.942 </t>
  </si>
  <si>
    <t xml:space="preserve">F:\Données chgh\2020-CHG-CZA-Atenolol-1\plaque 2/@13 Testo 30/A1_01.tif </t>
  </si>
  <si>
    <t xml:space="preserve"> 40599.3122 </t>
  </si>
  <si>
    <t xml:space="preserve"> 71.3623 </t>
  </si>
  <si>
    <t>F:\Données chgh\2020-CHG-CZA-Atenolol-1\plaque 2/@13 Testo 30/A1_02- exclu.tif</t>
  </si>
  <si>
    <t xml:space="preserve">F:\Données chgh\2020-CHG-CZA-Atenolol-1\plaque 2/@13 Testo 30/A1_03.tif </t>
  </si>
  <si>
    <t xml:space="preserve"> 38566.1021 </t>
  </si>
  <si>
    <t xml:space="preserve"> 72.0376 </t>
  </si>
  <si>
    <t xml:space="preserve">F:\Données chgh\2020-CHG-CZA-Atenolol-1\plaque 2/@13 Testo 30/B1_01.tif </t>
  </si>
  <si>
    <t xml:space="preserve"> 29048.9485 </t>
  </si>
  <si>
    <t xml:space="preserve"> 67.2241 </t>
  </si>
  <si>
    <t>F:\Données chgh\2020-CHG-CZA-Atenolol-1\plaque 2/@13 Testo 30/B1_02- exclu.tif</t>
  </si>
  <si>
    <t xml:space="preserve">F:\Données chgh\2020-CHG-CZA-Atenolol-1\plaque 2/@13 Testo 30/B1_03.tif </t>
  </si>
  <si>
    <t xml:space="preserve"> 27967.4538 </t>
  </si>
  <si>
    <t xml:space="preserve"> 67.9776 </t>
  </si>
  <si>
    <t xml:space="preserve">F:\Données chgh\2020-CHG-CZA-Atenolol-1\plaque 2/@13 Testo 30/C1_01.tif </t>
  </si>
  <si>
    <t xml:space="preserve"> 35408.1375 </t>
  </si>
  <si>
    <t xml:space="preserve"> 70.8363 </t>
  </si>
  <si>
    <t xml:space="preserve">F:\Données chgh\2020-CHG-CZA-Atenolol-1\plaque 2/@13 Testo 30/C1_02.tif </t>
  </si>
  <si>
    <t xml:space="preserve"> 37484.6074 </t>
  </si>
  <si>
    <t xml:space="preserve"> 69.6145 </t>
  </si>
  <si>
    <t xml:space="preserve">F:\Données chgh\2020-CHG-CZA-Atenolol-1\plaque 2/@13 Testo 30/C1_03.tif </t>
  </si>
  <si>
    <t xml:space="preserve"> 41161.6895 </t>
  </si>
  <si>
    <t xml:space="preserve"> 70.2985 </t>
  </si>
  <si>
    <t xml:space="preserve">F:\Données chgh\2020-CHG-CZA-Atenolol-1\plaque 2/@13 Testo 30/D1_01.tif </t>
  </si>
  <si>
    <t xml:space="preserve"> 61126.0822 </t>
  </si>
  <si>
    <t xml:space="preserve"> 74.6684 </t>
  </si>
  <si>
    <t xml:space="preserve">F:\Données chgh\2020-CHG-CZA-Atenolol-1\plaque 2/@13 Testo 30/D1_02.tif </t>
  </si>
  <si>
    <t xml:space="preserve"> 55350.9004 </t>
  </si>
  <si>
    <t xml:space="preserve"> 74.5233 </t>
  </si>
  <si>
    <t xml:space="preserve">F:\Données chgh\2020-CHG-CZA-Atenolol-1\plaque 2/@13 Testo 30/D1_03.tif </t>
  </si>
  <si>
    <t xml:space="preserve"> 58184.4166 </t>
  </si>
  <si>
    <t xml:space="preserve"> 74.9888 </t>
  </si>
  <si>
    <t xml:space="preserve">F:\Données chgh\2020-CHG-CZA-Atenolol-1\plaque 2/@13 Testo 30/E1_01.tif </t>
  </si>
  <si>
    <t xml:space="preserve"> 58941.4629 </t>
  </si>
  <si>
    <t xml:space="preserve"> 74.4294 </t>
  </si>
  <si>
    <t xml:space="preserve">F:\Données chgh\2020-CHG-CZA-Atenolol-1\plaque 2/@13 Testo 30/E1_02.tif </t>
  </si>
  <si>
    <t xml:space="preserve"> 57795.0784 </t>
  </si>
  <si>
    <t xml:space="preserve"> 73.6482 </t>
  </si>
  <si>
    <t xml:space="preserve">F:\Données chgh\2020-CHG-CZA-Atenolol-1\plaque 2/@13 Testo 30/E1_03.tif </t>
  </si>
  <si>
    <t xml:space="preserve"> 66295.627 </t>
  </si>
  <si>
    <t xml:space="preserve"> 74.4427 </t>
  </si>
  <si>
    <t xml:space="preserve">F:\Données chgh\2020-CHG-CZA-Atenolol-1\plaque 2/@13 Testo 30/F1_01.tif </t>
  </si>
  <si>
    <t xml:space="preserve"> 72827.8552 </t>
  </si>
  <si>
    <t xml:space="preserve"> 82.61 </t>
  </si>
  <si>
    <t xml:space="preserve">F:\Données chgh\2020-CHG-CZA-Atenolol-1\plaque 2/@13 Testo 30/F1_02.tif </t>
  </si>
  <si>
    <t xml:space="preserve"> 62834.8439 </t>
  </si>
  <si>
    <t xml:space="preserve"> 78.4923 </t>
  </si>
  <si>
    <t xml:space="preserve">F:\Données chgh\2020-CHG-CZA-Atenolol-1\plaque 2/@13 Testo 30/F1_03.tif </t>
  </si>
  <si>
    <t xml:space="preserve"> 59503.8401 </t>
  </si>
  <si>
    <t xml:space="preserve"> 78.5743 </t>
  </si>
  <si>
    <t xml:space="preserve">F:\Données chgh\2020-CHG-CZA-Atenolol-1\plaque 2/@13 Testo 30/G1_01.tif </t>
  </si>
  <si>
    <t xml:space="preserve"> 39777.3762 </t>
  </si>
  <si>
    <t xml:space="preserve"> 73.8793 </t>
  </si>
  <si>
    <t xml:space="preserve">F:\Données chgh\2020-CHG-CZA-Atenolol-1\plaque 2/@13 Testo 30/G1_02.tif </t>
  </si>
  <si>
    <t xml:space="preserve"> 37700.9063 </t>
  </si>
  <si>
    <t xml:space="preserve"> 72.5909 </t>
  </si>
  <si>
    <t xml:space="preserve">F:\Données chgh\2020-CHG-CZA-Atenolol-1\plaque 2/@13 Testo 30/G1_03.tif </t>
  </si>
  <si>
    <t xml:space="preserve"> 35581.1767 </t>
  </si>
  <si>
    <t xml:space="preserve"> 74.0176 </t>
  </si>
  <si>
    <t>F:\Données chgh\2020-CHG-CZA-Atenolol-1\plaque 2/@13 Testo 30/H1_01- exclu.tif</t>
  </si>
  <si>
    <t xml:space="preserve">F:\Données chgh\2020-CHG-CZA-Atenolol-1\plaque 2/@13 Testo 30/H1_02.tif </t>
  </si>
  <si>
    <t xml:space="preserve"> 51435.8894 </t>
  </si>
  <si>
    <t xml:space="preserve"> 72.434 </t>
  </si>
  <si>
    <t xml:space="preserve">F:\Données chgh\2020-CHG-CZA-Atenolol-1\plaque 2/@13 Testo 30/H1_03.tif </t>
  </si>
  <si>
    <t xml:space="preserve"> 40750.7215 </t>
  </si>
  <si>
    <t xml:space="preserve"> 71.8232 </t>
  </si>
  <si>
    <t xml:space="preserve">F:\Données chgh\2020-CHG-CZA-Atenolol-1\plaque 2/@13 Testo 30/ </t>
  </si>
  <si>
    <t xml:space="preserve"> 72.8451 </t>
  </si>
  <si>
    <t xml:space="preserve"> 3.6563 </t>
  </si>
  <si>
    <t xml:space="preserve"> 3357666.21 </t>
  </si>
  <si>
    <t xml:space="preserve"> 1219439.28 </t>
  </si>
  <si>
    <t xml:space="preserve">F:\Données chgh\2020-CHG-CZA-Atenolol-1\plaque 2/@14 Testo 30/A2_01.tif </t>
  </si>
  <si>
    <t xml:space="preserve"> 18407.0403 </t>
  </si>
  <si>
    <t xml:space="preserve"> 67.215 </t>
  </si>
  <si>
    <t xml:space="preserve">F:\Données chgh\2020-CHG-CZA-Atenolol-1\plaque 2/@14 Testo 30/A2_02.tif </t>
  </si>
  <si>
    <t xml:space="preserve"> 25847.7241 </t>
  </si>
  <si>
    <t xml:space="preserve"> 69.3657 </t>
  </si>
  <si>
    <t xml:space="preserve">F:\Données chgh\2020-CHG-CZA-Atenolol-1\plaque 2/@14 Testo 30/A2_03.tif </t>
  </si>
  <si>
    <t xml:space="preserve"> 14621.8088 </t>
  </si>
  <si>
    <t xml:space="preserve"> 66.1923 </t>
  </si>
  <si>
    <t xml:space="preserve">F:\Données chgh\2020-CHG-CZA-Atenolol-1\plaque 2/@14 Testo 30/B2_01.tif </t>
  </si>
  <si>
    <t xml:space="preserve"> 45552.5581 </t>
  </si>
  <si>
    <t xml:space="preserve"> 73.3414 </t>
  </si>
  <si>
    <t xml:space="preserve">F:\Données chgh\2020-CHG-CZA-Atenolol-1\plaque 2/@14 Testo 30/B2_02.tif </t>
  </si>
  <si>
    <t xml:space="preserve"> 51522.409 </t>
  </si>
  <si>
    <t xml:space="preserve"> 73.492 </t>
  </si>
  <si>
    <t xml:space="preserve">F:\Données chgh\2020-CHG-CZA-Atenolol-1\plaque 2/@14 Testo 30/B2_03.tif </t>
  </si>
  <si>
    <t xml:space="preserve"> 46677.3126 </t>
  </si>
  <si>
    <t xml:space="preserve"> 72.9954 </t>
  </si>
  <si>
    <t xml:space="preserve">F:\Données chgh\2020-CHG-CZA-Atenolol-1\plaque 2/@14 Testo 30/C2_01.tif </t>
  </si>
  <si>
    <t xml:space="preserve"> 30390.002 </t>
  </si>
  <si>
    <t xml:space="preserve"> 68.3986 </t>
  </si>
  <si>
    <t xml:space="preserve">F:\Données chgh\2020-CHG-CZA-Atenolol-1\plaque 2/@14 Testo 30/C2_02.tif </t>
  </si>
  <si>
    <t xml:space="preserve"> 30779.3401 </t>
  </si>
  <si>
    <t xml:space="preserve"> 67.922 </t>
  </si>
  <si>
    <t>F:\Données chgh\2020-CHG-CZA-Atenolol-1\plaque 2/@14 Testo 30/C2_03- exclu.tif</t>
  </si>
  <si>
    <t xml:space="preserve">F:\Données chgh\2020-CHG-CZA-Atenolol-1\plaque 2/@14 Testo 30/D2_01.tif </t>
  </si>
  <si>
    <t xml:space="preserve"> 70383.6771 </t>
  </si>
  <si>
    <t xml:space="preserve"> 78.6051 </t>
  </si>
  <si>
    <t xml:space="preserve">F:\Données chgh\2020-CHG-CZA-Atenolol-1\plaque 2/@14 Testo 30/D2_02.tif </t>
  </si>
  <si>
    <t xml:space="preserve"> 76.9247 </t>
  </si>
  <si>
    <t xml:space="preserve">F:\Données chgh\2020-CHG-CZA-Atenolol-1\plaque 2/@14 Testo 30/D2_03.tif </t>
  </si>
  <si>
    <t xml:space="preserve"> 68285.5773 </t>
  </si>
  <si>
    <t xml:space="preserve"> 75.8533 </t>
  </si>
  <si>
    <t xml:space="preserve">F:\Données chgh\2020-CHG-CZA-Atenolol-1\plaque 2/@14 Testo 30/E2_01.tif </t>
  </si>
  <si>
    <t xml:space="preserve"> 47542.5084 </t>
  </si>
  <si>
    <t xml:space="preserve"> 70.955 </t>
  </si>
  <si>
    <t xml:space="preserve">F:\Données chgh\2020-CHG-CZA-Atenolol-1\plaque 2/@14 Testo 30/E2_02.tif </t>
  </si>
  <si>
    <t xml:space="preserve"> 35278.3581 </t>
  </si>
  <si>
    <t xml:space="preserve"> 69.0343 </t>
  </si>
  <si>
    <t>F:\Données chgh\2020-CHG-CZA-Atenolol-1\plaque 2/@14 Testo 30/E2_03- exclu.tif</t>
  </si>
  <si>
    <t xml:space="preserve">F:\Données chgh\2020-CHG-CZA-Atenolol-1\plaque 2/@14 Testo 30/F2_01.tif </t>
  </si>
  <si>
    <t xml:space="preserve"> 47326.2094 </t>
  </si>
  <si>
    <t xml:space="preserve"> 74.0411 </t>
  </si>
  <si>
    <t xml:space="preserve">F:\Données chgh\2020-CHG-CZA-Atenolol-1\plaque 2/@14 Testo 30/F2_02.tif </t>
  </si>
  <si>
    <t xml:space="preserve"> 45163.22 </t>
  </si>
  <si>
    <t xml:space="preserve"> 71.9861 </t>
  </si>
  <si>
    <t xml:space="preserve">F:\Données chgh\2020-CHG-CZA-Atenolol-1\plaque 2/@14 Testo 30/F2_03.tif </t>
  </si>
  <si>
    <t xml:space="preserve"> 43822.1665 </t>
  </si>
  <si>
    <t xml:space="preserve"> 72.3697 </t>
  </si>
  <si>
    <t xml:space="preserve">F:\Données chgh\2020-CHG-CZA-Atenolol-1\plaque 2/@14 Testo 30/G2_01.tif </t>
  </si>
  <si>
    <t xml:space="preserve"> 30260.2226 </t>
  </si>
  <si>
    <t xml:space="preserve"> 71.3388 </t>
  </si>
  <si>
    <t xml:space="preserve">F:\Données chgh\2020-CHG-CZA-Atenolol-1\plaque 2/@14 Testo 30/G2_02.tif </t>
  </si>
  <si>
    <t xml:space="preserve"> 25566.5355 </t>
  </si>
  <si>
    <t xml:space="preserve"> 68.4492 </t>
  </si>
  <si>
    <t xml:space="preserve">F:\Données chgh\2020-CHG-CZA-Atenolol-1\plaque 2/@14 Testo 30/G2_03.tif </t>
  </si>
  <si>
    <t xml:space="preserve"> 20029.2824 </t>
  </si>
  <si>
    <t xml:space="preserve"> 68.3013 </t>
  </si>
  <si>
    <t>F:\Données chgh\2020-CHG-CZA-Atenolol-1\plaque 2/@14 Testo 30/H2_01- exclu.tif</t>
  </si>
  <si>
    <t xml:space="preserve">F:\Données chgh\2020-CHG-CZA-Atenolol-1\plaque 2/@14 Testo 30/H2_02.tif </t>
  </si>
  <si>
    <t xml:space="preserve"> 49532.4587 </t>
  </si>
  <si>
    <t xml:space="preserve"> 69.793 </t>
  </si>
  <si>
    <t xml:space="preserve">F:\Données chgh\2020-CHG-CZA-Atenolol-1\plaque 2/@14 Testo 30/H2_03.tif </t>
  </si>
  <si>
    <t xml:space="preserve"> 49510.8288 </t>
  </si>
  <si>
    <t xml:space="preserve"> 70.7938 </t>
  </si>
  <si>
    <t xml:space="preserve">F:\Données chgh\2020-CHG-CZA-Atenolol-1\plaque 2/@14 Testo 30/ </t>
  </si>
  <si>
    <t xml:space="preserve"> 70.6858 </t>
  </si>
  <si>
    <t xml:space="preserve"> 3.5889 </t>
  </si>
  <si>
    <t xml:space="preserve"> 2774793.79 </t>
  </si>
  <si>
    <t xml:space="preserve"> 1366330.62 </t>
  </si>
  <si>
    <t xml:space="preserve">F:\Données chgh\2020-CHG-CZA-Atenolol-1\plaque 2/@15 Testo + EE2/A3_01.tif </t>
  </si>
  <si>
    <t xml:space="preserve"> 16460.3498 </t>
  </si>
  <si>
    <t xml:space="preserve"> 70.0302 </t>
  </si>
  <si>
    <t>F:\Données chgh\2020-CHG-CZA-Atenolol-1\plaque 2/@15 Testo + EE2/A3_02- exclu.tif</t>
  </si>
  <si>
    <t>F:\Données chgh\2020-CHG-CZA-Atenolol-1\plaque 2/@15 Testo + EE2/A3_03- exclu.tif</t>
  </si>
  <si>
    <t xml:space="preserve">F:\Données chgh\2020-CHG-CZA-Atenolol-1\plaque 2/@15 Testo + EE2/B3_01.tif </t>
  </si>
  <si>
    <t xml:space="preserve"> 61796.609 </t>
  </si>
  <si>
    <t xml:space="preserve"> 85.5744 </t>
  </si>
  <si>
    <t xml:space="preserve">F:\Données chgh\2020-CHG-CZA-Atenolol-1\plaque 2/@15 Testo + EE2/B3_02.tif </t>
  </si>
  <si>
    <t xml:space="preserve"> 56454.025 </t>
  </si>
  <si>
    <t xml:space="preserve"> 83.2487 </t>
  </si>
  <si>
    <t xml:space="preserve">F:\Données chgh\2020-CHG-CZA-Atenolol-1\plaque 2/@15 Testo + EE2/B3_03.tif </t>
  </si>
  <si>
    <t xml:space="preserve"> 58552.1248 </t>
  </si>
  <si>
    <t xml:space="preserve"> 83.7318 </t>
  </si>
  <si>
    <t xml:space="preserve">F:\Données chgh\2020-CHG-CZA-Atenolol-1\plaque 2/@15 Testo + EE2/C3_01.tif </t>
  </si>
  <si>
    <t xml:space="preserve"> 56086.3168 </t>
  </si>
  <si>
    <t xml:space="preserve"> 86.1751 </t>
  </si>
  <si>
    <t xml:space="preserve">F:\Données chgh\2020-CHG-CZA-Atenolol-1\plaque 2/@15 Testo + EE2/C3_02.tif </t>
  </si>
  <si>
    <t xml:space="preserve"> 54593.854 </t>
  </si>
  <si>
    <t xml:space="preserve"> 87.6894 </t>
  </si>
  <si>
    <t xml:space="preserve">F:\Données chgh\2020-CHG-CZA-Atenolol-1\plaque 2/@15 Testo + EE2/C3_03.tif </t>
  </si>
  <si>
    <t xml:space="preserve"> 46114.9353 </t>
  </si>
  <si>
    <t xml:space="preserve"> 84.5324 </t>
  </si>
  <si>
    <t xml:space="preserve">F:\Données chgh\2020-CHG-CZA-Atenolol-1\plaque 2/@15 Testo + EE2/D3_01.tif </t>
  </si>
  <si>
    <t xml:space="preserve"> 63224.182 </t>
  </si>
  <si>
    <t xml:space="preserve"> 87.5994 </t>
  </si>
  <si>
    <t xml:space="preserve">F:\Données chgh\2020-CHG-CZA-Atenolol-1\plaque 2/@15 Testo + EE2/D3_02.tif </t>
  </si>
  <si>
    <t xml:space="preserve"> 57232.7012 </t>
  </si>
  <si>
    <t xml:space="preserve"> 87.3201 </t>
  </si>
  <si>
    <t xml:space="preserve">F:\Données chgh\2020-CHG-CZA-Atenolol-1\plaque 2/@15 Testo + EE2/D3_03.tif </t>
  </si>
  <si>
    <t xml:space="preserve"> 57643.6692 </t>
  </si>
  <si>
    <t xml:space="preserve"> 87.7452 </t>
  </si>
  <si>
    <t xml:space="preserve">F:\Données chgh\2020-CHG-CZA-Atenolol-1\plaque 2/@15 Testo + EE2/E3_01.tif </t>
  </si>
  <si>
    <t xml:space="preserve"> 49337.7896 </t>
  </si>
  <si>
    <t xml:space="preserve"> 79.4064 </t>
  </si>
  <si>
    <t xml:space="preserve">F:\Données chgh\2020-CHG-CZA-Atenolol-1\plaque 2/@15 Testo + EE2/E3_02.tif </t>
  </si>
  <si>
    <t xml:space="preserve"> 46093.3055 </t>
  </si>
  <si>
    <t xml:space="preserve"> 81.8625 </t>
  </si>
  <si>
    <t xml:space="preserve">F:\Données chgh\2020-CHG-CZA-Atenolol-1\plaque 2/@15 Testo + EE2/E3_03.tif </t>
  </si>
  <si>
    <t xml:space="preserve"> 49986.6865 </t>
  </si>
  <si>
    <t xml:space="preserve"> 80.8888 </t>
  </si>
  <si>
    <t>F:\Données chgh\2020-CHG-CZA-Atenolol-1\plaque 2/@15 Testo + EE2/F3_01- exclu.tif</t>
  </si>
  <si>
    <t>F:\Données chgh\2020-CHG-CZA-Atenolol-1\plaque 2/@15 Testo + EE2/F3_02- exclu.tif</t>
  </si>
  <si>
    <t>F:\Données chgh\2020-CHG-CZA-Atenolol-1\plaque 2/@15 Testo + EE2/F3_03- exclu.tif</t>
  </si>
  <si>
    <t xml:space="preserve">F:\Données chgh\2020-CHG-CZA-Atenolol-1\plaque 2/@15 Testo + EE2/G3_01.tif </t>
  </si>
  <si>
    <t xml:space="preserve"> 64846.4241 </t>
  </si>
  <si>
    <t xml:space="preserve"> 81.1468 </t>
  </si>
  <si>
    <t xml:space="preserve">F:\Données chgh\2020-CHG-CZA-Atenolol-1\plaque 2/@15 Testo + EE2/G3_02.tif </t>
  </si>
  <si>
    <t xml:space="preserve"> 63029.5129 </t>
  </si>
  <si>
    <t xml:space="preserve"> 84.4485 </t>
  </si>
  <si>
    <t xml:space="preserve">F:\Données chgh\2020-CHG-CZA-Atenolol-1\plaque 2/@15 Testo + EE2/G3_03.tif </t>
  </si>
  <si>
    <t xml:space="preserve"> 62640.1748 </t>
  </si>
  <si>
    <t xml:space="preserve"> 82.7155 </t>
  </si>
  <si>
    <t xml:space="preserve">F:\Données chgh\2020-CHG-CZA-Atenolol-1\plaque 2/@15 Testo + EE2/H3_01.tif </t>
  </si>
  <si>
    <t xml:space="preserve"> 49229.6402 </t>
  </si>
  <si>
    <t xml:space="preserve"> 75.6199 </t>
  </si>
  <si>
    <t xml:space="preserve">F:\Données chgh\2020-CHG-CZA-Atenolol-1\plaque 2/@15 Testo + EE2/H3_02.tif </t>
  </si>
  <si>
    <t xml:space="preserve"> 48018.3661 </t>
  </si>
  <si>
    <t xml:space="preserve"> 75.6536 </t>
  </si>
  <si>
    <t xml:space="preserve">F:\Données chgh\2020-CHG-CZA-Atenolol-1\plaque 2/@15 Testo + EE2/H3_03.tif </t>
  </si>
  <si>
    <t xml:space="preserve"> 41897.1059 </t>
  </si>
  <si>
    <t xml:space="preserve"> 77.5462 </t>
  </si>
  <si>
    <t xml:space="preserve">F:\Données chgh\2020-CHG-CZA-Atenolol-1\plaque 2/@15 Testo + EE2/ </t>
  </si>
  <si>
    <t xml:space="preserve"> 79.5449 </t>
  </si>
  <si>
    <t xml:space="preserve"> 7.2917 </t>
  </si>
  <si>
    <t xml:space="preserve"> 3564704.79 </t>
  </si>
  <si>
    <t xml:space="preserve"> 1876211.61 </t>
  </si>
  <si>
    <t xml:space="preserve">F:\Données chgh\2020-CHG-CZA-Atenolol-1\plaque 2/@16 Testo + FAD/A4_01.tif </t>
  </si>
  <si>
    <t xml:space="preserve"> 5558.8829 </t>
  </si>
  <si>
    <t xml:space="preserve"> 77.4436 </t>
  </si>
  <si>
    <t xml:space="preserve">F:\Données chgh\2020-CHG-CZA-Atenolol-1\plaque 2/@16 Testo + FAD/A4_02.tif </t>
  </si>
  <si>
    <t xml:space="preserve"> 64.1944 </t>
  </si>
  <si>
    <t xml:space="preserve">F:\Données chgh\2020-CHG-CZA-Atenolol-1\plaque 2/@16 Testo + FAD/A4_03.tif </t>
  </si>
  <si>
    <t xml:space="preserve"> 5883.3313 </t>
  </si>
  <si>
    <t xml:space="preserve"> 73.8713 </t>
  </si>
  <si>
    <t xml:space="preserve">F:\Données chgh\2020-CHG-CZA-Atenolol-1\plaque 2/@16 Testo + FAD/B4_01.tif </t>
  </si>
  <si>
    <t xml:space="preserve"> 12999.5667 </t>
  </si>
  <si>
    <t xml:space="preserve"> 76.8552 </t>
  </si>
  <si>
    <t xml:space="preserve">F:\Données chgh\2020-CHG-CZA-Atenolol-1\plaque 2/@16 Testo + FAD/B4_02.tif </t>
  </si>
  <si>
    <t xml:space="preserve"> 7397.424 </t>
  </si>
  <si>
    <t xml:space="preserve"> 73.8246 </t>
  </si>
  <si>
    <t xml:space="preserve">F:\Données chgh\2020-CHG-CZA-Atenolol-1\plaque 2/@16 Testo + FAD/B4_03.tif </t>
  </si>
  <si>
    <t xml:space="preserve"> 8738.4774 </t>
  </si>
  <si>
    <t xml:space="preserve"> 72.9851 </t>
  </si>
  <si>
    <t xml:space="preserve">F:\Données chgh\2020-CHG-CZA-Atenolol-1\plaque 2/@16 Testo + FAD/C4_01.tif </t>
  </si>
  <si>
    <t xml:space="preserve"> 68.2455 </t>
  </si>
  <si>
    <t xml:space="preserve">F:\Données chgh\2020-CHG-CZA-Atenolol-1\plaque 2/@16 Testo + FAD/C4_02.tif </t>
  </si>
  <si>
    <t xml:space="preserve"> 65.8343 </t>
  </si>
  <si>
    <t xml:space="preserve">F:\Données chgh\2020-CHG-CZA-Atenolol-1\plaque 2/@16 Testo + FAD/C4_03.tif </t>
  </si>
  <si>
    <t xml:space="preserve"> 8716.8475 </t>
  </si>
  <si>
    <t xml:space="preserve"> 70.3251 </t>
  </si>
  <si>
    <t xml:space="preserve">F:\Données chgh\2020-CHG-CZA-Atenolol-1\plaque 2/@16 Testo + FAD/D4_01.tif </t>
  </si>
  <si>
    <t xml:space="preserve"> 4044.7903 </t>
  </si>
  <si>
    <t xml:space="preserve"> 67.2567 </t>
  </si>
  <si>
    <t xml:space="preserve">F:\Données chgh\2020-CHG-CZA-Atenolol-1\plaque 2/@16 Testo + FAD/D4_02.tif </t>
  </si>
  <si>
    <t xml:space="preserve"> 7440.6838 </t>
  </si>
  <si>
    <t xml:space="preserve"> 81.843 </t>
  </si>
  <si>
    <t xml:space="preserve">F:\Données chgh\2020-CHG-CZA-Atenolol-1\plaque 2/@16 Testo + FAD/D4_03.tif </t>
  </si>
  <si>
    <t xml:space="preserve"> 69.9053 </t>
  </si>
  <si>
    <t xml:space="preserve">F:\Données chgh\2020-CHG-CZA-Atenolol-1\plaque 2/@16 Testo + FAD/E4_01.tif </t>
  </si>
  <si>
    <t xml:space="preserve"> 9776.7124 </t>
  </si>
  <si>
    <t xml:space="preserve"> 73.9491 </t>
  </si>
  <si>
    <t xml:space="preserve">F:\Données chgh\2020-CHG-CZA-Atenolol-1\plaque 2/@16 Testo + FAD/E4_02.tif </t>
  </si>
  <si>
    <t xml:space="preserve"> 6986.456 </t>
  </si>
  <si>
    <t xml:space="preserve"> 71.4923 </t>
  </si>
  <si>
    <t xml:space="preserve">F:\Données chgh\2020-CHG-CZA-Atenolol-1\plaque 2/@16 Testo + FAD/E4_03.tif </t>
  </si>
  <si>
    <t xml:space="preserve"> 73.3985 </t>
  </si>
  <si>
    <t xml:space="preserve">F:\Données chgh\2020-CHG-CZA-Atenolol-1\plaque 2/@16 Testo + FAD/F4_01.tif </t>
  </si>
  <si>
    <t xml:space="preserve"> 8219.36 </t>
  </si>
  <si>
    <t xml:space="preserve"> 74.5895 </t>
  </si>
  <si>
    <t>F:\Données chgh\2020-CHG-CZA-Atenolol-1\plaque 2/@16 Testo + FAD/F4_02- exclu.tif</t>
  </si>
  <si>
    <t xml:space="preserve">F:\Données chgh\2020-CHG-CZA-Atenolol-1\plaque 2/@16 Testo + FAD/F4_03.tif </t>
  </si>
  <si>
    <t xml:space="preserve"> 2487.4379 </t>
  </si>
  <si>
    <t xml:space="preserve"> 67.3652 </t>
  </si>
  <si>
    <t xml:space="preserve">F:\Données chgh\2020-CHG-CZA-Atenolol-1\plaque 2/@16 Testo + FAD/G4_01.tif </t>
  </si>
  <si>
    <t xml:space="preserve"> 68.101 </t>
  </si>
  <si>
    <t xml:space="preserve">F:\Données chgh\2020-CHG-CZA-Atenolol-1\plaque 2/@16 Testo + FAD/G4_02.tif </t>
  </si>
  <si>
    <t xml:space="preserve"> 70.5685 </t>
  </si>
  <si>
    <t xml:space="preserve">F:\Données chgh\2020-CHG-CZA-Atenolol-1\plaque 2/@16 Testo + FAD/G4_03.tif </t>
  </si>
  <si>
    <t xml:space="preserve"> 62.9533 </t>
  </si>
  <si>
    <t>F:\Données chgh\2020-CHG-CZA-Atenolol-1\plaque 2/@16 Testo + FAD/H4_01- exclu.tif</t>
  </si>
  <si>
    <t>F:\Données chgh\2020-CHG-CZA-Atenolol-1\plaque 2/@16 Testo + FAD/H4_02- exclu.tif</t>
  </si>
  <si>
    <t>F:\Données chgh\2020-CHG-CZA-Atenolol-1\plaque 2/@16 Testo + FAD/H4_03- exclu.tif</t>
  </si>
  <si>
    <t xml:space="preserve">F:\Données chgh\2020-CHG-CZA-Atenolol-1\plaque 2/@16 Testo + FAD/ </t>
  </si>
  <si>
    <t xml:space="preserve"> 69.9532 </t>
  </si>
  <si>
    <t xml:space="preserve"> 5.224 </t>
  </si>
  <si>
    <t xml:space="preserve"> 395020.542 </t>
  </si>
  <si>
    <t xml:space="preserve"> 269856.745 </t>
  </si>
  <si>
    <t>F:\Données chgh\2020-CHG-CZA-Atenolol-1\plaque 2/@17 Testo +  Atenolol 0.01/A5_01- exclu.tif</t>
  </si>
  <si>
    <t xml:space="preserve">F:\Données chgh\2020-CHG-CZA-Atenolol-1\plaque 2/@17 Testo +  Atenolol 0.01/A5_02.tif </t>
  </si>
  <si>
    <t xml:space="preserve"> 53274.4305 </t>
  </si>
  <si>
    <t xml:space="preserve"> 75.1478 </t>
  </si>
  <si>
    <t xml:space="preserve">F:\Données chgh\2020-CHG-CZA-Atenolol-1\plaque 2/@17 Testo +  Atenolol 0.01/A5_03.tif </t>
  </si>
  <si>
    <t xml:space="preserve"> 53058.1315 </t>
  </si>
  <si>
    <t xml:space="preserve"> 73.3506 </t>
  </si>
  <si>
    <t xml:space="preserve">F:\Données chgh\2020-CHG-CZA-Atenolol-1\plaque 2/@17 Testo +  Atenolol 0.01/B5_01.tif </t>
  </si>
  <si>
    <t xml:space="preserve"> 43584.2377 </t>
  </si>
  <si>
    <t xml:space="preserve"> 74.3117 </t>
  </si>
  <si>
    <t>F:\Données chgh\2020-CHG-CZA-Atenolol-1\plaque 2/@17 Testo +  Atenolol 0.01/B5_02- exclu.tif</t>
  </si>
  <si>
    <t xml:space="preserve">F:\Données chgh\2020-CHG-CZA-Atenolol-1\plaque 2/@17 Testo +  Atenolol 0.01/B5_03.tif </t>
  </si>
  <si>
    <t xml:space="preserve"> 47499.2486 </t>
  </si>
  <si>
    <t xml:space="preserve"> 75.9385 </t>
  </si>
  <si>
    <t xml:space="preserve">F:\Données chgh\2020-CHG-CZA-Atenolol-1\plaque 2/@17 Testo +  Atenolol 0.01/C5_01.tif </t>
  </si>
  <si>
    <t xml:space="preserve"> 31882.4647 </t>
  </si>
  <si>
    <t xml:space="preserve"> 79.8575 </t>
  </si>
  <si>
    <t xml:space="preserve">F:\Données chgh\2020-CHG-CZA-Atenolol-1\plaque 2/@17 Testo +  Atenolol 0.01/C5_02.tif </t>
  </si>
  <si>
    <t xml:space="preserve"> 34131.9737 </t>
  </si>
  <si>
    <t xml:space="preserve"> 75.7091 </t>
  </si>
  <si>
    <t xml:space="preserve">F:\Données chgh\2020-CHG-CZA-Atenolol-1\plaque 2/@17 Testo +  Atenolol 0.01/C5_03.tif </t>
  </si>
  <si>
    <t xml:space="preserve"> 30692.8205 </t>
  </si>
  <si>
    <t xml:space="preserve"> 78.4172 </t>
  </si>
  <si>
    <t xml:space="preserve">F:\Données chgh\2020-CHG-CZA-Atenolol-1\plaque 2/@17 Testo +  Atenolol 0.01/D5_01.tif </t>
  </si>
  <si>
    <t xml:space="preserve"> 17109.2467 </t>
  </si>
  <si>
    <t xml:space="preserve"> 68.1719 </t>
  </si>
  <si>
    <t xml:space="preserve">F:\Données chgh\2020-CHG-CZA-Atenolol-1\plaque 2/@17 Testo +  Atenolol 0.01/D5_02.tif </t>
  </si>
  <si>
    <t xml:space="preserve"> 17001.0972 </t>
  </si>
  <si>
    <t xml:space="preserve"> 68.4491 </t>
  </si>
  <si>
    <t xml:space="preserve">F:\Données chgh\2020-CHG-CZA-Atenolol-1\plaque 2/@17 Testo +  Atenolol 0.01/D5_03.tif </t>
  </si>
  <si>
    <t xml:space="preserve"> 20764.6988 </t>
  </si>
  <si>
    <t xml:space="preserve"> 69.1708 </t>
  </si>
  <si>
    <t xml:space="preserve">F:\Données chgh\2020-CHG-CZA-Atenolol-1\plaque 2/@17 Testo +  Atenolol 0.01/E5_01.tif </t>
  </si>
  <si>
    <t xml:space="preserve"> 27707.895 </t>
  </si>
  <si>
    <t xml:space="preserve"> 73.2061 </t>
  </si>
  <si>
    <t xml:space="preserve">F:\Données chgh\2020-CHG-CZA-Atenolol-1\plaque 2/@17 Testo +  Atenolol 0.01/E5_02.tif </t>
  </si>
  <si>
    <t xml:space="preserve"> 25804.4643 </t>
  </si>
  <si>
    <t xml:space="preserve"> 71.3906 </t>
  </si>
  <si>
    <t xml:space="preserve">F:\Données chgh\2020-CHG-CZA-Atenolol-1\plaque 2/@17 Testo +  Atenolol 0.01/E5_03.tif </t>
  </si>
  <si>
    <t xml:space="preserve"> 25717.9447 </t>
  </si>
  <si>
    <t xml:space="preserve"> 69.9495 </t>
  </si>
  <si>
    <t xml:space="preserve">F:\Données chgh\2020-CHG-CZA-Atenolol-1\plaque 2/@17 Testo +  Atenolol 0.01/F5_01.tif </t>
  </si>
  <si>
    <t xml:space="preserve"> 50786.9926 </t>
  </si>
  <si>
    <t xml:space="preserve"> 75.0468 </t>
  </si>
  <si>
    <t xml:space="preserve">F:\Données chgh\2020-CHG-CZA-Atenolol-1\plaque 2/@17 Testo +  Atenolol 0.01/F5_02.tif </t>
  </si>
  <si>
    <t xml:space="preserve"> 74.4678 </t>
  </si>
  <si>
    <t xml:space="preserve">F:\Données chgh\2020-CHG-CZA-Atenolol-1\plaque 2/@17 Testo +  Atenolol 0.01/F5_03.tif </t>
  </si>
  <si>
    <t xml:space="preserve"> 44752.252 </t>
  </si>
  <si>
    <t xml:space="preserve"> 78.7148 </t>
  </si>
  <si>
    <t xml:space="preserve">F:\Données chgh\2020-CHG-CZA-Atenolol-1\plaque 2/@17 Testo +  Atenolol 0.01/G5_01.tif </t>
  </si>
  <si>
    <t xml:space="preserve"> 36835.7106 </t>
  </si>
  <si>
    <t xml:space="preserve"> 72.044 </t>
  </si>
  <si>
    <t xml:space="preserve">F:\Données chgh\2020-CHG-CZA-Atenolol-1\plaque 2/@17 Testo +  Atenolol 0.01/G5_02.tif </t>
  </si>
  <si>
    <t xml:space="preserve"> 40274.8638 </t>
  </si>
  <si>
    <t xml:space="preserve"> 71.0209 </t>
  </si>
  <si>
    <t xml:space="preserve">F:\Données chgh\2020-CHG-CZA-Atenolol-1\plaque 2/@17 Testo +  Atenolol 0.01/G5_03.tif </t>
  </si>
  <si>
    <t xml:space="preserve"> 44687.3623 </t>
  </si>
  <si>
    <t xml:space="preserve"> 71.6713 </t>
  </si>
  <si>
    <t xml:space="preserve">F:\Données chgh\2020-CHG-CZA-Atenolol-1\plaque 2/@17 Testo +  Atenolol 0.01/H5_01.tif </t>
  </si>
  <si>
    <t xml:space="preserve"> 74341.9478 </t>
  </si>
  <si>
    <t xml:space="preserve"> 75.5159 </t>
  </si>
  <si>
    <t xml:space="preserve">F:\Données chgh\2020-CHG-CZA-Atenolol-1\plaque 2/@17 Testo +  Atenolol 0.01/H5_02.tif </t>
  </si>
  <si>
    <t xml:space="preserve"> 60606.9648 </t>
  </si>
  <si>
    <t xml:space="preserve"> 74.0125 </t>
  </si>
  <si>
    <t xml:space="preserve">F:\Données chgh\2020-CHG-CZA-Atenolol-1\plaque 2/@17 Testo +  Atenolol 0.01/H5_03.tif </t>
  </si>
  <si>
    <t xml:space="preserve"> 60542.0751 </t>
  </si>
  <si>
    <t xml:space="preserve"> 75.9614 </t>
  </si>
  <si>
    <t xml:space="preserve">F:\Données chgh\2020-CHG-CZA-Atenolol-1\plaque 2/@17 Testo +  Atenolol 0.01/ </t>
  </si>
  <si>
    <t xml:space="preserve"> 73.7153 </t>
  </si>
  <si>
    <t xml:space="preserve"> 3.1111 </t>
  </si>
  <si>
    <t xml:space="preserve"> 2960493.58 </t>
  </si>
  <si>
    <t xml:space="preserve"> 1143612.75 </t>
  </si>
  <si>
    <t xml:space="preserve">F:\Données chgh\2020-CHG-CZA-Atenolol-1\plaque 2/@18  Testo + Atenolol 0.1/A6_01.tif </t>
  </si>
  <si>
    <t xml:space="preserve"> 47758.8073 </t>
  </si>
  <si>
    <t xml:space="preserve"> 76.75 </t>
  </si>
  <si>
    <t xml:space="preserve">F:\Données chgh\2020-CHG-CZA-Atenolol-1\plaque 2/@18  Testo + Atenolol 0.1/A6_02.tif </t>
  </si>
  <si>
    <t xml:space="preserve"> 40166.7143 </t>
  </si>
  <si>
    <t xml:space="preserve"> 74.8487 </t>
  </si>
  <si>
    <t xml:space="preserve">F:\Données chgh\2020-CHG-CZA-Atenolol-1\plaque 2/@18  Testo + Atenolol 0.1/A6_03.tif </t>
  </si>
  <si>
    <t xml:space="preserve"> 44860.4015 </t>
  </si>
  <si>
    <t xml:space="preserve"> 76.0714 </t>
  </si>
  <si>
    <t xml:space="preserve">F:\Données chgh\2020-CHG-CZA-Atenolol-1\plaque 2/@18  Testo + Atenolol 0.1/B6_01.tif </t>
  </si>
  <si>
    <t xml:space="preserve"> 42567.6326 </t>
  </si>
  <si>
    <t xml:space="preserve"> 78.375 </t>
  </si>
  <si>
    <t xml:space="preserve">F:\Données chgh\2020-CHG-CZA-Atenolol-1\plaque 2/@18  Testo + Atenolol 0.1/B6_02.tif </t>
  </si>
  <si>
    <t xml:space="preserve"> 34348.2727 </t>
  </si>
  <si>
    <t xml:space="preserve"> 75.3766 </t>
  </si>
  <si>
    <t xml:space="preserve">F:\Données chgh\2020-CHG-CZA-Atenolol-1\plaque 2/@18  Testo + Atenolol 0.1/B6_03.tif </t>
  </si>
  <si>
    <t xml:space="preserve"> 31774.3152 </t>
  </si>
  <si>
    <t xml:space="preserve"> 73.4881 </t>
  </si>
  <si>
    <t xml:space="preserve">F:\Données chgh\2020-CHG-CZA-Atenolol-1\plaque 2/@18  Testo + Atenolol 0.1/C6_01.tif </t>
  </si>
  <si>
    <t xml:space="preserve"> 35364.8777 </t>
  </si>
  <si>
    <t xml:space="preserve"> 78.6832 </t>
  </si>
  <si>
    <t xml:space="preserve">F:\Données chgh\2020-CHG-CZA-Atenolol-1\plaque 2/@18  Testo + Atenolol 0.1/C6_02.tif </t>
  </si>
  <si>
    <t xml:space="preserve"> 38263.2836 </t>
  </si>
  <si>
    <t xml:space="preserve"> 80.5133 </t>
  </si>
  <si>
    <t xml:space="preserve">F:\Données chgh\2020-CHG-CZA-Atenolol-1\plaque 2/@18  Testo + Atenolol 0.1/C6_03.tif </t>
  </si>
  <si>
    <t xml:space="preserve"> 40512.7926 </t>
  </si>
  <si>
    <t xml:space="preserve"> 76.6327 </t>
  </si>
  <si>
    <t xml:space="preserve">F:\Données chgh\2020-CHG-CZA-Atenolol-1\plaque 2/@18  Testo + Atenolol 0.1/D6_01.tif </t>
  </si>
  <si>
    <t xml:space="preserve"> 12372.2997 </t>
  </si>
  <si>
    <t xml:space="preserve"> 67.458 </t>
  </si>
  <si>
    <t xml:space="preserve">F:\Données chgh\2020-CHG-CZA-Atenolol-1\plaque 2/@18  Testo + Atenolol 0.1/D6_02.tif </t>
  </si>
  <si>
    <t xml:space="preserve"> 10360.7195 </t>
  </si>
  <si>
    <t xml:space="preserve"> 69.0376 </t>
  </si>
  <si>
    <t xml:space="preserve">F:\Données chgh\2020-CHG-CZA-Atenolol-1\plaque 2/@18  Testo + Atenolol 0.1/D6_03.tif </t>
  </si>
  <si>
    <t xml:space="preserve"> 12696.7481 </t>
  </si>
  <si>
    <t xml:space="preserve"> 75.3969 </t>
  </si>
  <si>
    <t xml:space="preserve">F:\Données chgh\2020-CHG-CZA-Atenolol-1\plaque 2/@18  Testo + Atenolol 0.1/E6_01.tif </t>
  </si>
  <si>
    <t xml:space="preserve"> 37679.2764 </t>
  </si>
  <si>
    <t xml:space="preserve"> 84.5809 </t>
  </si>
  <si>
    <t xml:space="preserve">F:\Données chgh\2020-CHG-CZA-Atenolol-1\plaque 2/@18  Testo + Atenolol 0.1/E6_02.tif </t>
  </si>
  <si>
    <t xml:space="preserve"> 38890.5505 </t>
  </si>
  <si>
    <t xml:space="preserve"> 84.96 </t>
  </si>
  <si>
    <t xml:space="preserve">F:\Données chgh\2020-CHG-CZA-Atenolol-1\plaque 2/@18  Testo + Atenolol 0.1/E6_03.tif </t>
  </si>
  <si>
    <t xml:space="preserve"> 40101.8246 </t>
  </si>
  <si>
    <t xml:space="preserve"> 90.1505 </t>
  </si>
  <si>
    <t xml:space="preserve">F:\Données chgh\2020-CHG-CZA-Atenolol-1\plaque 2/@18  Testo + Atenolol 0.1/F6_01.tif </t>
  </si>
  <si>
    <t xml:space="preserve"> 69.8967 </t>
  </si>
  <si>
    <t xml:space="preserve">F:\Données chgh\2020-CHG-CZA-Atenolol-1\plaque 2/@18  Testo + Atenolol 0.1/F6_02.tif </t>
  </si>
  <si>
    <t xml:space="preserve"> 20613.2896 </t>
  </si>
  <si>
    <t xml:space="preserve"> 70.4376 </t>
  </si>
  <si>
    <t xml:space="preserve">F:\Données chgh\2020-CHG-CZA-Atenolol-1\plaque 2/@18  Testo + Atenolol 0.1/F6_03.tif </t>
  </si>
  <si>
    <t xml:space="preserve"> 17347.1755 </t>
  </si>
  <si>
    <t xml:space="preserve"> 70.3416 </t>
  </si>
  <si>
    <t xml:space="preserve">F:\Données chgh\2020-CHG-CZA-Atenolol-1\plaque 2/@18  Testo + Atenolol 0.1/G6_01.tif </t>
  </si>
  <si>
    <t xml:space="preserve"> 27232.0373 </t>
  </si>
  <si>
    <t xml:space="preserve"> 67.3725 </t>
  </si>
  <si>
    <t xml:space="preserve">F:\Données chgh\2020-CHG-CZA-Atenolol-1\plaque 2/@18  Testo + Atenolol 0.1/G6_02.tif </t>
  </si>
  <si>
    <t xml:space="preserve"> 28270.2723 </t>
  </si>
  <si>
    <t xml:space="preserve"> 67.5111 </t>
  </si>
  <si>
    <t>F:\Données chgh\2020-CHG-CZA-Atenolol-1\plaque 2/@18  Testo + Atenolol 0.1/G6_03- exclu.tif</t>
  </si>
  <si>
    <t xml:space="preserve">F:\Données chgh\2020-CHG-CZA-Atenolol-1\plaque 2/@18  Testo + Atenolol 0.1/H6_01.tif </t>
  </si>
  <si>
    <t xml:space="preserve"> 25004.1582 </t>
  </si>
  <si>
    <t xml:space="preserve"> 69.558 </t>
  </si>
  <si>
    <t xml:space="preserve">F:\Données chgh\2020-CHG-CZA-Atenolol-1\plaque 2/@18  Testo + Atenolol 0.1/H6_02.tif </t>
  </si>
  <si>
    <t xml:space="preserve"> 30152.0731 </t>
  </si>
  <si>
    <t xml:space="preserve"> 69.8443 </t>
  </si>
  <si>
    <t xml:space="preserve">F:\Données chgh\2020-CHG-CZA-Atenolol-1\plaque 2/@18  Testo + Atenolol 0.1/H6_03.tif </t>
  </si>
  <si>
    <t xml:space="preserve"> 69.7049 </t>
  </si>
  <si>
    <t xml:space="preserve">F:\Données chgh\2020-CHG-CZA-Atenolol-1\plaque 2/@18  Testo + Atenolol 0.1/ </t>
  </si>
  <si>
    <t xml:space="preserve"> 74.3341 </t>
  </si>
  <si>
    <t xml:space="preserve"> 6.2477 </t>
  </si>
  <si>
    <t xml:space="preserve"> 928941.108 </t>
  </si>
  <si>
    <t xml:space="preserve">F:\Données chgh\2020-CHG-CZA-Atenolol-1\plaque 2/@19 Testo + Atenolol 1/A7_01.tif </t>
  </si>
  <si>
    <t xml:space="preserve"> 24787.8592 </t>
  </si>
  <si>
    <t xml:space="preserve"> 70.9188 </t>
  </si>
  <si>
    <t>F:\Données chgh\2020-CHG-CZA-Atenolol-1\plaque 2/@19 Testo + Atenolol 1/A7_02- exclu.tif</t>
  </si>
  <si>
    <t xml:space="preserve">F:\Données chgh\2020-CHG-CZA-Atenolol-1\plaque 2/@19 Testo + Atenolol 1/A7_03.tif </t>
  </si>
  <si>
    <t xml:space="preserve"> 20634.9195 </t>
  </si>
  <si>
    <t xml:space="preserve"> 68.9843 </t>
  </si>
  <si>
    <t xml:space="preserve">F:\Données chgh\2020-CHG-CZA-Atenolol-1\plaque 2/@19 Testo + Atenolol 1/B7_01.tif </t>
  </si>
  <si>
    <t xml:space="preserve"> 21911.0833 </t>
  </si>
  <si>
    <t xml:space="preserve"> 66.6446 </t>
  </si>
  <si>
    <t xml:space="preserve">F:\Données chgh\2020-CHG-CZA-Atenolol-1\plaque 2/@19 Testo + Atenolol 1/B7_02.tif </t>
  </si>
  <si>
    <t xml:space="preserve"> 39734.1164 </t>
  </si>
  <si>
    <t xml:space="preserve"> 70.5308 </t>
  </si>
  <si>
    <t xml:space="preserve">F:\Données chgh\2020-CHG-CZA-Atenolol-1\plaque 2/@19 Testo + Atenolol 1/B7_03.tif </t>
  </si>
  <si>
    <t xml:space="preserve"> 28118.863 </t>
  </si>
  <si>
    <t xml:space="preserve"> 70.5408 </t>
  </si>
  <si>
    <t xml:space="preserve">F:\Données chgh\2020-CHG-CZA-Atenolol-1\plaque 2/@19 Testo + Atenolol 1/C7_01.tif </t>
  </si>
  <si>
    <t xml:space="preserve"> 66.609 </t>
  </si>
  <si>
    <t xml:space="preserve">F:\Données chgh\2020-CHG-CZA-Atenolol-1\plaque 2/@19 Testo + Atenolol 1/C7_02.tif </t>
  </si>
  <si>
    <t xml:space="preserve"> 63.5844 </t>
  </si>
  <si>
    <t xml:space="preserve">F:\Données chgh\2020-CHG-CZA-Atenolol-1\plaque 2/@19 Testo + Atenolol 1/C7_03.tif </t>
  </si>
  <si>
    <t xml:space="preserve"> 63.9146 </t>
  </si>
  <si>
    <t xml:space="preserve">F:\Données chgh\2020-CHG-CZA-Atenolol-1\plaque 2/@19 Testo + Atenolol 1/D7_01.tif </t>
  </si>
  <si>
    <t xml:space="preserve"> 41810.5863 </t>
  </si>
  <si>
    <t xml:space="preserve"> 69.0776 </t>
  </si>
  <si>
    <t xml:space="preserve">F:\Données chgh\2020-CHG-CZA-Atenolol-1\plaque 2/@19 Testo + Atenolol 1/D7_02.tif </t>
  </si>
  <si>
    <t xml:space="preserve"> 32315.0626 </t>
  </si>
  <si>
    <t xml:space="preserve"> 69.0669 </t>
  </si>
  <si>
    <t xml:space="preserve">F:\Données chgh\2020-CHG-CZA-Atenolol-1\plaque 2/@19 Testo + Atenolol 1/D7_03.tif </t>
  </si>
  <si>
    <t xml:space="preserve"> 40058.5649 </t>
  </si>
  <si>
    <t xml:space="preserve"> 68.9725 </t>
  </si>
  <si>
    <t xml:space="preserve">F:\Données chgh\2020-CHG-CZA-Atenolol-1\plaque 2/@19 Testo + Atenolol 1/E7_01.tif </t>
  </si>
  <si>
    <t xml:space="preserve"> 46655.6827 </t>
  </si>
  <si>
    <t xml:space="preserve"> 73.5841 </t>
  </si>
  <si>
    <t xml:space="preserve">F:\Données chgh\2020-CHG-CZA-Atenolol-1\plaque 2/@19 Testo + Atenolol 1/E7_02.tif </t>
  </si>
  <si>
    <t xml:space="preserve"> 41875.476 </t>
  </si>
  <si>
    <t xml:space="preserve"> 72.1798 </t>
  </si>
  <si>
    <t xml:space="preserve">F:\Données chgh\2020-CHG-CZA-Atenolol-1\plaque 2/@19 Testo + Atenolol 1/E7_03.tif </t>
  </si>
  <si>
    <t xml:space="preserve"> 35451.3973 </t>
  </si>
  <si>
    <t xml:space="preserve"> 68.5888 </t>
  </si>
  <si>
    <t xml:space="preserve">F:\Données chgh\2020-CHG-CZA-Atenolol-1\plaque 2/@19 Testo + Atenolol 1/F7_01.tif </t>
  </si>
  <si>
    <t xml:space="preserve"> 38630.9918 </t>
  </si>
  <si>
    <t xml:space="preserve"> 71.5134 </t>
  </si>
  <si>
    <t xml:space="preserve">F:\Données chgh\2020-CHG-CZA-Atenolol-1\plaque 2/@19 Testo + Atenolol 1/F7_02.tif </t>
  </si>
  <si>
    <t xml:space="preserve"> 38068.6145 </t>
  </si>
  <si>
    <t xml:space="preserve"> 71.1597 </t>
  </si>
  <si>
    <t xml:space="preserve">F:\Données chgh\2020-CHG-CZA-Atenolol-1\plaque 2/@19 Testo + Atenolol 1/F7_03.tif </t>
  </si>
  <si>
    <t xml:space="preserve"> 27534.8559 </t>
  </si>
  <si>
    <t xml:space="preserve"> 68.0291 </t>
  </si>
  <si>
    <t xml:space="preserve">F:\Données chgh\2020-CHG-CZA-Atenolol-1\plaque 2/@19 Testo + Atenolol 1/G7_01.tif </t>
  </si>
  <si>
    <t xml:space="preserve"> 33115.3687 </t>
  </si>
  <si>
    <t xml:space="preserve"> 68.5167 </t>
  </si>
  <si>
    <t xml:space="preserve">F:\Données chgh\2020-CHG-CZA-Atenolol-1\plaque 2/@19 Testo + Atenolol 1/G7_02.tif </t>
  </si>
  <si>
    <t xml:space="preserve"> 31449.8668 </t>
  </si>
  <si>
    <t xml:space="preserve"> 69.0942 </t>
  </si>
  <si>
    <t xml:space="preserve">F:\Données chgh\2020-CHG-CZA-Atenolol-1\plaque 2/@19 Testo + Atenolol 1/G7_03.tif </t>
  </si>
  <si>
    <t xml:space="preserve"> 32098.7636 </t>
  </si>
  <si>
    <t xml:space="preserve"> 68.9522 </t>
  </si>
  <si>
    <t xml:space="preserve">F:\Données chgh\2020-CHG-CZA-Atenolol-1\plaque 2/@19 Testo + Atenolol 1/H7_01.tif </t>
  </si>
  <si>
    <t xml:space="preserve"> 41226.5792 </t>
  </si>
  <si>
    <t xml:space="preserve"> 74.0677 </t>
  </si>
  <si>
    <t xml:space="preserve">F:\Données chgh\2020-CHG-CZA-Atenolol-1\plaque 2/@19 Testo + Atenolol 1/H7_02.tif </t>
  </si>
  <si>
    <t xml:space="preserve"> 41075.1699 </t>
  </si>
  <si>
    <t xml:space="preserve"> 74.8905 </t>
  </si>
  <si>
    <t xml:space="preserve">F:\Données chgh\2020-CHG-CZA-Atenolol-1\plaque 2/@19 Testo + Atenolol 1/H7_03.tif </t>
  </si>
  <si>
    <t xml:space="preserve"> 38371.4331 </t>
  </si>
  <si>
    <t xml:space="preserve"> 72.54 </t>
  </si>
  <si>
    <t xml:space="preserve">F:\Données chgh\2020-CHG-CZA-Atenolol-1\plaque 2/@19 Testo + Atenolol 1/ </t>
  </si>
  <si>
    <t xml:space="preserve"> 69.6286 </t>
  </si>
  <si>
    <t xml:space="preserve"> 2.8112 </t>
  </si>
  <si>
    <t xml:space="preserve"> 2144228.21 </t>
  </si>
  <si>
    <t xml:space="preserve"> 920589.242 </t>
  </si>
  <si>
    <t xml:space="preserve">F:\Données chgh\2020-CHG-CZA-Atenolol-1\plaque 2/@20 Testo + Atenolol 10/A8_01.tif </t>
  </si>
  <si>
    <t xml:space="preserve"> 63.913 </t>
  </si>
  <si>
    <t xml:space="preserve">F:\Données chgh\2020-CHG-CZA-Atenolol-1\plaque 2/@20 Testo + Atenolol 10/A8_02.tif </t>
  </si>
  <si>
    <t xml:space="preserve"> 8327.5094 </t>
  </si>
  <si>
    <t xml:space="preserve"> 67.7818 </t>
  </si>
  <si>
    <t xml:space="preserve">F:\Données chgh\2020-CHG-CZA-Atenolol-1\plaque 2/@20 Testo + Atenolol 10/A8_03.tif </t>
  </si>
  <si>
    <t xml:space="preserve"> 69.0087 </t>
  </si>
  <si>
    <t xml:space="preserve">F:\Données chgh\2020-CHG-CZA-Atenolol-1\plaque 2/@20 Testo + Atenolol 10/B8_01.tif </t>
  </si>
  <si>
    <t xml:space="preserve"> 24874.3788 </t>
  </si>
  <si>
    <t xml:space="preserve"> 68.2817 </t>
  </si>
  <si>
    <t xml:space="preserve">F:\Données chgh\2020-CHG-CZA-Atenolol-1\plaque 2/@20 Testo + Atenolol 10/B8_02.tif </t>
  </si>
  <si>
    <t xml:space="preserve"> 23901.0336 </t>
  </si>
  <si>
    <t xml:space="preserve"> 67.8887 </t>
  </si>
  <si>
    <t xml:space="preserve">F:\Données chgh\2020-CHG-CZA-Atenolol-1\plaque 2/@20 Testo + Atenolol 10/B8_03.tif </t>
  </si>
  <si>
    <t xml:space="preserve"> 23836.1439 </t>
  </si>
  <si>
    <t xml:space="preserve"> 68.3439 </t>
  </si>
  <si>
    <t xml:space="preserve">F:\Données chgh\2020-CHG-CZA-Atenolol-1\plaque 2/@20 Testo + Atenolol 10/C8_01.tif </t>
  </si>
  <si>
    <t xml:space="preserve"> 302.8185 </t>
  </si>
  <si>
    <t xml:space="preserve"> 64.8571 </t>
  </si>
  <si>
    <t xml:space="preserve">F:\Données chgh\2020-CHG-CZA-Atenolol-1\plaque 2/@20 Testo + Atenolol 10/C8_02.tif </t>
  </si>
  <si>
    <t xml:space="preserve"> 1600.6122 </t>
  </si>
  <si>
    <t xml:space="preserve"> 64.2162 </t>
  </si>
  <si>
    <t xml:space="preserve">F:\Données chgh\2020-CHG-CZA-Atenolol-1\plaque 2/@20 Testo + Atenolol 10/C8_03.tif </t>
  </si>
  <si>
    <t xml:space="preserve"> 2422.5482 </t>
  </si>
  <si>
    <t xml:space="preserve"> 65.0982 </t>
  </si>
  <si>
    <t xml:space="preserve">F:\Données chgh\2020-CHG-CZA-Atenolol-1\plaque 2/@20 Testo + Atenolol 10/D8_01.tif </t>
  </si>
  <si>
    <t xml:space="preserve"> 47434.3589 </t>
  </si>
  <si>
    <t xml:space="preserve"> 76.3064 </t>
  </si>
  <si>
    <t xml:space="preserve">F:\Données chgh\2020-CHG-CZA-Atenolol-1\plaque 2/@20 Testo + Atenolol 10/D8_02.tif </t>
  </si>
  <si>
    <t xml:space="preserve"> 45292.9994 </t>
  </si>
  <si>
    <t xml:space="preserve"> 74.4303 </t>
  </si>
  <si>
    <t xml:space="preserve">F:\Données chgh\2020-CHG-CZA-Atenolol-1\plaque 2/@20 Testo + Atenolol 10/D8_03.tif </t>
  </si>
  <si>
    <t xml:space="preserve"> 50289.505 </t>
  </si>
  <si>
    <t xml:space="preserve"> 76.7974 </t>
  </si>
  <si>
    <t xml:space="preserve">F:\Données chgh\2020-CHG-CZA-Atenolol-1\plaque 2/@20 Testo + Atenolol 10/E8_01.tif </t>
  </si>
  <si>
    <t xml:space="preserve"> 50851.8823 </t>
  </si>
  <si>
    <t xml:space="preserve"> 74.2595 </t>
  </si>
  <si>
    <t xml:space="preserve">F:\Données chgh\2020-CHG-CZA-Atenolol-1\plaque 2/@20 Testo + Atenolol 10/E8_02.tif </t>
  </si>
  <si>
    <t xml:space="preserve"> 39928.7855 </t>
  </si>
  <si>
    <t xml:space="preserve"> 71.9951 </t>
  </si>
  <si>
    <t xml:space="preserve">F:\Données chgh\2020-CHG-CZA-Atenolol-1\plaque 2/@20 Testo + Atenolol 10/E8_03.tif </t>
  </si>
  <si>
    <t xml:space="preserve"> 32250.1729 </t>
  </si>
  <si>
    <t xml:space="preserve"> 69.7706 </t>
  </si>
  <si>
    <t xml:space="preserve">F:\Données chgh\2020-CHG-CZA-Atenolol-1\plaque 2/@20 Testo + Atenolol 10/F8_01.tif </t>
  </si>
  <si>
    <t xml:space="preserve"> 40534.4225 </t>
  </si>
  <si>
    <t xml:space="preserve"> 86.9968 </t>
  </si>
  <si>
    <t xml:space="preserve">F:\Données chgh\2020-CHG-CZA-Atenolol-1\plaque 2/@20 Testo + Atenolol 10/F8_02.tif </t>
  </si>
  <si>
    <t xml:space="preserve"> 38933.8103 </t>
  </si>
  <si>
    <t xml:space="preserve"> 84.2883 </t>
  </si>
  <si>
    <t xml:space="preserve">F:\Données chgh\2020-CHG-CZA-Atenolol-1\plaque 2/@20 Testo + Atenolol 10/F8_03.tif </t>
  </si>
  <si>
    <t xml:space="preserve"> 40383.0133 </t>
  </si>
  <si>
    <t xml:space="preserve"> 84.9609 </t>
  </si>
  <si>
    <t xml:space="preserve">F:\Données chgh\2020-CHG-CZA-Atenolol-1\plaque 2/@20 Testo + Atenolol 10/G8_01.tif </t>
  </si>
  <si>
    <t xml:space="preserve"> 52409.2347 </t>
  </si>
  <si>
    <t xml:space="preserve"> 69.0883 </t>
  </si>
  <si>
    <t xml:space="preserve">F:\Données chgh\2020-CHG-CZA-Atenolol-1\plaque 2/@20 Testo + Atenolol 10/G8_02.tif </t>
  </si>
  <si>
    <t xml:space="preserve"> 54680.3736 </t>
  </si>
  <si>
    <t xml:space="preserve"> 70.445 </t>
  </si>
  <si>
    <t xml:space="preserve">F:\Données chgh\2020-CHG-CZA-Atenolol-1\plaque 2/@20 Testo + Atenolol 10/G8_03.tif </t>
  </si>
  <si>
    <t xml:space="preserve"> 47931.8465 </t>
  </si>
  <si>
    <t xml:space="preserve"> 68.829 </t>
  </si>
  <si>
    <t>F:\Données chgh\2020-CHG-CZA-Atenolol-1\plaque 2/@20 Testo + Atenolol 10/H8_01- exclu.tif</t>
  </si>
  <si>
    <t>F:\Données chgh\2020-CHG-CZA-Atenolol-1\plaque 2/@20 Testo + Atenolol 10/H8_02- exclu.tif</t>
  </si>
  <si>
    <t>F:\Données chgh\2020-CHG-CZA-Atenolol-1\plaque 2/@20 Testo + Atenolol 10/H8_03- exclu.tif</t>
  </si>
  <si>
    <t xml:space="preserve">F:\Données chgh\2020-CHG-CZA-Atenolol-1\plaque 2/@20 Testo + Atenolol 10/ </t>
  </si>
  <si>
    <t xml:space="preserve"> 70.9351 </t>
  </si>
  <si>
    <t xml:space="preserve"> 6.7774 </t>
  </si>
  <si>
    <t xml:space="preserve"> 1966343.21 </t>
  </si>
  <si>
    <t xml:space="preserve"> 1571205.62 </t>
  </si>
  <si>
    <t>F:\Données chgh\2020-CHG-CZA-Atenolol-1\plaque 2/@21 Testo + Atenolol 100/A9_01- exclu.tif</t>
  </si>
  <si>
    <t xml:space="preserve">F:\Données chgh\2020-CHG-CZA-Atenolol-1\plaque 2/@21 Testo + Atenolol 100/A9_02.tif </t>
  </si>
  <si>
    <t xml:space="preserve"> 53880.0675 </t>
  </si>
  <si>
    <t xml:space="preserve"> 70.9338 </t>
  </si>
  <si>
    <t xml:space="preserve">F:\Données chgh\2020-CHG-CZA-Atenolol-1\plaque 2/@21 Testo + Atenolol 100/A9_03.tif </t>
  </si>
  <si>
    <t xml:space="preserve"> 47088.2806 </t>
  </si>
  <si>
    <t xml:space="preserve"> 70.7193 </t>
  </si>
  <si>
    <t xml:space="preserve">F:\Données chgh\2020-CHG-CZA-Atenolol-1\plaque 2/@21 Testo + Atenolol 100/B9_01.tif </t>
  </si>
  <si>
    <t xml:space="preserve"> 22473.4605 </t>
  </si>
  <si>
    <t xml:space="preserve"> 67.0703 </t>
  </si>
  <si>
    <t>F:\Données chgh\2020-CHG-CZA-Atenolol-1\plaque 2/@21 Testo + Atenolol 100/B9_02- exclu.tif</t>
  </si>
  <si>
    <t xml:space="preserve">F:\Données chgh\2020-CHG-CZA-Atenolol-1\plaque 2/@21 Testo + Atenolol 100/B9_03.tif </t>
  </si>
  <si>
    <t xml:space="preserve"> 31147.0483 </t>
  </si>
  <si>
    <t xml:space="preserve"> 68.7444 </t>
  </si>
  <si>
    <t xml:space="preserve">F:\Données chgh\2020-CHG-CZA-Atenolol-1\plaque 2/@21 Testo + Atenolol 100/C9_01.tif </t>
  </si>
  <si>
    <t xml:space="preserve"> 39323.1484 </t>
  </si>
  <si>
    <t xml:space="preserve"> 69.6612 </t>
  </si>
  <si>
    <t xml:space="preserve">F:\Données chgh\2020-CHG-CZA-Atenolol-1\plaque 2/@21 Testo + Atenolol 100/C9_02.tif </t>
  </si>
  <si>
    <t xml:space="preserve"> 33072.1089 </t>
  </si>
  <si>
    <t xml:space="preserve"> 68.7999 </t>
  </si>
  <si>
    <t xml:space="preserve">F:\Données chgh\2020-CHG-CZA-Atenolol-1\plaque 2/@21 Testo + Atenolol 100/C9_03.tif </t>
  </si>
  <si>
    <t xml:space="preserve"> 46244.7147 </t>
  </si>
  <si>
    <t xml:space="preserve"> 70.0748 </t>
  </si>
  <si>
    <t xml:space="preserve">F:\Données chgh\2020-CHG-CZA-Atenolol-1\plaque 2/@21 Testo + Atenolol 100/D9_01.tif </t>
  </si>
  <si>
    <t xml:space="preserve"> 53988.217 </t>
  </si>
  <si>
    <t xml:space="preserve"> 72.986 </t>
  </si>
  <si>
    <t xml:space="preserve">F:\Données chgh\2020-CHG-CZA-Atenolol-1\plaque 2/@21 Testo + Atenolol 100/D9_02.tif </t>
  </si>
  <si>
    <t xml:space="preserve"> 34715.9809 </t>
  </si>
  <si>
    <t xml:space="preserve"> 67.0231 </t>
  </si>
  <si>
    <t xml:space="preserve">F:\Données chgh\2020-CHG-CZA-Atenolol-1\plaque 2/@21 Testo + Atenolol 100/D9_03.tif </t>
  </si>
  <si>
    <t xml:space="preserve"> 50981.6616 </t>
  </si>
  <si>
    <t xml:space="preserve"> 73.0696 </t>
  </si>
  <si>
    <t>F:\Données chgh\2020-CHG-CZA-Atenolol-1\plaque 2/@21 Testo + Atenolol 100/E9_01- exclu.tif</t>
  </si>
  <si>
    <t xml:space="preserve">F:\Données chgh\2020-CHG-CZA-Atenolol-1\plaque 2/@21 Testo + Atenolol 100/E9_02.tif </t>
  </si>
  <si>
    <t xml:space="preserve"> 36792.4508 </t>
  </si>
  <si>
    <t xml:space="preserve"> 75.1035 </t>
  </si>
  <si>
    <t xml:space="preserve">F:\Données chgh\2020-CHG-CZA-Atenolol-1\plaque 2/@21 Testo + Atenolol 100/E9_03.tif </t>
  </si>
  <si>
    <t xml:space="preserve"> 45184.8499 </t>
  </si>
  <si>
    <t xml:space="preserve"> 74.0057 </t>
  </si>
  <si>
    <t>F:\Données chgh\2020-CHG-CZA-Atenolol-1\plaque 2/@21 Testo + Atenolol 100/F9_01- exclu.tif</t>
  </si>
  <si>
    <t xml:space="preserve">F:\Données chgh\2020-CHG-CZA-Atenolol-1\plaque 2/@21 Testo + Atenolol 100/F9_02.tif </t>
  </si>
  <si>
    <t xml:space="preserve"> 45206.4798 </t>
  </si>
  <si>
    <t xml:space="preserve"> 74.8077 </t>
  </si>
  <si>
    <t xml:space="preserve">F:\Données chgh\2020-CHG-CZA-Atenolol-1\plaque 2/@21 Testo + Atenolol 100/F9_03.tif </t>
  </si>
  <si>
    <t xml:space="preserve"> 37073.6394 </t>
  </si>
  <si>
    <t xml:space="preserve"> 76.4399 </t>
  </si>
  <si>
    <t xml:space="preserve">F:\Données chgh\2020-CHG-CZA-Atenolol-1\plaque 2/@21 Testo + Atenolol 100/G9_01.tif </t>
  </si>
  <si>
    <t xml:space="preserve"> 67.4889 </t>
  </si>
  <si>
    <t xml:space="preserve">F:\Données chgh\2020-CHG-CZA-Atenolol-1\plaque 2/@21 Testo + Atenolol 100/G9_02.tif </t>
  </si>
  <si>
    <t xml:space="preserve"> 16525.2395 </t>
  </si>
  <si>
    <t xml:space="preserve"> 66.9987 </t>
  </si>
  <si>
    <t xml:space="preserve">F:\Données chgh\2020-CHG-CZA-Atenolol-1\plaque 2/@21 Testo + Atenolol 100/G9_03.tif </t>
  </si>
  <si>
    <t xml:space="preserve"> 14924.6273 </t>
  </si>
  <si>
    <t xml:space="preserve"> 66.5812 </t>
  </si>
  <si>
    <t xml:space="preserve">F:\Données chgh\2020-CHG-CZA-Atenolol-1\plaque 2/@21 Testo + Atenolol 100/H9_01.tif </t>
  </si>
  <si>
    <t xml:space="preserve"> 51760.3378 </t>
  </si>
  <si>
    <t xml:space="preserve"> 71.3544 </t>
  </si>
  <si>
    <t xml:space="preserve">F:\Données chgh\2020-CHG-CZA-Atenolol-1\plaque 2/@21 Testo + Atenolol 100/H9_02.tif </t>
  </si>
  <si>
    <t xml:space="preserve"> 48645.633 </t>
  </si>
  <si>
    <t xml:space="preserve"> 70.2428 </t>
  </si>
  <si>
    <t>F:\Données chgh\2020-CHG-CZA-Atenolol-1\plaque 2/@21 Testo + Atenolol 100/H9_03- exclu.tif</t>
  </si>
  <si>
    <t xml:space="preserve">F:\Données chgh\2020-CHG-CZA-Atenolol-1\plaque 2/@21 Testo + Atenolol 100/ </t>
  </si>
  <si>
    <t xml:space="preserve"> 70.7958 </t>
  </si>
  <si>
    <t xml:space="preserve"> 3.3959 </t>
  </si>
  <si>
    <t xml:space="preserve"> 2620559.12 </t>
  </si>
  <si>
    <t xml:space="preserve"> 1088535.19 </t>
  </si>
  <si>
    <t xml:space="preserve"> n total analysed</t>
  </si>
  <si>
    <t>2020-CHG-CZA-Atenolol-1</t>
  </si>
  <si>
    <t>189-20</t>
  </si>
  <si>
    <t>Atenolol</t>
  </si>
  <si>
    <t>01 TS</t>
  </si>
  <si>
    <t>02 EE2 34</t>
  </si>
  <si>
    <t>03 EE2 51</t>
  </si>
  <si>
    <t>04 EE2 76</t>
  </si>
  <si>
    <t>05 EE2 114</t>
  </si>
  <si>
    <t>06 EE2 171</t>
  </si>
  <si>
    <t>07 EE2 488</t>
  </si>
  <si>
    <t>08 Atenolol 0.01</t>
  </si>
  <si>
    <t>09 Atenolol 0.1</t>
  </si>
  <si>
    <t>10 Atenolol 1</t>
  </si>
  <si>
    <t>11 Atenolol 10</t>
  </si>
  <si>
    <t>12  Atenolol 100</t>
  </si>
  <si>
    <t>13 Testo 30</t>
  </si>
  <si>
    <t>14 Testo 30</t>
  </si>
  <si>
    <t>15 Testo + EE2</t>
  </si>
  <si>
    <t>16 Testo + FAD</t>
  </si>
  <si>
    <t>17 Testo +  Atenolol 0.01</t>
  </si>
  <si>
    <t>18  Testo + Atenolol 0.1</t>
  </si>
  <si>
    <t>19 Testo + Atenolol 1</t>
  </si>
  <si>
    <t>20 Testo + Atenolol 10</t>
  </si>
  <si>
    <t>21 Testo + Atenolol 100</t>
  </si>
  <si>
    <t>B</t>
  </si>
  <si>
    <t>C</t>
  </si>
  <si>
    <t>D</t>
  </si>
  <si>
    <t>E</t>
  </si>
  <si>
    <t>F</t>
  </si>
  <si>
    <t>G</t>
  </si>
  <si>
    <t>H</t>
  </si>
  <si>
    <t xml:space="preserve"> 63.9615 </t>
  </si>
  <si>
    <t xml:space="preserve"> 61.7778 </t>
  </si>
  <si>
    <t xml:space="preserve"> 65.5385 </t>
  </si>
  <si>
    <t xml:space="preserve"> 63.5 </t>
  </si>
  <si>
    <t xml:space="preserve"> 62.75 </t>
  </si>
  <si>
    <t xml:space="preserve"> 64.3 </t>
  </si>
  <si>
    <t xml:space="preserve"> 65.1437 </t>
  </si>
  <si>
    <t xml:space="preserve"> 65.0533 </t>
  </si>
  <si>
    <t>12 Atenolol 100</t>
  </si>
  <si>
    <t>17 Atenolol 0.01</t>
  </si>
  <si>
    <t>18 Atenolol 0.1</t>
  </si>
  <si>
    <t>19 Atenolol 1</t>
  </si>
  <si>
    <t>20 Atenolol 10</t>
  </si>
  <si>
    <t xml:space="preserve">D:\images\20211118\plaque 1/@01 TS/A1_01.tif </t>
  </si>
  <si>
    <t xml:space="preserve"> 826.6427 </t>
  </si>
  <si>
    <t xml:space="preserve"> 64.6579 </t>
  </si>
  <si>
    <t xml:space="preserve">D:\images\20211118\plaque 1/@01 TS/A1_02.tif </t>
  </si>
  <si>
    <t xml:space="preserve"> 1675.0391 </t>
  </si>
  <si>
    <t xml:space="preserve"> 64.7143 </t>
  </si>
  <si>
    <t xml:space="preserve">D:\images\20211118\plaque 1/@01 TS/A1_03.tif </t>
  </si>
  <si>
    <t xml:space="preserve"> 609.1051 </t>
  </si>
  <si>
    <t xml:space="preserve"> 63.8214 </t>
  </si>
  <si>
    <t xml:space="preserve">D:\images\20211118\plaque 1/@01 TS/B1_01.tif </t>
  </si>
  <si>
    <t xml:space="preserve"> 3589.3696 </t>
  </si>
  <si>
    <t xml:space="preserve"> 69.0364 </t>
  </si>
  <si>
    <t xml:space="preserve">D:\images\20211118\plaque 1/@01 TS/B1_02.tif </t>
  </si>
  <si>
    <t xml:space="preserve"> 1696.7929 </t>
  </si>
  <si>
    <t xml:space="preserve"> 66.1026 </t>
  </si>
  <si>
    <t xml:space="preserve">D:\images\20211118\plaque 1/@01 TS/B1_03.tif </t>
  </si>
  <si>
    <t xml:space="preserve"> 4154.9672 </t>
  </si>
  <si>
    <t xml:space="preserve"> 70.8115 </t>
  </si>
  <si>
    <t xml:space="preserve">D:\images\20211118\plaque 1/@01 TS/C1_01.tif </t>
  </si>
  <si>
    <t xml:space="preserve"> 630.8589 </t>
  </si>
  <si>
    <t xml:space="preserve"> 65.1379 </t>
  </si>
  <si>
    <t xml:space="preserve">D:\images\20211118\plaque 1/@01 TS/C1_02.tif </t>
  </si>
  <si>
    <t xml:space="preserve"> 64.0345 </t>
  </si>
  <si>
    <t xml:space="preserve">D:\images\20211118\plaque 1/@01 TS/C1_03.tif </t>
  </si>
  <si>
    <t xml:space="preserve"> 522.0901 </t>
  </si>
  <si>
    <t xml:space="preserve"> 65.9583 </t>
  </si>
  <si>
    <t xml:space="preserve">D:\images\20211118\plaque 1/@01 TS/D1_01.tif </t>
  </si>
  <si>
    <t xml:space="preserve"> 1501.0091 </t>
  </si>
  <si>
    <t xml:space="preserve"> 64.8696 </t>
  </si>
  <si>
    <t xml:space="preserve">D:\images\20211118\plaque 1/@01 TS/D1_02.tif </t>
  </si>
  <si>
    <t xml:space="preserve"> 67.1154 </t>
  </si>
  <si>
    <t xml:space="preserve">D:\images\20211118\plaque 1/@01 TS/D1_03.tif </t>
  </si>
  <si>
    <t xml:space="preserve"> 1196.4565 </t>
  </si>
  <si>
    <t xml:space="preserve"> 64.4182 </t>
  </si>
  <si>
    <t xml:space="preserve">D:\images\20211118\plaque 1/@01 TS/E1_01.tif </t>
  </si>
  <si>
    <t xml:space="preserve"> 217.5376 </t>
  </si>
  <si>
    <t xml:space="preserve"> 62.2 </t>
  </si>
  <si>
    <t xml:space="preserve">D:\images\20211118\plaque 1/@01 TS/E1_02.tif </t>
  </si>
  <si>
    <t xml:space="preserve"> 87.015 </t>
  </si>
  <si>
    <t xml:space="preserve"> 61.5 </t>
  </si>
  <si>
    <t xml:space="preserve">D:\images\20211118\plaque 1/@01 TS/E1_03.tif </t>
  </si>
  <si>
    <t xml:space="preserve"> 130.5225 </t>
  </si>
  <si>
    <t xml:space="preserve"> 67.5 </t>
  </si>
  <si>
    <t xml:space="preserve">D:\images\20211118\plaque 1/@01 TS/F1_01.tif </t>
  </si>
  <si>
    <t xml:space="preserve"> 4938.1024 </t>
  </si>
  <si>
    <t xml:space="preserve"> 65.7313 </t>
  </si>
  <si>
    <t>D:\images\20211118\plaque 1/@01 TS/F1_02- exclu.tif</t>
  </si>
  <si>
    <t xml:space="preserve">D:\images\20211118\plaque 1/@01 TS/F1_03.tif </t>
  </si>
  <si>
    <t xml:space="preserve"> 3328.3245 </t>
  </si>
  <si>
    <t xml:space="preserve"> 69.9281 </t>
  </si>
  <si>
    <t xml:space="preserve">D:\images\20211118\plaque 1/@01 TS/G1_01.tif </t>
  </si>
  <si>
    <t xml:space="preserve"> 870.1502 </t>
  </si>
  <si>
    <t xml:space="preserve"> 67.425 </t>
  </si>
  <si>
    <t xml:space="preserve">D:\images\20211118\plaque 1/@01 TS/G1_02.tif </t>
  </si>
  <si>
    <t xml:space="preserve"> 500.3364 </t>
  </si>
  <si>
    <t xml:space="preserve"> 65.087 </t>
  </si>
  <si>
    <t xml:space="preserve">D:\images\20211118\plaque 1/@01 TS/G1_03.tif </t>
  </si>
  <si>
    <t xml:space="preserve"> 435.0751 </t>
  </si>
  <si>
    <t xml:space="preserve"> 64.5 </t>
  </si>
  <si>
    <t xml:space="preserve">D:\images\20211118\plaque 1/@01 TS/H1_01.tif </t>
  </si>
  <si>
    <t xml:space="preserve"> 783.1352 </t>
  </si>
  <si>
    <t xml:space="preserve"> 63.8889 </t>
  </si>
  <si>
    <t xml:space="preserve">D:\images\20211118\plaque 1/@01 TS/H1_02.tif </t>
  </si>
  <si>
    <t xml:space="preserve"> 64.7 </t>
  </si>
  <si>
    <t>D:\images\20211118\plaque 1/@01 TS/H1_03- exclu.tif</t>
  </si>
  <si>
    <t xml:space="preserve">D:\images\20211118\plaque 1/@01 TS/ </t>
  </si>
  <si>
    <t xml:space="preserve"> 65.4902 </t>
  </si>
  <si>
    <t xml:space="preserve"> 2.2362 </t>
  </si>
  <si>
    <t xml:space="preserve"> 88512.375 </t>
  </si>
  <si>
    <t xml:space="preserve"> 91695.9649 </t>
  </si>
  <si>
    <t xml:space="preserve">D:\images\20211118\plaque 1/@02 EE2 34/A2_01.tif </t>
  </si>
  <si>
    <t xml:space="preserve"> 3915.6759 </t>
  </si>
  <si>
    <t xml:space="preserve"> 66.4333 </t>
  </si>
  <si>
    <t>D:\images\20211118\plaque 1/@02 EE2 34/A2_02- exclu.tif</t>
  </si>
  <si>
    <t>D:\images\20211118\plaque 1/@02 EE2 34/A2_03- exclu.tif</t>
  </si>
  <si>
    <t xml:space="preserve">D:\images\20211118\plaque 1/@02 EE2 34/B2_01.tif </t>
  </si>
  <si>
    <t xml:space="preserve"> 8505.7182 </t>
  </si>
  <si>
    <t xml:space="preserve"> 72.4373 </t>
  </si>
  <si>
    <t xml:space="preserve">D:\images\20211118\plaque 1/@02 EE2 34/B2_02.tif </t>
  </si>
  <si>
    <t xml:space="preserve"> 282.7988 </t>
  </si>
  <si>
    <t xml:space="preserve"> 63.8462 </t>
  </si>
  <si>
    <t xml:space="preserve">D:\images\20211118\plaque 1/@02 EE2 34/B2_03.tif </t>
  </si>
  <si>
    <t xml:space="preserve"> 63.9231 </t>
  </si>
  <si>
    <t xml:space="preserve">D:\images\20211118\plaque 1/@02 EE2 34/C2_01.tif </t>
  </si>
  <si>
    <t xml:space="preserve"> 5133.8862 </t>
  </si>
  <si>
    <t xml:space="preserve"> 67.8432 </t>
  </si>
  <si>
    <t xml:space="preserve">D:\images\20211118\plaque 1/@02 EE2 34/C2_02.tif </t>
  </si>
  <si>
    <t xml:space="preserve"> 63.3846 </t>
  </si>
  <si>
    <t xml:space="preserve">D:\images\20211118\plaque 1/@02 EE2 34/C2_03.tif </t>
  </si>
  <si>
    <t xml:space="preserve"> 4503.0273 </t>
  </si>
  <si>
    <t xml:space="preserve"> 66.4928 </t>
  </si>
  <si>
    <t xml:space="preserve">D:\images\20211118\plaque 1/@02 EE2 34/D2_01.tif </t>
  </si>
  <si>
    <t xml:space="preserve"> 2588.6968 </t>
  </si>
  <si>
    <t xml:space="preserve"> 66.6723 </t>
  </si>
  <si>
    <t xml:space="preserve">D:\images\20211118\plaque 1/@02 EE2 34/D2_02.tif </t>
  </si>
  <si>
    <t xml:space="preserve"> 3698.1384 </t>
  </si>
  <si>
    <t xml:space="preserve"> 65.0412 </t>
  </si>
  <si>
    <t xml:space="preserve">D:\images\20211118\plaque 1/@02 EE2 34/D2_03.tif </t>
  </si>
  <si>
    <t xml:space="preserve"> 2001.3455 </t>
  </si>
  <si>
    <t xml:space="preserve"> 65.4022 </t>
  </si>
  <si>
    <t xml:space="preserve">D:\images\20211118\plaque 1/@02 EE2 34/E2_01.tif </t>
  </si>
  <si>
    <t xml:space="preserve"> 261.0451 </t>
  </si>
  <si>
    <t xml:space="preserve">D:\images\20211118\plaque 1/@02 EE2 34/E2_02.tif </t>
  </si>
  <si>
    <t xml:space="preserve"> 348.0601 </t>
  </si>
  <si>
    <t xml:space="preserve"> 62.9375 </t>
  </si>
  <si>
    <t xml:space="preserve">D:\images\20211118\plaque 1/@02 EE2 34/E2_03.tif </t>
  </si>
  <si>
    <t xml:space="preserve"> 804.8889 </t>
  </si>
  <si>
    <t xml:space="preserve"> 64.6757 </t>
  </si>
  <si>
    <t>D:\images\20211118\plaque 1/@02 EE2 34/F2_01- exclu.tif</t>
  </si>
  <si>
    <t xml:space="preserve">D:\images\20211118\plaque 1/@02 EE2 34/F2_02.tif </t>
  </si>
  <si>
    <t xml:space="preserve"> 2044.853 </t>
  </si>
  <si>
    <t xml:space="preserve"> 63.6702 </t>
  </si>
  <si>
    <t xml:space="preserve">D:\images\20211118\plaque 1/@02 EE2 34/F2_03.tif </t>
  </si>
  <si>
    <t xml:space="preserve"> 3110.787 </t>
  </si>
  <si>
    <t xml:space="preserve"> 64.5385 </t>
  </si>
  <si>
    <t xml:space="preserve">D:\images\20211118\plaque 1/@02 EE2 34/G2_01.tif </t>
  </si>
  <si>
    <t xml:space="preserve"> 69.5991 </t>
  </si>
  <si>
    <t xml:space="preserve">D:\images\20211118\plaque 1/@02 EE2 34/G2_02.tif </t>
  </si>
  <si>
    <t xml:space="preserve"> 4046.1984 </t>
  </si>
  <si>
    <t xml:space="preserve"> 71.4516 </t>
  </si>
  <si>
    <t xml:space="preserve">D:\images\20211118\plaque 1/@02 EE2 34/G2_03.tif </t>
  </si>
  <si>
    <t xml:space="preserve"> 1283.4715 </t>
  </si>
  <si>
    <t xml:space="preserve"> 64.4068 </t>
  </si>
  <si>
    <t xml:space="preserve">D:\images\20211118\plaque 1/@02 EE2 34/H2_01.tif </t>
  </si>
  <si>
    <t xml:space="preserve"> 1544.5166 </t>
  </si>
  <si>
    <t xml:space="preserve"> 64.0563 </t>
  </si>
  <si>
    <t xml:space="preserve">D:\images\20211118\plaque 1/@02 EE2 34/H2_02.tif </t>
  </si>
  <si>
    <t xml:space="preserve"> 717.8739 </t>
  </si>
  <si>
    <t xml:space="preserve"> 65.3939 </t>
  </si>
  <si>
    <t xml:space="preserve">D:\images\20211118\plaque 1/@02 EE2 34/H2_03.tif </t>
  </si>
  <si>
    <t xml:space="preserve"> 64.2414 </t>
  </si>
  <si>
    <t xml:space="preserve">D:\images\20211118\plaque 1/@02 EE2 34/ </t>
  </si>
  <si>
    <t xml:space="preserve"> 65.4412 </t>
  </si>
  <si>
    <t xml:space="preserve"> 2.7029 </t>
  </si>
  <si>
    <t xml:space="preserve"> 164416.625 </t>
  </si>
  <si>
    <t xml:space="preserve"> 151466.088 </t>
  </si>
  <si>
    <t>D:\images\20211118\plaque 1/@03 EE2 51/A3_01- exclu.tif</t>
  </si>
  <si>
    <t xml:space="preserve">D:\images\20211118\plaque 1/@03 EE2 51/A3_02.tif </t>
  </si>
  <si>
    <t xml:space="preserve"> 1936.0842 </t>
  </si>
  <si>
    <t xml:space="preserve"> 66.3146 </t>
  </si>
  <si>
    <t>D:\images\20211118\plaque 1/@03 EE2 51/A3_03- exclu.tif</t>
  </si>
  <si>
    <t>D:\images\20211118\plaque 1/@03 EE2 51/B3_01- exclu.tif</t>
  </si>
  <si>
    <t xml:space="preserve">D:\images\20211118\plaque 1/@03 EE2 51/B3_02.tif </t>
  </si>
  <si>
    <t xml:space="preserve"> 1392.2403 </t>
  </si>
  <si>
    <t xml:space="preserve"> 63.2969 </t>
  </si>
  <si>
    <t xml:space="preserve">D:\images\20211118\plaque 1/@03 EE2 51/B3_03.tif </t>
  </si>
  <si>
    <t xml:space="preserve"> 64.3514 </t>
  </si>
  <si>
    <t xml:space="preserve">D:\images\20211118\plaque 1/@03 EE2 51/C3_01.tif </t>
  </si>
  <si>
    <t xml:space="preserve">D:\images\20211118\plaque 1/@03 EE2 51/C3_02.tif </t>
  </si>
  <si>
    <t xml:space="preserve"> 587.3514 </t>
  </si>
  <si>
    <t xml:space="preserve"> 63.9259 </t>
  </si>
  <si>
    <t xml:space="preserve">D:\images\20211118\plaque 1/@03 EE2 51/C3_03.tif </t>
  </si>
  <si>
    <t xml:space="preserve"> 761.3814 </t>
  </si>
  <si>
    <t xml:space="preserve"> 62.5714 </t>
  </si>
  <si>
    <t xml:space="preserve">D:\images\20211118\plaque 1/@03 EE2 51/D3_01.tif </t>
  </si>
  <si>
    <t xml:space="preserve"> 1000.6727 </t>
  </si>
  <si>
    <t xml:space="preserve"> 63.3696 </t>
  </si>
  <si>
    <t xml:space="preserve">D:\images\20211118\plaque 1/@03 EE2 51/D3_02.tif </t>
  </si>
  <si>
    <t xml:space="preserve"> 64.3898 </t>
  </si>
  <si>
    <t xml:space="preserve">D:\images\20211118\plaque 1/@03 EE2 51/D3_03.tif </t>
  </si>
  <si>
    <t xml:space="preserve"> 4111.4597 </t>
  </si>
  <si>
    <t xml:space="preserve"> 69.3862 </t>
  </si>
  <si>
    <t xml:space="preserve">D:\images\20211118\plaque 1/@03 EE2 51/E3_01.tif </t>
  </si>
  <si>
    <t xml:space="preserve"> 5264.4087 </t>
  </si>
  <si>
    <t xml:space="preserve"> 67.0083 </t>
  </si>
  <si>
    <t xml:space="preserve">D:\images\20211118\plaque 1/@03 EE2 51/E3_02.tif </t>
  </si>
  <si>
    <t xml:space="preserve"> 2806.2344 </t>
  </si>
  <si>
    <t xml:space="preserve"> 66.2636 </t>
  </si>
  <si>
    <t xml:space="preserve">D:\images\20211118\plaque 1/@03 EE2 51/E3_03.tif </t>
  </si>
  <si>
    <t xml:space="preserve"> 62.6875 </t>
  </si>
  <si>
    <t xml:space="preserve">D:\images\20211118\plaque 1/@03 EE2 51/F3_01.tif </t>
  </si>
  <si>
    <t xml:space="preserve"> 1087.6878 </t>
  </si>
  <si>
    <t xml:space="preserve">D:\images\20211118\plaque 1/@03 EE2 51/F3_02.tif </t>
  </si>
  <si>
    <t xml:space="preserve"> 891.904 </t>
  </si>
  <si>
    <t xml:space="preserve"> 64.7073 </t>
  </si>
  <si>
    <t xml:space="preserve">D:\images\20211118\plaque 1/@03 EE2 51/F3_03.tif </t>
  </si>
  <si>
    <t xml:space="preserve"> 64.3125 </t>
  </si>
  <si>
    <t xml:space="preserve">D:\images\20211118\plaque 1/@03 EE2 51/G3_01.tif </t>
  </si>
  <si>
    <t xml:space="preserve"> 1805.5617 </t>
  </si>
  <si>
    <t xml:space="preserve"> 63.7229 </t>
  </si>
  <si>
    <t xml:space="preserve">D:\images\20211118\plaque 1/@03 EE2 51/G3_02.tif </t>
  </si>
  <si>
    <t xml:space="preserve"> 1109.4415 </t>
  </si>
  <si>
    <t xml:space="preserve"> 63.2941 </t>
  </si>
  <si>
    <t xml:space="preserve">D:\images\20211118\plaque 1/@03 EE2 51/G3_03.tif </t>
  </si>
  <si>
    <t xml:space="preserve"> 1305.2253 </t>
  </si>
  <si>
    <t xml:space="preserve"> 64.4 </t>
  </si>
  <si>
    <t xml:space="preserve">D:\images\20211118\plaque 1/@03 EE2 51/H3_01.tif </t>
  </si>
  <si>
    <t xml:space="preserve"> 63.087 </t>
  </si>
  <si>
    <t xml:space="preserve">D:\images\20211118\plaque 1/@03 EE2 51/H3_02.tif </t>
  </si>
  <si>
    <t xml:space="preserve"> 6808.9253 </t>
  </si>
  <si>
    <t xml:space="preserve"> 74.6454 </t>
  </si>
  <si>
    <t xml:space="preserve">D:\images\20211118\plaque 1/@03 EE2 51/H3_03.tif </t>
  </si>
  <si>
    <t xml:space="preserve"> 6743.6641 </t>
  </si>
  <si>
    <t xml:space="preserve"> 71.2452 </t>
  </si>
  <si>
    <t xml:space="preserve">D:\images\20211118\plaque 1/@03 EE2 51/ </t>
  </si>
  <si>
    <t xml:space="preserve"> 65.1137 </t>
  </si>
  <si>
    <t xml:space="preserve"> 2.913 </t>
  </si>
  <si>
    <t xml:space="preserve"> 129808.375 </t>
  </si>
  <si>
    <t xml:space="preserve"> 139687.894 </t>
  </si>
  <si>
    <t xml:space="preserve">D:\images\20211118\plaque 1/@04 EE2 76/A4_01.tif </t>
  </si>
  <si>
    <t xml:space="preserve"> 6178.0664 </t>
  </si>
  <si>
    <t xml:space="preserve"> 63.3697 </t>
  </si>
  <si>
    <t>D:\images\20211118\plaque 1/@04 EE2 76/A4_02- exclu.tif</t>
  </si>
  <si>
    <t xml:space="preserve">D:\images\20211118\plaque 1/@04 EE2 76/A4_03.tif </t>
  </si>
  <si>
    <t xml:space="preserve"> 7178.7392 </t>
  </si>
  <si>
    <t xml:space="preserve"> 64.0333 </t>
  </si>
  <si>
    <t xml:space="preserve">D:\images\20211118\plaque 1/@04 EE2 76/B4_01.tif </t>
  </si>
  <si>
    <t xml:space="preserve"> 1653.2854 </t>
  </si>
  <si>
    <t xml:space="preserve"> 62.9868 </t>
  </si>
  <si>
    <t xml:space="preserve">D:\images\20211118\plaque 1/@04 EE2 76/B4_02.tif </t>
  </si>
  <si>
    <t xml:space="preserve"> 1914.3304 </t>
  </si>
  <si>
    <t xml:space="preserve"> 63.0227 </t>
  </si>
  <si>
    <t xml:space="preserve">D:\images\20211118\plaque 1/@04 EE2 76/B4_03.tif </t>
  </si>
  <si>
    <t xml:space="preserve"> 2871.4957 </t>
  </si>
  <si>
    <t xml:space="preserve"> 63.3182 </t>
  </si>
  <si>
    <t xml:space="preserve">D:\images\20211118\plaque 1/@04 EE2 76/C4_01.tif </t>
  </si>
  <si>
    <t xml:space="preserve"> 304.5526 </t>
  </si>
  <si>
    <t xml:space="preserve">D:\images\20211118\plaque 1/@04 EE2 76/C4_02.tif </t>
  </si>
  <si>
    <t xml:space="preserve"> 739.6277 </t>
  </si>
  <si>
    <t xml:space="preserve"> 62.6176 </t>
  </si>
  <si>
    <t xml:space="preserve">D:\images\20211118\plaque 1/@04 EE2 76/C4_03.tif </t>
  </si>
  <si>
    <t xml:space="preserve"> 543.8439 </t>
  </si>
  <si>
    <t xml:space="preserve"> 62.84 </t>
  </si>
  <si>
    <t xml:space="preserve">D:\images\20211118\plaque 1/@04 EE2 76/D4_01.tif </t>
  </si>
  <si>
    <t xml:space="preserve"> 5046.8712 </t>
  </si>
  <si>
    <t xml:space="preserve"> 64.0259 </t>
  </si>
  <si>
    <t xml:space="preserve">D:\images\20211118\plaque 1/@04 EE2 76/D4_02.tif </t>
  </si>
  <si>
    <t xml:space="preserve"> 5808.2526 </t>
  </si>
  <si>
    <t xml:space="preserve"> 64.3184 </t>
  </si>
  <si>
    <t xml:space="preserve">D:\images\20211118\plaque 1/@04 EE2 76/D4_03.tif </t>
  </si>
  <si>
    <t xml:space="preserve"> 3872.1684 </t>
  </si>
  <si>
    <t xml:space="preserve"> 64.5843 </t>
  </si>
  <si>
    <t xml:space="preserve">D:\images\20211118\plaque 1/@04 EE2 76/E4_01.tif </t>
  </si>
  <si>
    <t xml:space="preserve"> 64.04 </t>
  </si>
  <si>
    <t xml:space="preserve">D:\images\20211118\plaque 1/@04 EE2 76/E4_02.tif </t>
  </si>
  <si>
    <t xml:space="preserve"> 1174.7028 </t>
  </si>
  <si>
    <t xml:space="preserve">D:\images\20211118\plaque 1/@04 EE2 76/E4_03.tif </t>
  </si>
  <si>
    <t xml:space="preserve"> 2284.1443 </t>
  </si>
  <si>
    <t xml:space="preserve"> 64.1524 </t>
  </si>
  <si>
    <t xml:space="preserve">D:\images\20211118\plaque 1/@04 EE2 76/F4_01.tif </t>
  </si>
  <si>
    <t xml:space="preserve"> 30955.5934 </t>
  </si>
  <si>
    <t xml:space="preserve"> 66.0576 </t>
  </si>
  <si>
    <t>D:\images\20211118\plaque 1/@04 EE2 76/F4_02- exclu.tif</t>
  </si>
  <si>
    <t xml:space="preserve">D:\images\20211118\plaque 1/@04 EE2 76/F4_03.tif </t>
  </si>
  <si>
    <t xml:space="preserve"> 20230.9922 </t>
  </si>
  <si>
    <t xml:space="preserve"> 65.0903 </t>
  </si>
  <si>
    <t xml:space="preserve">D:\images\20211118\plaque 1/@04 EE2 76/G4_01.tif </t>
  </si>
  <si>
    <t xml:space="preserve"> 63.4833 </t>
  </si>
  <si>
    <t xml:space="preserve">D:\images\20211118\plaque 1/@04 EE2 76/G4_02.tif </t>
  </si>
  <si>
    <t xml:space="preserve"> 1370.4866 </t>
  </si>
  <si>
    <t xml:space="preserve"> 63.4762 </t>
  </si>
  <si>
    <t>D:\images\20211118\plaque 1/@04 EE2 76/G4_03- exclu.tif</t>
  </si>
  <si>
    <t xml:space="preserve">D:\images\20211118\plaque 1/@04 EE2 76/H4_01.tif </t>
  </si>
  <si>
    <t xml:space="preserve"> 63.7712 </t>
  </si>
  <si>
    <t xml:space="preserve">D:\images\20211118\plaque 1/@04 EE2 76/H4_02.tif </t>
  </si>
  <si>
    <t xml:space="preserve"> 3350.0783 </t>
  </si>
  <si>
    <t xml:space="preserve"> 63.0974 </t>
  </si>
  <si>
    <t xml:space="preserve">D:\images\20211118\plaque 1/@04 EE2 76/H4_03.tif </t>
  </si>
  <si>
    <t xml:space="preserve"> 3828.6609 </t>
  </si>
  <si>
    <t xml:space="preserve"> 63.4318 </t>
  </si>
  <si>
    <t xml:space="preserve">D:\images\20211118\plaque 1/@04 EE2 76/ </t>
  </si>
  <si>
    <t xml:space="preserve"> 63.6807 </t>
  </si>
  <si>
    <t xml:space="preserve"> 0.838 </t>
  </si>
  <si>
    <t xml:space="preserve"> 341889.25 </t>
  </si>
  <si>
    <t xml:space="preserve"> 487007.549 </t>
  </si>
  <si>
    <t xml:space="preserve">D:\images\20211118\plaque 1/@05 EE2 114/A5_01.tif </t>
  </si>
  <si>
    <t xml:space="preserve"> 4590.0423 </t>
  </si>
  <si>
    <t xml:space="preserve"> 63.8957 </t>
  </si>
  <si>
    <t xml:space="preserve">D:\images\20211118\plaque 1/@05 EE2 114/A5_02.tif </t>
  </si>
  <si>
    <t xml:space="preserve"> 5503.7 </t>
  </si>
  <si>
    <t xml:space="preserve"> 64.0593 </t>
  </si>
  <si>
    <t xml:space="preserve">D:\images\20211118\plaque 1/@05 EE2 114/A5_03.tif </t>
  </si>
  <si>
    <t xml:space="preserve"> 10202.5111 </t>
  </si>
  <si>
    <t xml:space="preserve">D:\images\20211118\plaque 1/@05 EE2 114/B5_01.tif </t>
  </si>
  <si>
    <t xml:space="preserve"> 14313.9708 </t>
  </si>
  <si>
    <t xml:space="preserve"> 64.5015 </t>
  </si>
  <si>
    <t xml:space="preserve">D:\images\20211118\plaque 1/@05 EE2 114/B5_02.tif </t>
  </si>
  <si>
    <t xml:space="preserve"> 13509.0819 </t>
  </si>
  <si>
    <t xml:space="preserve"> 64.3172 </t>
  </si>
  <si>
    <t xml:space="preserve">D:\images\20211118\plaque 1/@05 EE2 114/B5_03.tif </t>
  </si>
  <si>
    <t xml:space="preserve"> 12899.9767 </t>
  </si>
  <si>
    <t xml:space="preserve"> 64.9545 </t>
  </si>
  <si>
    <t xml:space="preserve">D:\images\20211118\plaque 1/@05 EE2 114/C5_01.tif </t>
  </si>
  <si>
    <t xml:space="preserve"> 52557.0721 </t>
  </si>
  <si>
    <t xml:space="preserve"> 70.375 </t>
  </si>
  <si>
    <t xml:space="preserve">D:\images\20211118\plaque 1/@05 EE2 114/C5_02.tif </t>
  </si>
  <si>
    <t xml:space="preserve"> 46944.6033 </t>
  </si>
  <si>
    <t xml:space="preserve"> 70.2822 </t>
  </si>
  <si>
    <t xml:space="preserve">D:\images\20211118\plaque 1/@05 EE2 114/C5_03.tif </t>
  </si>
  <si>
    <t xml:space="preserve"> 54580.1713 </t>
  </si>
  <si>
    <t xml:space="preserve"> 72.265 </t>
  </si>
  <si>
    <t xml:space="preserve">D:\images\20211118\plaque 1/@05 EE2 114/D5_01.tif </t>
  </si>
  <si>
    <t xml:space="preserve"> 413.3213 </t>
  </si>
  <si>
    <t xml:space="preserve"> 64.3684 </t>
  </si>
  <si>
    <t xml:space="preserve">D:\images\20211118\plaque 1/@05 EE2 114/D5_02.tif </t>
  </si>
  <si>
    <t xml:space="preserve"> 64.1667 </t>
  </si>
  <si>
    <t xml:space="preserve">D:\images\20211118\plaque 1/@05 EE2 114/D5_03.tif </t>
  </si>
  <si>
    <t xml:space="preserve"> 456.8289 </t>
  </si>
  <si>
    <t xml:space="preserve">D:\images\20211118\plaque 1/@05 EE2 114/E5_01.tif </t>
  </si>
  <si>
    <t xml:space="preserve"> 63.6118 </t>
  </si>
  <si>
    <t xml:space="preserve">D:\images\20211118\plaque 1/@05 EE2 114/E5_02.tif </t>
  </si>
  <si>
    <t xml:space="preserve"> 2262.3905 </t>
  </si>
  <si>
    <t xml:space="preserve"> 62.9231 </t>
  </si>
  <si>
    <t xml:space="preserve">D:\images\20211118\plaque 1/@05 EE2 114/E5_03.tif </t>
  </si>
  <si>
    <t xml:space="preserve"> 6482.619 </t>
  </si>
  <si>
    <t xml:space="preserve"> 68.4799 </t>
  </si>
  <si>
    <t xml:space="preserve">D:\images\20211118\plaque 1/@05 EE2 114/F5_01.tif </t>
  </si>
  <si>
    <t xml:space="preserve"> 2175.3755 </t>
  </si>
  <si>
    <t xml:space="preserve"> 63.43 </t>
  </si>
  <si>
    <t xml:space="preserve">D:\images\20211118\plaque 1/@05 EE2 114/F5_02.tif </t>
  </si>
  <si>
    <t xml:space="preserve"> 63.6974 </t>
  </si>
  <si>
    <t xml:space="preserve">D:\images\20211118\plaque 1/@05 EE2 114/F5_03.tif </t>
  </si>
  <si>
    <t xml:space="preserve"> 2501.6818 </t>
  </si>
  <si>
    <t xml:space="preserve"> 63.8435 </t>
  </si>
  <si>
    <t xml:space="preserve">D:\images\20211118\plaque 1/@05 EE2 114/G5_01.tif </t>
  </si>
  <si>
    <t xml:space="preserve"> 13791.8807 </t>
  </si>
  <si>
    <t xml:space="preserve"> 64.9527 </t>
  </si>
  <si>
    <t xml:space="preserve">D:\images\20211118\plaque 1/@05 EE2 114/G5_02.tif </t>
  </si>
  <si>
    <t xml:space="preserve"> 19969.9471 </t>
  </si>
  <si>
    <t xml:space="preserve"> 65.8845 </t>
  </si>
  <si>
    <t xml:space="preserve">D:\images\20211118\plaque 1/@05 EE2 114/G5_03.tif </t>
  </si>
  <si>
    <t xml:space="preserve"> 14379.2321 </t>
  </si>
  <si>
    <t xml:space="preserve">D:\images\20211118\plaque 1/@05 EE2 114/H5_01.tif </t>
  </si>
  <si>
    <t xml:space="preserve"> 4807.5799 </t>
  </si>
  <si>
    <t xml:space="preserve"> 63.5113 </t>
  </si>
  <si>
    <t xml:space="preserve">D:\images\20211118\plaque 1/@05 EE2 114/H5_02.tif </t>
  </si>
  <si>
    <t xml:space="preserve"> 2980.2644 </t>
  </si>
  <si>
    <t xml:space="preserve"> 63.219 </t>
  </si>
  <si>
    <t xml:space="preserve">D:\images\20211118\plaque 1/@05 EE2 114/H5_03.tif </t>
  </si>
  <si>
    <t xml:space="preserve"> 6373.8502 </t>
  </si>
  <si>
    <t xml:space="preserve"> 64.1092 </t>
  </si>
  <si>
    <t xml:space="preserve">D:\images\20211118\plaque 1/@05 EE2 114/ </t>
  </si>
  <si>
    <t xml:space="preserve"> 65.1685 </t>
  </si>
  <si>
    <t xml:space="preserve"> 2.5336 </t>
  </si>
  <si>
    <t xml:space="preserve"> 843581.708 </t>
  </si>
  <si>
    <t xml:space="preserve"> 1142882.28 </t>
  </si>
  <si>
    <t xml:space="preserve">D:\images\20211118\plaque 1/@06 EE2 171/A6_01.tif </t>
  </si>
  <si>
    <t xml:space="preserve"> 44725.7203 </t>
  </si>
  <si>
    <t xml:space="preserve"> 72.9898 </t>
  </si>
  <si>
    <t xml:space="preserve">D:\images\20211118\plaque 1/@06 EE2 171/A6_02.tif </t>
  </si>
  <si>
    <t xml:space="preserve"> 45247.8104 </t>
  </si>
  <si>
    <t xml:space="preserve"> 75.0885 </t>
  </si>
  <si>
    <t xml:space="preserve">D:\images\20211118\plaque 1/@06 EE2 171/A6_03.tif </t>
  </si>
  <si>
    <t xml:space="preserve"> 44986.7653 </t>
  </si>
  <si>
    <t xml:space="preserve"> 72.7795 </t>
  </si>
  <si>
    <t xml:space="preserve">D:\images\20211118\plaque 1/@06 EE2 171/B6_01.tif </t>
  </si>
  <si>
    <t xml:space="preserve"> 63129.397 </t>
  </si>
  <si>
    <t xml:space="preserve"> 74.8156 </t>
  </si>
  <si>
    <t xml:space="preserve">D:\images\20211118\plaque 1/@06 EE2 171/B6_02.tif </t>
  </si>
  <si>
    <t xml:space="preserve"> 62237.4931 </t>
  </si>
  <si>
    <t xml:space="preserve"> 74.7655 </t>
  </si>
  <si>
    <t xml:space="preserve">D:\images\20211118\plaque 1/@06 EE2 171/B6_03.tif </t>
  </si>
  <si>
    <t xml:space="preserve"> 62172.2318 </t>
  </si>
  <si>
    <t xml:space="preserve"> 74.7376 </t>
  </si>
  <si>
    <t>D:\images\20211118\plaque 1/@06 EE2 171/C6_01- exclu.tif</t>
  </si>
  <si>
    <t xml:space="preserve">D:\images\20211118\plaque 1/@06 EE2 171/C6_02.tif </t>
  </si>
  <si>
    <t xml:space="preserve"> 52339.5345 </t>
  </si>
  <si>
    <t xml:space="preserve"> 71.6783 </t>
  </si>
  <si>
    <t>D:\images\20211118\plaque 1/@06 EE2 171/C6_03- exclu.tif</t>
  </si>
  <si>
    <t xml:space="preserve">D:\images\20211118\plaque 1/@06 EE2 171/D6_01.tif </t>
  </si>
  <si>
    <t xml:space="preserve"> 25734.6922 </t>
  </si>
  <si>
    <t xml:space="preserve"> 66.0566 </t>
  </si>
  <si>
    <t xml:space="preserve">D:\images\20211118\plaque 1/@06 EE2 171/D6_02.tif </t>
  </si>
  <si>
    <t xml:space="preserve"> 18947.5206 </t>
  </si>
  <si>
    <t xml:space="preserve"> 65.023 </t>
  </si>
  <si>
    <t xml:space="preserve">D:\images\20211118\plaque 1/@06 EE2 171/D6_03.tif </t>
  </si>
  <si>
    <t xml:space="preserve"> 22210.5839 </t>
  </si>
  <si>
    <t xml:space="preserve"> 65.2693 </t>
  </si>
  <si>
    <t>D:\images\20211118\plaque 1/@06 EE2 171/E6_01- exclu.tif</t>
  </si>
  <si>
    <t xml:space="preserve">D:\images\20211118\plaque 1/@06 EE2 171/E6_02.tif </t>
  </si>
  <si>
    <t xml:space="preserve"> 57603.9433 </t>
  </si>
  <si>
    <t xml:space="preserve"> 76.054 </t>
  </si>
  <si>
    <t xml:space="preserve">D:\images\20211118\plaque 1/@06 EE2 171/E6_03.tif </t>
  </si>
  <si>
    <t xml:space="preserve"> 58474.0935 </t>
  </si>
  <si>
    <t xml:space="preserve"> 74.8501 </t>
  </si>
  <si>
    <t xml:space="preserve">D:\images\20211118\plaque 1/@06 EE2 171/F6_01.tif </t>
  </si>
  <si>
    <t xml:space="preserve"> 37068.3985 </t>
  </si>
  <si>
    <t xml:space="preserve"> 69.0176 </t>
  </si>
  <si>
    <t xml:space="preserve">D:\images\20211118\plaque 1/@06 EE2 171/F6_02.tif </t>
  </si>
  <si>
    <t xml:space="preserve"> 40266.2005 </t>
  </si>
  <si>
    <t xml:space="preserve"> 67.8811 </t>
  </si>
  <si>
    <t xml:space="preserve">D:\images\20211118\plaque 1/@06 EE2 171/F6_03.tif </t>
  </si>
  <si>
    <t xml:space="preserve"> 41527.9183 </t>
  </si>
  <si>
    <t xml:space="preserve"> 68.6113 </t>
  </si>
  <si>
    <t xml:space="preserve">D:\images\20211118\plaque 1/@06 EE2 171/G6_01.tif </t>
  </si>
  <si>
    <t xml:space="preserve"> 68.7979 </t>
  </si>
  <si>
    <t xml:space="preserve">D:\images\20211118\plaque 1/@06 EE2 171/G6_02.tif </t>
  </si>
  <si>
    <t xml:space="preserve"> 48554.3812 </t>
  </si>
  <si>
    <t xml:space="preserve"> 70.5314 </t>
  </si>
  <si>
    <t xml:space="preserve">D:\images\20211118\plaque 1/@06 EE2 171/G6_03.tif </t>
  </si>
  <si>
    <t xml:space="preserve"> 45639.378 </t>
  </si>
  <si>
    <t xml:space="preserve"> 69.399 </t>
  </si>
  <si>
    <t xml:space="preserve">D:\images\20211118\plaque 1/@06 EE2 171/H6_01.tif </t>
  </si>
  <si>
    <t xml:space="preserve"> 48989.4563 </t>
  </si>
  <si>
    <t xml:space="preserve"> 70.9649 </t>
  </si>
  <si>
    <t xml:space="preserve">D:\images\20211118\plaque 1/@06 EE2 171/H6_02.tif </t>
  </si>
  <si>
    <t xml:space="preserve"> 72.6441 </t>
  </si>
  <si>
    <t xml:space="preserve">D:\images\20211118\plaque 1/@06 EE2 171/H6_03.tif </t>
  </si>
  <si>
    <t xml:space="preserve"> 49098.225 </t>
  </si>
  <si>
    <t xml:space="preserve"> 70.6526 </t>
  </si>
  <si>
    <t xml:space="preserve">D:\images\20211118\plaque 1/@06 EE2 171/ </t>
  </si>
  <si>
    <t xml:space="preserve"> 71.0113 </t>
  </si>
  <si>
    <t xml:space="preserve"> 3.298 </t>
  </si>
  <si>
    <t xml:space="preserve"> 3327010.17 </t>
  </si>
  <si>
    <t xml:space="preserve"> 961420.382 </t>
  </si>
  <si>
    <t xml:space="preserve">D:\images\20211118\plaque 1/@07 EE2 488/A7_01.tif </t>
  </si>
  <si>
    <t xml:space="preserve"> 9528.1447 </t>
  </si>
  <si>
    <t xml:space="preserve"> 63.9475 </t>
  </si>
  <si>
    <t xml:space="preserve">D:\images\20211118\plaque 1/@07 EE2 488/A7_02.tif </t>
  </si>
  <si>
    <t xml:space="preserve"> 7135.2316 </t>
  </si>
  <si>
    <t xml:space="preserve"> 63.8445 </t>
  </si>
  <si>
    <t xml:space="preserve">D:\images\20211118\plaque 1/@07 EE2 488/A7_03.tif </t>
  </si>
  <si>
    <t xml:space="preserve"> 11638.2589 </t>
  </si>
  <si>
    <t xml:space="preserve"> 64.9551 </t>
  </si>
  <si>
    <t xml:space="preserve">D:\images\20211118\plaque 1/@07 EE2 488/B7_01.tif </t>
  </si>
  <si>
    <t xml:space="preserve"> 72091.9441 </t>
  </si>
  <si>
    <t xml:space="preserve"> 91.1672 </t>
  </si>
  <si>
    <t xml:space="preserve">D:\images\20211118\plaque 1/@07 EE2 488/B7_02.tif </t>
  </si>
  <si>
    <t xml:space="preserve"> 74006.2745 </t>
  </si>
  <si>
    <t xml:space="preserve"> 91.9068 </t>
  </si>
  <si>
    <t xml:space="preserve">D:\images\20211118\plaque 1/@07 EE2 488/B7_03.tif </t>
  </si>
  <si>
    <t xml:space="preserve"> 73723.4757 </t>
  </si>
  <si>
    <t xml:space="preserve"> 92.1018 </t>
  </si>
  <si>
    <t xml:space="preserve">D:\images\20211118\plaque 1/@07 EE2 488/C7_01.tif </t>
  </si>
  <si>
    <t xml:space="preserve"> 65892.1239 </t>
  </si>
  <si>
    <t xml:space="preserve"> 81.6448 </t>
  </si>
  <si>
    <t xml:space="preserve">D:\images\20211118\plaque 1/@07 EE2 488/C7_02.tif </t>
  </si>
  <si>
    <t xml:space="preserve"> 66936.3041 </t>
  </si>
  <si>
    <t xml:space="preserve"> 80.4072 </t>
  </si>
  <si>
    <t xml:space="preserve">D:\images\20211118\plaque 1/@07 EE2 488/C7_03.tif </t>
  </si>
  <si>
    <t xml:space="preserve"> 68328.5445 </t>
  </si>
  <si>
    <t xml:space="preserve"> 80.7883 </t>
  </si>
  <si>
    <t xml:space="preserve">D:\images\20211118\plaque 1/@07 EE2 488/D7_01.tif </t>
  </si>
  <si>
    <t xml:space="preserve"> 72505.2654 </t>
  </si>
  <si>
    <t xml:space="preserve"> 85.0174 </t>
  </si>
  <si>
    <t xml:space="preserve">D:\images\20211118\plaque 1/@07 EE2 488/D7_02.tif </t>
  </si>
  <si>
    <t xml:space="preserve"> 73897.5057 </t>
  </si>
  <si>
    <t xml:space="preserve"> 82.5078 </t>
  </si>
  <si>
    <t xml:space="preserve">D:\images\20211118\plaque 1/@07 EE2 488/D7_03.tif </t>
  </si>
  <si>
    <t xml:space="preserve"> 71678.6227 </t>
  </si>
  <si>
    <t xml:space="preserve"> 85.1253 </t>
  </si>
  <si>
    <t xml:space="preserve">D:\images\20211118\plaque 1/@07 EE2 488/E7_01.tif </t>
  </si>
  <si>
    <t xml:space="preserve"> 60127.3788 </t>
  </si>
  <si>
    <t xml:space="preserve"> 83.2377 </t>
  </si>
  <si>
    <t xml:space="preserve">D:\images\20211118\plaque 1/@07 EE2 488/E7_02.tif </t>
  </si>
  <si>
    <t xml:space="preserve"> 64391.1148 </t>
  </si>
  <si>
    <t xml:space="preserve"> 83.4321 </t>
  </si>
  <si>
    <t xml:space="preserve">D:\images\20211118\plaque 1/@07 EE2 488/E7_03.tif </t>
  </si>
  <si>
    <t xml:space="preserve"> 69133.4334 </t>
  </si>
  <si>
    <t xml:space="preserve"> 83.3307 </t>
  </si>
  <si>
    <t xml:space="preserve">D:\images\20211118\plaque 1/@07 EE2 488/F7_01.tif </t>
  </si>
  <si>
    <t xml:space="preserve"> 73092.6168 </t>
  </si>
  <si>
    <t xml:space="preserve"> 91.1283 </t>
  </si>
  <si>
    <t xml:space="preserve">D:\images\20211118\plaque 1/@07 EE2 488/F7_02.tif </t>
  </si>
  <si>
    <t xml:space="preserve"> 69873.0611 </t>
  </si>
  <si>
    <t xml:space="preserve"> 92.8431 </t>
  </si>
  <si>
    <t xml:space="preserve">D:\images\20211118\plaque 1/@07 EE2 488/F7_03.tif </t>
  </si>
  <si>
    <t xml:space="preserve"> 70612.6887 </t>
  </si>
  <si>
    <t xml:space="preserve"> 94.1965 </t>
  </si>
  <si>
    <t>D:\images\20211118\plaque 1/@07 EE2 488/G7_01- exclu.tif</t>
  </si>
  <si>
    <t xml:space="preserve">D:\images\20211118\plaque 1/@07 EE2 488/G7_02.tif </t>
  </si>
  <si>
    <t xml:space="preserve"> 45465.348 </t>
  </si>
  <si>
    <t xml:space="preserve"> 71.3263 </t>
  </si>
  <si>
    <t>D:\images\20211118\plaque 1/@07 EE2 488/G7_03- exclu.tif</t>
  </si>
  <si>
    <t xml:space="preserve">D:\images\20211118\plaque 1/@07 EE2 488/H7_01.tif </t>
  </si>
  <si>
    <t xml:space="preserve"> 27627.2689 </t>
  </si>
  <si>
    <t xml:space="preserve"> 66.0543 </t>
  </si>
  <si>
    <t xml:space="preserve">D:\images\20211118\plaque 1/@07 EE2 488/H7_02.tif </t>
  </si>
  <si>
    <t xml:space="preserve"> 30172.4582 </t>
  </si>
  <si>
    <t xml:space="preserve"> 67.3828 </t>
  </si>
  <si>
    <t xml:space="preserve">D:\images\20211118\plaque 1/@07 EE2 488/H7_03.tif </t>
  </si>
  <si>
    <t xml:space="preserve"> 33718.3203 </t>
  </si>
  <si>
    <t xml:space="preserve"> 67.2097 </t>
  </si>
  <si>
    <t xml:space="preserve">D:\images\20211118\plaque 1/@07 EE2 488/ </t>
  </si>
  <si>
    <t xml:space="preserve"> 79.3872 </t>
  </si>
  <si>
    <t xml:space="preserve"> 10.4139 </t>
  </si>
  <si>
    <t xml:space="preserve"> 4496066.12 </t>
  </si>
  <si>
    <t xml:space="preserve"> 2197659.66 </t>
  </si>
  <si>
    <t xml:space="preserve">D:\images\20211118\plaque 1/@08 Atenolol 0.01/A8_01.tif </t>
  </si>
  <si>
    <t xml:space="preserve"> 4894.5949 </t>
  </si>
  <si>
    <t xml:space="preserve"> 66.5467 </t>
  </si>
  <si>
    <t xml:space="preserve">D:\images\20211118\plaque 1/@08 Atenolol 0.01/A8_02.tif </t>
  </si>
  <si>
    <t xml:space="preserve"> 5481.9463 </t>
  </si>
  <si>
    <t xml:space="preserve"> 73.4365 </t>
  </si>
  <si>
    <t xml:space="preserve">D:\images\20211118\plaque 1/@08 Atenolol 0.01/A8_03.tif </t>
  </si>
  <si>
    <t xml:space="preserve"> 5982.2826 </t>
  </si>
  <si>
    <t xml:space="preserve"> 68.5164 </t>
  </si>
  <si>
    <t xml:space="preserve">D:\images\20211118\plaque 1/@08 Atenolol 0.01/B8_01.tif </t>
  </si>
  <si>
    <t xml:space="preserve"> 63.0556 </t>
  </si>
  <si>
    <t xml:space="preserve">D:\images\20211118\plaque 1/@08 Atenolol 0.01/B8_02.tif </t>
  </si>
  <si>
    <t xml:space="preserve"> 957.1652 </t>
  </si>
  <si>
    <t xml:space="preserve"> 63.2045 </t>
  </si>
  <si>
    <t xml:space="preserve">D:\images\20211118\plaque 1/@08 Atenolol 0.01/B8_03.tif </t>
  </si>
  <si>
    <t xml:space="preserve"> 63.6765 </t>
  </si>
  <si>
    <t xml:space="preserve">D:\images\20211118\plaque 1/@08 Atenolol 0.01/C8_01.tif </t>
  </si>
  <si>
    <t xml:space="preserve"> 1239.964 </t>
  </si>
  <si>
    <t xml:space="preserve"> 66.5439 </t>
  </si>
  <si>
    <t xml:space="preserve">D:\images\20211118\plaque 1/@08 Atenolol 0.01/C8_02.tif </t>
  </si>
  <si>
    <t xml:space="preserve"> 369.8138 </t>
  </si>
  <si>
    <t xml:space="preserve">D:\images\20211118\plaque 1/@08 Atenolol 0.01/C8_03.tif </t>
  </si>
  <si>
    <t xml:space="preserve"> 652.6127 </t>
  </si>
  <si>
    <t xml:space="preserve"> 63.7 </t>
  </si>
  <si>
    <t xml:space="preserve">D:\images\20211118\plaque 1/@08 Atenolol 0.01/D8_01.tif </t>
  </si>
  <si>
    <t xml:space="preserve"> 1979.5917 </t>
  </si>
  <si>
    <t xml:space="preserve"> 65.6484 </t>
  </si>
  <si>
    <t xml:space="preserve">D:\images\20211118\plaque 1/@08 Atenolol 0.01/D8_02.tif </t>
  </si>
  <si>
    <t xml:space="preserve"> 935.4115 </t>
  </si>
  <si>
    <t xml:space="preserve"> 63.5349 </t>
  </si>
  <si>
    <t xml:space="preserve">D:\images\20211118\plaque 1/@08 Atenolol 0.01/D8_03.tif </t>
  </si>
  <si>
    <t xml:space="preserve"> 2936.7569 </t>
  </si>
  <si>
    <t xml:space="preserve"> 65.6593 </t>
  </si>
  <si>
    <t xml:space="preserve">D:\images\20211118\plaque 1/@08 Atenolol 0.01/E8_01.tif </t>
  </si>
  <si>
    <t xml:space="preserve"> 152.2763 </t>
  </si>
  <si>
    <t xml:space="preserve">D:\images\20211118\plaque 1/@08 Atenolol 0.01/E8_02.tif </t>
  </si>
  <si>
    <t xml:space="preserve"> 63.1429 </t>
  </si>
  <si>
    <t xml:space="preserve">D:\images\20211118\plaque 1/@08 Atenolol 0.01/E8_03.tif </t>
  </si>
  <si>
    <t xml:space="preserve">D:\images\20211118\plaque 1/@08 Atenolol 0.01/F8_01.tif </t>
  </si>
  <si>
    <t xml:space="preserve"> 2131.868 </t>
  </si>
  <si>
    <t xml:space="preserve"> 63.6224 </t>
  </si>
  <si>
    <t xml:space="preserve">D:\images\20211118\plaque 1/@08 Atenolol 0.01/F8_02.tif </t>
  </si>
  <si>
    <t xml:space="preserve"> 63.3483 </t>
  </si>
  <si>
    <t xml:space="preserve">D:\images\20211118\plaque 1/@08 Atenolol 0.01/F8_03.tif </t>
  </si>
  <si>
    <t xml:space="preserve"> 1631.5316 </t>
  </si>
  <si>
    <t xml:space="preserve"> 63.6933 </t>
  </si>
  <si>
    <t xml:space="preserve">D:\images\20211118\plaque 1/@08 Atenolol 0.01/G8_01.tif </t>
  </si>
  <si>
    <t xml:space="preserve"> 5895.2676 </t>
  </si>
  <si>
    <t xml:space="preserve"> 68.7159 </t>
  </si>
  <si>
    <t xml:space="preserve">D:\images\20211118\plaque 1/@08 Atenolol 0.01/G8_02.tif </t>
  </si>
  <si>
    <t xml:space="preserve"> 65.2715 </t>
  </si>
  <si>
    <t xml:space="preserve">D:\images\20211118\plaque 1/@08 Atenolol 0.01/G8_03.tif </t>
  </si>
  <si>
    <t xml:space="preserve"> 3415.3395 </t>
  </si>
  <si>
    <t xml:space="preserve"> 65.8025 </t>
  </si>
  <si>
    <t>D:\images\20211118\plaque 1/@08 Atenolol 0.01/H8_01- exclu.tif</t>
  </si>
  <si>
    <t>D:\images\20211118\plaque 1/@08 Atenolol 0.01/H8_02- exclu.tif</t>
  </si>
  <si>
    <t>D:\images\20211118\plaque 1/@08 Atenolol 0.01/H8_03- exclu.tif</t>
  </si>
  <si>
    <t xml:space="preserve">D:\images\20211118\plaque 1/@08 Atenolol 0.01/ </t>
  </si>
  <si>
    <t xml:space="preserve"> 64.8485 </t>
  </si>
  <si>
    <t xml:space="preserve"> 2.5129 </t>
  </si>
  <si>
    <t xml:space="preserve"> 132679.667 </t>
  </si>
  <si>
    <t xml:space="preserve"> 139328.655 </t>
  </si>
  <si>
    <t xml:space="preserve">D:\images\20211118\plaque 1/@09 Atenolol 0.1/A9_01.tif </t>
  </si>
  <si>
    <t xml:space="preserve"> 2088.3605 </t>
  </si>
  <si>
    <t xml:space="preserve"> 63.3333 </t>
  </si>
  <si>
    <t xml:space="preserve">D:\images\20211118\plaque 1/@09 Atenolol 0.1/A9_02.tif </t>
  </si>
  <si>
    <t xml:space="preserve"> 2479.9281 </t>
  </si>
  <si>
    <t xml:space="preserve"> 62.8333 </t>
  </si>
  <si>
    <t xml:space="preserve">D:\images\20211118\plaque 1/@09 Atenolol 0.1/A9_03.tif </t>
  </si>
  <si>
    <t xml:space="preserve"> 62.2909 </t>
  </si>
  <si>
    <t xml:space="preserve">D:\images\20211118\plaque 1/@09 Atenolol 0.1/B9_01.tif </t>
  </si>
  <si>
    <t xml:space="preserve">D:\images\20211118\plaque 1/@09 Atenolol 0.1/B9_02.tif </t>
  </si>
  <si>
    <t xml:space="preserve"> 1588.0241 </t>
  </si>
  <si>
    <t xml:space="preserve"> 63.274 </t>
  </si>
  <si>
    <t xml:space="preserve">D:\images\20211118\plaque 1/@09 Atenolol 0.1/B9_03.tif </t>
  </si>
  <si>
    <t xml:space="preserve"> 64.3913 </t>
  </si>
  <si>
    <t xml:space="preserve">D:\images\20211118\plaque 1/@09 Atenolol 0.1/C9_01.tif </t>
  </si>
  <si>
    <t xml:space="preserve"> 326.3063 </t>
  </si>
  <si>
    <t xml:space="preserve"> 63.0667 </t>
  </si>
  <si>
    <t xml:space="preserve">D:\images\20211118\plaque 1/@09 Atenolol 0.1/C9_02.tif </t>
  </si>
  <si>
    <t xml:space="preserve"> 239.2913 </t>
  </si>
  <si>
    <t xml:space="preserve"> 62.8182 </t>
  </si>
  <si>
    <t xml:space="preserve">D:\images\20211118\plaque 1/@09 Atenolol 0.1/C9_03.tif </t>
  </si>
  <si>
    <t xml:space="preserve"> 174.03 </t>
  </si>
  <si>
    <t xml:space="preserve">D:\images\20211118\plaque 1/@09 Atenolol 0.1/D9_01.tif </t>
  </si>
  <si>
    <t xml:space="preserve"> 64.1765 </t>
  </si>
  <si>
    <t xml:space="preserve">D:\images\20211118\plaque 1/@09 Atenolol 0.1/D9_02.tif </t>
  </si>
  <si>
    <t xml:space="preserve"> 63.0976 </t>
  </si>
  <si>
    <t xml:space="preserve">D:\images\20211118\plaque 1/@09 Atenolol 0.1/D9_03.tif </t>
  </si>
  <si>
    <t xml:space="preserve"> 391.5676 </t>
  </si>
  <si>
    <t xml:space="preserve">D:\images\20211118\plaque 1/@09 Atenolol 0.1/E9_01.tif </t>
  </si>
  <si>
    <t xml:space="preserve"> 696.1202 </t>
  </si>
  <si>
    <t xml:space="preserve"> 63.9375 </t>
  </si>
  <si>
    <t xml:space="preserve">D:\images\20211118\plaque 1/@09 Atenolol 0.1/E9_02.tif </t>
  </si>
  <si>
    <t xml:space="preserve"> 63.4186 </t>
  </si>
  <si>
    <t xml:space="preserve">D:\images\20211118\plaque 1/@09 Atenolol 0.1/E9_03.tif </t>
  </si>
  <si>
    <t xml:space="preserve"> 64.2381 </t>
  </si>
  <si>
    <t xml:space="preserve">D:\images\20211118\plaque 1/@09 Atenolol 0.1/F9_01.tif </t>
  </si>
  <si>
    <t xml:space="preserve"> 478.5826 </t>
  </si>
  <si>
    <t>D:\images\20211118\plaque 1/@09 Atenolol 0.1/F9_02- exclu.tif</t>
  </si>
  <si>
    <t xml:space="preserve">D:\images\20211118\plaque 1/@09 Atenolol 0.1/F9_03.tif </t>
  </si>
  <si>
    <t xml:space="preserve">D:\images\20211118\plaque 1/@09 Atenolol 0.1/G9_01.tif </t>
  </si>
  <si>
    <t xml:space="preserve"> 63.7838 </t>
  </si>
  <si>
    <t xml:space="preserve">D:\images\20211118\plaque 1/@09 Atenolol 0.1/G9_02.tif </t>
  </si>
  <si>
    <t xml:space="preserve"> 62.6154 </t>
  </si>
  <si>
    <t xml:space="preserve">D:\images\20211118\plaque 1/@09 Atenolol 0.1/G9_03.tif </t>
  </si>
  <si>
    <t xml:space="preserve"> 1740.3004 </t>
  </si>
  <si>
    <t xml:space="preserve"> 64.5875 </t>
  </si>
  <si>
    <t xml:space="preserve">D:\images\20211118\plaque 1/@09 Atenolol 0.1/H9_01.tif </t>
  </si>
  <si>
    <t xml:space="preserve"> 62.2353 </t>
  </si>
  <si>
    <t xml:space="preserve">D:\images\20211118\plaque 1/@09 Atenolol 0.1/H9_02.tif </t>
  </si>
  <si>
    <t xml:space="preserve"> 1522.7629 </t>
  </si>
  <si>
    <t xml:space="preserve"> 65.0429 </t>
  </si>
  <si>
    <t xml:space="preserve">D:\images\20211118\plaque 1/@09 Atenolol 0.1/H9_03.tif </t>
  </si>
  <si>
    <t xml:space="preserve"> 1849.0692 </t>
  </si>
  <si>
    <t xml:space="preserve"> 64.8941 </t>
  </si>
  <si>
    <t xml:space="preserve">D:\images\20211118\plaque 1/@09 Atenolol 0.1/ </t>
  </si>
  <si>
    <t xml:space="preserve"> 63.6027 </t>
  </si>
  <si>
    <t xml:space="preserve"> 0.9259 </t>
  </si>
  <si>
    <t xml:space="preserve"> 54301.9167 </t>
  </si>
  <si>
    <t xml:space="preserve"> 42829.281 </t>
  </si>
  <si>
    <t>D:\images\20211118\plaque 1/@10 Atenolol 1/A10_01- exclu.tif</t>
  </si>
  <si>
    <t xml:space="preserve">D:\images\20211118\plaque 1/@10 Atenolol 1/A10_02.tif </t>
  </si>
  <si>
    <t xml:space="preserve"> 3002.0182 </t>
  </si>
  <si>
    <t xml:space="preserve"> 67.4058 </t>
  </si>
  <si>
    <t xml:space="preserve">D:\images\20211118\plaque 1/@10 Atenolol 1/A10_03.tif </t>
  </si>
  <si>
    <t xml:space="preserve"> 4742.3186 </t>
  </si>
  <si>
    <t xml:space="preserve"> 69.5826 </t>
  </si>
  <si>
    <t xml:space="preserve">D:\images\20211118\plaque 1/@10 Atenolol 1/B10_01.tif </t>
  </si>
  <si>
    <t xml:space="preserve"> 62.2667 </t>
  </si>
  <si>
    <t xml:space="preserve">D:\images\20211118\plaque 1/@10 Atenolol 1/B10_02.tif </t>
  </si>
  <si>
    <t xml:space="preserve"> 63.4118 </t>
  </si>
  <si>
    <t xml:space="preserve">D:\images\20211118\plaque 1/@10 Atenolol 1/B10_03.tif </t>
  </si>
  <si>
    <t xml:space="preserve"> 62.8571 </t>
  </si>
  <si>
    <t xml:space="preserve">D:\images\20211118\plaque 1/@10 Atenolol 1/C10_01.tif </t>
  </si>
  <si>
    <t xml:space="preserve"> 61.7273 </t>
  </si>
  <si>
    <t>D:\images\20211118\plaque 1/@10 Atenolol 1/C10_02- exclu.tif</t>
  </si>
  <si>
    <t xml:space="preserve">D:\images\20211118\plaque 1/@10 Atenolol 1/C10_03.tif </t>
  </si>
  <si>
    <t xml:space="preserve"> 62.5833 </t>
  </si>
  <si>
    <t xml:space="preserve">D:\images\20211118\plaque 1/@10 Atenolol 1/D10_01.tif </t>
  </si>
  <si>
    <t xml:space="preserve"> 65.4118 </t>
  </si>
  <si>
    <t xml:space="preserve">D:\images\20211118\plaque 1/@10 Atenolol 1/D10_02.tif </t>
  </si>
  <si>
    <t xml:space="preserve"> 63.2 </t>
  </si>
  <si>
    <t xml:space="preserve">D:\images\20211118\plaque 1/@10 Atenolol 1/D10_03.tif </t>
  </si>
  <si>
    <t xml:space="preserve"> 63.5385 </t>
  </si>
  <si>
    <t xml:space="preserve">D:\images\20211118\plaque 1/@10 Atenolol 1/E10_01.tif </t>
  </si>
  <si>
    <t xml:space="preserve"> 65.4583 </t>
  </si>
  <si>
    <t xml:space="preserve">D:\images\20211118\plaque 1/@10 Atenolol 1/E10_02.tif </t>
  </si>
  <si>
    <t xml:space="preserve"> 65.2179 </t>
  </si>
  <si>
    <t xml:space="preserve">D:\images\20211118\plaque 1/@10 Atenolol 1/E10_03.tif </t>
  </si>
  <si>
    <t xml:space="preserve"> 2371.1593 </t>
  </si>
  <si>
    <t xml:space="preserve"> 65.6422 </t>
  </si>
  <si>
    <t xml:space="preserve">D:\images\20211118\plaque 1/@10 Atenolol 1/F10_01.tif </t>
  </si>
  <si>
    <t xml:space="preserve">D:\images\20211118\plaque 1/@10 Atenolol 1/F10_02.tif </t>
  </si>
  <si>
    <t xml:space="preserve">D:\images\20211118\plaque 1/@10 Atenolol 1/F10_03.tif </t>
  </si>
  <si>
    <t xml:space="preserve"> 61.5882 </t>
  </si>
  <si>
    <t xml:space="preserve">D:\images\20211118\plaque 1/@10 Atenolol 1/G10_01.tif </t>
  </si>
  <si>
    <t xml:space="preserve"> 674.3664 </t>
  </si>
  <si>
    <t xml:space="preserve"> 63.4194 </t>
  </si>
  <si>
    <t xml:space="preserve">D:\images\20211118\plaque 1/@10 Atenolol 1/G10_02.tif </t>
  </si>
  <si>
    <t xml:space="preserve"> 62.3333 </t>
  </si>
  <si>
    <t xml:space="preserve">D:\images\20211118\plaque 1/@10 Atenolol 1/G10_03.tif </t>
  </si>
  <si>
    <t xml:space="preserve"> 63.7619 </t>
  </si>
  <si>
    <t xml:space="preserve">D:\images\20211118\plaque 1/@10 Atenolol 1/H10_01.tif </t>
  </si>
  <si>
    <t xml:space="preserve"> 3937.4297 </t>
  </si>
  <si>
    <t xml:space="preserve"> 70.0939 </t>
  </si>
  <si>
    <t xml:space="preserve">D:\images\20211118\plaque 1/@10 Atenolol 1/H10_02.tif </t>
  </si>
  <si>
    <t xml:space="preserve"> 63.8 </t>
  </si>
  <si>
    <t xml:space="preserve">D:\images\20211118\plaque 1/@10 Atenolol 1/H10_03.tif </t>
  </si>
  <si>
    <t xml:space="preserve"> 63.5714 </t>
  </si>
  <si>
    <t xml:space="preserve">D:\images\20211118\plaque 1/@10 Atenolol 1/ </t>
  </si>
  <si>
    <t xml:space="preserve"> 64.2383 </t>
  </si>
  <si>
    <t xml:space="preserve"> 2.2241 </t>
  </si>
  <si>
    <t xml:space="preserve"> 71983.1667 </t>
  </si>
  <si>
    <t xml:space="preserve"> 87022.362 </t>
  </si>
  <si>
    <t xml:space="preserve">D:\images\20211118\plaque 1/@11 Atenolol 10/A11_01.tif </t>
  </si>
  <si>
    <t xml:space="preserve"> 63.7273 </t>
  </si>
  <si>
    <t xml:space="preserve">D:\images\20211118\plaque 1/@11 Atenolol 10/A11_02.tif </t>
  </si>
  <si>
    <t xml:space="preserve">D:\images\20211118\plaque 1/@11 Atenolol 10/A11_03.tif </t>
  </si>
  <si>
    <t xml:space="preserve"> 1022.4265 </t>
  </si>
  <si>
    <t xml:space="preserve"> 63.7234 </t>
  </si>
  <si>
    <t xml:space="preserve">D:\images\20211118\plaque 1/@11 Atenolol 10/B11_01.tif </t>
  </si>
  <si>
    <t xml:space="preserve"> 3524.1083 </t>
  </si>
  <si>
    <t xml:space="preserve"> 63.7346 </t>
  </si>
  <si>
    <t xml:space="preserve">D:\images\20211118\plaque 1/@11 Atenolol 10/B11_02.tif </t>
  </si>
  <si>
    <t xml:space="preserve">D:\images\20211118\plaque 1/@11 Atenolol 10/B11_03.tif </t>
  </si>
  <si>
    <t xml:space="preserve"> 2153.6217 </t>
  </si>
  <si>
    <t xml:space="preserve"> 63.798 </t>
  </si>
  <si>
    <t xml:space="preserve">D:\images\20211118\plaque 1/@11 Atenolol 10/C11_01.tif </t>
  </si>
  <si>
    <t xml:space="preserve"> 1065.934 </t>
  </si>
  <si>
    <t xml:space="preserve"> 63.3673 </t>
  </si>
  <si>
    <t xml:space="preserve">D:\images\20211118\plaque 1/@11 Atenolol 10/C11_02.tif </t>
  </si>
  <si>
    <t xml:space="preserve"> 2566.9431 </t>
  </si>
  <si>
    <t xml:space="preserve"> 64.5169 </t>
  </si>
  <si>
    <t xml:space="preserve">D:\images\20211118\plaque 1/@11 Atenolol 10/C11_03.tif </t>
  </si>
  <si>
    <t xml:space="preserve"> 4328.9972 </t>
  </si>
  <si>
    <t xml:space="preserve"> 65.603 </t>
  </si>
  <si>
    <t xml:space="preserve">D:\images\20211118\plaque 1/@11 Atenolol 10/D11_01.tif </t>
  </si>
  <si>
    <t xml:space="preserve"> 62.413 </t>
  </si>
  <si>
    <t xml:space="preserve">D:\images\20211118\plaque 1/@11 Atenolol 10/D11_02.tif </t>
  </si>
  <si>
    <t xml:space="preserve"> 63.5625 </t>
  </si>
  <si>
    <t xml:space="preserve">D:\images\20211118\plaque 1/@11 Atenolol 10/D11_03.tif </t>
  </si>
  <si>
    <t xml:space="preserve"> 62.9722 </t>
  </si>
  <si>
    <t xml:space="preserve">D:\images\20211118\plaque 1/@11 Atenolol 10/E11_01.tif </t>
  </si>
  <si>
    <t xml:space="preserve"> 62.5652 </t>
  </si>
  <si>
    <t xml:space="preserve">D:\images\20211118\plaque 1/@11 Atenolol 10/E11_02.tif </t>
  </si>
  <si>
    <t xml:space="preserve"> 62.95 </t>
  </si>
  <si>
    <t xml:space="preserve">D:\images\20211118\plaque 1/@11 Atenolol 10/E11_03.tif </t>
  </si>
  <si>
    <t xml:space="preserve">D:\images\20211118\plaque 1/@11 Atenolol 10/F11_01.tif </t>
  </si>
  <si>
    <t xml:space="preserve"> 62.8904 </t>
  </si>
  <si>
    <t xml:space="preserve">D:\images\20211118\plaque 1/@11 Atenolol 10/F11_02.tif </t>
  </si>
  <si>
    <t xml:space="preserve"> 63.3571 </t>
  </si>
  <si>
    <t xml:space="preserve">D:\images\20211118\plaque 1/@11 Atenolol 10/F11_03.tif </t>
  </si>
  <si>
    <t xml:space="preserve">D:\images\20211118\plaque 1/@11 Atenolol 10/G11_01.tif </t>
  </si>
  <si>
    <t xml:space="preserve"> 62.9825 </t>
  </si>
  <si>
    <t xml:space="preserve">D:\images\20211118\plaque 1/@11 Atenolol 10/G11_02.tif </t>
  </si>
  <si>
    <t xml:space="preserve">D:\images\20211118\plaque 1/@11 Atenolol 10/G11_03.tif </t>
  </si>
  <si>
    <t xml:space="preserve"> 1413.9941 </t>
  </si>
  <si>
    <t xml:space="preserve">D:\images\20211118\plaque 1/@11 Atenolol 10/H11_01.tif </t>
  </si>
  <si>
    <t xml:space="preserve">D:\images\20211118\plaque 1/@11 Atenolol 10/H11_02.tif </t>
  </si>
  <si>
    <t xml:space="preserve"> 565.5976 </t>
  </si>
  <si>
    <t xml:space="preserve"> 64.2308 </t>
  </si>
  <si>
    <t xml:space="preserve">D:\images\20211118\plaque 1/@11 Atenolol 10/H11_03.tif </t>
  </si>
  <si>
    <t xml:space="preserve"> 64.92 </t>
  </si>
  <si>
    <t xml:space="preserve">D:\images\20211118\plaque 1/@11 Atenolol 10/ </t>
  </si>
  <si>
    <t xml:space="preserve"> 63.4723 </t>
  </si>
  <si>
    <t xml:space="preserve"> 0.7712 </t>
  </si>
  <si>
    <t xml:space="preserve"> 65101.7368 </t>
  </si>
  <si>
    <t xml:space="preserve">D:\images\20211118\plaque 1/@12 Atenolol 100/A12_01.tif </t>
  </si>
  <si>
    <t xml:space="preserve"> 1479.2553 </t>
  </si>
  <si>
    <t xml:space="preserve"> 65.4559 </t>
  </si>
  <si>
    <t xml:space="preserve">D:\images\20211118\plaque 1/@12 Atenolol 100/A12_02.tif </t>
  </si>
  <si>
    <t xml:space="preserve"> 62.8421 </t>
  </si>
  <si>
    <t xml:space="preserve">D:\images\20211118\plaque 1/@12 Atenolol 100/A12_03.tif </t>
  </si>
  <si>
    <t xml:space="preserve"> 63.7333 </t>
  </si>
  <si>
    <t xml:space="preserve">D:\images\20211118\plaque 1/@12 Atenolol 100/B12_01.tif </t>
  </si>
  <si>
    <t xml:space="preserve"> 64.4167 </t>
  </si>
  <si>
    <t xml:space="preserve">D:\images\20211118\plaque 1/@12 Atenolol 100/B12_02.tif </t>
  </si>
  <si>
    <t xml:space="preserve"> 1152.949 </t>
  </si>
  <si>
    <t xml:space="preserve"> 64.6226 </t>
  </si>
  <si>
    <t xml:space="preserve">D:\images\20211118\plaque 1/@12 Atenolol 100/B12_03.tif </t>
  </si>
  <si>
    <t xml:space="preserve"> 64.2 </t>
  </si>
  <si>
    <t xml:space="preserve">D:\images\20211118\plaque 1/@12 Atenolol 100/C12_01.tif </t>
  </si>
  <si>
    <t xml:space="preserve"> 2458.1743 </t>
  </si>
  <si>
    <t xml:space="preserve"> 65.0708 </t>
  </si>
  <si>
    <t>D:\images\20211118\plaque 1/@12 Atenolol 100/C12_02- exclu.tif</t>
  </si>
  <si>
    <t xml:space="preserve">D:\images\20211118\plaque 1/@12 Atenolol 100/C12_03.tif </t>
  </si>
  <si>
    <t xml:space="preserve"> 63.9492 </t>
  </si>
  <si>
    <t xml:space="preserve">D:\images\20211118\plaque 1/@12 Atenolol 100/D12_01.tif </t>
  </si>
  <si>
    <t xml:space="preserve"> 63.4333 </t>
  </si>
  <si>
    <t xml:space="preserve">D:\images\20211118\plaque 1/@12 Atenolol 100/D12_02.tif </t>
  </si>
  <si>
    <t xml:space="preserve"> 61.6735 </t>
  </si>
  <si>
    <t xml:space="preserve">D:\images\20211118\plaque 1/@12 Atenolol 100/D12_03.tif </t>
  </si>
  <si>
    <t xml:space="preserve"> 1827.3154 </t>
  </si>
  <si>
    <t xml:space="preserve">D:\images\20211118\plaque 1/@12 Atenolol 100/E12_01.tif </t>
  </si>
  <si>
    <t xml:space="preserve">D:\images\20211118\plaque 1/@12 Atenolol 100/E12_02.tif </t>
  </si>
  <si>
    <t xml:space="preserve"> 62.6829 </t>
  </si>
  <si>
    <t xml:space="preserve">D:\images\20211118\plaque 1/@12 Atenolol 100/E12_03.tif </t>
  </si>
  <si>
    <t xml:space="preserve"> 63.0333 </t>
  </si>
  <si>
    <t xml:space="preserve">D:\images\20211118\plaque 1/@12 Atenolol 100/F12_01.tif </t>
  </si>
  <si>
    <t xml:space="preserve"> 66.5934 </t>
  </si>
  <si>
    <t xml:space="preserve">D:\images\20211118\plaque 1/@12 Atenolol 100/F12_02.tif </t>
  </si>
  <si>
    <t xml:space="preserve">D:\images\20211118\plaque 1/@12 Atenolol 100/F12_03.tif </t>
  </si>
  <si>
    <t xml:space="preserve">D:\images\20211118\plaque 1/@12 Atenolol 100/G12_01.tif </t>
  </si>
  <si>
    <t xml:space="preserve"> 1870.8229 </t>
  </si>
  <si>
    <t xml:space="preserve"> 63.7209 </t>
  </si>
  <si>
    <t xml:space="preserve">D:\images\20211118\plaque 1/@12 Atenolol 100/G12_02.tif </t>
  </si>
  <si>
    <t xml:space="preserve"> 2110.1142 </t>
  </si>
  <si>
    <t xml:space="preserve"> 63.7732 </t>
  </si>
  <si>
    <t xml:space="preserve">D:\images\20211118\plaque 1/@12 Atenolol 100/G12_03.tif </t>
  </si>
  <si>
    <t xml:space="preserve"> 63.2333 </t>
  </si>
  <si>
    <t xml:space="preserve">D:\images\20211118\plaque 1/@12 Atenolol 100/H12_01.tif </t>
  </si>
  <si>
    <t xml:space="preserve"> 70.8154 </t>
  </si>
  <si>
    <t xml:space="preserve">D:\images\20211118\plaque 1/@12 Atenolol 100/H12_02.tif </t>
  </si>
  <si>
    <t xml:space="preserve"> 3502.3546 </t>
  </si>
  <si>
    <t xml:space="preserve"> 68.9876 </t>
  </si>
  <si>
    <t xml:space="preserve">D:\images\20211118\plaque 1/@12 Atenolol 100/H12_03.tif </t>
  </si>
  <si>
    <t xml:space="preserve"> 63.3659 </t>
  </si>
  <si>
    <t xml:space="preserve">D:\images\20211118\plaque 1/@12 Atenolol 100/ </t>
  </si>
  <si>
    <t xml:space="preserve"> 64.2443 </t>
  </si>
  <si>
    <t xml:space="preserve"> 2.0556 </t>
  </si>
  <si>
    <t xml:space="preserve"> 97460.4583 </t>
  </si>
  <si>
    <t xml:space="preserve"> 92703.0043 </t>
  </si>
  <si>
    <t xml:space="preserve">D:\images\20211118\plaque 2/@13 TESTO/A1_01.tif </t>
  </si>
  <si>
    <t xml:space="preserve"> 52296.027 </t>
  </si>
  <si>
    <t xml:space="preserve"> 73.3453 </t>
  </si>
  <si>
    <t xml:space="preserve">D:\images\20211118\plaque 2/@13 TESTO/A1_02.tif </t>
  </si>
  <si>
    <t xml:space="preserve"> 51382.3693 </t>
  </si>
  <si>
    <t xml:space="preserve"> 74.1084 </t>
  </si>
  <si>
    <t xml:space="preserve">D:\images\20211118\plaque 2/@13 TESTO/A1_03.tif </t>
  </si>
  <si>
    <t xml:space="preserve"> 48771.9187 </t>
  </si>
  <si>
    <t xml:space="preserve"> 74.4322 </t>
  </si>
  <si>
    <t xml:space="preserve">D:\images\20211118\plaque 2/@13 TESTO/B1_01.tif </t>
  </si>
  <si>
    <t xml:space="preserve"> 8331.6882 </t>
  </si>
  <si>
    <t xml:space="preserve"> 65.329 </t>
  </si>
  <si>
    <t xml:space="preserve">D:\images\20211118\plaque 2/@13 TESTO/B1_02.tif </t>
  </si>
  <si>
    <t xml:space="preserve"> 11333.7064 </t>
  </si>
  <si>
    <t xml:space="preserve"> 66.0019 </t>
  </si>
  <si>
    <t xml:space="preserve">D:\images\20211118\plaque 2/@13 TESTO/B1_03.tif </t>
  </si>
  <si>
    <t xml:space="preserve"> 5286.1625 </t>
  </si>
  <si>
    <t xml:space="preserve"> 64.679 </t>
  </si>
  <si>
    <t xml:space="preserve">D:\images\20211118\plaque 2/@13 TESTO/C1_01.tif </t>
  </si>
  <si>
    <t xml:space="preserve"> 55820.1353 </t>
  </si>
  <si>
    <t xml:space="preserve"> 70.2124 </t>
  </si>
  <si>
    <t xml:space="preserve">D:\images\20211118\plaque 2/@13 TESTO/C1_02.tif </t>
  </si>
  <si>
    <t xml:space="preserve"> 47858.261 </t>
  </si>
  <si>
    <t xml:space="preserve"> 68.6455 </t>
  </si>
  <si>
    <t xml:space="preserve">D:\images\20211118\plaque 2/@13 TESTO/C1_03.tif </t>
  </si>
  <si>
    <t xml:space="preserve"> 54732.4476 </t>
  </si>
  <si>
    <t xml:space="preserve"> 69.4213 </t>
  </si>
  <si>
    <t xml:space="preserve">D:\images\20211118\plaque 2/@13 TESTO/D1_01.tif </t>
  </si>
  <si>
    <t xml:space="preserve"> 55211.0302 </t>
  </si>
  <si>
    <t xml:space="preserve"> 79.5973 </t>
  </si>
  <si>
    <t xml:space="preserve">D:\images\20211118\plaque 2/@13 TESTO/D1_02.tif </t>
  </si>
  <si>
    <t xml:space="preserve"> 54079.8349 </t>
  </si>
  <si>
    <t xml:space="preserve"> 78.8037 </t>
  </si>
  <si>
    <t xml:space="preserve">D:\images\20211118\plaque 2/@13 TESTO/D1_03.tif </t>
  </si>
  <si>
    <t xml:space="preserve"> 47923.5223 </t>
  </si>
  <si>
    <t xml:space="preserve"> 77.4208 </t>
  </si>
  <si>
    <t xml:space="preserve">D:\images\20211118\plaque 2/@13 TESTO/E1_01.tif </t>
  </si>
  <si>
    <t xml:space="preserve"> 59257.2286 </t>
  </si>
  <si>
    <t xml:space="preserve"> 74.2045 </t>
  </si>
  <si>
    <t xml:space="preserve">D:\images\20211118\plaque 2/@13 TESTO/E1_02.tif </t>
  </si>
  <si>
    <t xml:space="preserve"> 55515.5828 </t>
  </si>
  <si>
    <t xml:space="preserve"> 74.1226 </t>
  </si>
  <si>
    <t xml:space="preserve">D:\images\20211118\plaque 2/@13 TESTO/E1_03.tif </t>
  </si>
  <si>
    <t xml:space="preserve"> 58561.1085 </t>
  </si>
  <si>
    <t xml:space="preserve"> 75.6096 </t>
  </si>
  <si>
    <t xml:space="preserve">D:\images\20211118\plaque 2/@13 TESTO/F1_01.tif </t>
  </si>
  <si>
    <t xml:space="preserve"> 45704.6393 </t>
  </si>
  <si>
    <t xml:space="preserve"> 77.4017 </t>
  </si>
  <si>
    <t xml:space="preserve">D:\images\20211118\plaque 2/@13 TESTO/F1_02.tif </t>
  </si>
  <si>
    <t xml:space="preserve"> 50642.7416 </t>
  </si>
  <si>
    <t xml:space="preserve"> 75.4725 </t>
  </si>
  <si>
    <t xml:space="preserve">D:\images\20211118\plaque 2/@13 TESTO/F1_03.tif </t>
  </si>
  <si>
    <t xml:space="preserve"> 46226.7294 </t>
  </si>
  <si>
    <t xml:space="preserve"> 76.1035 </t>
  </si>
  <si>
    <t xml:space="preserve">D:\images\20211118\plaque 2/@13 TESTO/G1_01.tif </t>
  </si>
  <si>
    <t xml:space="preserve"> 51991.4745 </t>
  </si>
  <si>
    <t xml:space="preserve"> 72.6163 </t>
  </si>
  <si>
    <t xml:space="preserve">D:\images\20211118\plaque 2/@13 TESTO/G1_02.tif </t>
  </si>
  <si>
    <t xml:space="preserve"> 48402.1049 </t>
  </si>
  <si>
    <t xml:space="preserve"> 70.7892 </t>
  </si>
  <si>
    <t>D:\images\20211118\plaque 2/@13 TESTO/G1_03- exclu.tif</t>
  </si>
  <si>
    <t xml:space="preserve">D:\images\20211118\plaque 2/@13 TESTO/H1_01.tif </t>
  </si>
  <si>
    <t xml:space="preserve"> 22036.5538 </t>
  </si>
  <si>
    <t xml:space="preserve"> 65.7147 </t>
  </si>
  <si>
    <t xml:space="preserve">D:\images\20211118\plaque 2/@13 TESTO/H1_02.tif </t>
  </si>
  <si>
    <t xml:space="preserve"> 14749.0459 </t>
  </si>
  <si>
    <t xml:space="preserve"> 64.8761 </t>
  </si>
  <si>
    <t xml:space="preserve">D:\images\20211118\plaque 2/@13 TESTO/H1_03.tif </t>
  </si>
  <si>
    <t xml:space="preserve"> 24821.0345 </t>
  </si>
  <si>
    <t xml:space="preserve"> 65.7555 </t>
  </si>
  <si>
    <t xml:space="preserve">D:\images\20211118\plaque 2/@13 TESTO/ </t>
  </si>
  <si>
    <t xml:space="preserve"> 71.8729 </t>
  </si>
  <si>
    <t xml:space="preserve"> 4.7313 </t>
  </si>
  <si>
    <t xml:space="preserve"> 3113607.67 </t>
  </si>
  <si>
    <t xml:space="preserve"> 1336280.03 </t>
  </si>
  <si>
    <t xml:space="preserve">D:\images\20211118\plaque 2/@14 TESTO/A2_01.tif </t>
  </si>
  <si>
    <t xml:space="preserve"> 27366.2238 </t>
  </si>
  <si>
    <t xml:space="preserve"> 68.7122 </t>
  </si>
  <si>
    <t xml:space="preserve">D:\images\20211118\plaque 2/@14 TESTO/A2_02.tif </t>
  </si>
  <si>
    <t xml:space="preserve"> 22580.3977 </t>
  </si>
  <si>
    <t xml:space="preserve"> 66.473 </t>
  </si>
  <si>
    <t xml:space="preserve">D:\images\20211118\plaque 2/@14 TESTO/A2_03.tif </t>
  </si>
  <si>
    <t xml:space="preserve"> 18316.6617 </t>
  </si>
  <si>
    <t xml:space="preserve"> 65.9751 </t>
  </si>
  <si>
    <t xml:space="preserve">D:\images\20211118\plaque 2/@14 TESTO/B2_01.tif </t>
  </si>
  <si>
    <t xml:space="preserve"> 14031.172 </t>
  </si>
  <si>
    <t xml:space="preserve"> 65.0744 </t>
  </si>
  <si>
    <t xml:space="preserve">D:\images\20211118\plaque 2/@14 TESTO/B2_02.tif </t>
  </si>
  <si>
    <t xml:space="preserve"> 64.5436 </t>
  </si>
  <si>
    <t xml:space="preserve">D:\images\20211118\plaque 2/@14 TESTO/B2_03.tif </t>
  </si>
  <si>
    <t xml:space="preserve"> 10876.8775 </t>
  </si>
  <si>
    <t xml:space="preserve"> 65.182 </t>
  </si>
  <si>
    <t xml:space="preserve">D:\images\20211118\plaque 2/@14 TESTO/C2_01.tif </t>
  </si>
  <si>
    <t xml:space="preserve"> 30411.7495 </t>
  </si>
  <si>
    <t xml:space="preserve"> 66.902 </t>
  </si>
  <si>
    <t xml:space="preserve">D:\images\20211118\plaque 2/@14 TESTO/C2_02.tif </t>
  </si>
  <si>
    <t xml:space="preserve"> 35154.0681 </t>
  </si>
  <si>
    <t xml:space="preserve"> 67.8212 </t>
  </si>
  <si>
    <t xml:space="preserve">D:\images\20211118\plaque 2/@14 TESTO/C2_03.tif </t>
  </si>
  <si>
    <t xml:space="preserve"> 32695.8938 </t>
  </si>
  <si>
    <t xml:space="preserve"> 67.2768 </t>
  </si>
  <si>
    <t xml:space="preserve">D:\images\20211118\plaque 2/@14 TESTO/D2_01.tif </t>
  </si>
  <si>
    <t xml:space="preserve"> 51621.6606 </t>
  </si>
  <si>
    <t xml:space="preserve"> 75.6039 </t>
  </si>
  <si>
    <t xml:space="preserve">D:\images\20211118\plaque 2/@14 TESTO/D2_02.tif </t>
  </si>
  <si>
    <t xml:space="preserve"> 55319.799 </t>
  </si>
  <si>
    <t xml:space="preserve"> 73.9151 </t>
  </si>
  <si>
    <t xml:space="preserve">D:\images\20211118\plaque 2/@14 TESTO/D2_03.tif </t>
  </si>
  <si>
    <t xml:space="preserve"> 50316.4353 </t>
  </si>
  <si>
    <t xml:space="preserve"> 72.2668 </t>
  </si>
  <si>
    <t xml:space="preserve">D:\images\20211118\plaque 2/@14 TESTO/E2_01.tif </t>
  </si>
  <si>
    <t xml:space="preserve"> 21710.2475 </t>
  </si>
  <si>
    <t xml:space="preserve"> 66.1323 </t>
  </si>
  <si>
    <t xml:space="preserve">D:\images\20211118\plaque 2/@14 TESTO/E2_02.tif </t>
  </si>
  <si>
    <t xml:space="preserve"> 19730.6558 </t>
  </si>
  <si>
    <t xml:space="preserve"> 66.0386 </t>
  </si>
  <si>
    <t xml:space="preserve">D:\images\20211118\plaque 2/@14 TESTO/E2_03.tif </t>
  </si>
  <si>
    <t xml:space="preserve"> 18577.7068 </t>
  </si>
  <si>
    <t xml:space="preserve"> 66.4133 </t>
  </si>
  <si>
    <t xml:space="preserve">D:\images\20211118\plaque 2/@14 TESTO/F2_01.tif </t>
  </si>
  <si>
    <t xml:space="preserve"> 17381.2502 </t>
  </si>
  <si>
    <t xml:space="preserve"> 67.2816 </t>
  </si>
  <si>
    <t xml:space="preserve">D:\images\20211118\plaque 2/@14 TESTO/F2_02.tif </t>
  </si>
  <si>
    <t xml:space="preserve"> 14901.3222 </t>
  </si>
  <si>
    <t xml:space="preserve"> 65.181 </t>
  </si>
  <si>
    <t xml:space="preserve">D:\images\20211118\plaque 2/@14 TESTO/F2_03.tif </t>
  </si>
  <si>
    <t xml:space="preserve"> 14836.0609 </t>
  </si>
  <si>
    <t xml:space="preserve"> 66.7669 </t>
  </si>
  <si>
    <t xml:space="preserve">D:\images\20211118\plaque 2/@14 TESTO/G2_01.tif </t>
  </si>
  <si>
    <t xml:space="preserve"> 27148.6862 </t>
  </si>
  <si>
    <t xml:space="preserve"> 69.1282 </t>
  </si>
  <si>
    <t xml:space="preserve">D:\images\20211118\plaque 2/@14 TESTO/G2_02.tif </t>
  </si>
  <si>
    <t xml:space="preserve"> 66.8004 </t>
  </si>
  <si>
    <t xml:space="preserve">D:\images\20211118\plaque 2/@14 TESTO/G2_03.tif </t>
  </si>
  <si>
    <t xml:space="preserve"> 19295.5807 </t>
  </si>
  <si>
    <t xml:space="preserve"> 66.5998 </t>
  </si>
  <si>
    <t xml:space="preserve">D:\images\20211118\plaque 2/@14 TESTO/H2_01.tif </t>
  </si>
  <si>
    <t xml:space="preserve"> 53579.4986 </t>
  </si>
  <si>
    <t xml:space="preserve"> 77.0325 </t>
  </si>
  <si>
    <t xml:space="preserve">D:\images\20211118\plaque 2/@14 TESTO/H2_02.tif </t>
  </si>
  <si>
    <t xml:space="preserve"> 56429.2405 </t>
  </si>
  <si>
    <t xml:space="preserve"> 76.453 </t>
  </si>
  <si>
    <t xml:space="preserve">D:\images\20211118\plaque 2/@14 TESTO/H2_03.tif </t>
  </si>
  <si>
    <t xml:space="preserve"> 61824.1717 </t>
  </si>
  <si>
    <t xml:space="preserve"> 77.6907 </t>
  </si>
  <si>
    <t xml:space="preserve">D:\images\20211118\plaque 2/@14 TESTO/ </t>
  </si>
  <si>
    <t xml:space="preserve"> 68.8027 </t>
  </si>
  <si>
    <t xml:space="preserve"> 4.1919 </t>
  </si>
  <si>
    <t xml:space="preserve"> 2071045.42 </t>
  </si>
  <si>
    <t xml:space="preserve"> 1316403.98 </t>
  </si>
  <si>
    <t xml:space="preserve">D:\images\20211118\plaque 2/@15 TESTO + EE2/A3_01.tif </t>
  </si>
  <si>
    <t xml:space="preserve"> 54297.3725 </t>
  </si>
  <si>
    <t xml:space="preserve"> 74.0136 </t>
  </si>
  <si>
    <t xml:space="preserve">D:\images\20211118\plaque 2/@15 TESTO + EE2/A3_02.tif </t>
  </si>
  <si>
    <t xml:space="preserve"> 46400.7594 </t>
  </si>
  <si>
    <t xml:space="preserve"> 73.4046 </t>
  </si>
  <si>
    <t xml:space="preserve">D:\images\20211118\plaque 2/@15 TESTO + EE2/A3_03.tif </t>
  </si>
  <si>
    <t xml:space="preserve"> 53383.7148 </t>
  </si>
  <si>
    <t xml:space="preserve"> 73.205 </t>
  </si>
  <si>
    <t xml:space="preserve">D:\images\20211118\plaque 2/@15 TESTO + EE2/B3_01.tif </t>
  </si>
  <si>
    <t xml:space="preserve"> 69437.986 </t>
  </si>
  <si>
    <t xml:space="preserve"> 75.5047 </t>
  </si>
  <si>
    <t xml:space="preserve">D:\images\20211118\plaque 2/@15 TESTO + EE2/B3_02.tif </t>
  </si>
  <si>
    <t xml:space="preserve"> 66566.4903 </t>
  </si>
  <si>
    <t xml:space="preserve"> 76.082 </t>
  </si>
  <si>
    <t xml:space="preserve">D:\images\20211118\plaque 2/@15 TESTO + EE2/B3_03.tif </t>
  </si>
  <si>
    <t xml:space="preserve"> 64478.1298 </t>
  </si>
  <si>
    <t xml:space="preserve"> 74.4595 </t>
  </si>
  <si>
    <t xml:space="preserve">D:\images\20211118\plaque 2/@15 TESTO + EE2/C3_01.tif </t>
  </si>
  <si>
    <t xml:space="preserve"> 32630.6325 </t>
  </si>
  <si>
    <t xml:space="preserve"> 68.746 </t>
  </si>
  <si>
    <t>D:\images\20211118\plaque 2/@15 TESTO + EE2/C3_02- exclu.tif</t>
  </si>
  <si>
    <t xml:space="preserve">D:\images\20211118\plaque 2/@15 TESTO + EE2/C3_03.tif </t>
  </si>
  <si>
    <t xml:space="preserve"> 31412.4222 </t>
  </si>
  <si>
    <t xml:space="preserve"> 69.1863 </t>
  </si>
  <si>
    <t xml:space="preserve">D:\images\20211118\plaque 2/@15 TESTO + EE2/D3_01.tif </t>
  </si>
  <si>
    <t xml:space="preserve"> 64913.2049 </t>
  </si>
  <si>
    <t xml:space="preserve"> 78.6927 </t>
  </si>
  <si>
    <t xml:space="preserve">D:\images\20211118\plaque 2/@15 TESTO + EE2/D3_02.tif </t>
  </si>
  <si>
    <t xml:space="preserve"> 63368.6883 </t>
  </si>
  <si>
    <t xml:space="preserve"> 78.9811 </t>
  </si>
  <si>
    <t xml:space="preserve">D:\images\20211118\plaque 2/@15 TESTO + EE2/D3_03.tif </t>
  </si>
  <si>
    <t xml:space="preserve"> 64760.9286 </t>
  </si>
  <si>
    <t xml:space="preserve"> 79.8764 </t>
  </si>
  <si>
    <t xml:space="preserve">D:\images\20211118\plaque 2/@15 TESTO + EE2/E3_01.tif </t>
  </si>
  <si>
    <t xml:space="preserve"> 57995.5108 </t>
  </si>
  <si>
    <t xml:space="preserve"> 75.2543 </t>
  </si>
  <si>
    <t xml:space="preserve">D:\images\20211118\plaque 2/@15 TESTO + EE2/E3_02.tif </t>
  </si>
  <si>
    <t xml:space="preserve"> 53470.7298 </t>
  </si>
  <si>
    <t xml:space="preserve"> 74.1619 </t>
  </si>
  <si>
    <t xml:space="preserve">D:\images\20211118\plaque 2/@15 TESTO + EE2/E3_03.tif </t>
  </si>
  <si>
    <t xml:space="preserve"> 56385.733 </t>
  </si>
  <si>
    <t xml:space="preserve"> 74.1883 </t>
  </si>
  <si>
    <t xml:space="preserve">D:\images\20211118\plaque 2/@15 TESTO + EE2/F3_01.tif </t>
  </si>
  <si>
    <t xml:space="preserve"> 71.1471 </t>
  </si>
  <si>
    <t xml:space="preserve">D:\images\20211118\plaque 2/@15 TESTO + EE2/F3_02.tif </t>
  </si>
  <si>
    <t xml:space="preserve"> 37155.4135 </t>
  </si>
  <si>
    <t xml:space="preserve"> 71.1306 </t>
  </si>
  <si>
    <t xml:space="preserve">D:\images\20211118\plaque 2/@15 TESTO + EE2/F3_03.tif </t>
  </si>
  <si>
    <t xml:space="preserve"> 33827.089 </t>
  </si>
  <si>
    <t xml:space="preserve"> 68.6881 </t>
  </si>
  <si>
    <t>D:\images\20211118\plaque 2/@15 TESTO + EE2/G3_01- exclu.tif</t>
  </si>
  <si>
    <t>D:\images\20211118\plaque 2/@15 TESTO + EE2/G3_02- exclu.tif</t>
  </si>
  <si>
    <t xml:space="preserve">D:\images\20211118\plaque 2/@15 TESTO + EE2/G3_03.tif </t>
  </si>
  <si>
    <t xml:space="preserve"> 64.8462 </t>
  </si>
  <si>
    <t>D:\images\20211118\plaque 2/@15 TESTO + EE2/H3_01- exclu.tif</t>
  </si>
  <si>
    <t>D:\images\20211118\plaque 2/@15 TESTO + EE2/H3_02- exclu- exclu.tif</t>
  </si>
  <si>
    <t>D:\images\20211118\plaque 2/@15 TESTO + EE2/H3_03- exclu.tif</t>
  </si>
  <si>
    <t xml:space="preserve">D:\images\20211118\plaque 2/@15 TESTO + EE2/ </t>
  </si>
  <si>
    <t xml:space="preserve"> 72.1437 </t>
  </si>
  <si>
    <t xml:space="preserve"> 4.6108 </t>
  </si>
  <si>
    <t xml:space="preserve"> 2883275.21 </t>
  </si>
  <si>
    <t xml:space="preserve"> 1889091.47 </t>
  </si>
  <si>
    <t xml:space="preserve">D:\images\20211118\plaque 2/@16 TESTO + FAD/A4_01.tif </t>
  </si>
  <si>
    <t xml:space="preserve"> 5525.4538 </t>
  </si>
  <si>
    <t xml:space="preserve"> 65.937 </t>
  </si>
  <si>
    <t>D:\images\20211118\plaque 2/@16 TESTO + FAD/A4_02- exclu.tif</t>
  </si>
  <si>
    <t xml:space="preserve">D:\images\20211118\plaque 2/@16 TESTO + FAD/A4_03.tif </t>
  </si>
  <si>
    <t xml:space="preserve"> 3654.6308 </t>
  </si>
  <si>
    <t xml:space="preserve"> 66.256 </t>
  </si>
  <si>
    <t xml:space="preserve">D:\images\20211118\plaque 2/@16 TESTO + FAD/B4_01.tif </t>
  </si>
  <si>
    <t xml:space="preserve"> 65.9577 </t>
  </si>
  <si>
    <t xml:space="preserve">D:\images\20211118\plaque 2/@16 TESTO + FAD/B4_02.tif </t>
  </si>
  <si>
    <t xml:space="preserve"> 67.7458 </t>
  </si>
  <si>
    <t xml:space="preserve">D:\images\20211118\plaque 2/@16 TESTO + FAD/B4_03.tif </t>
  </si>
  <si>
    <t xml:space="preserve"> 64.6977 </t>
  </si>
  <si>
    <t xml:space="preserve">D:\images\20211118\plaque 2/@16 TESTO + FAD/C4_01.tif </t>
  </si>
  <si>
    <t xml:space="preserve"> 63.5238 </t>
  </si>
  <si>
    <t xml:space="preserve">D:\images\20211118\plaque 2/@16 TESTO + FAD/C4_02.tif </t>
  </si>
  <si>
    <t xml:space="preserve"> 64.4444 </t>
  </si>
  <si>
    <t xml:space="preserve">D:\images\20211118\plaque 2/@16 TESTO + FAD/C4_03.tif </t>
  </si>
  <si>
    <t xml:space="preserve"> 3632.8771 </t>
  </si>
  <si>
    <t xml:space="preserve"> 66.3952 </t>
  </si>
  <si>
    <t xml:space="preserve">D:\images\20211118\plaque 2/@16 TESTO + FAD/D4_01.tif </t>
  </si>
  <si>
    <t xml:space="preserve"> 1131.1953 </t>
  </si>
  <si>
    <t xml:space="preserve"> 65.5192 </t>
  </si>
  <si>
    <t xml:space="preserve">D:\images\20211118\plaque 2/@16 TESTO + FAD/D4_02.tif </t>
  </si>
  <si>
    <t xml:space="preserve"> 64.44 </t>
  </si>
  <si>
    <t xml:space="preserve">D:\images\20211118\plaque 2/@16 TESTO + FAD/D4_03.tif </t>
  </si>
  <si>
    <t xml:space="preserve"> 1218.2103 </t>
  </si>
  <si>
    <t xml:space="preserve"> 63.9643 </t>
  </si>
  <si>
    <t xml:space="preserve">D:\images\20211118\plaque 2/@16 TESTO + FAD/E4_01.tif </t>
  </si>
  <si>
    <t>D:\images\20211118\plaque 2/@16 TESTO + FAD/E4_02- exclu.tif</t>
  </si>
  <si>
    <t>D:\images\20211118\plaque 2/@16 TESTO + FAD/E4_03- exclu.tif</t>
  </si>
  <si>
    <t xml:space="preserve">D:\images\20211118\plaque 2/@16 TESTO + FAD/F4_01.tif </t>
  </si>
  <si>
    <t xml:space="preserve"> 3284.817 </t>
  </si>
  <si>
    <t xml:space="preserve"> 67.3709 </t>
  </si>
  <si>
    <t xml:space="preserve">D:\images\20211118\plaque 2/@16 TESTO + FAD/F4_02.tif </t>
  </si>
  <si>
    <t xml:space="preserve">D:\images\20211118\plaque 2/@16 TESTO + FAD/F4_03.tif </t>
  </si>
  <si>
    <t xml:space="preserve"> 64.6364 </t>
  </si>
  <si>
    <t xml:space="preserve">D:\images\20211118\plaque 2/@16 TESTO + FAD/G4_01.tif </t>
  </si>
  <si>
    <t xml:space="preserve"> 63.375 </t>
  </si>
  <si>
    <t xml:space="preserve">D:\images\20211118\plaque 2/@16 TESTO + FAD/G4_02.tif </t>
  </si>
  <si>
    <t xml:space="preserve"> 68.0156 </t>
  </si>
  <si>
    <t xml:space="preserve">D:\images\20211118\plaque 2/@16 TESTO + FAD/G4_03.tif </t>
  </si>
  <si>
    <t xml:space="preserve"> 65.2093 </t>
  </si>
  <si>
    <t xml:space="preserve">D:\images\20211118\plaque 2/@16 TESTO + FAD/H4_01.tif </t>
  </si>
  <si>
    <t xml:space="preserve"> 913.6577 </t>
  </si>
  <si>
    <t xml:space="preserve"> 63.9762 </t>
  </si>
  <si>
    <t xml:space="preserve">D:\images\20211118\plaque 2/@16 TESTO + FAD/H4_02.tif </t>
  </si>
  <si>
    <t xml:space="preserve"> 62.7931 </t>
  </si>
  <si>
    <t xml:space="preserve">D:\images\20211118\plaque 2/@16 TESTO + FAD/H4_03.tif </t>
  </si>
  <si>
    <t xml:space="preserve"> 62.8261 </t>
  </si>
  <si>
    <t xml:space="preserve">D:\images\20211118\plaque 2/@16 TESTO + FAD/ </t>
  </si>
  <si>
    <t xml:space="preserve"> 65.0097 </t>
  </si>
  <si>
    <t xml:space="preserve"> 1.498 </t>
  </si>
  <si>
    <t xml:space="preserve"> 105852.042 </t>
  </si>
  <si>
    <t xml:space="preserve"> 88243.2858 </t>
  </si>
  <si>
    <t xml:space="preserve">D:\images\20211118\plaque 2/@17 Atenolol 0.01/A5_01.tif </t>
  </si>
  <si>
    <t xml:space="preserve"> 35523.8819 </t>
  </si>
  <si>
    <t xml:space="preserve"> 68.5977 </t>
  </si>
  <si>
    <t xml:space="preserve">D:\images\20211118\plaque 2/@17 Atenolol 0.01/A5_02.tif </t>
  </si>
  <si>
    <t xml:space="preserve"> 36350.5246 </t>
  </si>
  <si>
    <t xml:space="preserve"> 67.7427 </t>
  </si>
  <si>
    <t xml:space="preserve">D:\images\20211118\plaque 2/@17 Atenolol 0.01/A5_03.tif </t>
  </si>
  <si>
    <t xml:space="preserve"> 44812.7353 </t>
  </si>
  <si>
    <t xml:space="preserve"> 69.4359 </t>
  </si>
  <si>
    <t xml:space="preserve">D:\images\20211118\plaque 2/@17 Atenolol 0.01/B5_01.tif </t>
  </si>
  <si>
    <t xml:space="preserve"> 14466.2471 </t>
  </si>
  <si>
    <t xml:space="preserve"> 66.5098 </t>
  </si>
  <si>
    <t xml:space="preserve">D:\images\20211118\plaque 2/@17 Atenolol 0.01/B5_02.tif </t>
  </si>
  <si>
    <t xml:space="preserve"> 16424.085 </t>
  </si>
  <si>
    <t xml:space="preserve"> 67.1947 </t>
  </si>
  <si>
    <t xml:space="preserve">D:\images\20211118\plaque 2/@17 Atenolol 0.01/B5_03.tif </t>
  </si>
  <si>
    <t xml:space="preserve"> 15814.9799 </t>
  </si>
  <si>
    <t xml:space="preserve"> 66.2545 </t>
  </si>
  <si>
    <t xml:space="preserve">D:\images\20211118\plaque 2/@17 Atenolol 0.01/C5_01.tif </t>
  </si>
  <si>
    <t xml:space="preserve"> 14662.0309 </t>
  </si>
  <si>
    <t xml:space="preserve"> 66.5875 </t>
  </si>
  <si>
    <t xml:space="preserve">D:\images\20211118\plaque 2/@17 Atenolol 0.01/C5_02.tif </t>
  </si>
  <si>
    <t xml:space="preserve"> 13835.3882 </t>
  </si>
  <si>
    <t xml:space="preserve"> 65.2248 </t>
  </si>
  <si>
    <t xml:space="preserve">D:\images\20211118\plaque 2/@17 Atenolol 0.01/C5_03.tif </t>
  </si>
  <si>
    <t xml:space="preserve"> 12595.4241 </t>
  </si>
  <si>
    <t xml:space="preserve"> 65.7237 </t>
  </si>
  <si>
    <t xml:space="preserve">D:\images\20211118\plaque 2/@17 Atenolol 0.01/D5_01.tif </t>
  </si>
  <si>
    <t xml:space="preserve"> 20187.4846 </t>
  </si>
  <si>
    <t xml:space="preserve"> 68.0431 </t>
  </si>
  <si>
    <t>D:\images\20211118\plaque 2/@17 Atenolol 0.01/D5_02- exclu.tif</t>
  </si>
  <si>
    <t xml:space="preserve">D:\images\20211118\plaque 2/@17 Atenolol 0.01/D5_03.tif </t>
  </si>
  <si>
    <t xml:space="preserve"> 18490.6918 </t>
  </si>
  <si>
    <t xml:space="preserve"> 71.1612 </t>
  </si>
  <si>
    <t xml:space="preserve">D:\images\20211118\plaque 2/@17 Atenolol 0.01/E5_01.tif </t>
  </si>
  <si>
    <t xml:space="preserve"> 43072.4349 </t>
  </si>
  <si>
    <t xml:space="preserve"> 71.9818 </t>
  </si>
  <si>
    <t xml:space="preserve">D:\images\20211118\plaque 2/@17 Atenolol 0.01/E5_02.tif </t>
  </si>
  <si>
    <t xml:space="preserve"> 45334.8254 </t>
  </si>
  <si>
    <t xml:space="preserve"> 72.63 </t>
  </si>
  <si>
    <t xml:space="preserve">D:\images\20211118\plaque 2/@17 Atenolol 0.01/E5_03.tif </t>
  </si>
  <si>
    <t xml:space="preserve"> 39526.5728 </t>
  </si>
  <si>
    <t xml:space="preserve"> 71.6103 </t>
  </si>
  <si>
    <t xml:space="preserve">D:\images\20211118\plaque 2/@17 Atenolol 0.01/F5_01.tif </t>
  </si>
  <si>
    <t xml:space="preserve"> 55058.7539 </t>
  </si>
  <si>
    <t xml:space="preserve"> 75.0743 </t>
  </si>
  <si>
    <t>D:\images\20211118\plaque 2/@17 Atenolol 0.01/F5_02- exclu.tif</t>
  </si>
  <si>
    <t xml:space="preserve">D:\images\20211118\plaque 2/@17 Atenolol 0.01/F5_03.tif </t>
  </si>
  <si>
    <t xml:space="preserve"> 52644.0871 </t>
  </si>
  <si>
    <t xml:space="preserve"> 76.2227 </t>
  </si>
  <si>
    <t xml:space="preserve">D:\images\20211118\plaque 2/@17 Atenolol 0.01/G5_01.tif </t>
  </si>
  <si>
    <t xml:space="preserve"> 44268.8914 </t>
  </si>
  <si>
    <t xml:space="preserve"> 74.5769 </t>
  </si>
  <si>
    <t xml:space="preserve">D:\images\20211118\plaque 2/@17 Atenolol 0.01/G5_02.tif </t>
  </si>
  <si>
    <t xml:space="preserve"> 38960.9752 </t>
  </si>
  <si>
    <t xml:space="preserve"> 72.6974 </t>
  </si>
  <si>
    <t>D:\images\20211118\plaque 2/@17 Atenolol 0.01/G5_03- exclu.tif</t>
  </si>
  <si>
    <t xml:space="preserve">D:\images\20211118\plaque 2/@17 Atenolol 0.01/H5_01.tif </t>
  </si>
  <si>
    <t xml:space="preserve"> 54688.9401 </t>
  </si>
  <si>
    <t xml:space="preserve"> 69.3218 </t>
  </si>
  <si>
    <t xml:space="preserve">D:\images\20211118\plaque 2/@17 Atenolol 0.01/H5_02.tif </t>
  </si>
  <si>
    <t xml:space="preserve"> 54123.3424 </t>
  </si>
  <si>
    <t xml:space="preserve"> 69.0394 </t>
  </si>
  <si>
    <t xml:space="preserve">D:\images\20211118\plaque 2/@17 Atenolol 0.01/H5_03.tif </t>
  </si>
  <si>
    <t xml:space="preserve"> 52078.4895 </t>
  </si>
  <si>
    <t xml:space="preserve"> 68.9386 </t>
  </si>
  <si>
    <t xml:space="preserve">D:\images\20211118\plaque 2/@17 Atenolol 0.01/ </t>
  </si>
  <si>
    <t xml:space="preserve"> 69.4462 </t>
  </si>
  <si>
    <t xml:space="preserve"> 3.2632 </t>
  </si>
  <si>
    <t xml:space="preserve"> 2371447.54 </t>
  </si>
  <si>
    <t xml:space="preserve"> 1210481.38 </t>
  </si>
  <si>
    <t xml:space="preserve">D:\images\20211118\plaque 2/@18 Atenolol 0.1/A6_01.tif </t>
  </si>
  <si>
    <t xml:space="preserve"> 62368.0156 </t>
  </si>
  <si>
    <t xml:space="preserve"> 74.8458 </t>
  </si>
  <si>
    <t xml:space="preserve">D:\images\20211118\plaque 2/@18 Atenolol 0.1/A6_02.tif </t>
  </si>
  <si>
    <t xml:space="preserve"> 54841.2164 </t>
  </si>
  <si>
    <t xml:space="preserve"> 72.8921 </t>
  </si>
  <si>
    <t xml:space="preserve">D:\images\20211118\plaque 2/@18 Atenolol 0.1/A6_03.tif </t>
  </si>
  <si>
    <t xml:space="preserve"> 53427.2223 </t>
  </si>
  <si>
    <t xml:space="preserve"> 74.2028 </t>
  </si>
  <si>
    <t xml:space="preserve">D:\images\20211118\plaque 2/@18 Atenolol 0.1/B6_01.tif </t>
  </si>
  <si>
    <t xml:space="preserve"> 37873.2875 </t>
  </si>
  <si>
    <t xml:space="preserve"> 69.9253 </t>
  </si>
  <si>
    <t xml:space="preserve">D:\images\20211118\plaque 2/@18 Atenolol 0.1/B6_02.tif </t>
  </si>
  <si>
    <t xml:space="preserve"> 39352.5428 </t>
  </si>
  <si>
    <t xml:space="preserve"> 70.5992 </t>
  </si>
  <si>
    <t xml:space="preserve">D:\images\20211118\plaque 2/@18 Atenolol 0.1/B6_03.tif </t>
  </si>
  <si>
    <t xml:space="preserve"> 35415.1131 </t>
  </si>
  <si>
    <t xml:space="preserve"> 70.0227 </t>
  </si>
  <si>
    <t xml:space="preserve">D:\images\20211118\plaque 2/@18 Atenolol 0.1/C6_01.tif </t>
  </si>
  <si>
    <t xml:space="preserve"> 44203.6302 </t>
  </si>
  <si>
    <t xml:space="preserve"> 81.5832 </t>
  </si>
  <si>
    <t xml:space="preserve">D:\images\20211118\plaque 2/@18 Atenolol 0.1/C6_02.tif </t>
  </si>
  <si>
    <t xml:space="preserve"> 43224.7112 </t>
  </si>
  <si>
    <t xml:space="preserve"> 81.7006 </t>
  </si>
  <si>
    <t xml:space="preserve">D:\images\20211118\plaque 2/@18 Atenolol 0.1/C6_03.tif </t>
  </si>
  <si>
    <t xml:space="preserve"> 44073.1076 </t>
  </si>
  <si>
    <t xml:space="preserve"> 80.0464 </t>
  </si>
  <si>
    <t xml:space="preserve">D:\images\20211118\plaque 2/@18 Atenolol 0.1/D6_01.tif </t>
  </si>
  <si>
    <t xml:space="preserve"> 14488.0008 </t>
  </si>
  <si>
    <t xml:space="preserve"> 66.1036 </t>
  </si>
  <si>
    <t xml:space="preserve">D:\images\20211118\plaque 2/@18 Atenolol 0.1/D6_02.tif </t>
  </si>
  <si>
    <t xml:space="preserve"> 15771.4724 </t>
  </si>
  <si>
    <t xml:space="preserve"> 66.1241 </t>
  </si>
  <si>
    <t xml:space="preserve">D:\images\20211118\plaque 2/@18 Atenolol 0.1/D6_03.tif </t>
  </si>
  <si>
    <t xml:space="preserve"> 17859.8329 </t>
  </si>
  <si>
    <t xml:space="preserve"> 66.1888 </t>
  </si>
  <si>
    <t xml:space="preserve">D:\images\20211118\plaque 2/@18 Atenolol 0.1/E6_01.tif </t>
  </si>
  <si>
    <t xml:space="preserve"> 27431.4851 </t>
  </si>
  <si>
    <t xml:space="preserve"> 67.6431 </t>
  </si>
  <si>
    <t xml:space="preserve">D:\images\20211118\plaque 2/@18 Atenolol 0.1/E6_02.tif </t>
  </si>
  <si>
    <t xml:space="preserve"> 28366.8965 </t>
  </si>
  <si>
    <t xml:space="preserve"> 67.7301 </t>
  </si>
  <si>
    <t xml:space="preserve">D:\images\20211118\plaque 2/@18 Atenolol 0.1/E6_03.tif </t>
  </si>
  <si>
    <t xml:space="preserve"> 25386.6321 </t>
  </si>
  <si>
    <t xml:space="preserve"> 67.862 </t>
  </si>
  <si>
    <t xml:space="preserve">D:\images\20211118\plaque 2/@18 Atenolol 0.1/F6_01.tif </t>
  </si>
  <si>
    <t xml:space="preserve"> 43376.9875 </t>
  </si>
  <si>
    <t xml:space="preserve"> 70.4393 </t>
  </si>
  <si>
    <t xml:space="preserve">D:\images\20211118\plaque 2/@18 Atenolol 0.1/F6_02.tif </t>
  </si>
  <si>
    <t xml:space="preserve"> 69.9272 </t>
  </si>
  <si>
    <t xml:space="preserve">D:\images\20211118\plaque 2/@18 Atenolol 0.1/F6_03.tif </t>
  </si>
  <si>
    <t xml:space="preserve"> 42506.8373 </t>
  </si>
  <si>
    <t xml:space="preserve"> 70.7011 </t>
  </si>
  <si>
    <t>D:\images\20211118\plaque 2/@18 Atenolol 0.1/G6_01- exclu.tif</t>
  </si>
  <si>
    <t xml:space="preserve">D:\images\20211118\plaque 2/@18 Atenolol 0.1/G6_02.tif </t>
  </si>
  <si>
    <t xml:space="preserve"> 51295.3543 </t>
  </si>
  <si>
    <t xml:space="preserve"> 73.9911 </t>
  </si>
  <si>
    <t xml:space="preserve">D:\images\20211118\plaque 2/@18 Atenolol 0.1/G6_03.tif </t>
  </si>
  <si>
    <t xml:space="preserve"> 53405.4685 </t>
  </si>
  <si>
    <t xml:space="preserve"> 71.9743 </t>
  </si>
  <si>
    <t>D:\images\20211118\plaque 2/@18 Atenolol 0.1/H6_01- exclu.tif</t>
  </si>
  <si>
    <t xml:space="preserve">D:\images\20211118\plaque 2/@18 Atenolol 0.1/H6_02.tif </t>
  </si>
  <si>
    <t xml:space="preserve"> 55472.0753 </t>
  </si>
  <si>
    <t xml:space="preserve"> 73.6302 </t>
  </si>
  <si>
    <t xml:space="preserve">D:\images\20211118\plaque 2/@18 Atenolol 0.1/H6_03.tif </t>
  </si>
  <si>
    <t xml:space="preserve"> 58582.8622 </t>
  </si>
  <si>
    <t xml:space="preserve">D:\images\20211118\plaque 2/@18 Atenolol 0.1/ </t>
  </si>
  <si>
    <t xml:space="preserve"> 71.8424 </t>
  </si>
  <si>
    <t xml:space="preserve"> 4.4276 </t>
  </si>
  <si>
    <t xml:space="preserve"> 3002978.08 </t>
  </si>
  <si>
    <t xml:space="preserve"> 1082724.58 </t>
  </si>
  <si>
    <t xml:space="preserve">D:\images\20211118\plaque 2/@19 Atenolol 1/A7_01.tif </t>
  </si>
  <si>
    <t xml:space="preserve"> 34001.1191 </t>
  </si>
  <si>
    <t xml:space="preserve"> 68.3544 </t>
  </si>
  <si>
    <t>D:\images\20211118\plaque 2/@19 Atenolol 1/A7_02- exclu.tif</t>
  </si>
  <si>
    <t xml:space="preserve">D:\images\20211118\plaque 2/@19 Atenolol 1/A7_03.tif </t>
  </si>
  <si>
    <t xml:space="preserve"> 29715.6293 </t>
  </si>
  <si>
    <t xml:space="preserve"> 68.5564 </t>
  </si>
  <si>
    <t xml:space="preserve">D:\images\20211118\plaque 2/@19 Atenolol 1/B7_01.tif </t>
  </si>
  <si>
    <t xml:space="preserve"> 63477.4571 </t>
  </si>
  <si>
    <t xml:space="preserve"> 75.3321 </t>
  </si>
  <si>
    <t xml:space="preserve">D:\images\20211118\plaque 2/@19 Atenolol 1/B7_02.tif </t>
  </si>
  <si>
    <t xml:space="preserve"> 60932.2678 </t>
  </si>
  <si>
    <t xml:space="preserve"> 75.0446 </t>
  </si>
  <si>
    <t xml:space="preserve">D:\images\20211118\plaque 2/@19 Atenolol 1/B7_03.tif </t>
  </si>
  <si>
    <t xml:space="preserve"> 74.8118 </t>
  </si>
  <si>
    <t xml:space="preserve">D:\images\20211118\plaque 2/@19 Atenolol 1/C7_01.tif </t>
  </si>
  <si>
    <t xml:space="preserve"> 32021.5274 </t>
  </si>
  <si>
    <t xml:space="preserve"> 67.0625 </t>
  </si>
  <si>
    <t xml:space="preserve">D:\images\20211118\plaque 2/@19 Atenolol 1/C7_02.tif </t>
  </si>
  <si>
    <t xml:space="preserve"> 33370.2602 </t>
  </si>
  <si>
    <t xml:space="preserve"> 67.015 </t>
  </si>
  <si>
    <t xml:space="preserve">D:\images\20211118\plaque 2/@19 Atenolol 1/C7_03.tif </t>
  </si>
  <si>
    <t xml:space="preserve"> 40679.5219 </t>
  </si>
  <si>
    <t xml:space="preserve"> 68.4679 </t>
  </si>
  <si>
    <t xml:space="preserve">D:\images\20211118\plaque 2/@19 Atenolol 1/D7_01.tif </t>
  </si>
  <si>
    <t xml:space="preserve"> 58930.9223 </t>
  </si>
  <si>
    <t xml:space="preserve"> 76.8302 </t>
  </si>
  <si>
    <t xml:space="preserve">D:\images\20211118\plaque 2/@19 Atenolol 1/D7_02.tif </t>
  </si>
  <si>
    <t xml:space="preserve"> 55385.0602 </t>
  </si>
  <si>
    <t xml:space="preserve"> 76.6438 </t>
  </si>
  <si>
    <t xml:space="preserve">D:\images\20211118\plaque 2/@19 Atenolol 1/D7_03.tif </t>
  </si>
  <si>
    <t xml:space="preserve"> 76.6298 </t>
  </si>
  <si>
    <t xml:space="preserve">D:\images\20211118\plaque 2/@19 Atenolol 1/E7_01.tif </t>
  </si>
  <si>
    <t xml:space="preserve"> 50838.5254 </t>
  </si>
  <si>
    <t xml:space="preserve"> 72.175 </t>
  </si>
  <si>
    <t xml:space="preserve">D:\images\20211118\plaque 2/@19 Atenolol 1/E7_02.tif </t>
  </si>
  <si>
    <t xml:space="preserve"> 49685.5764 </t>
  </si>
  <si>
    <t xml:space="preserve"> 71.8082 </t>
  </si>
  <si>
    <t xml:space="preserve">D:\images\20211118\plaque 2/@19 Atenolol 1/E7_03.tif </t>
  </si>
  <si>
    <t xml:space="preserve"> 50142.4053 </t>
  </si>
  <si>
    <t xml:space="preserve"> 72.6651 </t>
  </si>
  <si>
    <t xml:space="preserve">D:\images\20211118\plaque 2/@19 Atenolol 1/F7_01.tif </t>
  </si>
  <si>
    <t xml:space="preserve"> 17250.7277 </t>
  </si>
  <si>
    <t xml:space="preserve"> 66.2169 </t>
  </si>
  <si>
    <t xml:space="preserve">D:\images\20211118\plaque 2/@19 Atenolol 1/F7_02.tif </t>
  </si>
  <si>
    <t xml:space="preserve"> 65.4848 </t>
  </si>
  <si>
    <t>D:\images\20211118\plaque 2/@19 Atenolol 1/F7_03- exclu.tif</t>
  </si>
  <si>
    <t xml:space="preserve">D:\images\20211118\plaque 2/@19 Atenolol 1/G7_01.tif </t>
  </si>
  <si>
    <t xml:space="preserve"> 50903.7867 </t>
  </si>
  <si>
    <t xml:space="preserve"> 89.4222 </t>
  </si>
  <si>
    <t xml:space="preserve">D:\images\20211118\plaque 2/@19 Atenolol 1/G7_02.tif </t>
  </si>
  <si>
    <t xml:space="preserve"> 46291.9906 </t>
  </si>
  <si>
    <t xml:space="preserve"> 92.7209 </t>
  </si>
  <si>
    <t xml:space="preserve">D:\images\20211118\plaque 2/@19 Atenolol 1/G7_03.tif </t>
  </si>
  <si>
    <t xml:space="preserve"> 45943.9306 </t>
  </si>
  <si>
    <t xml:space="preserve"> 92.4062 </t>
  </si>
  <si>
    <t xml:space="preserve">D:\images\20211118\plaque 2/@19 Atenolol 1/H7_01.tif </t>
  </si>
  <si>
    <t xml:space="preserve"> 51686.9219 </t>
  </si>
  <si>
    <t xml:space="preserve"> 76.0859 </t>
  </si>
  <si>
    <t xml:space="preserve">D:\images\20211118\plaque 2/@19 Atenolol 1/H7_02.tif </t>
  </si>
  <si>
    <t xml:space="preserve"> 53296.6998 </t>
  </si>
  <si>
    <t xml:space="preserve"> 74.8776 </t>
  </si>
  <si>
    <t xml:space="preserve">D:\images\20211118\plaque 2/@19 Atenolol 1/H7_03.tif </t>
  </si>
  <si>
    <t xml:space="preserve"> 48793.6725 </t>
  </si>
  <si>
    <t xml:space="preserve"> 74.5221 </t>
  </si>
  <si>
    <t xml:space="preserve">D:\images\20211118\plaque 2/@19 Atenolol 1/ </t>
  </si>
  <si>
    <t xml:space="preserve"> 73.932 </t>
  </si>
  <si>
    <t xml:space="preserve"> 7.9048 </t>
  </si>
  <si>
    <t xml:space="preserve"> 3251241.04 </t>
  </si>
  <si>
    <t xml:space="preserve"> 1294281.57 </t>
  </si>
  <si>
    <t xml:space="preserve">D:\images\20211118\plaque 2/@20 Atenolol 10/A8_01.tif </t>
  </si>
  <si>
    <t xml:space="preserve"> 44181.8764 </t>
  </si>
  <si>
    <t xml:space="preserve"> 74.1113 </t>
  </si>
  <si>
    <t xml:space="preserve">D:\images\20211118\plaque 2/@20 Atenolol 10/A8_02.tif </t>
  </si>
  <si>
    <t xml:space="preserve"> 43311.7262 </t>
  </si>
  <si>
    <t xml:space="preserve"> 74.554 </t>
  </si>
  <si>
    <t xml:space="preserve">D:\images\20211118\plaque 2/@20 Atenolol 10/A8_03.tif </t>
  </si>
  <si>
    <t xml:space="preserve"> 39657.0954 </t>
  </si>
  <si>
    <t xml:space="preserve"> 74.2436 </t>
  </si>
  <si>
    <t xml:space="preserve">D:\images\20211118\plaque 2/@20 Atenolol 10/B8_01.tif </t>
  </si>
  <si>
    <t xml:space="preserve"> 48423.8586 </t>
  </si>
  <si>
    <t xml:space="preserve"> 71.5472 </t>
  </si>
  <si>
    <t xml:space="preserve">D:\images\20211118\plaque 2/@20 Atenolol 10/B8_02.tif </t>
  </si>
  <si>
    <t xml:space="preserve"> 52818.1171 </t>
  </si>
  <si>
    <t xml:space="preserve"> 71.7072 </t>
  </si>
  <si>
    <t xml:space="preserve">D:\images\20211118\plaque 2/@20 Atenolol 10/B8_03.tif </t>
  </si>
  <si>
    <t xml:space="preserve"> 55298.0452 </t>
  </si>
  <si>
    <t xml:space="preserve"> 73.7781 </t>
  </si>
  <si>
    <t xml:space="preserve">D:\images\20211118\plaque 2/@20 Atenolol 10/C8_01.tif </t>
  </si>
  <si>
    <t xml:space="preserve"> 35480.3744 </t>
  </si>
  <si>
    <t xml:space="preserve"> 68.4703 </t>
  </si>
  <si>
    <t xml:space="preserve">D:\images\20211118\plaque 2/@20 Atenolol 10/C8_02.tif </t>
  </si>
  <si>
    <t xml:space="preserve"> 28888.9866 </t>
  </si>
  <si>
    <t xml:space="preserve"> 67.9556 </t>
  </si>
  <si>
    <t xml:space="preserve">D:\images\20211118\plaque 2/@20 Atenolol 10/C8_03.tif </t>
  </si>
  <si>
    <t xml:space="preserve"> 40200.9392 </t>
  </si>
  <si>
    <t xml:space="preserve"> 69.9562 </t>
  </si>
  <si>
    <t xml:space="preserve">D:\images\20211118\plaque 2/@20 Atenolol 10/D8_01.tif </t>
  </si>
  <si>
    <t xml:space="preserve"> 51338.8618 </t>
  </si>
  <si>
    <t xml:space="preserve"> 73.3369 </t>
  </si>
  <si>
    <t xml:space="preserve">D:\images\20211118\plaque 2/@20 Atenolol 10/D8_02.tif </t>
  </si>
  <si>
    <t xml:space="preserve"> 48532.6274 </t>
  </si>
  <si>
    <t xml:space="preserve"> 73.156 </t>
  </si>
  <si>
    <t xml:space="preserve">D:\images\20211118\plaque 2/@20 Atenolol 10/D8_03.tif </t>
  </si>
  <si>
    <t xml:space="preserve"> 50164.159 </t>
  </si>
  <si>
    <t xml:space="preserve"> 74.4289 </t>
  </si>
  <si>
    <t xml:space="preserve">D:\images\20211118\plaque 2/@20 Atenolol 10/E8_01.tif </t>
  </si>
  <si>
    <t xml:space="preserve"> 38069.0713 </t>
  </si>
  <si>
    <t xml:space="preserve"> 71.4977 </t>
  </si>
  <si>
    <t xml:space="preserve">D:\images\20211118\plaque 2/@20 Atenolol 10/E8_02.tif </t>
  </si>
  <si>
    <t xml:space="preserve"> 37372.9511 </t>
  </si>
  <si>
    <t xml:space="preserve"> 72.0768 </t>
  </si>
  <si>
    <t xml:space="preserve">D:\images\20211118\plaque 2/@20 Atenolol 10/E8_03.tif </t>
  </si>
  <si>
    <t xml:space="preserve"> 31847.4973 </t>
  </si>
  <si>
    <t xml:space="preserve"> 70.6673 </t>
  </si>
  <si>
    <t xml:space="preserve">D:\images\20211118\plaque 2/@20 Atenolol 10/F8_01.tif </t>
  </si>
  <si>
    <t xml:space="preserve"> 33740.074 </t>
  </si>
  <si>
    <t xml:space="preserve"> 68.1618 </t>
  </si>
  <si>
    <t xml:space="preserve">D:\images\20211118\plaque 2/@20 Atenolol 10/F8_02.tif </t>
  </si>
  <si>
    <t xml:space="preserve"> 30389.9957 </t>
  </si>
  <si>
    <t xml:space="preserve"> 68.7552 </t>
  </si>
  <si>
    <t xml:space="preserve">D:\images\20211118\plaque 2/@20 Atenolol 10/F8_03.tif </t>
  </si>
  <si>
    <t xml:space="preserve"> 34610.2242 </t>
  </si>
  <si>
    <t xml:space="preserve"> 69.8297 </t>
  </si>
  <si>
    <t xml:space="preserve">D:\images\20211118\plaque 2/@20 Atenolol 10/G8_01.tif </t>
  </si>
  <si>
    <t xml:space="preserve"> 7222.2467 </t>
  </si>
  <si>
    <t xml:space="preserve"> 63.7831 </t>
  </si>
  <si>
    <t xml:space="preserve">D:\images\20211118\plaque 2/@20 Atenolol 10/G8_02.tif </t>
  </si>
  <si>
    <t xml:space="preserve"> 8135.9044 </t>
  </si>
  <si>
    <t xml:space="preserve"> 64.8048 </t>
  </si>
  <si>
    <t xml:space="preserve">D:\images\20211118\plaque 2/@20 Atenolol 10/G8_03.tif </t>
  </si>
  <si>
    <t xml:space="preserve"> 9397.6222 </t>
  </si>
  <si>
    <t xml:space="preserve"> 64.1134 </t>
  </si>
  <si>
    <t xml:space="preserve">D:\images\20211118\plaque 2/@20 Atenolol 10/H8_01.tif </t>
  </si>
  <si>
    <t xml:space="preserve"> 45204.3029 </t>
  </si>
  <si>
    <t xml:space="preserve"> 72.9697 </t>
  </si>
  <si>
    <t xml:space="preserve">D:\images\20211118\plaque 2/@20 Atenolol 10/H8_02.tif </t>
  </si>
  <si>
    <t xml:space="preserve"> 43007.1736 </t>
  </si>
  <si>
    <t xml:space="preserve"> 73.1487 </t>
  </si>
  <si>
    <t xml:space="preserve">D:\images\20211118\plaque 2/@20 Atenolol 10/H8_03.tif </t>
  </si>
  <si>
    <t xml:space="preserve"> 43790.3088 </t>
  </si>
  <si>
    <t xml:space="preserve"> 73.611 </t>
  </si>
  <si>
    <t xml:space="preserve">D:\images\20211118\plaque 2/@20 Atenolol 10/ </t>
  </si>
  <si>
    <t xml:space="preserve"> 70.861 </t>
  </si>
  <si>
    <t xml:space="preserve"> 3.2883 </t>
  </si>
  <si>
    <t xml:space="preserve"> 2698502.62 </t>
  </si>
  <si>
    <t xml:space="preserve">D:\images\20211118\plaque 2/@21Atenolol 100/A9_01.tif </t>
  </si>
  <si>
    <t xml:space="preserve"> 50490.4654 </t>
  </si>
  <si>
    <t xml:space="preserve"> 72.9935 </t>
  </si>
  <si>
    <t xml:space="preserve">D:\images\20211118\plaque 2/@21Atenolol 100/A9_02.tif </t>
  </si>
  <si>
    <t xml:space="preserve"> 74.3256 </t>
  </si>
  <si>
    <t xml:space="preserve">D:\images\20211118\plaque 2/@21Atenolol 100/A9_03.tif </t>
  </si>
  <si>
    <t xml:space="preserve"> 44442.9215 </t>
  </si>
  <si>
    <t xml:space="preserve"> 73.698 </t>
  </si>
  <si>
    <t xml:space="preserve">D:\images\20211118\plaque 2/@21Atenolol 100/B9_01.tif </t>
  </si>
  <si>
    <t xml:space="preserve"> 20448.5297 </t>
  </si>
  <si>
    <t xml:space="preserve"> 65.8723 </t>
  </si>
  <si>
    <t xml:space="preserve">D:\images\20211118\plaque 2/@21Atenolol 100/B9_02.tif </t>
  </si>
  <si>
    <t xml:space="preserve"> 20992.3736 </t>
  </si>
  <si>
    <t xml:space="preserve"> 66.1409 </t>
  </si>
  <si>
    <t xml:space="preserve">D:\images\20211118\plaque 2/@21Atenolol 100/B9_03.tif </t>
  </si>
  <si>
    <t xml:space="preserve"> 28236.374 </t>
  </si>
  <si>
    <t xml:space="preserve"> 67.047 </t>
  </si>
  <si>
    <t xml:space="preserve">D:\images\20211118\plaque 2/@21Atenolol 100/C9_01.tif </t>
  </si>
  <si>
    <t xml:space="preserve"> 50555.7266 </t>
  </si>
  <si>
    <t xml:space="preserve"> 72.9208 </t>
  </si>
  <si>
    <t xml:space="preserve">D:\images\20211118\plaque 2/@21Atenolol 100/C9_02.tif </t>
  </si>
  <si>
    <t xml:space="preserve"> 72.8164 </t>
  </si>
  <si>
    <t xml:space="preserve">D:\images\20211118\plaque 2/@21Atenolol 100/C9_03.tif </t>
  </si>
  <si>
    <t xml:space="preserve"> 52578.8258 </t>
  </si>
  <si>
    <t xml:space="preserve"> 72.5809 </t>
  </si>
  <si>
    <t xml:space="preserve">D:\images\20211118\plaque 2/@21Atenolol 100/D9_01.tif </t>
  </si>
  <si>
    <t xml:space="preserve"> 31869.2511 </t>
  </si>
  <si>
    <t xml:space="preserve"> 69.3201 </t>
  </si>
  <si>
    <t xml:space="preserve">D:\images\20211118\plaque 2/@21Atenolol 100/D9_02.tif </t>
  </si>
  <si>
    <t xml:space="preserve"> 38765.1914 </t>
  </si>
  <si>
    <t xml:space="preserve"> 70.0146 </t>
  </si>
  <si>
    <t xml:space="preserve">D:\images\20211118\plaque 2/@21Atenolol 100/D9_03.tif </t>
  </si>
  <si>
    <t xml:space="preserve"> 34240.4104 </t>
  </si>
  <si>
    <t xml:space="preserve"> 68.6747 </t>
  </si>
  <si>
    <t xml:space="preserve">D:\images\20211118\plaque 2/@21Atenolol 100/E9_01.tif </t>
  </si>
  <si>
    <t xml:space="preserve"> 63.7756 </t>
  </si>
  <si>
    <t xml:space="preserve">D:\images\20211118\plaque 2/@21Atenolol 100/E9_02.tif </t>
  </si>
  <si>
    <t xml:space="preserve"> 6417.3577 </t>
  </si>
  <si>
    <t xml:space="preserve"> 64.1492 </t>
  </si>
  <si>
    <t xml:space="preserve">D:\images\20211118\plaque 2/@21Atenolol 100/E9_03.tif </t>
  </si>
  <si>
    <t xml:space="preserve"> 5003.3637 </t>
  </si>
  <si>
    <t xml:space="preserve"> 64.3957 </t>
  </si>
  <si>
    <t xml:space="preserve">D:\images\20211118\plaque 2/@21Atenolol 100/F9_01.tif </t>
  </si>
  <si>
    <t xml:space="preserve"> 41462.657 </t>
  </si>
  <si>
    <t xml:space="preserve"> 69.0047 </t>
  </si>
  <si>
    <t xml:space="preserve">D:\images\20211118\plaque 2/@21Atenolol 100/F9_02.tif </t>
  </si>
  <si>
    <t xml:space="preserve"> 46270.2369 </t>
  </si>
  <si>
    <t xml:space="preserve"> 69.8745 </t>
  </si>
  <si>
    <t xml:space="preserve">D:\images\20211118\plaque 2/@21Atenolol 100/F9_03.tif </t>
  </si>
  <si>
    <t xml:space="preserve"> 68.5862 </t>
  </si>
  <si>
    <t>D:\images\20211118\plaque 2/@21Atenolol 100/G9_01- exclu.tif</t>
  </si>
  <si>
    <t xml:space="preserve">D:\images\20211118\plaque 2/@21Atenolol 100/G9_02.tif </t>
  </si>
  <si>
    <t xml:space="preserve"> 51099.5705 </t>
  </si>
  <si>
    <t xml:space="preserve"> 72.1367 </t>
  </si>
  <si>
    <t xml:space="preserve">D:\images\20211118\plaque 2/@21Atenolol 100/G9_03.tif </t>
  </si>
  <si>
    <t xml:space="preserve"> 45421.8404 </t>
  </si>
  <si>
    <t xml:space="preserve"> 70.9143 </t>
  </si>
  <si>
    <t xml:space="preserve">D:\images\20211118\plaque 2/@21Atenolol 100/H9_01.tif </t>
  </si>
  <si>
    <t xml:space="preserve"> 50207.6665 </t>
  </si>
  <si>
    <t xml:space="preserve"> 77.2881 </t>
  </si>
  <si>
    <t xml:space="preserve">D:\images\20211118\plaque 2/@21Atenolol 100/H9_02.tif </t>
  </si>
  <si>
    <t xml:space="preserve"> 46814.0808 </t>
  </si>
  <si>
    <t xml:space="preserve"> 77.7054 </t>
  </si>
  <si>
    <t xml:space="preserve">D:\images\20211118\plaque 2/@21Atenolol 100/H9_03.tif </t>
  </si>
  <si>
    <t xml:space="preserve"> 50251.1741 </t>
  </si>
  <si>
    <t xml:space="preserve"> 79.0983 </t>
  </si>
  <si>
    <t xml:space="preserve">D:\images\20211118\plaque 2/@21Atenolol 100/ </t>
  </si>
  <si>
    <t xml:space="preserve"> 70.576 </t>
  </si>
  <si>
    <t xml:space="preserve"> 4.2101 </t>
  </si>
  <si>
    <t xml:space="preserve"> 2728356.83 </t>
  </si>
  <si>
    <t xml:space="preserve"> 1185059.27 </t>
  </si>
  <si>
    <t>13 TESTO</t>
  </si>
  <si>
    <t>14 TESTO</t>
  </si>
  <si>
    <t>15 TESTO + EE2</t>
  </si>
  <si>
    <t>16 TESTO + FAD</t>
  </si>
  <si>
    <t>21Atenolol 100</t>
  </si>
  <si>
    <t>Q:\R&amp;D\2-Test oestrogénique\OECD and AOPs\REACTIV oecd interlaboratory validation\Results WF\Résultats CBA\2021-CHG-CBA-Atenolol 2\plaque 1/@01 TS/A1_01- exclu.tif</t>
  </si>
  <si>
    <t>Q:\R&amp;D\2-Test oestrogénique\OECD and AOPs\REACTIV oecd interlaboratory validation\Results WF\Résultats CBA\2021-CHG-CBA-Atenolol 2\plaque 1/@01 TS/A1_02- exclu.tif</t>
  </si>
  <si>
    <t xml:space="preserve">Q:\R&amp;D\2-Test oestrogénique\OECD and AOPs\REACTIV oecd interlaboratory validation\Results WF\Résultats CBA\2021-CHG-CBA-Atenolol 2\plaque 1/@01 TS/A1_03.tif </t>
  </si>
  <si>
    <t xml:space="preserve"> 3023.7719 </t>
  </si>
  <si>
    <t xml:space="preserve"> 65.4245 </t>
  </si>
  <si>
    <t xml:space="preserve">Q:\R&amp;D\2-Test oestrogénique\OECD and AOPs\REACTIV oecd interlaboratory validation\Results WF\Résultats CBA\2021-CHG-CBA-Atenolol 2\plaque 1/@01 TS/B1_01.tif </t>
  </si>
  <si>
    <t xml:space="preserve">Q:\R&amp;D\2-Test oestrogénique\OECD and AOPs\REACTIV oecd interlaboratory validation\Results WF\Résultats CBA\2021-CHG-CBA-Atenolol 2\plaque 1/@01 TS/B1_02.tif </t>
  </si>
  <si>
    <t xml:space="preserve"> 6352.0965 </t>
  </si>
  <si>
    <t xml:space="preserve"> 69.613 </t>
  </si>
  <si>
    <t xml:space="preserve">Q:\R&amp;D\2-Test oestrogénique\OECD and AOPs\REACTIV oecd interlaboratory validation\Results WF\Résultats CBA\2021-CHG-CBA-Atenolol 2\plaque 1/@01 TS/B1_03.tif </t>
  </si>
  <si>
    <t xml:space="preserve"> 63.6 </t>
  </si>
  <si>
    <t xml:space="preserve">Q:\R&amp;D\2-Test oestrogénique\OECD and AOPs\REACTIV oecd interlaboratory validation\Results WF\Résultats CBA\2021-CHG-CBA-Atenolol 2\plaque 1/@01 TS/C1_01.tif </t>
  </si>
  <si>
    <t xml:space="preserve"> 1457.5016 </t>
  </si>
  <si>
    <t xml:space="preserve"> 65.2388 </t>
  </si>
  <si>
    <t xml:space="preserve">Q:\R&amp;D\2-Test oestrogénique\OECD and AOPs\REACTIV oecd interlaboratory validation\Results WF\Résultats CBA\2021-CHG-CBA-Atenolol 2\plaque 1/@01 TS/C1_02.tif </t>
  </si>
  <si>
    <t xml:space="preserve"> 8679.7482 </t>
  </si>
  <si>
    <t xml:space="preserve"> 71.0276 </t>
  </si>
  <si>
    <t xml:space="preserve">Q:\R&amp;D\2-Test oestrogénique\OECD and AOPs\REACTIV oecd interlaboratory validation\Results WF\Résultats CBA\2021-CHG-CBA-Atenolol 2\plaque 1/@01 TS/C1_03.tif </t>
  </si>
  <si>
    <t xml:space="preserve"> 6221.5739 </t>
  </si>
  <si>
    <t xml:space="preserve"> 66.3776 </t>
  </si>
  <si>
    <t xml:space="preserve">Q:\R&amp;D\2-Test oestrogénique\OECD and AOPs\REACTIV oecd interlaboratory validation\Results WF\Résultats CBA\2021-CHG-CBA-Atenolol 2\plaque 1/@01 TS/D1_01.tif </t>
  </si>
  <si>
    <t xml:space="preserve"> 1957.838 </t>
  </si>
  <si>
    <t xml:space="preserve"> 65.7889 </t>
  </si>
  <si>
    <t xml:space="preserve">Q:\R&amp;D\2-Test oestrogénique\OECD and AOPs\REACTIV oecd interlaboratory validation\Results WF\Résultats CBA\2021-CHG-CBA-Atenolol 2\plaque 1/@01 TS/D1_02.tif </t>
  </si>
  <si>
    <t xml:space="preserve"> 2849.7419 </t>
  </si>
  <si>
    <t xml:space="preserve"> 69.7939 </t>
  </si>
  <si>
    <t xml:space="preserve">Q:\R&amp;D\2-Test oestrogénique\OECD and AOPs\REACTIV oecd interlaboratory validation\Results WF\Résultats CBA\2021-CHG-CBA-Atenolol 2\plaque 1/@01 TS/D1_03.tif </t>
  </si>
  <si>
    <t>Q:\R&amp;D\2-Test oestrogénique\OECD and AOPs\REACTIV oecd interlaboratory validation\Results WF\Résultats CBA\2021-CHG-CBA-Atenolol 2\plaque 1/@01 TS/E1_01- exclu.tif</t>
  </si>
  <si>
    <t xml:space="preserve">Q:\R&amp;D\2-Test oestrogénique\OECD and AOPs\REACTIV oecd interlaboratory validation\Results WF\Résultats CBA\2021-CHG-CBA-Atenolol 2\plaque 1/@01 TS/E1_02.tif </t>
  </si>
  <si>
    <t xml:space="preserve"> 2327.6518 </t>
  </si>
  <si>
    <t xml:space="preserve"> 65.1028 </t>
  </si>
  <si>
    <t xml:space="preserve">Q:\R&amp;D\2-Test oestrogénique\OECD and AOPs\REACTIV oecd interlaboratory validation\Results WF\Résultats CBA\2021-CHG-CBA-Atenolol 2\plaque 1/@01 TS/E1_03.tif </t>
  </si>
  <si>
    <t xml:space="preserve">Q:\R&amp;D\2-Test oestrogénique\OECD and AOPs\REACTIV oecd interlaboratory validation\Results WF\Résultats CBA\2021-CHG-CBA-Atenolol 2\plaque 1/@01 TS/F1_01.tif </t>
  </si>
  <si>
    <t xml:space="preserve"> 64.4286 </t>
  </si>
  <si>
    <t xml:space="preserve">Q:\R&amp;D\2-Test oestrogénique\OECD and AOPs\REACTIV oecd interlaboratory validation\Results WF\Résultats CBA\2021-CHG-CBA-Atenolol 2\plaque 1/@01 TS/F1_02.tif </t>
  </si>
  <si>
    <t xml:space="preserve">Q:\R&amp;D\2-Test oestrogénique\OECD and AOPs\REACTIV oecd interlaboratory validation\Results WF\Résultats CBA\2021-CHG-CBA-Atenolol 2\plaque 1/@01 TS/F1_03.tif </t>
  </si>
  <si>
    <t xml:space="preserve"> 64.3571 </t>
  </si>
  <si>
    <t xml:space="preserve">Q:\R&amp;D\2-Test oestrogénique\OECD and AOPs\REACTIV oecd interlaboratory validation\Results WF\Résultats CBA\2021-CHG-CBA-Atenolol 2\plaque 1/@01 TS/G1_01.tif </t>
  </si>
  <si>
    <t xml:space="preserve"> 68.4382 </t>
  </si>
  <si>
    <t xml:space="preserve">Q:\R&amp;D\2-Test oestrogénique\OECD and AOPs\REACTIV oecd interlaboratory validation\Results WF\Résultats CBA\2021-CHG-CBA-Atenolol 2\plaque 1/@01 TS/G1_02.tif </t>
  </si>
  <si>
    <t xml:space="preserve"> 64.2093 </t>
  </si>
  <si>
    <t xml:space="preserve">Q:\R&amp;D\2-Test oestrogénique\OECD and AOPs\REACTIV oecd interlaboratory validation\Results WF\Résultats CBA\2021-CHG-CBA-Atenolol 2\plaque 1/@01 TS/G1_03.tif </t>
  </si>
  <si>
    <t xml:space="preserve"> 63.8788 </t>
  </si>
  <si>
    <t xml:space="preserve">Q:\R&amp;D\2-Test oestrogénique\OECD and AOPs\REACTIV oecd interlaboratory validation\Results WF\Résultats CBA\2021-CHG-CBA-Atenolol 2\plaque 1/@01 TS/H1_01.tif </t>
  </si>
  <si>
    <t xml:space="preserve"> 68.3228 </t>
  </si>
  <si>
    <t xml:space="preserve">Q:\R&amp;D\2-Test oestrogénique\OECD and AOPs\REACTIV oecd interlaboratory validation\Results WF\Résultats CBA\2021-CHG-CBA-Atenolol 2\plaque 1/@01 TS/H1_02.tif </t>
  </si>
  <si>
    <t xml:space="preserve"> 13313.2981 </t>
  </si>
  <si>
    <t xml:space="preserve"> 74.335 </t>
  </si>
  <si>
    <t xml:space="preserve">Q:\R&amp;D\2-Test oestrogénique\OECD and AOPs\REACTIV oecd interlaboratory validation\Results WF\Résultats CBA\2021-CHG-CBA-Atenolol 2\plaque 1/@01 TS/H1_03.tif </t>
  </si>
  <si>
    <t xml:space="preserve"> 8614.487 </t>
  </si>
  <si>
    <t xml:space="preserve"> 69.3864 </t>
  </si>
  <si>
    <t xml:space="preserve">Q:\R&amp;D\2-Test oestrogénique\OECD and AOPs\REACTIV oecd interlaboratory validation\Results WF\Résultats CBA\2021-CHG-CBA-Atenolol 2\plaque 1/@01 TS/ </t>
  </si>
  <si>
    <t xml:space="preserve"> 66.1275 </t>
  </si>
  <si>
    <t xml:space="preserve"> 2.9545 </t>
  </si>
  <si>
    <t xml:space="preserve"> 246108.121 </t>
  </si>
  <si>
    <t xml:space="preserve">Q:\R&amp;D\2-Test oestrogénique\OECD and AOPs\REACTIV oecd interlaboratory validation\Results WF\Résultats CBA\2021-CHG-CBA-Atenolol 2\plaque 1/@02 EE2 34/A2_01.tif </t>
  </si>
  <si>
    <t xml:space="preserve"> 3785.1534 </t>
  </si>
  <si>
    <t xml:space="preserve"> 65.8621 </t>
  </si>
  <si>
    <t xml:space="preserve">Q:\R&amp;D\2-Test oestrogénique\OECD and AOPs\REACTIV oecd interlaboratory validation\Results WF\Résultats CBA\2021-CHG-CBA-Atenolol 2\plaque 1/@02 EE2 34/A2_02.tif </t>
  </si>
  <si>
    <t xml:space="preserve"> 4307.2435 </t>
  </si>
  <si>
    <t xml:space="preserve"> 67.3939 </t>
  </si>
  <si>
    <t>Q:\R&amp;D\2-Test oestrogénique\OECD and AOPs\REACTIV oecd interlaboratory validation\Results WF\Résultats CBA\2021-CHG-CBA-Atenolol 2\plaque 1/@02 EE2 34/A2_03- exclu.tif</t>
  </si>
  <si>
    <t xml:space="preserve">Q:\R&amp;D\2-Test oestrogénique\OECD and AOPs\REACTIV oecd interlaboratory validation\Results WF\Résultats CBA\2021-CHG-CBA-Atenolol 2\plaque 1/@02 EE2 34/B2_01.tif </t>
  </si>
  <si>
    <t xml:space="preserve"> 8027.1356 </t>
  </si>
  <si>
    <t xml:space="preserve"> 71.1816 </t>
  </si>
  <si>
    <t xml:space="preserve">Q:\R&amp;D\2-Test oestrogénique\OECD and AOPs\REACTIV oecd interlaboratory validation\Results WF\Résultats CBA\2021-CHG-CBA-Atenolol 2\plaque 1/@02 EE2 34/B2_02.tif </t>
  </si>
  <si>
    <t xml:space="preserve"> 6265.0814 </t>
  </si>
  <si>
    <t xml:space="preserve"> 69.4062 </t>
  </si>
  <si>
    <t xml:space="preserve">Q:\R&amp;D\2-Test oestrogénique\OECD and AOPs\REACTIV oecd interlaboratory validation\Results WF\Résultats CBA\2021-CHG-CBA-Atenolol 2\plaque 1/@02 EE2 34/B2_03.tif </t>
  </si>
  <si>
    <t xml:space="preserve"> 7657.3218 </t>
  </si>
  <si>
    <t xml:space="preserve"> 71.9886 </t>
  </si>
  <si>
    <t xml:space="preserve">Q:\R&amp;D\2-Test oestrogénique\OECD and AOPs\REACTIV oecd interlaboratory validation\Results WF\Résultats CBA\2021-CHG-CBA-Atenolol 2\plaque 1/@02 EE2 34/C2_01.tif </t>
  </si>
  <si>
    <t xml:space="preserve"> 63.7841 </t>
  </si>
  <si>
    <t xml:space="preserve">Q:\R&amp;D\2-Test oestrogénique\OECD and AOPs\REACTIV oecd interlaboratory validation\Results WF\Résultats CBA\2021-CHG-CBA-Atenolol 2\plaque 1/@02 EE2 34/C2_02.tif </t>
  </si>
  <si>
    <t xml:space="preserve"> 2414.6668 </t>
  </si>
  <si>
    <t xml:space="preserve"> 64.9009 </t>
  </si>
  <si>
    <t xml:space="preserve">Q:\R&amp;D\2-Test oestrogénique\OECD and AOPs\REACTIV oecd interlaboratory validation\Results WF\Résultats CBA\2021-CHG-CBA-Atenolol 2\plaque 1/@02 EE2 34/C2_03.tif </t>
  </si>
  <si>
    <t xml:space="preserve">Q:\R&amp;D\2-Test oestrogénique\OECD and AOPs\REACTIV oecd interlaboratory validation\Results WF\Résultats CBA\2021-CHG-CBA-Atenolol 2\plaque 1/@02 EE2 34/D2_01.tif </t>
  </si>
  <si>
    <t xml:space="preserve"> 4067.9522 </t>
  </si>
  <si>
    <t xml:space="preserve"> 66.4599 </t>
  </si>
  <si>
    <t xml:space="preserve">Q:\R&amp;D\2-Test oestrogénique\OECD and AOPs\REACTIV oecd interlaboratory validation\Results WF\Résultats CBA\2021-CHG-CBA-Atenolol 2\plaque 1/@02 EE2 34/D2_02.tif </t>
  </si>
  <si>
    <t xml:space="preserve"> 3763.3996 </t>
  </si>
  <si>
    <t xml:space="preserve"> 64.7399 </t>
  </si>
  <si>
    <t xml:space="preserve">Q:\R&amp;D\2-Test oestrogénique\OECD and AOPs\REACTIV oecd interlaboratory validation\Results WF\Résultats CBA\2021-CHG-CBA-Atenolol 2\plaque 1/@02 EE2 34/D2_03.tif </t>
  </si>
  <si>
    <t xml:space="preserve"> 4002.6909 </t>
  </si>
  <si>
    <t xml:space="preserve"> 66.3641 </t>
  </si>
  <si>
    <t xml:space="preserve">Q:\R&amp;D\2-Test oestrogénique\OECD and AOPs\REACTIV oecd interlaboratory validation\Results WF\Résultats CBA\2021-CHG-CBA-Atenolol 2\plaque 1/@02 EE2 34/E2_01.tif </t>
  </si>
  <si>
    <t xml:space="preserve"> 2023.0992 </t>
  </si>
  <si>
    <t xml:space="preserve"> 66.1183 </t>
  </si>
  <si>
    <t xml:space="preserve">Q:\R&amp;D\2-Test oestrogénique\OECD and AOPs\REACTIV oecd interlaboratory validation\Results WF\Résultats CBA\2021-CHG-CBA-Atenolol 2\plaque 1/@02 EE2 34/E2_02.tif </t>
  </si>
  <si>
    <t xml:space="preserve"> 4720.5648 </t>
  </si>
  <si>
    <t xml:space="preserve"> 68.7373 </t>
  </si>
  <si>
    <t xml:space="preserve">Q:\R&amp;D\2-Test oestrogénique\OECD and AOPs\REACTIV oecd interlaboratory validation\Results WF\Résultats CBA\2021-CHG-CBA-Atenolol 2\plaque 1/@02 EE2 34/E2_03.tif </t>
  </si>
  <si>
    <t xml:space="preserve"> 67.1429 </t>
  </si>
  <si>
    <t xml:space="preserve">Q:\R&amp;D\2-Test oestrogénique\OECD and AOPs\REACTIV oecd interlaboratory validation\Results WF\Résultats CBA\2021-CHG-CBA-Atenolol 2\plaque 1/@02 EE2 34/F2_01.tif </t>
  </si>
  <si>
    <t xml:space="preserve"> 2827.9882 </t>
  </si>
  <si>
    <t xml:space="preserve"> 64.4154 </t>
  </si>
  <si>
    <t xml:space="preserve">Q:\R&amp;D\2-Test oestrogénique\OECD and AOPs\REACTIV oecd interlaboratory validation\Results WF\Résultats CBA\2021-CHG-CBA-Atenolol 2\plaque 1/@02 EE2 34/F2_02.tif </t>
  </si>
  <si>
    <t xml:space="preserve"> 3741.6459 </t>
  </si>
  <si>
    <t xml:space="preserve"> 65.5291 </t>
  </si>
  <si>
    <t xml:space="preserve">Q:\R&amp;D\2-Test oestrogénique\OECD and AOPs\REACTIV oecd interlaboratory validation\Results WF\Résultats CBA\2021-CHG-CBA-Atenolol 2\plaque 1/@02 EE2 34/F2_03.tif </t>
  </si>
  <si>
    <t xml:space="preserve"> 2740.9731 </t>
  </si>
  <si>
    <t xml:space="preserve"> 66.3254 </t>
  </si>
  <si>
    <t xml:space="preserve">Q:\R&amp;D\2-Test oestrogénique\OECD and AOPs\REACTIV oecd interlaboratory validation\Results WF\Résultats CBA\2021-CHG-CBA-Atenolol 2\plaque 1/@02 EE2 34/G2_01.tif </t>
  </si>
  <si>
    <t xml:space="preserve"> 64.0141 </t>
  </si>
  <si>
    <t>Q:\R&amp;D\2-Test oestrogénique\OECD and AOPs\REACTIV oecd interlaboratory validation\Results WF\Résultats CBA\2021-CHG-CBA-Atenolol 2\plaque 1/@02 EE2 34/G2_02- exclu.tif</t>
  </si>
  <si>
    <t xml:space="preserve">Q:\R&amp;D\2-Test oestrogénique\OECD and AOPs\REACTIV oecd interlaboratory validation\Results WF\Résultats CBA\2021-CHG-CBA-Atenolol 2\plaque 1/@02 EE2 34/G2_03.tif </t>
  </si>
  <si>
    <t xml:space="preserve"> 65.0392 </t>
  </si>
  <si>
    <t xml:space="preserve">Q:\R&amp;D\2-Test oestrogénique\OECD and AOPs\REACTIV oecd interlaboratory validation\Results WF\Résultats CBA\2021-CHG-CBA-Atenolol 2\plaque 1/@02 EE2 34/H2_01.tif </t>
  </si>
  <si>
    <t xml:space="preserve"> 62.25 </t>
  </si>
  <si>
    <t xml:space="preserve">Q:\R&amp;D\2-Test oestrogénique\OECD and AOPs\REACTIV oecd interlaboratory validation\Results WF\Résultats CBA\2021-CHG-CBA-Atenolol 2\plaque 1/@02 EE2 34/H2_02.tif </t>
  </si>
  <si>
    <t xml:space="preserve"> 68.6154 </t>
  </si>
  <si>
    <t xml:space="preserve">Q:\R&amp;D\2-Test oestrogénique\OECD and AOPs\REACTIV oecd interlaboratory validation\Results WF\Résultats CBA\2021-CHG-CBA-Atenolol 2\plaque 1/@02 EE2 34/H2_03.tif </t>
  </si>
  <si>
    <t xml:space="preserve"> 68.8 </t>
  </si>
  <si>
    <t xml:space="preserve">Q:\R&amp;D\2-Test oestrogénique\OECD and AOPs\REACTIV oecd interlaboratory validation\Results WF\Résultats CBA\2021-CHG-CBA-Atenolol 2\plaque 1/@02 EE2 34/ </t>
  </si>
  <si>
    <t xml:space="preserve"> 66.2012 </t>
  </si>
  <si>
    <t xml:space="preserve"> 2.579 </t>
  </si>
  <si>
    <t xml:space="preserve"> 197203.333 </t>
  </si>
  <si>
    <t xml:space="preserve"> 158141.885 </t>
  </si>
  <si>
    <t xml:space="preserve">Q:\R&amp;D\2-Test oestrogénique\OECD and AOPs\REACTIV oecd interlaboratory validation\Results WF\Résultats CBA\2021-CHG-CBA-Atenolol 2\plaque 1/@03 EE2 51/A3_01.tif </t>
  </si>
  <si>
    <t xml:space="preserve"> 87.1209 </t>
  </si>
  <si>
    <t xml:space="preserve">Q:\R&amp;D\2-Test oestrogénique\OECD and AOPs\REACTIV oecd interlaboratory validation\Results WF\Résultats CBA\2021-CHG-CBA-Atenolol 2\plaque 1/@03 EE2 51/A3_02.tif </t>
  </si>
  <si>
    <t xml:space="preserve"> 7548.553 </t>
  </si>
  <si>
    <t xml:space="preserve"> 69.0346 </t>
  </si>
  <si>
    <t xml:space="preserve">Q:\R&amp;D\2-Test oestrogénique\OECD and AOPs\REACTIV oecd interlaboratory validation\Results WF\Résultats CBA\2021-CHG-CBA-Atenolol 2\plaque 1/@03 EE2 51/A3_03.tif </t>
  </si>
  <si>
    <t xml:space="preserve"> 8070.6431 </t>
  </si>
  <si>
    <t xml:space="preserve"> 73.2102 </t>
  </si>
  <si>
    <t xml:space="preserve">Q:\R&amp;D\2-Test oestrogénique\OECD and AOPs\REACTIV oecd interlaboratory validation\Results WF\Résultats CBA\2021-CHG-CBA-Atenolol 2\plaque 1/@03 EE2 51/B3_01.tif </t>
  </si>
  <si>
    <t xml:space="preserve"> 10485.3099 </t>
  </si>
  <si>
    <t xml:space="preserve"> 72.9938 </t>
  </si>
  <si>
    <t xml:space="preserve">Q:\R&amp;D\2-Test oestrogénique\OECD and AOPs\REACTIV oecd interlaboratory validation\Results WF\Résultats CBA\2021-CHG-CBA-Atenolol 2\plaque 1/@03 EE2 51/B3_02.tif </t>
  </si>
  <si>
    <t xml:space="preserve"> 9680.421 </t>
  </si>
  <si>
    <t xml:space="preserve"> 72.173 </t>
  </si>
  <si>
    <t xml:space="preserve">Q:\R&amp;D\2-Test oestrogénique\OECD and AOPs\REACTIV oecd interlaboratory validation\Results WF\Résultats CBA\2021-CHG-CBA-Atenolol 2\plaque 1/@03 EE2 51/B3_03.tif </t>
  </si>
  <si>
    <t xml:space="preserve"> 10572.3249 </t>
  </si>
  <si>
    <t xml:space="preserve"> 74.8189 </t>
  </si>
  <si>
    <t xml:space="preserve">Q:\R&amp;D\2-Test oestrogénique\OECD and AOPs\REACTIV oecd interlaboratory validation\Results WF\Résultats CBA\2021-CHG-CBA-Atenolol 2\plaque 1/@03 EE2 51/C3_01.tif </t>
  </si>
  <si>
    <t xml:space="preserve"> 1762.0542 </t>
  </si>
  <si>
    <t xml:space="preserve"> 63.9753 </t>
  </si>
  <si>
    <t xml:space="preserve">Q:\R&amp;D\2-Test oestrogénique\OECD and AOPs\REACTIV oecd interlaboratory validation\Results WF\Résultats CBA\2021-CHG-CBA-Atenolol 2\plaque 1/@03 EE2 51/C3_02.tif </t>
  </si>
  <si>
    <t xml:space="preserve"> 64.7105 </t>
  </si>
  <si>
    <t>Q:\R&amp;D\2-Test oestrogénique\OECD and AOPs\REACTIV oecd interlaboratory validation\Results WF\Résultats CBA\2021-CHG-CBA-Atenolol 2\plaque 1/@03 EE2 51/C3_03- exclu.tif</t>
  </si>
  <si>
    <t xml:space="preserve">Q:\R&amp;D\2-Test oestrogénique\OECD and AOPs\REACTIV oecd interlaboratory validation\Results WF\Résultats CBA\2021-CHG-CBA-Atenolol 2\plaque 1/@03 EE2 51/D3_01.tif </t>
  </si>
  <si>
    <t xml:space="preserve"> 69.1828 </t>
  </si>
  <si>
    <t xml:space="preserve">Q:\R&amp;D\2-Test oestrogénique\OECD and AOPs\REACTIV oecd interlaboratory validation\Results WF\Résultats CBA\2021-CHG-CBA-Atenolol 2\plaque 1/@03 EE2 51/D3_02.tif </t>
  </si>
  <si>
    <t xml:space="preserve"> 4611.7961 </t>
  </si>
  <si>
    <t xml:space="preserve"> 70.5236 </t>
  </si>
  <si>
    <t xml:space="preserve">Q:\R&amp;D\2-Test oestrogénique\OECD and AOPs\REACTIV oecd interlaboratory validation\Results WF\Résultats CBA\2021-CHG-CBA-Atenolol 2\plaque 1/@03 EE2 51/D3_03.tif </t>
  </si>
  <si>
    <t xml:space="preserve"> 2392.9131 </t>
  </si>
  <si>
    <t xml:space="preserve"> 65.3455 </t>
  </si>
  <si>
    <t xml:space="preserve">Q:\R&amp;D\2-Test oestrogénique\OECD and AOPs\REACTIV oecd interlaboratory validation\Results WF\Résultats CBA\2021-CHG-CBA-Atenolol 2\plaque 1/@03 EE2 51/E3_01.tif </t>
  </si>
  <si>
    <t xml:space="preserve"> 67.0618 </t>
  </si>
  <si>
    <t xml:space="preserve">Q:\R&amp;D\2-Test oestrogénique\OECD and AOPs\REACTIV oecd interlaboratory validation\Results WF\Résultats CBA\2021-CHG-CBA-Atenolol 2\plaque 1/@03 EE2 51/E3_02.tif </t>
  </si>
  <si>
    <t xml:space="preserve"> 62.65 </t>
  </si>
  <si>
    <t xml:space="preserve">Q:\R&amp;D\2-Test oestrogénique\OECD and AOPs\REACTIV oecd interlaboratory validation\Results WF\Résultats CBA\2021-CHG-CBA-Atenolol 2\plaque 1/@03 EE2 51/E3_03.tif </t>
  </si>
  <si>
    <t xml:space="preserve"> 63.0625 </t>
  </si>
  <si>
    <t xml:space="preserve">Q:\R&amp;D\2-Test oestrogénique\OECD and AOPs\REACTIV oecd interlaboratory validation\Results WF\Résultats CBA\2021-CHG-CBA-Atenolol 2\plaque 1/@03 EE2 51/F3_01.tif </t>
  </si>
  <si>
    <t xml:space="preserve"> 12182.1028 </t>
  </si>
  <si>
    <t xml:space="preserve"> 81.4911 </t>
  </si>
  <si>
    <t xml:space="preserve">Q:\R&amp;D\2-Test oestrogénique\OECD and AOPs\REACTIV oecd interlaboratory validation\Results WF\Résultats CBA\2021-CHG-CBA-Atenolol 2\plaque 1/@03 EE2 51/F3_02.tif </t>
  </si>
  <si>
    <t xml:space="preserve"> 13269.7906 </t>
  </si>
  <si>
    <t xml:space="preserve"> 82.0967 </t>
  </si>
  <si>
    <t xml:space="preserve">Q:\R&amp;D\2-Test oestrogénique\OECD and AOPs\REACTIV oecd interlaboratory validation\Results WF\Résultats CBA\2021-CHG-CBA-Atenolol 2\plaque 1/@03 EE2 51/F3_03.tif </t>
  </si>
  <si>
    <t xml:space="preserve"> 12356.1328 </t>
  </si>
  <si>
    <t xml:space="preserve"> 81.75 </t>
  </si>
  <si>
    <t xml:space="preserve">Q:\R&amp;D\2-Test oestrogénique\OECD and AOPs\REACTIV oecd interlaboratory validation\Results WF\Résultats CBA\2021-CHG-CBA-Atenolol 2\plaque 1/@03 EE2 51/G3_01.tif </t>
  </si>
  <si>
    <t xml:space="preserve"> 6286.8352 </t>
  </si>
  <si>
    <t xml:space="preserve"> 67.6747 </t>
  </si>
  <si>
    <t xml:space="preserve">Q:\R&amp;D\2-Test oestrogénique\OECD and AOPs\REACTIV oecd interlaboratory validation\Results WF\Résultats CBA\2021-CHG-CBA-Atenolol 2\plaque 1/@03 EE2 51/G3_02.tif </t>
  </si>
  <si>
    <t xml:space="preserve"> 63.9038 </t>
  </si>
  <si>
    <t xml:space="preserve">Q:\R&amp;D\2-Test oestrogénique\OECD and AOPs\REACTIV oecd interlaboratory validation\Results WF\Résultats CBA\2021-CHG-CBA-Atenolol 2\plaque 1/@03 EE2 51/G3_03.tif </t>
  </si>
  <si>
    <t xml:space="preserve"> 2675.7119 </t>
  </si>
  <si>
    <t xml:space="preserve"> 66.9675 </t>
  </si>
  <si>
    <t>Q:\R&amp;D\2-Test oestrogénique\OECD and AOPs\REACTIV oecd interlaboratory validation\Results WF\Résultats CBA\2021-CHG-CBA-Atenolol 2\plaque 1/@03 EE2 51/H3_01- exclu.tif</t>
  </si>
  <si>
    <t>Q:\R&amp;D\2-Test oestrogénique\OECD and AOPs\REACTIV oecd interlaboratory validation\Results WF\Résultats CBA\2021-CHG-CBA-Atenolol 2\plaque 1/@03 EE2 51/H3_02- exclu.tif</t>
  </si>
  <si>
    <t>Q:\R&amp;D\2-Test oestrogénique\OECD and AOPs\REACTIV oecd interlaboratory validation\Results WF\Résultats CBA\2021-CHG-CBA-Atenolol 2\plaque 1/@03 EE2 51/H3_03- exclu.tif</t>
  </si>
  <si>
    <t xml:space="preserve">Q:\R&amp;D\2-Test oestrogénique\OECD and AOPs\REACTIV oecd interlaboratory validation\Results WF\Résultats CBA\2021-CHG-CBA-Atenolol 2\plaque 1/@03 EE2 51/ </t>
  </si>
  <si>
    <t xml:space="preserve"> 69.7703 </t>
  </si>
  <si>
    <t xml:space="preserve"> 7.1218 </t>
  </si>
  <si>
    <t xml:space="preserve"> 411005.458 </t>
  </si>
  <si>
    <t xml:space="preserve"> 389770.962 </t>
  </si>
  <si>
    <t>Q:\R&amp;D\2-Test oestrogénique\OECD and AOPs\REACTIV oecd interlaboratory validation\Results WF\Résultats CBA\2021-CHG-CBA-Atenolol 2\plaque 1/@04 EE2 76/A4_01- exclu.tif</t>
  </si>
  <si>
    <t xml:space="preserve">Q:\R&amp;D\2-Test oestrogénique\OECD and AOPs\REACTIV oecd interlaboratory validation\Results WF\Résultats CBA\2021-CHG-CBA-Atenolol 2\plaque 1/@04 EE2 76/A4_02.tif </t>
  </si>
  <si>
    <t xml:space="preserve"> 14270.4633 </t>
  </si>
  <si>
    <t xml:space="preserve"> 70.404 </t>
  </si>
  <si>
    <t xml:space="preserve">Q:\R&amp;D\2-Test oestrogénique\OECD and AOPs\REACTIV oecd interlaboratory validation\Results WF\Résultats CBA\2021-CHG-CBA-Atenolol 2\plaque 1/@04 EE2 76/A4_03.tif </t>
  </si>
  <si>
    <t xml:space="preserve"> 15727.9649 </t>
  </si>
  <si>
    <t xml:space="preserve"> 69.6445 </t>
  </si>
  <si>
    <t xml:space="preserve">Q:\R&amp;D\2-Test oestrogénique\OECD and AOPs\REACTIV oecd interlaboratory validation\Results WF\Résultats CBA\2021-CHG-CBA-Atenolol 2\plaque 1/@04 EE2 76/B4_01.tif </t>
  </si>
  <si>
    <t xml:space="preserve"> 18142.6317 </t>
  </si>
  <si>
    <t xml:space="preserve"> 64.4269 </t>
  </si>
  <si>
    <t xml:space="preserve">Q:\R&amp;D\2-Test oestrogénique\OECD and AOPs\REACTIV oecd interlaboratory validation\Results WF\Résultats CBA\2021-CHG-CBA-Atenolol 2\plaque 1/@04 EE2 76/B4_02.tif </t>
  </si>
  <si>
    <t xml:space="preserve"> 18512.4455 </t>
  </si>
  <si>
    <t xml:space="preserve"> 65.1328 </t>
  </si>
  <si>
    <t xml:space="preserve">Q:\R&amp;D\2-Test oestrogénique\OECD and AOPs\REACTIV oecd interlaboratory validation\Results WF\Résultats CBA\2021-CHG-CBA-Atenolol 2\plaque 1/@04 EE2 76/B4_03.tif </t>
  </si>
  <si>
    <t xml:space="preserve"> 23559.3167 </t>
  </si>
  <si>
    <t xml:space="preserve"> 65.6288 </t>
  </si>
  <si>
    <t xml:space="preserve">Q:\R&amp;D\2-Test oestrogénique\OECD and AOPs\REACTIV oecd interlaboratory validation\Results WF\Résultats CBA\2021-CHG-CBA-Atenolol 2\plaque 1/@04 EE2 76/C4_01.tif </t>
  </si>
  <si>
    <t xml:space="preserve"> 9419.3759 </t>
  </si>
  <si>
    <t xml:space="preserve"> 67.6859 </t>
  </si>
  <si>
    <t xml:space="preserve">Q:\R&amp;D\2-Test oestrogénique\OECD and AOPs\REACTIV oecd interlaboratory validation\Results WF\Résultats CBA\2021-CHG-CBA-Atenolol 2\plaque 1/@04 EE2 76/C4_02.tif </t>
  </si>
  <si>
    <t xml:space="preserve"> 65.61 </t>
  </si>
  <si>
    <t xml:space="preserve">Q:\R&amp;D\2-Test oestrogénique\OECD and AOPs\REACTIV oecd interlaboratory validation\Results WF\Résultats CBA\2021-CHG-CBA-Atenolol 2\plaque 1/@04 EE2 76/C4_03.tif </t>
  </si>
  <si>
    <t xml:space="preserve"> 8570.9795 </t>
  </si>
  <si>
    <t xml:space="preserve"> 66.0279 </t>
  </si>
  <si>
    <t xml:space="preserve">Q:\R&amp;D\2-Test oestrogénique\OECD and AOPs\REACTIV oecd interlaboratory validation\Results WF\Résultats CBA\2021-CHG-CBA-Atenolol 2\plaque 1/@04 EE2 76/D4_01.tif </t>
  </si>
  <si>
    <t xml:space="preserve"> 62.7344 </t>
  </si>
  <si>
    <t xml:space="preserve">Q:\R&amp;D\2-Test oestrogénique\OECD and AOPs\REACTIV oecd interlaboratory validation\Results WF\Résultats CBA\2021-CHG-CBA-Atenolol 2\plaque 1/@04 EE2 76/D4_02.tif </t>
  </si>
  <si>
    <t xml:space="preserve"> 2305.898 </t>
  </si>
  <si>
    <t xml:space="preserve"> 63.3113 </t>
  </si>
  <si>
    <t xml:space="preserve">Q:\R&amp;D\2-Test oestrogénique\OECD and AOPs\REACTIV oecd interlaboratory validation\Results WF\Résultats CBA\2021-CHG-CBA-Atenolol 2\plaque 1/@04 EE2 76/D4_03.tif </t>
  </si>
  <si>
    <t xml:space="preserve"> 1348.7328 </t>
  </si>
  <si>
    <t xml:space="preserve"> 63.5323 </t>
  </si>
  <si>
    <t xml:space="preserve">Q:\R&amp;D\2-Test oestrogénique\OECD and AOPs\REACTIV oecd interlaboratory validation\Results WF\Résultats CBA\2021-CHG-CBA-Atenolol 2\plaque 1/@04 EE2 76/E4_01.tif </t>
  </si>
  <si>
    <t xml:space="preserve"> 10507.0637 </t>
  </si>
  <si>
    <t xml:space="preserve"> 67.4431 </t>
  </si>
  <si>
    <t xml:space="preserve">Q:\R&amp;D\2-Test oestrogénique\OECD and AOPs\REACTIV oecd interlaboratory validation\Results WF\Résultats CBA\2021-CHG-CBA-Atenolol 2\plaque 1/@04 EE2 76/E4_02.tif </t>
  </si>
  <si>
    <t xml:space="preserve"> 20100.4696 </t>
  </si>
  <si>
    <t xml:space="preserve"> 76.8593 </t>
  </si>
  <si>
    <t xml:space="preserve">Q:\R&amp;D\2-Test oestrogénique\OECD and AOPs\REACTIV oecd interlaboratory validation\Results WF\Résultats CBA\2021-CHG-CBA-Atenolol 2\plaque 1/@04 EE2 76/E4_03.tif </t>
  </si>
  <si>
    <t xml:space="preserve"> 7026.4629 </t>
  </si>
  <si>
    <t xml:space="preserve"> 69.1269 </t>
  </si>
  <si>
    <t xml:space="preserve">Q:\R&amp;D\2-Test oestrogénique\OECD and AOPs\REACTIV oecd interlaboratory validation\Results WF\Résultats CBA\2021-CHG-CBA-Atenolol 2\plaque 1/@04 EE2 76/F4_01.tif </t>
  </si>
  <si>
    <t xml:space="preserve"> 64.8102 </t>
  </si>
  <si>
    <t xml:space="preserve">Q:\R&amp;D\2-Test oestrogénique\OECD and AOPs\REACTIV oecd interlaboratory validation\Results WF\Résultats CBA\2021-CHG-CBA-Atenolol 2\plaque 1/@04 EE2 76/F4_02.tif </t>
  </si>
  <si>
    <t xml:space="preserve"> 5220.9012 </t>
  </si>
  <si>
    <t xml:space="preserve"> 65.7958 </t>
  </si>
  <si>
    <t xml:space="preserve">Q:\R&amp;D\2-Test oestrogénique\OECD and AOPs\REACTIV oecd interlaboratory validation\Results WF\Résultats CBA\2021-CHG-CBA-Atenolol 2\plaque 1/@04 EE2 76/F4_03.tif </t>
  </si>
  <si>
    <t xml:space="preserve"> 67.9005 </t>
  </si>
  <si>
    <t xml:space="preserve">Q:\R&amp;D\2-Test oestrogénique\OECD and AOPs\REACTIV oecd interlaboratory validation\Results WF\Résultats CBA\2021-CHG-CBA-Atenolol 2\plaque 1/@04 EE2 76/G4_01.tif </t>
  </si>
  <si>
    <t xml:space="preserve"> 65.5376 </t>
  </si>
  <si>
    <t xml:space="preserve">Q:\R&amp;D\2-Test oestrogénique\OECD and AOPs\REACTIV oecd interlaboratory validation\Results WF\Résultats CBA\2021-CHG-CBA-Atenolol 2\plaque 1/@04 EE2 76/G4_02.tif </t>
  </si>
  <si>
    <t xml:space="preserve"> 1261.7178 </t>
  </si>
  <si>
    <t xml:space="preserve"> 62.9655 </t>
  </si>
  <si>
    <t>Q:\R&amp;D\2-Test oestrogénique\OECD and AOPs\REACTIV oecd interlaboratory validation\Results WF\Résultats CBA\2021-CHG-CBA-Atenolol 2\plaque 1/@04 EE2 76/G4_03- exclu.tif</t>
  </si>
  <si>
    <t xml:space="preserve">Q:\R&amp;D\2-Test oestrogénique\OECD and AOPs\REACTIV oecd interlaboratory validation\Results WF\Résultats CBA\2021-CHG-CBA-Atenolol 2\plaque 1/@04 EE2 76/H4_01.tif </t>
  </si>
  <si>
    <t xml:space="preserve"> 67.0849 </t>
  </si>
  <si>
    <t xml:space="preserve">Q:\R&amp;D\2-Test oestrogénique\OECD and AOPs\REACTIV oecd interlaboratory validation\Results WF\Résultats CBA\2021-CHG-CBA-Atenolol 2\plaque 1/@04 EE2 76/H4_02.tif </t>
  </si>
  <si>
    <t xml:space="preserve"> 64.5545 </t>
  </si>
  <si>
    <t xml:space="preserve">Q:\R&amp;D\2-Test oestrogénique\OECD and AOPs\REACTIV oecd interlaboratory validation\Results WF\Résultats CBA\2021-CHG-CBA-Atenolol 2\plaque 1/@04 EE2 76/H4_03.tif </t>
  </si>
  <si>
    <t xml:space="preserve"> 1609.7779 </t>
  </si>
  <si>
    <t xml:space="preserve"> 63.9189 </t>
  </si>
  <si>
    <t xml:space="preserve">Q:\R&amp;D\2-Test oestrogénique\OECD and AOPs\REACTIV oecd interlaboratory validation\Results WF\Résultats CBA\2021-CHG-CBA-Atenolol 2\plaque 1/@04 EE2 76/ </t>
  </si>
  <si>
    <t xml:space="preserve"> 66.153 </t>
  </si>
  <si>
    <t xml:space="preserve"> 3.1376 </t>
  </si>
  <si>
    <t xml:space="preserve"> 539939.042 </t>
  </si>
  <si>
    <t xml:space="preserve"> 481630.623 </t>
  </si>
  <si>
    <t xml:space="preserve">Q:\R&amp;D\2-Test oestrogénique\OECD and AOPs\REACTIV oecd interlaboratory validation\Results WF\Résultats CBA\2021-CHG-CBA-Atenolol 2\plaque 1/@05 EE2 114/A5_01.tif </t>
  </si>
  <si>
    <t xml:space="preserve"> 50468.7116 </t>
  </si>
  <si>
    <t xml:space="preserve"> 80.5478 </t>
  </si>
  <si>
    <t xml:space="preserve">Q:\R&amp;D\2-Test oestrogénique\OECD and AOPs\REACTIV oecd interlaboratory validation\Results WF\Résultats CBA\2021-CHG-CBA-Atenolol 2\plaque 1/@05 EE2 114/A5_02.tif </t>
  </si>
  <si>
    <t xml:space="preserve"> 79.1215 </t>
  </si>
  <si>
    <t xml:space="preserve">Q:\R&amp;D\2-Test oestrogénique\OECD and AOPs\REACTIV oecd interlaboratory validation\Results WF\Résultats CBA\2021-CHG-CBA-Atenolol 2\plaque 1/@05 EE2 114/A5_03.tif </t>
  </si>
  <si>
    <t xml:space="preserve"> 40048.663 </t>
  </si>
  <si>
    <t xml:space="preserve"> 82.6138 </t>
  </si>
  <si>
    <t xml:space="preserve">Q:\R&amp;D\2-Test oestrogénique\OECD and AOPs\REACTIV oecd interlaboratory validation\Results WF\Résultats CBA\2021-CHG-CBA-Atenolol 2\plaque 1/@05 EE2 114/B5_01.tif </t>
  </si>
  <si>
    <t xml:space="preserve"> 36263.5096 </t>
  </si>
  <si>
    <t xml:space="preserve"> 69.6893 </t>
  </si>
  <si>
    <t xml:space="preserve">Q:\R&amp;D\2-Test oestrogénique\OECD and AOPs\REACTIV oecd interlaboratory validation\Results WF\Résultats CBA\2021-CHG-CBA-Atenolol 2\plaque 1/@05 EE2 114/B5_02.tif </t>
  </si>
  <si>
    <t xml:space="preserve"> 33522.5365 </t>
  </si>
  <si>
    <t xml:space="preserve"> 69.7865 </t>
  </si>
  <si>
    <t xml:space="preserve">Q:\R&amp;D\2-Test oestrogénique\OECD and AOPs\REACTIV oecd interlaboratory validation\Results WF\Résultats CBA\2021-CHG-CBA-Atenolol 2\plaque 1/@05 EE2 114/B5_03.tif </t>
  </si>
  <si>
    <t xml:space="preserve"> 39787.6179 </t>
  </si>
  <si>
    <t xml:space="preserve"> 70.497 </t>
  </si>
  <si>
    <t xml:space="preserve">Q:\R&amp;D\2-Test oestrogénique\OECD and AOPs\REACTIV oecd interlaboratory validation\Results WF\Résultats CBA\2021-CHG-CBA-Atenolol 2\plaque 1/@05 EE2 114/C5_01.tif </t>
  </si>
  <si>
    <t xml:space="preserve"> 63.0746 </t>
  </si>
  <si>
    <t xml:space="preserve">Q:\R&amp;D\2-Test oestrogénique\OECD and AOPs\REACTIV oecd interlaboratory validation\Results WF\Résultats CBA\2021-CHG-CBA-Atenolol 2\plaque 1/@05 EE2 114/C5_02.tif </t>
  </si>
  <si>
    <t xml:space="preserve"> 62.7013 </t>
  </si>
  <si>
    <t xml:space="preserve">Q:\R&amp;D\2-Test oestrogénique\OECD and AOPs\REACTIV oecd interlaboratory validation\Results WF\Résultats CBA\2021-CHG-CBA-Atenolol 2\plaque 1/@05 EE2 114/C5_03.tif </t>
  </si>
  <si>
    <t xml:space="preserve"> 64.3636 </t>
  </si>
  <si>
    <t xml:space="preserve">Q:\R&amp;D\2-Test oestrogénique\OECD and AOPs\REACTIV oecd interlaboratory validation\Results WF\Résultats CBA\2021-CHG-CBA-Atenolol 2\plaque 1/@05 EE2 114/D5_01.tif </t>
  </si>
  <si>
    <t xml:space="preserve"> 28540.9266 </t>
  </si>
  <si>
    <t xml:space="preserve"> 70.1265 </t>
  </si>
  <si>
    <t xml:space="preserve">Q:\R&amp;D\2-Test oestrogénique\OECD and AOPs\REACTIV oecd interlaboratory validation\Results WF\Résultats CBA\2021-CHG-CBA-Atenolol 2\plaque 1/@05 EE2 114/D5_02.tif </t>
  </si>
  <si>
    <t xml:space="preserve"> 30564.0258 </t>
  </si>
  <si>
    <t xml:space="preserve"> 70.6313 </t>
  </si>
  <si>
    <t xml:space="preserve">Q:\R&amp;D\2-Test oestrogénique\OECD and AOPs\REACTIV oecd interlaboratory validation\Results WF\Résultats CBA\2021-CHG-CBA-Atenolol 2\plaque 1/@05 EE2 114/D5_03.tif </t>
  </si>
  <si>
    <t xml:space="preserve"> 26126.2598 </t>
  </si>
  <si>
    <t xml:space="preserve"> 68.4513 </t>
  </si>
  <si>
    <t xml:space="preserve">Q:\R&amp;D\2-Test oestrogénique\OECD and AOPs\REACTIV oecd interlaboratory validation\Results WF\Résultats CBA\2021-CHG-CBA-Atenolol 2\plaque 1/@05 EE2 114/E5_01.tif </t>
  </si>
  <si>
    <t xml:space="preserve"> 8092.3969 </t>
  </si>
  <si>
    <t xml:space="preserve"> 67.4651 </t>
  </si>
  <si>
    <t xml:space="preserve">Q:\R&amp;D\2-Test oestrogénique\OECD and AOPs\REACTIV oecd interlaboratory validation\Results WF\Résultats CBA\2021-CHG-CBA-Atenolol 2\plaque 1/@05 EE2 114/E5_02.tif </t>
  </si>
  <si>
    <t xml:space="preserve"> 63.5393 </t>
  </si>
  <si>
    <t xml:space="preserve">Q:\R&amp;D\2-Test oestrogénique\OECD and AOPs\REACTIV oecd interlaboratory validation\Results WF\Résultats CBA\2021-CHG-CBA-Atenolol 2\plaque 1/@05 EE2 114/E5_03.tif </t>
  </si>
  <si>
    <t xml:space="preserve"> 5351.4237 </t>
  </si>
  <si>
    <t xml:space="preserve"> 65.8171 </t>
  </si>
  <si>
    <t xml:space="preserve">Q:\R&amp;D\2-Test oestrogénique\OECD and AOPs\REACTIV oecd interlaboratory validation\Results WF\Résultats CBA\2021-CHG-CBA-Atenolol 2\plaque 1/@05 EE2 114/F5_01.tif </t>
  </si>
  <si>
    <t xml:space="preserve"> 13813.6344 </t>
  </si>
  <si>
    <t xml:space="preserve"> 72.6016 </t>
  </si>
  <si>
    <t xml:space="preserve">Q:\R&amp;D\2-Test oestrogénique\OECD and AOPs\REACTIV oecd interlaboratory validation\Results WF\Résultats CBA\2021-CHG-CBA-Atenolol 2\plaque 1/@05 EE2 114/F5_02.tif </t>
  </si>
  <si>
    <t xml:space="preserve"> 12290.8716 </t>
  </si>
  <si>
    <t xml:space="preserve"> 69.9186 </t>
  </si>
  <si>
    <t xml:space="preserve">Q:\R&amp;D\2-Test oestrogénique\OECD and AOPs\REACTIV oecd interlaboratory validation\Results WF\Résultats CBA\2021-CHG-CBA-Atenolol 2\plaque 1/@05 EE2 114/F5_03.tif </t>
  </si>
  <si>
    <t xml:space="preserve"> 8875.532 </t>
  </si>
  <si>
    <t xml:space="preserve"> 66.6201 </t>
  </si>
  <si>
    <t xml:space="preserve">Q:\R&amp;D\2-Test oestrogénique\OECD and AOPs\REACTIV oecd interlaboratory validation\Results WF\Résultats CBA\2021-CHG-CBA-Atenolol 2\plaque 1/@05 EE2 114/G5_01.tif </t>
  </si>
  <si>
    <t xml:space="preserve"> 65.5521 </t>
  </si>
  <si>
    <t xml:space="preserve">Q:\R&amp;D\2-Test oestrogénique\OECD and AOPs\REACTIV oecd interlaboratory validation\Results WF\Résultats CBA\2021-CHG-CBA-Atenolol 2\plaque 1/@05 EE2 114/G5_02.tif </t>
  </si>
  <si>
    <t xml:space="preserve"> 12921.7305 </t>
  </si>
  <si>
    <t xml:space="preserve"> 64.5505 </t>
  </si>
  <si>
    <t xml:space="preserve">Q:\R&amp;D\2-Test oestrogénique\OECD and AOPs\REACTIV oecd interlaboratory validation\Results WF\Résultats CBA\2021-CHG-CBA-Atenolol 2\plaque 1/@05 EE2 114/G5_03.tif </t>
  </si>
  <si>
    <t xml:space="preserve"> 15031.8447 </t>
  </si>
  <si>
    <t xml:space="preserve"> 65.3459 </t>
  </si>
  <si>
    <t>Q:\R&amp;D\2-Test oestrogénique\OECD and AOPs\REACTIV oecd interlaboratory validation\Results WF\Résultats CBA\2021-CHG-CBA-Atenolol 2\plaque 1/@05 EE2 114/H5_01- exclu.tif</t>
  </si>
  <si>
    <t>Q:\R&amp;D\2-Test oestrogénique\OECD and AOPs\REACTIV oecd interlaboratory validation\Results WF\Résultats CBA\2021-CHG-CBA-Atenolol 2\plaque 1/@05 EE2 114/H5_02- exclu.tif</t>
  </si>
  <si>
    <t>Q:\R&amp;D\2-Test oestrogénique\OECD and AOPs\REACTIV oecd interlaboratory validation\Results WF\Résultats CBA\2021-CHG-CBA-Atenolol 2\plaque 1/@05 EE2 114/H5_03- exclu.tif</t>
  </si>
  <si>
    <t xml:space="preserve">Q:\R&amp;D\2-Test oestrogénique\OECD and AOPs\REACTIV oecd interlaboratory validation\Results WF\Résultats CBA\2021-CHG-CBA-Atenolol 2\plaque 1/@05 EE2 114/ </t>
  </si>
  <si>
    <t xml:space="preserve"> 68.6056 </t>
  </si>
  <si>
    <t xml:space="preserve"> 5.477 </t>
  </si>
  <si>
    <t xml:space="preserve"> 1340344.88 </t>
  </si>
  <si>
    <t xml:space="preserve"> 1285420.67 </t>
  </si>
  <si>
    <t>Q:\R&amp;D\2-Test oestrogénique\OECD and AOPs\REACTIV oecd interlaboratory validation\Results WF\Résultats CBA\2021-CHG-CBA-Atenolol 2\plaque 1/@06 EE2 171/A6_01- exclu.tif</t>
  </si>
  <si>
    <t xml:space="preserve">Q:\R&amp;D\2-Test oestrogénique\OECD and AOPs\REACTIV oecd interlaboratory validation\Results WF\Résultats CBA\2021-CHG-CBA-Atenolol 2\plaque 1/@06 EE2 171/A6_02.tif </t>
  </si>
  <si>
    <t xml:space="preserve"> 75898.8512 </t>
  </si>
  <si>
    <t xml:space="preserve"> 75.0186 </t>
  </si>
  <si>
    <t xml:space="preserve">Q:\R&amp;D\2-Test oestrogénique\OECD and AOPs\REACTIV oecd interlaboratory validation\Results WF\Résultats CBA\2021-CHG-CBA-Atenolol 2\plaque 1/@06 EE2 171/A6_03.tif </t>
  </si>
  <si>
    <t xml:space="preserve"> 75616.0524 </t>
  </si>
  <si>
    <t xml:space="preserve"> 78.5972 </t>
  </si>
  <si>
    <t xml:space="preserve">Q:\R&amp;D\2-Test oestrogénique\OECD and AOPs\REACTIV oecd interlaboratory validation\Results WF\Résultats CBA\2021-CHG-CBA-Atenolol 2\plaque 1/@06 EE2 171/B6_01.tif </t>
  </si>
  <si>
    <t xml:space="preserve"> 41353.8883 </t>
  </si>
  <si>
    <t xml:space="preserve"> 81.9442 </t>
  </si>
  <si>
    <t xml:space="preserve">Q:\R&amp;D\2-Test oestrogénique\OECD and AOPs\REACTIV oecd interlaboratory validation\Results WF\Résultats CBA\2021-CHG-CBA-Atenolol 2\plaque 1/@06 EE2 171/B6_02.tif </t>
  </si>
  <si>
    <t xml:space="preserve"> 78.4368 </t>
  </si>
  <si>
    <t xml:space="preserve">Q:\R&amp;D\2-Test oestrogénique\OECD and AOPs\REACTIV oecd interlaboratory validation\Results WF\Résultats CBA\2021-CHG-CBA-Atenolol 2\plaque 1/@06 EE2 171/B6_03.tif </t>
  </si>
  <si>
    <t xml:space="preserve"> 31651.7135 </t>
  </si>
  <si>
    <t xml:space="preserve"> 78.1237 </t>
  </si>
  <si>
    <t xml:space="preserve">Q:\R&amp;D\2-Test oestrogénique\OECD and AOPs\REACTIV oecd interlaboratory validation\Results WF\Résultats CBA\2021-CHG-CBA-Atenolol 2\plaque 1/@06 EE2 171/C6_01.tif </t>
  </si>
  <si>
    <t xml:space="preserve"> 46117.9606 </t>
  </si>
  <si>
    <t xml:space="preserve"> 92.9642 </t>
  </si>
  <si>
    <t xml:space="preserve">Q:\R&amp;D\2-Test oestrogénique\OECD and AOPs\REACTIV oecd interlaboratory validation\Results WF\Résultats CBA\2021-CHG-CBA-Atenolol 2\plaque 1/@06 EE2 171/C6_02.tif </t>
  </si>
  <si>
    <t xml:space="preserve"> 47488.4472 </t>
  </si>
  <si>
    <t xml:space="preserve"> 86.7998 </t>
  </si>
  <si>
    <t xml:space="preserve">Q:\R&amp;D\2-Test oestrogénique\OECD and AOPs\REACTIV oecd interlaboratory validation\Results WF\Résultats CBA\2021-CHG-CBA-Atenolol 2\plaque 1/@06 EE2 171/C6_03.tif </t>
  </si>
  <si>
    <t xml:space="preserve"> 47988.7835 </t>
  </si>
  <si>
    <t xml:space="preserve"> 87.1936 </t>
  </si>
  <si>
    <t xml:space="preserve">Q:\R&amp;D\2-Test oestrogénique\OECD and AOPs\REACTIV oecd interlaboratory validation\Results WF\Résultats CBA\2021-CHG-CBA-Atenolol 2\plaque 1/@06 EE2 171/D6_01.tif </t>
  </si>
  <si>
    <t xml:space="preserve"> 77.0585 </t>
  </si>
  <si>
    <t xml:space="preserve">Q:\R&amp;D\2-Test oestrogénique\OECD and AOPs\REACTIV oecd interlaboratory validation\Results WF\Résultats CBA\2021-CHG-CBA-Atenolol 2\plaque 1/@06 EE2 171/D6_02.tif </t>
  </si>
  <si>
    <t xml:space="preserve"> 27670.7764 </t>
  </si>
  <si>
    <t xml:space="preserve"> 79.6785 </t>
  </si>
  <si>
    <t>Q:\R&amp;D\2-Test oestrogénique\OECD and AOPs\REACTIV oecd interlaboratory validation\Results WF\Résultats CBA\2021-CHG-CBA-Atenolol 2\plaque 1/@06 EE2 171/D6_03- exclu.tif</t>
  </si>
  <si>
    <t xml:space="preserve">Q:\R&amp;D\2-Test oestrogénique\OECD and AOPs\REACTIV oecd interlaboratory validation\Results WF\Résultats CBA\2021-CHG-CBA-Atenolol 2\plaque 1/@06 EE2 171/E6_01.tif </t>
  </si>
  <si>
    <t xml:space="preserve"> 30477.0108 </t>
  </si>
  <si>
    <t xml:space="preserve"> 69.3769 </t>
  </si>
  <si>
    <t xml:space="preserve">Q:\R&amp;D\2-Test oestrogénique\OECD and AOPs\REACTIV oecd interlaboratory validation\Results WF\Résultats CBA\2021-CHG-CBA-Atenolol 2\plaque 1/@06 EE2 171/E6_02.tif </t>
  </si>
  <si>
    <t xml:space="preserve"> 30324.7345 </t>
  </si>
  <si>
    <t xml:space="preserve"> 69.2489 </t>
  </si>
  <si>
    <t xml:space="preserve">Q:\R&amp;D\2-Test oestrogénique\OECD and AOPs\REACTIV oecd interlaboratory validation\Results WF\Résultats CBA\2021-CHG-CBA-Atenolol 2\plaque 1/@06 EE2 171/E6_03.tif </t>
  </si>
  <si>
    <t xml:space="preserve"> 33348.5064 </t>
  </si>
  <si>
    <t xml:space="preserve"> 69.8454 </t>
  </si>
  <si>
    <t xml:space="preserve">Q:\R&amp;D\2-Test oestrogénique\OECD and AOPs\REACTIV oecd interlaboratory validation\Results WF\Résultats CBA\2021-CHG-CBA-Atenolol 2\plaque 1/@06 EE2 171/F6_01.tif </t>
  </si>
  <si>
    <t xml:space="preserve"> 70.1273 </t>
  </si>
  <si>
    <t xml:space="preserve">Q:\R&amp;D\2-Test oestrogénique\OECD and AOPs\REACTIV oecd interlaboratory validation\Results WF\Résultats CBA\2021-CHG-CBA-Atenolol 2\plaque 1/@06 EE2 171/F6_02.tif </t>
  </si>
  <si>
    <t xml:space="preserve"> 40701.2756 </t>
  </si>
  <si>
    <t xml:space="preserve"> 68.6569 </t>
  </si>
  <si>
    <t xml:space="preserve">Q:\R&amp;D\2-Test oestrogénique\OECD and AOPs\REACTIV oecd interlaboratory validation\Results WF\Résultats CBA\2021-CHG-CBA-Atenolol 2\plaque 1/@06 EE2 171/F6_03.tif </t>
  </si>
  <si>
    <t xml:space="preserve"> 45878.6693 </t>
  </si>
  <si>
    <t xml:space="preserve"> 69.8013 </t>
  </si>
  <si>
    <t xml:space="preserve">Q:\R&amp;D\2-Test oestrogénique\OECD and AOPs\REACTIV oecd interlaboratory validation\Results WF\Résultats CBA\2021-CHG-CBA-Atenolol 2\plaque 1/@06 EE2 171/G6_01.tif </t>
  </si>
  <si>
    <t xml:space="preserve"> 29976.6744 </t>
  </si>
  <si>
    <t xml:space="preserve"> 84.672 </t>
  </si>
  <si>
    <t xml:space="preserve">Q:\R&amp;D\2-Test oestrogénique\OECD and AOPs\REACTIV oecd interlaboratory validation\Results WF\Résultats CBA\2021-CHG-CBA-Atenolol 2\plaque 1/@06 EE2 171/G6_02.tif </t>
  </si>
  <si>
    <t xml:space="preserve"> 25865.2147 </t>
  </si>
  <si>
    <t xml:space="preserve"> 87.0303 </t>
  </si>
  <si>
    <t xml:space="preserve">Q:\R&amp;D\2-Test oestrogénique\OECD and AOPs\REACTIV oecd interlaboratory validation\Results WF\Résultats CBA\2021-CHG-CBA-Atenolol 2\plaque 1/@06 EE2 171/G6_03.tif </t>
  </si>
  <si>
    <t xml:space="preserve"> 26844.1337 </t>
  </si>
  <si>
    <t xml:space="preserve"> 86.0859 </t>
  </si>
  <si>
    <t xml:space="preserve">Q:\R&amp;D\2-Test oestrogénique\OECD and AOPs\REACTIV oecd interlaboratory validation\Results WF\Résultats CBA\2021-CHG-CBA-Atenolol 2\plaque 1/@06 EE2 171/H6_01.tif </t>
  </si>
  <si>
    <t xml:space="preserve"> 38373.6238 </t>
  </si>
  <si>
    <t xml:space="preserve"> 72.1542 </t>
  </si>
  <si>
    <t xml:space="preserve">Q:\R&amp;D\2-Test oestrogénique\OECD and AOPs\REACTIV oecd interlaboratory validation\Results WF\Résultats CBA\2021-CHG-CBA-Atenolol 2\plaque 1/@06 EE2 171/H6_02.tif </t>
  </si>
  <si>
    <t xml:space="preserve"> 46466.0207 </t>
  </si>
  <si>
    <t xml:space="preserve"> 72.4696 </t>
  </si>
  <si>
    <t xml:space="preserve">Q:\R&amp;D\2-Test oestrogénique\OECD and AOPs\REACTIV oecd interlaboratory validation\Results WF\Résultats CBA\2021-CHG-CBA-Atenolol 2\plaque 1/@06 EE2 171/H6_03.tif </t>
  </si>
  <si>
    <t xml:space="preserve"> 45356.5792 </t>
  </si>
  <si>
    <t xml:space="preserve"> 72.6705 </t>
  </si>
  <si>
    <t xml:space="preserve">Q:\R&amp;D\2-Test oestrogénique\OECD and AOPs\REACTIV oecd interlaboratory validation\Results WF\Résultats CBA\2021-CHG-CBA-Atenolol 2\plaque 1/@06 EE2 171/ </t>
  </si>
  <si>
    <t xml:space="preserve"> 77.5019 </t>
  </si>
  <si>
    <t xml:space="preserve"> 7.0658 </t>
  </si>
  <si>
    <t xml:space="preserve"> 3224406.88 </t>
  </si>
  <si>
    <t xml:space="preserve"> 1139124.15 </t>
  </si>
  <si>
    <t xml:space="preserve">Q:\R&amp;D\2-Test oestrogénique\OECD and AOPs\REACTIV oecd interlaboratory validation\Results WF\Résultats CBA\2021-CHG-CBA-Atenolol 2\plaque 1/@07 EE2 488/A7_01.tif </t>
  </si>
  <si>
    <t xml:space="preserve"> 66849.2891 </t>
  </si>
  <si>
    <t xml:space="preserve"> 99.3069 </t>
  </si>
  <si>
    <t xml:space="preserve">Q:\R&amp;D\2-Test oestrogénique\OECD and AOPs\REACTIV oecd interlaboratory validation\Results WF\Résultats CBA\2021-CHG-CBA-Atenolol 2\plaque 1/@07 EE2 488/A7_02.tif </t>
  </si>
  <si>
    <t xml:space="preserve"> 68306.7907 </t>
  </si>
  <si>
    <t xml:space="preserve"> 96.6092 </t>
  </si>
  <si>
    <t xml:space="preserve">Q:\R&amp;D\2-Test oestrogénique\OECD and AOPs\REACTIV oecd interlaboratory validation\Results WF\Résultats CBA\2021-CHG-CBA-Atenolol 2\plaque 1/@07 EE2 488/A7_03.tif </t>
  </si>
  <si>
    <t xml:space="preserve"> 68850.6346 </t>
  </si>
  <si>
    <t xml:space="preserve"> 98.5915 </t>
  </si>
  <si>
    <t xml:space="preserve">Q:\R&amp;D\2-Test oestrogénique\OECD and AOPs\REACTIV oecd interlaboratory validation\Results WF\Résultats CBA\2021-CHG-CBA-Atenolol 2\plaque 1/@07 EE2 488/B7_01.tif </t>
  </si>
  <si>
    <t xml:space="preserve"> 52100.2432 </t>
  </si>
  <si>
    <t xml:space="preserve"> 89.2597 </t>
  </si>
  <si>
    <t xml:space="preserve">Q:\R&amp;D\2-Test oestrogénique\OECD and AOPs\REACTIV oecd interlaboratory validation\Results WF\Résultats CBA\2021-CHG-CBA-Atenolol 2\plaque 1/@07 EE2 488/B7_02.tif </t>
  </si>
  <si>
    <t xml:space="preserve"> 53797.0361 </t>
  </si>
  <si>
    <t xml:space="preserve"> 89.4974 </t>
  </si>
  <si>
    <t xml:space="preserve">Q:\R&amp;D\2-Test oestrogénique\OECD and AOPs\REACTIV oecd interlaboratory validation\Results WF\Résultats CBA\2021-CHG-CBA-Atenolol 2\plaque 1/@07 EE2 488/B7_03.tif </t>
  </si>
  <si>
    <t xml:space="preserve"> 49489.7926 </t>
  </si>
  <si>
    <t xml:space="preserve"> 91.4488 </t>
  </si>
  <si>
    <t xml:space="preserve">Q:\R&amp;D\2-Test oestrogénique\OECD and AOPs\REACTIV oecd interlaboratory validation\Results WF\Résultats CBA\2021-CHG-CBA-Atenolol 2\plaque 1/@07 EE2 488/C7_01.tif </t>
  </si>
  <si>
    <t xml:space="preserve"> 69699.031 </t>
  </si>
  <si>
    <t xml:space="preserve"> 116.5534 </t>
  </si>
  <si>
    <t xml:space="preserve">Q:\R&amp;D\2-Test oestrogénique\OECD and AOPs\REACTIV oecd interlaboratory validation\Results WF\Résultats CBA\2021-CHG-CBA-Atenolol 2\plaque 1/@07 EE2 488/C7_02.tif </t>
  </si>
  <si>
    <t xml:space="preserve"> 60083.8713 </t>
  </si>
  <si>
    <t xml:space="preserve"> 123.1412 </t>
  </si>
  <si>
    <t xml:space="preserve">Q:\R&amp;D\2-Test oestrogénique\OECD and AOPs\REACTIV oecd interlaboratory validation\Results WF\Résultats CBA\2021-CHG-CBA-Atenolol 2\plaque 1/@07 EE2 488/C7_03.tif </t>
  </si>
  <si>
    <t xml:space="preserve"> 71134.7789 </t>
  </si>
  <si>
    <t xml:space="preserve"> 115.6618 </t>
  </si>
  <si>
    <t xml:space="preserve">Q:\R&amp;D\2-Test oestrogénique\OECD and AOPs\REACTIV oecd interlaboratory validation\Results WF\Résultats CBA\2021-CHG-CBA-Atenolol 2\plaque 1/@07 EE2 488/D7_01.tif </t>
  </si>
  <si>
    <t xml:space="preserve"> 66479.4753 </t>
  </si>
  <si>
    <t xml:space="preserve"> 84.2022 </t>
  </si>
  <si>
    <t xml:space="preserve">Q:\R&amp;D\2-Test oestrogénique\OECD and AOPs\REACTIV oecd interlaboratory validation\Results WF\Résultats CBA\2021-CHG-CBA-Atenolol 2\plaque 1/@07 EE2 488/D7_02.tif </t>
  </si>
  <si>
    <t xml:space="preserve"> 60388.4239 </t>
  </si>
  <si>
    <t xml:space="preserve"> 87.705 </t>
  </si>
  <si>
    <t xml:space="preserve">Q:\R&amp;D\2-Test oestrogénique\OECD and AOPs\REACTIV oecd interlaboratory validation\Results WF\Résultats CBA\2021-CHG-CBA-Atenolol 2\plaque 1/@07 EE2 488/D7_03.tif </t>
  </si>
  <si>
    <t xml:space="preserve"> 65826.8626 </t>
  </si>
  <si>
    <t xml:space="preserve"> 83.1735 </t>
  </si>
  <si>
    <t xml:space="preserve">Q:\R&amp;D\2-Test oestrogénique\OECD and AOPs\REACTIV oecd interlaboratory validation\Results WF\Résultats CBA\2021-CHG-CBA-Atenolol 2\plaque 1/@07 EE2 488/E7_01.tif </t>
  </si>
  <si>
    <t xml:space="preserve"> 89277.4105 </t>
  </si>
  <si>
    <t xml:space="preserve"> 101.8363 </t>
  </si>
  <si>
    <t xml:space="preserve">Q:\R&amp;D\2-Test oestrogénique\OECD and AOPs\REACTIV oecd interlaboratory validation\Results WF\Résultats CBA\2021-CHG-CBA-Atenolol 2\plaque 1/@07 EE2 488/E7_02.tif </t>
  </si>
  <si>
    <t xml:space="preserve"> 84361.0619 </t>
  </si>
  <si>
    <t xml:space="preserve"> 102.5933 </t>
  </si>
  <si>
    <t xml:space="preserve">Q:\R&amp;D\2-Test oestrogénique\OECD and AOPs\REACTIV oecd interlaboratory validation\Results WF\Résultats CBA\2021-CHG-CBA-Atenolol 2\plaque 1/@07 EE2 488/E7_03.tif </t>
  </si>
  <si>
    <t xml:space="preserve"> 81402.5512 </t>
  </si>
  <si>
    <t xml:space="preserve"> 104.0302 </t>
  </si>
  <si>
    <t xml:space="preserve">Q:\R&amp;D\2-Test oestrogénique\OECD and AOPs\REACTIV oecd interlaboratory validation\Results WF\Résultats CBA\2021-CHG-CBA-Atenolol 2\plaque 1/@07 EE2 488/F7_01.tif </t>
  </si>
  <si>
    <t xml:space="preserve"> 81837.6263 </t>
  </si>
  <si>
    <t xml:space="preserve"> 83.6079 </t>
  </si>
  <si>
    <t xml:space="preserve">Q:\R&amp;D\2-Test oestrogénique\OECD and AOPs\REACTIV oecd interlaboratory validation\Results WF\Résultats CBA\2021-CHG-CBA-Atenolol 2\plaque 1/@07 EE2 488/F7_02.tif </t>
  </si>
  <si>
    <t xml:space="preserve"> 75246.2386 </t>
  </si>
  <si>
    <t xml:space="preserve"> 88.24 </t>
  </si>
  <si>
    <t xml:space="preserve">Q:\R&amp;D\2-Test oestrogénique\OECD and AOPs\REACTIV oecd interlaboratory validation\Results WF\Résultats CBA\2021-CHG-CBA-Atenolol 2\plaque 1/@07 EE2 488/F7_03.tif </t>
  </si>
  <si>
    <t xml:space="preserve"> 76225.1575 </t>
  </si>
  <si>
    <t xml:space="preserve"> 89.2626 </t>
  </si>
  <si>
    <t xml:space="preserve">Q:\R&amp;D\2-Test oestrogénique\OECD and AOPs\REACTIV oecd interlaboratory validation\Results WF\Résultats CBA\2021-CHG-CBA-Atenolol 2\plaque 1/@07 EE2 488/G7_01.tif </t>
  </si>
  <si>
    <t xml:space="preserve"> 68263.2832 </t>
  </si>
  <si>
    <t xml:space="preserve"> 93.492 </t>
  </si>
  <si>
    <t xml:space="preserve">Q:\R&amp;D\2-Test oestrogénique\OECD and AOPs\REACTIV oecd interlaboratory validation\Results WF\Résultats CBA\2021-CHG-CBA-Atenolol 2\plaque 1/@07 EE2 488/G7_02.tif </t>
  </si>
  <si>
    <t xml:space="preserve"> 68480.8208 </t>
  </si>
  <si>
    <t xml:space="preserve"> 96.1045 </t>
  </si>
  <si>
    <t xml:space="preserve">Q:\R&amp;D\2-Test oestrogénique\OECD and AOPs\REACTIV oecd interlaboratory validation\Results WF\Résultats CBA\2021-CHG-CBA-Atenolol 2\plaque 1/@07 EE2 488/G7_03.tif </t>
  </si>
  <si>
    <t xml:space="preserve"> 61693.6492 </t>
  </si>
  <si>
    <t xml:space="preserve"> 94.3463 </t>
  </si>
  <si>
    <t>Q:\R&amp;D\2-Test oestrogénique\OECD and AOPs\REACTIV oecd interlaboratory validation\Results WF\Résultats CBA\2021-CHG-CBA-Atenolol 2\plaque 1/@07 EE2 488/H7_01- exclu.tif</t>
  </si>
  <si>
    <t>Q:\R&amp;D\2-Test oestrogénique\OECD and AOPs\REACTIV oecd interlaboratory validation\Results WF\Résultats CBA\2021-CHG-CBA-Atenolol 2\plaque 1/@07 EE2 488/H7_02- exclu.tif</t>
  </si>
  <si>
    <t>Q:\R&amp;D\2-Test oestrogénique\OECD and AOPs\REACTIV oecd interlaboratory validation\Results WF\Résultats CBA\2021-CHG-CBA-Atenolol 2\plaque 1/@07 EE2 488/H7_03- exclu.tif</t>
  </si>
  <si>
    <t xml:space="preserve">Q:\R&amp;D\2-Test oestrogénique\OECD and AOPs\REACTIV oecd interlaboratory validation\Results WF\Résultats CBA\2021-CHG-CBA-Atenolol 2\plaque 1/@07 EE2 488/ </t>
  </si>
  <si>
    <t xml:space="preserve"> 92.6596 </t>
  </si>
  <si>
    <t xml:space="preserve"> 14.8394 </t>
  </si>
  <si>
    <t xml:space="preserve"> 5810130.67 </t>
  </si>
  <si>
    <t xml:space="preserve"> 2562228.81 </t>
  </si>
  <si>
    <t xml:space="preserve">Q:\R&amp;D\2-Test oestrogénique\OECD and AOPs\REACTIV oecd interlaboratory validation\Results WF\Résultats CBA\2021-CHG-CBA-Atenolol 2\plaque 1/@08 Atenolol 0.01/A8_01.tif </t>
  </si>
  <si>
    <t xml:space="preserve"> 5786.4988 </t>
  </si>
  <si>
    <t xml:space="preserve"> 78.2594 </t>
  </si>
  <si>
    <t xml:space="preserve">Q:\R&amp;D\2-Test oestrogénique\OECD and AOPs\REACTIV oecd interlaboratory validation\Results WF\Résultats CBA\2021-CHG-CBA-Atenolol 2\plaque 1/@08 Atenolol 0.01/A8_02.tif </t>
  </si>
  <si>
    <t xml:space="preserve"> 6156.3127 </t>
  </si>
  <si>
    <t xml:space="preserve"> 78.6714 </t>
  </si>
  <si>
    <t xml:space="preserve">Q:\R&amp;D\2-Test oestrogénique\OECD and AOPs\REACTIV oecd interlaboratory validation\Results WF\Résultats CBA\2021-CHG-CBA-Atenolol 2\plaque 1/@08 Atenolol 0.01/A8_03.tif </t>
  </si>
  <si>
    <t xml:space="preserve"> 64.087 </t>
  </si>
  <si>
    <t xml:space="preserve">Q:\R&amp;D\2-Test oestrogénique\OECD and AOPs\REACTIV oecd interlaboratory validation\Results WF\Résultats CBA\2021-CHG-CBA-Atenolol 2\plaque 1/@08 Atenolol 0.01/B8_01.tif </t>
  </si>
  <si>
    <t xml:space="preserve"> 63.3448 </t>
  </si>
  <si>
    <t xml:space="preserve">Q:\R&amp;D\2-Test oestrogénique\OECD and AOPs\REACTIV oecd interlaboratory validation\Results WF\Résultats CBA\2021-CHG-CBA-Atenolol 2\plaque 1/@08 Atenolol 0.01/B8_02.tif </t>
  </si>
  <si>
    <t xml:space="preserve"> 65.8833 </t>
  </si>
  <si>
    <t xml:space="preserve">Q:\R&amp;D\2-Test oestrogénique\OECD and AOPs\REACTIV oecd interlaboratory validation\Results WF\Résultats CBA\2021-CHG-CBA-Atenolol 2\plaque 1/@08 Atenolol 0.01/B8_03.tif </t>
  </si>
  <si>
    <t xml:space="preserve"> 67.2321 </t>
  </si>
  <si>
    <t xml:space="preserve">Q:\R&amp;D\2-Test oestrogénique\OECD and AOPs\REACTIV oecd interlaboratory validation\Results WF\Résultats CBA\2021-CHG-CBA-Atenolol 2\plaque 1/@08 Atenolol 0.01/C8_01.tif </t>
  </si>
  <si>
    <t xml:space="preserve"> 67.5526 </t>
  </si>
  <si>
    <t xml:space="preserve">Q:\R&amp;D\2-Test oestrogénique\OECD and AOPs\REACTIV oecd interlaboratory validation\Results WF\Résultats CBA\2021-CHG-CBA-Atenolol 2\plaque 1/@08 Atenolol 0.01/C8_02.tif </t>
  </si>
  <si>
    <t xml:space="preserve"> 8222.9194 </t>
  </si>
  <si>
    <t xml:space="preserve"> 75.8651 </t>
  </si>
  <si>
    <t xml:space="preserve">Q:\R&amp;D\2-Test oestrogénique\OECD and AOPs\REACTIV oecd interlaboratory validation\Results WF\Résultats CBA\2021-CHG-CBA-Atenolol 2\plaque 1/@08 Atenolol 0.01/C8_03.tif </t>
  </si>
  <si>
    <t xml:space="preserve"> 64.963 </t>
  </si>
  <si>
    <t xml:space="preserve">Q:\R&amp;D\2-Test oestrogénique\OECD and AOPs\REACTIV oecd interlaboratory validation\Results WF\Résultats CBA\2021-CHG-CBA-Atenolol 2\plaque 1/@08 Atenolol 0.01/D8_01.tif </t>
  </si>
  <si>
    <t xml:space="preserve"> 1044.1802 </t>
  </si>
  <si>
    <t xml:space="preserve"> 63.7083 </t>
  </si>
  <si>
    <t>Q:\R&amp;D\2-Test oestrogénique\OECD and AOPs\REACTIV oecd interlaboratory validation\Results WF\Résultats CBA\2021-CHG-CBA-Atenolol 2\plaque 1/@08 Atenolol 0.01/D8_02- exclu.tif</t>
  </si>
  <si>
    <t xml:space="preserve">Q:\R&amp;D\2-Test oestrogénique\OECD and AOPs\REACTIV oecd interlaboratory validation\Results WF\Résultats CBA\2021-CHG-CBA-Atenolol 2\plaque 1/@08 Atenolol 0.01/D8_03.tif </t>
  </si>
  <si>
    <t xml:space="preserve"> 848.3964 </t>
  </si>
  <si>
    <t xml:space="preserve"> 64.1026 </t>
  </si>
  <si>
    <t xml:space="preserve">Q:\R&amp;D\2-Test oestrogénique\OECD and AOPs\REACTIV oecd interlaboratory validation\Results WF\Résultats CBA\2021-CHG-CBA-Atenolol 2\plaque 1/@08 Atenolol 0.01/E8_01.tif </t>
  </si>
  <si>
    <t xml:space="preserve"> 5568.9613 </t>
  </si>
  <si>
    <t xml:space="preserve"> 70.2148 </t>
  </si>
  <si>
    <t xml:space="preserve">Q:\R&amp;D\2-Test oestrogénique\OECD and AOPs\REACTIV oecd interlaboratory validation\Results WF\Résultats CBA\2021-CHG-CBA-Atenolol 2\plaque 1/@08 Atenolol 0.01/E8_02.tif </t>
  </si>
  <si>
    <t xml:space="preserve">Q:\R&amp;D\2-Test oestrogénique\OECD and AOPs\REACTIV oecd interlaboratory validation\Results WF\Résultats CBA\2021-CHG-CBA-Atenolol 2\plaque 1/@08 Atenolol 0.01/E8_03.tif </t>
  </si>
  <si>
    <t xml:space="preserve"> 65.5472 </t>
  </si>
  <si>
    <t xml:space="preserve">Q:\R&amp;D\2-Test oestrogénique\OECD and AOPs\REACTIV oecd interlaboratory validation\Results WF\Résultats CBA\2021-CHG-CBA-Atenolol 2\plaque 1/@08 Atenolol 0.01/F8_01.tif </t>
  </si>
  <si>
    <t xml:space="preserve"> 65.4227 </t>
  </si>
  <si>
    <t xml:space="preserve">Q:\R&amp;D\2-Test oestrogénique\OECD and AOPs\REACTIV oecd interlaboratory validation\Results WF\Résultats CBA\2021-CHG-CBA-Atenolol 2\plaque 1/@08 Atenolol 0.01/F8_02.tif </t>
  </si>
  <si>
    <t xml:space="preserve"> 68.1092 </t>
  </si>
  <si>
    <t xml:space="preserve">Q:\R&amp;D\2-Test oestrogénique\OECD and AOPs\REACTIV oecd interlaboratory validation\Results WF\Résultats CBA\2021-CHG-CBA-Atenolol 2\plaque 1/@08 Atenolol 0.01/F8_03.tif </t>
  </si>
  <si>
    <t xml:space="preserve"> 63.5405 </t>
  </si>
  <si>
    <t xml:space="preserve">Q:\R&amp;D\2-Test oestrogénique\OECD and AOPs\REACTIV oecd interlaboratory validation\Results WF\Résultats CBA\2021-CHG-CBA-Atenolol 2\plaque 1/@08 Atenolol 0.01/G8_01.tif </t>
  </si>
  <si>
    <t xml:space="preserve"> 63.0909 </t>
  </si>
  <si>
    <t xml:space="preserve">Q:\R&amp;D\2-Test oestrogénique\OECD and AOPs\REACTIV oecd interlaboratory validation\Results WF\Résultats CBA\2021-CHG-CBA-Atenolol 2\plaque 1/@08 Atenolol 0.01/G8_02.tif </t>
  </si>
  <si>
    <t xml:space="preserve"> 5155.6399 </t>
  </si>
  <si>
    <t xml:space="preserve"> 70.27 </t>
  </si>
  <si>
    <t xml:space="preserve">Q:\R&amp;D\2-Test oestrogénique\OECD and AOPs\REACTIV oecd interlaboratory validation\Results WF\Résultats CBA\2021-CHG-CBA-Atenolol 2\plaque 1/@08 Atenolol 0.01/G8_03.tif </t>
  </si>
  <si>
    <t xml:space="preserve">Q:\R&amp;D\2-Test oestrogénique\OECD and AOPs\REACTIV oecd interlaboratory validation\Results WF\Résultats CBA\2021-CHG-CBA-Atenolol 2\plaque 1/@08 Atenolol 0.01/H8_01.tif </t>
  </si>
  <si>
    <t xml:space="preserve"> 66.3841 </t>
  </si>
  <si>
    <t xml:space="preserve">Q:\R&amp;D\2-Test oestrogénique\OECD and AOPs\REACTIV oecd interlaboratory validation\Results WF\Résultats CBA\2021-CHG-CBA-Atenolol 2\plaque 1/@08 Atenolol 0.01/H8_02.tif </t>
  </si>
  <si>
    <t xml:space="preserve"> 4220.2285 </t>
  </si>
  <si>
    <t xml:space="preserve"> 64.1753 </t>
  </si>
  <si>
    <t xml:space="preserve">Q:\R&amp;D\2-Test oestrogénique\OECD and AOPs\REACTIV oecd interlaboratory validation\Results WF\Résultats CBA\2021-CHG-CBA-Atenolol 2\plaque 1/@08 Atenolol 0.01/H8_03.tif </t>
  </si>
  <si>
    <t xml:space="preserve"> 4959.8561 </t>
  </si>
  <si>
    <t xml:space="preserve"> 65.8026 </t>
  </si>
  <si>
    <t xml:space="preserve">Q:\R&amp;D\2-Test oestrogénique\OECD and AOPs\REACTIV oecd interlaboratory validation\Results WF\Résultats CBA\2021-CHG-CBA-Atenolol 2\plaque 1/@08 Atenolol 0.01/ </t>
  </si>
  <si>
    <t xml:space="preserve"> 66.9808 </t>
  </si>
  <si>
    <t xml:space="preserve"> 4.586 </t>
  </si>
  <si>
    <t xml:space="preserve"> 200926.75 </t>
  </si>
  <si>
    <t xml:space="preserve"> 174552.653 </t>
  </si>
  <si>
    <t xml:space="preserve">Q:\R&amp;D\2-Test oestrogénique\OECD and AOPs\REACTIV oecd interlaboratory validation\Results WF\Résultats CBA\2021-CHG-CBA-Atenolol 2\plaque 1/@09 Atenolol 0.1/A9_01.tif </t>
  </si>
  <si>
    <t xml:space="preserve"> 1435.7478 </t>
  </si>
  <si>
    <t xml:space="preserve"> 64.1515 </t>
  </si>
  <si>
    <t xml:space="preserve">Q:\R&amp;D\2-Test oestrogénique\OECD and AOPs\REACTIV oecd interlaboratory validation\Results WF\Résultats CBA\2021-CHG-CBA-Atenolol 2\plaque 1/@09 Atenolol 0.1/A9_02.tif </t>
  </si>
  <si>
    <t xml:space="preserve"> 65.9851 </t>
  </si>
  <si>
    <t xml:space="preserve">Q:\R&amp;D\2-Test oestrogénique\OECD and AOPs\REACTIV oecd interlaboratory validation\Results WF\Résultats CBA\2021-CHG-CBA-Atenolol 2\plaque 1/@09 Atenolol 0.1/A9_03.tif </t>
  </si>
  <si>
    <t xml:space="preserve"> 66.25 </t>
  </si>
  <si>
    <t xml:space="preserve">Q:\R&amp;D\2-Test oestrogénique\OECD and AOPs\REACTIV oecd interlaboratory validation\Results WF\Résultats CBA\2021-CHG-CBA-Atenolol 2\plaque 1/@09 Atenolol 0.1/B9_01.tif </t>
  </si>
  <si>
    <t xml:space="preserve">Q:\R&amp;D\2-Test oestrogénique\OECD and AOPs\REACTIV oecd interlaboratory validation\Results WF\Résultats CBA\2021-CHG-CBA-Atenolol 2\plaque 1/@09 Atenolol 0.1/B9_02.tif </t>
  </si>
  <si>
    <t xml:space="preserve"> 62.9091 </t>
  </si>
  <si>
    <t xml:space="preserve">Q:\R&amp;D\2-Test oestrogénique\OECD and AOPs\REACTIV oecd interlaboratory validation\Results WF\Résultats CBA\2021-CHG-CBA-Atenolol 2\plaque 1/@09 Atenolol 0.1/B9_03.tif </t>
  </si>
  <si>
    <t xml:space="preserve"> 65.6667 </t>
  </si>
  <si>
    <t>Q:\R&amp;D\2-Test oestrogénique\OECD and AOPs\REACTIV oecd interlaboratory validation\Results WF\Résultats CBA\2021-CHG-CBA-Atenolol 2\plaque 1/@09 Atenolol 0.1/C9_01- exclu.tif</t>
  </si>
  <si>
    <t>Q:\R&amp;D\2-Test oestrogénique\OECD and AOPs\REACTIV oecd interlaboratory validation\Results WF\Résultats CBA\2021-CHG-CBA-Atenolol 2\plaque 1/@09 Atenolol 0.1/C9_02- exclu.tif</t>
  </si>
  <si>
    <t>Q:\R&amp;D\2-Test oestrogénique\OECD and AOPs\REACTIV oecd interlaboratory validation\Results WF\Résultats CBA\2021-CHG-CBA-Atenolol 2\plaque 1/@09 Atenolol 0.1/C9_03- exclu.tif</t>
  </si>
  <si>
    <t xml:space="preserve">Q:\R&amp;D\2-Test oestrogénique\OECD and AOPs\REACTIV oecd interlaboratory validation\Results WF\Résultats CBA\2021-CHG-CBA-Atenolol 2\plaque 1/@09 Atenolol 0.1/D9_01.tif </t>
  </si>
  <si>
    <t xml:space="preserve"> 63.5769 </t>
  </si>
  <si>
    <t xml:space="preserve">Q:\R&amp;D\2-Test oestrogénique\OECD and AOPs\REACTIV oecd interlaboratory validation\Results WF\Résultats CBA\2021-CHG-CBA-Atenolol 2\plaque 1/@09 Atenolol 0.1/D9_02.tif </t>
  </si>
  <si>
    <t xml:space="preserve"> 65.7234 </t>
  </si>
  <si>
    <t xml:space="preserve">Q:\R&amp;D\2-Test oestrogénique\OECD and AOPs\REACTIV oecd interlaboratory validation\Results WF\Résultats CBA\2021-CHG-CBA-Atenolol 2\plaque 1/@09 Atenolol 0.1/D9_03.tif </t>
  </si>
  <si>
    <t xml:space="preserve"> 65.6744 </t>
  </si>
  <si>
    <t xml:space="preserve">Q:\R&amp;D\2-Test oestrogénique\OECD and AOPs\REACTIV oecd interlaboratory validation\Results WF\Résultats CBA\2021-CHG-CBA-Atenolol 2\plaque 1/@09 Atenolol 0.1/E9_01.tif </t>
  </si>
  <si>
    <t xml:space="preserve"> 63.25 </t>
  </si>
  <si>
    <t xml:space="preserve">Q:\R&amp;D\2-Test oestrogénique\OECD and AOPs\REACTIV oecd interlaboratory validation\Results WF\Résultats CBA\2021-CHG-CBA-Atenolol 2\plaque 1/@09 Atenolol 0.1/E9_02.tif </t>
  </si>
  <si>
    <t xml:space="preserve">Q:\R&amp;D\2-Test oestrogénique\OECD and AOPs\REACTIV oecd interlaboratory validation\Results WF\Résultats CBA\2021-CHG-CBA-Atenolol 2\plaque 1/@09 Atenolol 0.1/E9_03.tif </t>
  </si>
  <si>
    <t xml:space="preserve">Q:\R&amp;D\2-Test oestrogénique\OECD and AOPs\REACTIV oecd interlaboratory validation\Results WF\Résultats CBA\2021-CHG-CBA-Atenolol 2\plaque 1/@09 Atenolol 0.1/F9_01.tif </t>
  </si>
  <si>
    <t xml:space="preserve"> 64.4432 </t>
  </si>
  <si>
    <t xml:space="preserve">Q:\R&amp;D\2-Test oestrogénique\OECD and AOPs\REACTIV oecd interlaboratory validation\Results WF\Résultats CBA\2021-CHG-CBA-Atenolol 2\plaque 1/@09 Atenolol 0.1/F9_02.tif </t>
  </si>
  <si>
    <t xml:space="preserve"> 63.1154 </t>
  </si>
  <si>
    <t xml:space="preserve">Q:\R&amp;D\2-Test oestrogénique\OECD and AOPs\REACTIV oecd interlaboratory validation\Results WF\Résultats CBA\2021-CHG-CBA-Atenolol 2\plaque 1/@09 Atenolol 0.1/F9_03.tif </t>
  </si>
  <si>
    <t xml:space="preserve"> 65.75 </t>
  </si>
  <si>
    <t xml:space="preserve">Q:\R&amp;D\2-Test oestrogénique\OECD and AOPs\REACTIV oecd interlaboratory validation\Results WF\Résultats CBA\2021-CHG-CBA-Atenolol 2\plaque 1/@09 Atenolol 0.1/G9_01.tif </t>
  </si>
  <si>
    <t xml:space="preserve"> 65.0357 </t>
  </si>
  <si>
    <t xml:space="preserve">Q:\R&amp;D\2-Test oestrogénique\OECD and AOPs\REACTIV oecd interlaboratory validation\Results WF\Résultats CBA\2021-CHG-CBA-Atenolol 2\plaque 1/@09 Atenolol 0.1/G9_02.tif </t>
  </si>
  <si>
    <t xml:space="preserve"> 3045.5257 </t>
  </si>
  <si>
    <t xml:space="preserve"> 64.1786 </t>
  </si>
  <si>
    <t xml:space="preserve">Q:\R&amp;D\2-Test oestrogénique\OECD and AOPs\REACTIV oecd interlaboratory validation\Results WF\Résultats CBA\2021-CHG-CBA-Atenolol 2\plaque 1/@09 Atenolol 0.1/G9_03.tif </t>
  </si>
  <si>
    <t xml:space="preserve"> 2958.5107 </t>
  </si>
  <si>
    <t xml:space="preserve"> 67.0809 </t>
  </si>
  <si>
    <t xml:space="preserve">Q:\R&amp;D\2-Test oestrogénique\OECD and AOPs\REACTIV oecd interlaboratory validation\Results WF\Résultats CBA\2021-CHG-CBA-Atenolol 2\plaque 1/@09 Atenolol 0.1/H9_01.tif </t>
  </si>
  <si>
    <t xml:space="preserve"> 63.8235 </t>
  </si>
  <si>
    <t xml:space="preserve">Q:\R&amp;D\2-Test oestrogénique\OECD and AOPs\REACTIV oecd interlaboratory validation\Results WF\Résultats CBA\2021-CHG-CBA-Atenolol 2\plaque 1/@09 Atenolol 0.1/H9_02.tif </t>
  </si>
  <si>
    <t xml:space="preserve"> 65.9038 </t>
  </si>
  <si>
    <t xml:space="preserve">Q:\R&amp;D\2-Test oestrogénique\OECD and AOPs\REACTIV oecd interlaboratory validation\Results WF\Résultats CBA\2021-CHG-CBA-Atenolol 2\plaque 1/@09 Atenolol 0.1/H9_03.tif </t>
  </si>
  <si>
    <t xml:space="preserve">Q:\R&amp;D\2-Test oestrogénique\OECD and AOPs\REACTIV oecd interlaboratory validation\Results WF\Résultats CBA\2021-CHG-CBA-Atenolol 2\plaque 1/@09 Atenolol 0.1/ </t>
  </si>
  <si>
    <t xml:space="preserve"> 66.3088 </t>
  </si>
  <si>
    <t xml:space="preserve"> 5.135 </t>
  </si>
  <si>
    <t xml:space="preserve"> 152990.5 </t>
  </si>
  <si>
    <t xml:space="preserve"> 300391.635 </t>
  </si>
  <si>
    <t xml:space="preserve">Q:\R&amp;D\2-Test oestrogénique\OECD and AOPs\REACTIV oecd interlaboratory validation\Results WF\Résultats CBA\2021-CHG-CBA-Atenolol 2\plaque 1/@10 Atenolol 1/A10_01.tif </t>
  </si>
  <si>
    <t xml:space="preserve"> 13422.0668 </t>
  </si>
  <si>
    <t xml:space="preserve"> 75.6094 </t>
  </si>
  <si>
    <t xml:space="preserve">Q:\R&amp;D\2-Test oestrogénique\OECD and AOPs\REACTIV oecd interlaboratory validation\Results WF\Résultats CBA\2021-CHG-CBA-Atenolol 2\plaque 1/@10 Atenolol 1/A10_02.tif </t>
  </si>
  <si>
    <t xml:space="preserve"> 7396.2767 </t>
  </si>
  <si>
    <t xml:space="preserve"> 67.9118 </t>
  </si>
  <si>
    <t xml:space="preserve">Q:\R&amp;D\2-Test oestrogénique\OECD and AOPs\REACTIV oecd interlaboratory validation\Results WF\Résultats CBA\2021-CHG-CBA-Atenolol 2\plaque 1/@10 Atenolol 1/A10_03.tif </t>
  </si>
  <si>
    <t xml:space="preserve"> 6243.3277 </t>
  </si>
  <si>
    <t xml:space="preserve"> 68.2544 </t>
  </si>
  <si>
    <t xml:space="preserve">Q:\R&amp;D\2-Test oestrogénique\OECD and AOPs\REACTIV oecd interlaboratory validation\Results WF\Résultats CBA\2021-CHG-CBA-Atenolol 2\plaque 1/@10 Atenolol 1/B10_01.tif </t>
  </si>
  <si>
    <t xml:space="preserve"> 2632.2044 </t>
  </si>
  <si>
    <t xml:space="preserve"> 64.8926 </t>
  </si>
  <si>
    <t xml:space="preserve">Q:\R&amp;D\2-Test oestrogénique\OECD and AOPs\REACTIV oecd interlaboratory validation\Results WF\Résultats CBA\2021-CHG-CBA-Atenolol 2\plaque 1/@10 Atenolol 1/B10_02.tif </t>
  </si>
  <si>
    <t xml:space="preserve"> 5307.9162 </t>
  </si>
  <si>
    <t xml:space="preserve"> 69.1393 </t>
  </si>
  <si>
    <t xml:space="preserve">Q:\R&amp;D\2-Test oestrogénique\OECD and AOPs\REACTIV oecd interlaboratory validation\Results WF\Résultats CBA\2021-CHG-CBA-Atenolol 2\plaque 1/@10 Atenolol 1/B10_03.tif </t>
  </si>
  <si>
    <t xml:space="preserve"> 66.7865 </t>
  </si>
  <si>
    <t xml:space="preserve">Q:\R&amp;D\2-Test oestrogénique\OECD and AOPs\REACTIV oecd interlaboratory validation\Results WF\Résultats CBA\2021-CHG-CBA-Atenolol 2\plaque 1/@10 Atenolol 1/C10_01.tif </t>
  </si>
  <si>
    <t xml:space="preserve"> 67.1222 </t>
  </si>
  <si>
    <t xml:space="preserve">Q:\R&amp;D\2-Test oestrogénique\OECD and AOPs\REACTIV oecd interlaboratory validation\Results WF\Résultats CBA\2021-CHG-CBA-Atenolol 2\plaque 1/@10 Atenolol 1/C10_02.tif </t>
  </si>
  <si>
    <t xml:space="preserve"> 66.1316 </t>
  </si>
  <si>
    <t xml:space="preserve">Q:\R&amp;D\2-Test oestrogénique\OECD and AOPs\REACTIV oecd interlaboratory validation\Results WF\Résultats CBA\2021-CHG-CBA-Atenolol 2\plaque 1/@10 Atenolol 1/C10_03.tif </t>
  </si>
  <si>
    <t xml:space="preserve"> 67.4091 </t>
  </si>
  <si>
    <t xml:space="preserve">Q:\R&amp;D\2-Test oestrogénique\OECD and AOPs\REACTIV oecd interlaboratory validation\Results WF\Résultats CBA\2021-CHG-CBA-Atenolol 2\plaque 1/@10 Atenolol 1/D10_01.tif </t>
  </si>
  <si>
    <t xml:space="preserve"> 64.0538 </t>
  </si>
  <si>
    <t xml:space="preserve">Q:\R&amp;D\2-Test oestrogénique\OECD and AOPs\REACTIV oecd interlaboratory validation\Results WF\Résultats CBA\2021-CHG-CBA-Atenolol 2\plaque 1/@10 Atenolol 1/D10_02.tif </t>
  </si>
  <si>
    <t xml:space="preserve"> 64.3208 </t>
  </si>
  <si>
    <t xml:space="preserve">Q:\R&amp;D\2-Test oestrogénique\OECD and AOPs\REACTIV oecd interlaboratory validation\Results WF\Résultats CBA\2021-CHG-CBA-Atenolol 2\plaque 1/@10 Atenolol 1/D10_03.tif </t>
  </si>
  <si>
    <t xml:space="preserve"> 62.1905 </t>
  </si>
  <si>
    <t>Q:\R&amp;D\2-Test oestrogénique\OECD and AOPs\REACTIV oecd interlaboratory validation\Results WF\Résultats CBA\2021-CHG-CBA-Atenolol 2\plaque 1/@10 Atenolol 1/E10_01- exclu.tif</t>
  </si>
  <si>
    <t xml:space="preserve">Q:\R&amp;D\2-Test oestrogénique\OECD and AOPs\REACTIV oecd interlaboratory validation\Results WF\Résultats CBA\2021-CHG-CBA-Atenolol 2\plaque 1/@10 Atenolol 1/E10_02.tif </t>
  </si>
  <si>
    <t xml:space="preserve"> 4481.2735 </t>
  </si>
  <si>
    <t xml:space="preserve"> 68.4612 </t>
  </si>
  <si>
    <t xml:space="preserve">Q:\R&amp;D\2-Test oestrogénique\OECD and AOPs\REACTIV oecd interlaboratory validation\Results WF\Résultats CBA\2021-CHG-CBA-Atenolol 2\plaque 1/@10 Atenolol 1/E10_03.tif </t>
  </si>
  <si>
    <t xml:space="preserve"> 5112.1324 </t>
  </si>
  <si>
    <t xml:space="preserve"> 69.766 </t>
  </si>
  <si>
    <t xml:space="preserve">Q:\R&amp;D\2-Test oestrogénique\OECD and AOPs\REACTIV oecd interlaboratory validation\Results WF\Résultats CBA\2021-CHG-CBA-Atenolol 2\plaque 1/@10 Atenolol 1/F10_01.tif </t>
  </si>
  <si>
    <t xml:space="preserve"> 4764.0723 </t>
  </si>
  <si>
    <t xml:space="preserve"> 67.6621 </t>
  </si>
  <si>
    <t xml:space="preserve">Q:\R&amp;D\2-Test oestrogénique\OECD and AOPs\REACTIV oecd interlaboratory validation\Results WF\Résultats CBA\2021-CHG-CBA-Atenolol 2\plaque 1/@10 Atenolol 1/F10_02.tif </t>
  </si>
  <si>
    <t xml:space="preserve"> 4285.4897 </t>
  </si>
  <si>
    <t xml:space="preserve"> 67.066 </t>
  </si>
  <si>
    <t xml:space="preserve">Q:\R&amp;D\2-Test oestrogénique\OECD and AOPs\REACTIV oecd interlaboratory validation\Results WF\Résultats CBA\2021-CHG-CBA-Atenolol 2\plaque 1/@10 Atenolol 1/F10_03.tif </t>
  </si>
  <si>
    <t xml:space="preserve"> 67.2424 </t>
  </si>
  <si>
    <t xml:space="preserve">Q:\R&amp;D\2-Test oestrogénique\OECD and AOPs\REACTIV oecd interlaboratory validation\Results WF\Résultats CBA\2021-CHG-CBA-Atenolol 2\plaque 1/@10 Atenolol 1/G10_01.tif </t>
  </si>
  <si>
    <t xml:space="preserve"> 81.0067 </t>
  </si>
  <si>
    <t xml:space="preserve">Q:\R&amp;D\2-Test oestrogénique\OECD and AOPs\REACTIV oecd interlaboratory validation\Results WF\Résultats CBA\2021-CHG-CBA-Atenolol 2\plaque 1/@10 Atenolol 1/G10_02.tif </t>
  </si>
  <si>
    <t xml:space="preserve"> 9006.0546 </t>
  </si>
  <si>
    <t xml:space="preserve"> 75.0048 </t>
  </si>
  <si>
    <t xml:space="preserve">Q:\R&amp;D\2-Test oestrogénique\OECD and AOPs\REACTIV oecd interlaboratory validation\Results WF\Résultats CBA\2021-CHG-CBA-Atenolol 2\plaque 1/@10 Atenolol 1/G10_03.tif </t>
  </si>
  <si>
    <t xml:space="preserve"> 9810.9435 </t>
  </si>
  <si>
    <t xml:space="preserve"> 72.0111 </t>
  </si>
  <si>
    <t xml:space="preserve">Q:\R&amp;D\2-Test oestrogénique\OECD and AOPs\REACTIV oecd interlaboratory validation\Results WF\Résultats CBA\2021-CHG-CBA-Atenolol 2\plaque 1/@10 Atenolol 1/H10_01.tif </t>
  </si>
  <si>
    <t xml:space="preserve"> 62.6 </t>
  </si>
  <si>
    <t xml:space="preserve">Q:\R&amp;D\2-Test oestrogénique\OECD and AOPs\REACTIV oecd interlaboratory validation\Results WF\Résultats CBA\2021-CHG-CBA-Atenolol 2\plaque 1/@10 Atenolol 1/H10_02.tif </t>
  </si>
  <si>
    <t xml:space="preserve"> 66.746 </t>
  </si>
  <si>
    <t xml:space="preserve">Q:\R&amp;D\2-Test oestrogénique\OECD and AOPs\REACTIV oecd interlaboratory validation\Results WF\Résultats CBA\2021-CHG-CBA-Atenolol 2\plaque 1/@10 Atenolol 1/H10_03.tif </t>
  </si>
  <si>
    <t xml:space="preserve"> 64.0588 </t>
  </si>
  <si>
    <t xml:space="preserve">Q:\R&amp;D\2-Test oestrogénique\OECD and AOPs\REACTIV oecd interlaboratory validation\Results WF\Résultats CBA\2021-CHG-CBA-Atenolol 2\plaque 1/@10 Atenolol 1/ </t>
  </si>
  <si>
    <t xml:space="preserve"> 67.8761 </t>
  </si>
  <si>
    <t xml:space="preserve"> 4.3864 </t>
  </si>
  <si>
    <t xml:space="preserve"> 313392.75 </t>
  </si>
  <si>
    <t xml:space="preserve"> 265463.704 </t>
  </si>
  <si>
    <t xml:space="preserve">Q:\R&amp;D\2-Test oestrogénique\OECD and AOPs\REACTIV oecd interlaboratory validation\Results WF\Résultats CBA\2021-CHG-CBA-Atenolol 2\plaque 1/@11 Atenolol 10/A11_01.tif </t>
  </si>
  <si>
    <t xml:space="preserve"> 65.5169 </t>
  </si>
  <si>
    <t xml:space="preserve">Q:\R&amp;D\2-Test oestrogénique\OECD and AOPs\REACTIV oecd interlaboratory validation\Results WF\Résultats CBA\2021-CHG-CBA-Atenolol 2\plaque 1/@11 Atenolol 10/A11_02.tif </t>
  </si>
  <si>
    <t xml:space="preserve"> 6504.3727 </t>
  </si>
  <si>
    <t xml:space="preserve"> 69.7592 </t>
  </si>
  <si>
    <t xml:space="preserve">Q:\R&amp;D\2-Test oestrogénique\OECD and AOPs\REACTIV oecd interlaboratory validation\Results WF\Résultats CBA\2021-CHG-CBA-Atenolol 2\plaque 1/@11 Atenolol 10/A11_03.tif </t>
  </si>
  <si>
    <t xml:space="preserve">Q:\R&amp;D\2-Test oestrogénique\OECD and AOPs\REACTIV oecd interlaboratory validation\Results WF\Résultats CBA\2021-CHG-CBA-Atenolol 2\plaque 1/@11 Atenolol 10/B11_01.tif </t>
  </si>
  <si>
    <t xml:space="preserve"> 64.0678 </t>
  </si>
  <si>
    <t xml:space="preserve">Q:\R&amp;D\2-Test oestrogénique\OECD and AOPs\REACTIV oecd interlaboratory validation\Results WF\Résultats CBA\2021-CHG-CBA-Atenolol 2\plaque 1/@11 Atenolol 10/B11_02.tif </t>
  </si>
  <si>
    <t xml:space="preserve"> 11790.5352 </t>
  </si>
  <si>
    <t xml:space="preserve"> 79.9483 </t>
  </si>
  <si>
    <t xml:space="preserve">Q:\R&amp;D\2-Test oestrogénique\OECD and AOPs\REACTIV oecd interlaboratory validation\Results WF\Résultats CBA\2021-CHG-CBA-Atenolol 2\plaque 1/@11 Atenolol 10/B11_03.tif </t>
  </si>
  <si>
    <t xml:space="preserve"> 4916.3486 </t>
  </si>
  <si>
    <t xml:space="preserve"> 65.2257 </t>
  </si>
  <si>
    <t xml:space="preserve">Q:\R&amp;D\2-Test oestrogénique\OECD and AOPs\REACTIV oecd interlaboratory validation\Results WF\Résultats CBA\2021-CHG-CBA-Atenolol 2\plaque 1/@11 Atenolol 10/C11_01.tif </t>
  </si>
  <si>
    <t xml:space="preserve"> 7244.0004 </t>
  </si>
  <si>
    <t xml:space="preserve"> 72.8258 </t>
  </si>
  <si>
    <t xml:space="preserve">Q:\R&amp;D\2-Test oestrogénique\OECD and AOPs\REACTIV oecd interlaboratory validation\Results WF\Résultats CBA\2021-CHG-CBA-Atenolol 2\plaque 1/@11 Atenolol 10/C11_02.tif </t>
  </si>
  <si>
    <t xml:space="preserve"> 63.68 </t>
  </si>
  <si>
    <t xml:space="preserve">Q:\R&amp;D\2-Test oestrogénique\OECD and AOPs\REACTIV oecd interlaboratory validation\Results WF\Résultats CBA\2021-CHG-CBA-Atenolol 2\plaque 1/@11 Atenolol 10/C11_03.tif </t>
  </si>
  <si>
    <t xml:space="preserve"> 64.14 </t>
  </si>
  <si>
    <t xml:space="preserve">Q:\R&amp;D\2-Test oestrogénique\OECD and AOPs\REACTIV oecd interlaboratory validation\Results WF\Résultats CBA\2021-CHG-CBA-Atenolol 2\plaque 1/@11 Atenolol 10/D11_01.tif </t>
  </si>
  <si>
    <t xml:space="preserve"> 4829.3336 </t>
  </si>
  <si>
    <t xml:space="preserve"> 70.2207 </t>
  </si>
  <si>
    <t xml:space="preserve">Q:\R&amp;D\2-Test oestrogénique\OECD and AOPs\REACTIV oecd interlaboratory validation\Results WF\Résultats CBA\2021-CHG-CBA-Atenolol 2\plaque 1/@11 Atenolol 10/D11_02.tif </t>
  </si>
  <si>
    <t xml:space="preserve"> 69.6649 </t>
  </si>
  <si>
    <t xml:space="preserve">Q:\R&amp;D\2-Test oestrogénique\OECD and AOPs\REACTIV oecd interlaboratory validation\Results WF\Résultats CBA\2021-CHG-CBA-Atenolol 2\plaque 1/@11 Atenolol 10/D11_03.tif </t>
  </si>
  <si>
    <t xml:space="preserve"> 3676.3846 </t>
  </si>
  <si>
    <t xml:space="preserve"> 68.8047 </t>
  </si>
  <si>
    <t xml:space="preserve">Q:\R&amp;D\2-Test oestrogénique\OECD and AOPs\REACTIV oecd interlaboratory validation\Results WF\Résultats CBA\2021-CHG-CBA-Atenolol 2\plaque 1/@11 Atenolol 10/E11_01.tif </t>
  </si>
  <si>
    <t xml:space="preserve"> 65.2696 </t>
  </si>
  <si>
    <t xml:space="preserve">Q:\R&amp;D\2-Test oestrogénique\OECD and AOPs\REACTIV oecd interlaboratory validation\Results WF\Résultats CBA\2021-CHG-CBA-Atenolol 2\plaque 1/@11 Atenolol 10/E11_02.tif </t>
  </si>
  <si>
    <t xml:space="preserve"> 64.8413 </t>
  </si>
  <si>
    <t xml:space="preserve">Q:\R&amp;D\2-Test oestrogénique\OECD and AOPs\REACTIV oecd interlaboratory validation\Results WF\Résultats CBA\2021-CHG-CBA-Atenolol 2\plaque 1/@11 Atenolol 10/E11_03.tif </t>
  </si>
  <si>
    <t xml:space="preserve"> 62.5405 </t>
  </si>
  <si>
    <t xml:space="preserve">Q:\R&amp;D\2-Test oestrogénique\OECD and AOPs\REACTIV oecd interlaboratory validation\Results WF\Résultats CBA\2021-CHG-CBA-Atenolol 2\plaque 1/@11 Atenolol 10/F11_01.tif </t>
  </si>
  <si>
    <t xml:space="preserve"> 7483.2917 </t>
  </si>
  <si>
    <t xml:space="preserve"> 67.9448 </t>
  </si>
  <si>
    <t xml:space="preserve">Q:\R&amp;D\2-Test oestrogénique\OECD and AOPs\REACTIV oecd interlaboratory validation\Results WF\Résultats CBA\2021-CHG-CBA-Atenolol 2\plaque 1/@11 Atenolol 10/F11_02.tif </t>
  </si>
  <si>
    <t xml:space="preserve"> 71.4292 </t>
  </si>
  <si>
    <t>Q:\R&amp;D\2-Test oestrogénique\OECD and AOPs\REACTIV oecd interlaboratory validation\Results WF\Résultats CBA\2021-CHG-CBA-Atenolol 2\plaque 1/@11 Atenolol 10/F11_03- exclu.tif</t>
  </si>
  <si>
    <t>Q:\R&amp;D\2-Test oestrogénique\OECD and AOPs\REACTIV oecd interlaboratory validation\Results WF\Résultats CBA\2021-CHG-CBA-Atenolol 2\plaque 1/@11 Atenolol 10/G11_01- exclu.tif</t>
  </si>
  <si>
    <t>Q:\R&amp;D\2-Test oestrogénique\OECD and AOPs\REACTIV oecd interlaboratory validation\Results WF\Résultats CBA\2021-CHG-CBA-Atenolol 2\plaque 1/@11 Atenolol 10/G11_02- exclu.tif</t>
  </si>
  <si>
    <t xml:space="preserve">Q:\R&amp;D\2-Test oestrogénique\OECD and AOPs\REACTIV oecd interlaboratory validation\Results WF\Résultats CBA\2021-CHG-CBA-Atenolol 2\plaque 1/@11 Atenolol 10/G11_03.tif </t>
  </si>
  <si>
    <t xml:space="preserve"> 9027.8083 </t>
  </si>
  <si>
    <t xml:space="preserve"> 73.5036 </t>
  </si>
  <si>
    <t xml:space="preserve">Q:\R&amp;D\2-Test oestrogénique\OECD and AOPs\REACTIV oecd interlaboratory validation\Results WF\Résultats CBA\2021-CHG-CBA-Atenolol 2\plaque 1/@11 Atenolol 10/H11_01.tif </t>
  </si>
  <si>
    <t xml:space="preserve"> 7831.3518 </t>
  </si>
  <si>
    <t xml:space="preserve"> 66.3 </t>
  </si>
  <si>
    <t xml:space="preserve">Q:\R&amp;D\2-Test oestrogénique\OECD and AOPs\REACTIV oecd interlaboratory validation\Results WF\Résultats CBA\2021-CHG-CBA-Atenolol 2\plaque 1/@11 Atenolol 10/H11_02.tif </t>
  </si>
  <si>
    <t xml:space="preserve"> 5242.655 </t>
  </si>
  <si>
    <t xml:space="preserve"> 67.7635 </t>
  </si>
  <si>
    <t xml:space="preserve">Q:\R&amp;D\2-Test oestrogénique\OECD and AOPs\REACTIV oecd interlaboratory validation\Results WF\Résultats CBA\2021-CHG-CBA-Atenolol 2\plaque 1/@11 Atenolol 10/H11_03.tif </t>
  </si>
  <si>
    <t xml:space="preserve"> 6852.4328 </t>
  </si>
  <si>
    <t xml:space="preserve"> 67.873 </t>
  </si>
  <si>
    <t xml:space="preserve">Q:\R&amp;D\2-Test oestrogénique\OECD and AOPs\REACTIV oecd interlaboratory validation\Results WF\Résultats CBA\2021-CHG-CBA-Atenolol 2\plaque 1/@11 Atenolol 10/ </t>
  </si>
  <si>
    <t xml:space="preserve"> 69.7503 </t>
  </si>
  <si>
    <t xml:space="preserve"> 8.0458 </t>
  </si>
  <si>
    <t xml:space="preserve"> 377027.042 </t>
  </si>
  <si>
    <t xml:space="preserve"> 344506.984 </t>
  </si>
  <si>
    <t xml:space="preserve">Q:\R&amp;D\2-Test oestrogénique\OECD and AOPs\REACTIV oecd interlaboratory validation\Results WF\Résultats CBA\2021-CHG-CBA-Atenolol 2\plaque 1/@12 Atenolol 100/A12_01.tif </t>
  </si>
  <si>
    <t xml:space="preserve"> 12116.8415 </t>
  </si>
  <si>
    <t xml:space="preserve"> 72.219 </t>
  </si>
  <si>
    <t xml:space="preserve">Q:\R&amp;D\2-Test oestrogénique\OECD and AOPs\REACTIV oecd interlaboratory validation\Results WF\Résultats CBA\2021-CHG-CBA-Atenolol 2\plaque 1/@12 Atenolol 100/A12_02.tif </t>
  </si>
  <si>
    <t xml:space="preserve"> 9832.6973 </t>
  </si>
  <si>
    <t xml:space="preserve"> 67.8916 </t>
  </si>
  <si>
    <t xml:space="preserve">Q:\R&amp;D\2-Test oestrogénique\OECD and AOPs\REACTIV oecd interlaboratory validation\Results WF\Résultats CBA\2021-CHG-CBA-Atenolol 2\plaque 1/@12 Atenolol 100/A12_03.tif </t>
  </si>
  <si>
    <t xml:space="preserve"> 11116.1688 </t>
  </si>
  <si>
    <t xml:space="preserve"> 69.1448 </t>
  </si>
  <si>
    <t xml:space="preserve">Q:\R&amp;D\2-Test oestrogénique\OECD and AOPs\REACTIV oecd interlaboratory validation\Results WF\Résultats CBA\2021-CHG-CBA-Atenolol 2\plaque 1/@12 Atenolol 100/B12_01.tif </t>
  </si>
  <si>
    <t xml:space="preserve"> 67.6702 </t>
  </si>
  <si>
    <t xml:space="preserve">Q:\R&amp;D\2-Test oestrogénique\OECD and AOPs\REACTIV oecd interlaboratory validation\Results WF\Résultats CBA\2021-CHG-CBA-Atenolol 2\plaque 1/@12 Atenolol 100/B12_02.tif </t>
  </si>
  <si>
    <t xml:space="preserve"> 65.7429 </t>
  </si>
  <si>
    <t xml:space="preserve">Q:\R&amp;D\2-Test oestrogénique\OECD and AOPs\REACTIV oecd interlaboratory validation\Results WF\Résultats CBA\2021-CHG-CBA-Atenolol 2\plaque 1/@12 Atenolol 100/B12_03.tif </t>
  </si>
  <si>
    <t xml:space="preserve"> 67.3188 </t>
  </si>
  <si>
    <t xml:space="preserve">Q:\R&amp;D\2-Test oestrogénique\OECD and AOPs\REACTIV oecd interlaboratory validation\Results WF\Résultats CBA\2021-CHG-CBA-Atenolol 2\plaque 1/@12 Atenolol 100/C12_01.tif </t>
  </si>
  <si>
    <t xml:space="preserve"> 4981.6099 </t>
  </si>
  <si>
    <t xml:space="preserve"> 67.1921 </t>
  </si>
  <si>
    <t xml:space="preserve">Q:\R&amp;D\2-Test oestrogénique\OECD and AOPs\REACTIV oecd interlaboratory validation\Results WF\Résultats CBA\2021-CHG-CBA-Atenolol 2\plaque 1/@12 Atenolol 100/C12_02.tif </t>
  </si>
  <si>
    <t xml:space="preserve"> 6830.6791 </t>
  </si>
  <si>
    <t xml:space="preserve"> 71.5764 </t>
  </si>
  <si>
    <t xml:space="preserve">Q:\R&amp;D\2-Test oestrogénique\OECD and AOPs\REACTIV oecd interlaboratory validation\Results WF\Résultats CBA\2021-CHG-CBA-Atenolol 2\plaque 1/@12 Atenolol 100/C12_03.tif </t>
  </si>
  <si>
    <t xml:space="preserve"> 1326.9791 </t>
  </si>
  <si>
    <t xml:space="preserve"> 62.4918 </t>
  </si>
  <si>
    <t xml:space="preserve">Q:\R&amp;D\2-Test oestrogénique\OECD and AOPs\REACTIV oecd interlaboratory validation\Results WF\Résultats CBA\2021-CHG-CBA-Atenolol 2\plaque 1/@12 Atenolol 100/D12_01.tif </t>
  </si>
  <si>
    <t xml:space="preserve"> 65.1351 </t>
  </si>
  <si>
    <t xml:space="preserve">Q:\R&amp;D\2-Test oestrogénique\OECD and AOPs\REACTIV oecd interlaboratory validation\Results WF\Résultats CBA\2021-CHG-CBA-Atenolol 2\plaque 1/@12 Atenolol 100/D12_02.tif </t>
  </si>
  <si>
    <t xml:space="preserve"> 62.8636 </t>
  </si>
  <si>
    <t xml:space="preserve">Q:\R&amp;D\2-Test oestrogénique\OECD and AOPs\REACTIV oecd interlaboratory validation\Results WF\Résultats CBA\2021-CHG-CBA-Atenolol 2\plaque 1/@12 Atenolol 100/D12_03.tif </t>
  </si>
  <si>
    <t xml:space="preserve"> 62.6897 </t>
  </si>
  <si>
    <t xml:space="preserve">Q:\R&amp;D\2-Test oestrogénique\OECD and AOPs\REACTIV oecd interlaboratory validation\Results WF\Résultats CBA\2021-CHG-CBA-Atenolol 2\plaque 1/@12 Atenolol 100/E12_01.tif </t>
  </si>
  <si>
    <t xml:space="preserve"> 66.2471 </t>
  </si>
  <si>
    <t xml:space="preserve">Q:\R&amp;D\2-Test oestrogénique\OECD and AOPs\REACTIV oecd interlaboratory validation\Results WF\Résultats CBA\2021-CHG-CBA-Atenolol 2\plaque 1/@12 Atenolol 100/E12_02.tif </t>
  </si>
  <si>
    <t xml:space="preserve"> 2697.4656 </t>
  </si>
  <si>
    <t xml:space="preserve"> 68.0081 </t>
  </si>
  <si>
    <t xml:space="preserve">Q:\R&amp;D\2-Test oestrogénique\OECD and AOPs\REACTIV oecd interlaboratory validation\Results WF\Résultats CBA\2021-CHG-CBA-Atenolol 2\plaque 1/@12 Atenolol 100/E12_03.tif </t>
  </si>
  <si>
    <t xml:space="preserve"> 64.8974 </t>
  </si>
  <si>
    <t xml:space="preserve">Q:\R&amp;D\2-Test oestrogénique\OECD and AOPs\REACTIV oecd interlaboratory validation\Results WF\Résultats CBA\2021-CHG-CBA-Atenolol 2\plaque 1/@12 Atenolol 100/F12_01.tif </t>
  </si>
  <si>
    <t xml:space="preserve"> 12029.8265 </t>
  </si>
  <si>
    <t xml:space="preserve"> 86.6546 </t>
  </si>
  <si>
    <t xml:space="preserve">Q:\R&amp;D\2-Test oestrogénique\OECD and AOPs\REACTIV oecd interlaboratory validation\Results WF\Résultats CBA\2021-CHG-CBA-Atenolol 2\plaque 1/@12 Atenolol 100/F12_02.tif </t>
  </si>
  <si>
    <t xml:space="preserve"> 6895.9403 </t>
  </si>
  <si>
    <t xml:space="preserve"> 74.1577 </t>
  </si>
  <si>
    <t xml:space="preserve">Q:\R&amp;D\2-Test oestrogénique\OECD and AOPs\REACTIV oecd interlaboratory validation\Results WF\Résultats CBA\2021-CHG-CBA-Atenolol 2\plaque 1/@12 Atenolol 100/F12_03.tif </t>
  </si>
  <si>
    <t xml:space="preserve"> 8309.9344 </t>
  </si>
  <si>
    <t xml:space="preserve"> 73.5864 </t>
  </si>
  <si>
    <t xml:space="preserve">Q:\R&amp;D\2-Test oestrogénique\OECD and AOPs\REACTIV oecd interlaboratory validation\Results WF\Résultats CBA\2021-CHG-CBA-Atenolol 2\plaque 1/@12 Atenolol 100/G12_01.tif </t>
  </si>
  <si>
    <t xml:space="preserve"> 61.6364 </t>
  </si>
  <si>
    <t xml:space="preserve">Q:\R&amp;D\2-Test oestrogénique\OECD and AOPs\REACTIV oecd interlaboratory validation\Results WF\Résultats CBA\2021-CHG-CBA-Atenolol 2\plaque 1/@12 Atenolol 100/G12_02.tif </t>
  </si>
  <si>
    <t xml:space="preserve">Q:\R&amp;D\2-Test oestrogénique\OECD and AOPs\REACTIV oecd interlaboratory validation\Results WF\Résultats CBA\2021-CHG-CBA-Atenolol 2\plaque 1/@12 Atenolol 100/G12_03.tif </t>
  </si>
  <si>
    <t xml:space="preserve"> 67.1304 </t>
  </si>
  <si>
    <t xml:space="preserve">Q:\R&amp;D\2-Test oestrogénique\OECD and AOPs\REACTIV oecd interlaboratory validation\Results WF\Résultats CBA\2021-CHG-CBA-Atenolol 2\plaque 1/@12 Atenolol 100/H12_01.tif </t>
  </si>
  <si>
    <t xml:space="preserve"> 65.4545 </t>
  </si>
  <si>
    <t xml:space="preserve">Q:\R&amp;D\2-Test oestrogénique\OECD and AOPs\REACTIV oecd interlaboratory validation\Results WF\Résultats CBA\2021-CHG-CBA-Atenolol 2\plaque 1/@12 Atenolol 100/H12_02.tif </t>
  </si>
  <si>
    <t xml:space="preserve"> 64.0217 </t>
  </si>
  <si>
    <t xml:space="preserve">Q:\R&amp;D\2-Test oestrogénique\OECD and AOPs\REACTIV oecd interlaboratory validation\Results WF\Résultats CBA\2021-CHG-CBA-Atenolol 2\plaque 1/@12 Atenolol 100/H12_03.tif </t>
  </si>
  <si>
    <t xml:space="preserve">Q:\R&amp;D\2-Test oestrogénique\OECD and AOPs\REACTIV oecd interlaboratory validation\Results WF\Résultats CBA\2021-CHG-CBA-Atenolol 2\plaque 1/@12 Atenolol 100/ </t>
  </si>
  <si>
    <t xml:space="preserve"> 67.5513 </t>
  </si>
  <si>
    <t xml:space="preserve"> 5.3453 </t>
  </si>
  <si>
    <t xml:space="preserve"> 286835.917 </t>
  </si>
  <si>
    <t xml:space="preserve"> 307161.336 </t>
  </si>
  <si>
    <t xml:space="preserve">Q:\R&amp;D\2-Test oestrogénique\OECD and AOPs\REACTIV oecd interlaboratory validation\Results WF\Résultats CBA\2021-CHG-CBA-Atenolol 2\plaque 2/@13 TESTO/A1_01.tif </t>
  </si>
  <si>
    <t xml:space="preserve"> 46727.0657 </t>
  </si>
  <si>
    <t xml:space="preserve"> 78.061 </t>
  </si>
  <si>
    <t xml:space="preserve">Q:\R&amp;D\2-Test oestrogénique\OECD and AOPs\REACTIV oecd interlaboratory validation\Results WF\Résultats CBA\2021-CHG-CBA-Atenolol 2\plaque 2/@13 TESTO/A1_02.tif </t>
  </si>
  <si>
    <t xml:space="preserve"> 43899.0776 </t>
  </si>
  <si>
    <t xml:space="preserve"> 77.3637 </t>
  </si>
  <si>
    <t xml:space="preserve">Q:\R&amp;D\2-Test oestrogénique\OECD and AOPs\REACTIV oecd interlaboratory validation\Results WF\Résultats CBA\2021-CHG-CBA-Atenolol 2\plaque 2/@13 TESTO/A1_03.tif </t>
  </si>
  <si>
    <t xml:space="preserve"> 43812.0626 </t>
  </si>
  <si>
    <t xml:space="preserve"> 76.507 </t>
  </si>
  <si>
    <t xml:space="preserve">Q:\R&amp;D\2-Test oestrogénique\OECD and AOPs\REACTIV oecd interlaboratory validation\Results WF\Résultats CBA\2021-CHG-CBA-Atenolol 2\plaque 2/@13 TESTO/B1_01.tif </t>
  </si>
  <si>
    <t xml:space="preserve"> 15510.4273 </t>
  </si>
  <si>
    <t xml:space="preserve"> 67.5316 </t>
  </si>
  <si>
    <t xml:space="preserve">Q:\R&amp;D\2-Test oestrogénique\OECD and AOPs\REACTIV oecd interlaboratory validation\Results WF\Résultats CBA\2021-CHG-CBA-Atenolol 2\plaque 2/@13 TESTO/B1_02.tif </t>
  </si>
  <si>
    <t xml:space="preserve"> 11877.5502 </t>
  </si>
  <si>
    <t xml:space="preserve"> 68.0201 </t>
  </si>
  <si>
    <t xml:space="preserve">Q:\R&amp;D\2-Test oestrogénique\OECD and AOPs\REACTIV oecd interlaboratory validation\Results WF\Résultats CBA\2021-CHG-CBA-Atenolol 2\plaque 2/@13 TESTO/B1_03.tif </t>
  </si>
  <si>
    <t xml:space="preserve"> 14292.217 </t>
  </si>
  <si>
    <t xml:space="preserve"> 67.5053 </t>
  </si>
  <si>
    <t xml:space="preserve">Q:\R&amp;D\2-Test oestrogénique\OECD and AOPs\REACTIV oecd interlaboratory validation\Results WF\Résultats CBA\2021-CHG-CBA-Atenolol 2\plaque 2/@13 TESTO/C1_01.tif </t>
  </si>
  <si>
    <t xml:space="preserve"> 27474.9926 </t>
  </si>
  <si>
    <t xml:space="preserve"> 69.6112 </t>
  </si>
  <si>
    <t xml:space="preserve">Q:\R&amp;D\2-Test oestrogénique\OECD and AOPs\REACTIV oecd interlaboratory validation\Results WF\Résultats CBA\2021-CHG-CBA-Atenolol 2\plaque 2/@13 TESTO/C1_02.tif </t>
  </si>
  <si>
    <t xml:space="preserve"> 24647.0044 </t>
  </si>
  <si>
    <t xml:space="preserve"> 69.0406 </t>
  </si>
  <si>
    <t xml:space="preserve">Q:\R&amp;D\2-Test oestrogénique\OECD and AOPs\REACTIV oecd interlaboratory validation\Results WF\Résultats CBA\2021-CHG-CBA-Atenolol 2\plaque 2/@13 TESTO/C1_03.tif </t>
  </si>
  <si>
    <t xml:space="preserve"> 24516.4819 </t>
  </si>
  <si>
    <t xml:space="preserve"> 68.0204 </t>
  </si>
  <si>
    <t xml:space="preserve">Q:\R&amp;D\2-Test oestrogénique\OECD and AOPs\REACTIV oecd interlaboratory validation\Results WF\Résultats CBA\2021-CHG-CBA-Atenolol 2\plaque 2/@13 TESTO/D1_01.tif </t>
  </si>
  <si>
    <t xml:space="preserve"> 24668.7582 </t>
  </si>
  <si>
    <t xml:space="preserve"> 66.336 </t>
  </si>
  <si>
    <t xml:space="preserve">Q:\R&amp;D\2-Test oestrogénique\OECD and AOPs\REACTIV oecd interlaboratory validation\Results WF\Résultats CBA\2021-CHG-CBA-Atenolol 2\plaque 2/@13 TESTO/D1_02.tif </t>
  </si>
  <si>
    <t xml:space="preserve"> 22145.3226 </t>
  </si>
  <si>
    <t xml:space="preserve"> 66.334 </t>
  </si>
  <si>
    <t>Q:\R&amp;D\2-Test oestrogénique\OECD and AOPs\REACTIV oecd interlaboratory validation\Results WF\Résultats CBA\2021-CHG-CBA-Atenolol 2\plaque 2/@13 TESTO/D1_03- exclu.tif</t>
  </si>
  <si>
    <t>Q:\R&amp;D\2-Test oestrogénique\OECD and AOPs\REACTIV oecd interlaboratory validation\Results WF\Résultats CBA\2021-CHG-CBA-Atenolol 2\plaque 2/@13 TESTO/E1_01- exclu.tif</t>
  </si>
  <si>
    <t xml:space="preserve">Q:\R&amp;D\2-Test oestrogénique\OECD and AOPs\REACTIV oecd interlaboratory validation\Results WF\Résultats CBA\2021-CHG-CBA-Atenolol 2\plaque 2/@13 TESTO/E1_02.tif </t>
  </si>
  <si>
    <t xml:space="preserve"> 8701.502 </t>
  </si>
  <si>
    <t xml:space="preserve"> 64.31 </t>
  </si>
  <si>
    <t xml:space="preserve">Q:\R&amp;D\2-Test oestrogénique\OECD and AOPs\REACTIV oecd interlaboratory validation\Results WF\Résultats CBA\2021-CHG-CBA-Atenolol 2\plaque 2/@13 TESTO/E1_03.tif </t>
  </si>
  <si>
    <t xml:space="preserve"> 11159.6763 </t>
  </si>
  <si>
    <t xml:space="preserve"> 64.3041 </t>
  </si>
  <si>
    <t xml:space="preserve">Q:\R&amp;D\2-Test oestrogénique\OECD and AOPs\REACTIV oecd interlaboratory validation\Results WF\Résultats CBA\2021-CHG-CBA-Atenolol 2\plaque 2/@13 TESTO/F1_01.tif </t>
  </si>
  <si>
    <t xml:space="preserve"> 25408.3858 </t>
  </si>
  <si>
    <t xml:space="preserve"> 68.2509 </t>
  </si>
  <si>
    <t xml:space="preserve">Q:\R&amp;D\2-Test oestrogénique\OECD and AOPs\REACTIV oecd interlaboratory validation\Results WF\Résultats CBA\2021-CHG-CBA-Atenolol 2\plaque 2/@13 TESTO/F1_02.tif </t>
  </si>
  <si>
    <t xml:space="preserve"> 24364.2056 </t>
  </si>
  <si>
    <t xml:space="preserve"> 67.5446 </t>
  </si>
  <si>
    <t xml:space="preserve">Q:\R&amp;D\2-Test oestrogénique\OECD and AOPs\REACTIV oecd interlaboratory validation\Results WF\Résultats CBA\2021-CHG-CBA-Atenolol 2\plaque 2/@13 TESTO/F1_03.tif </t>
  </si>
  <si>
    <t xml:space="preserve"> 23950.8843 </t>
  </si>
  <si>
    <t xml:space="preserve"> 66.7057 </t>
  </si>
  <si>
    <t xml:space="preserve">Q:\R&amp;D\2-Test oestrogénique\OECD and AOPs\REACTIV oecd interlaboratory validation\Results WF\Résultats CBA\2021-CHG-CBA-Atenolol 2\plaque 2/@13 TESTO/G1_01.tif </t>
  </si>
  <si>
    <t xml:space="preserve"> 72.7368 </t>
  </si>
  <si>
    <t xml:space="preserve">Q:\R&amp;D\2-Test oestrogénique\OECD and AOPs\REACTIV oecd interlaboratory validation\Results WF\Résultats CBA\2021-CHG-CBA-Atenolol 2\plaque 2/@13 TESTO/G1_02.tif </t>
  </si>
  <si>
    <t xml:space="preserve"> 45835.1618 </t>
  </si>
  <si>
    <t xml:space="preserve"> 74.9729 </t>
  </si>
  <si>
    <t xml:space="preserve">Q:\R&amp;D\2-Test oestrogénique\OECD and AOPs\REACTIV oecd interlaboratory validation\Results WF\Résultats CBA\2021-CHG-CBA-Atenolol 2\plaque 2/@13 TESTO/G1_03.tif </t>
  </si>
  <si>
    <t xml:space="preserve"> 47705.9847 </t>
  </si>
  <si>
    <t xml:space="preserve"> 73.404 </t>
  </si>
  <si>
    <t>Q:\R&amp;D\2-Test oestrogénique\OECD and AOPs\REACTIV oecd interlaboratory validation\Results WF\Résultats CBA\2021-CHG-CBA-Atenolol 2\plaque 2/@13 TESTO/H1_01- exclu.tif</t>
  </si>
  <si>
    <t>Q:\R&amp;D\2-Test oestrogénique\OECD and AOPs\REACTIV oecd interlaboratory validation\Results WF\Résultats CBA\2021-CHG-CBA-Atenolol 2\plaque 2/@13 TESTO/H1_02- exclu.tif</t>
  </si>
  <si>
    <t>Q:\R&amp;D\2-Test oestrogénique\OECD and AOPs\REACTIV oecd interlaboratory validation\Results WF\Résultats CBA\2021-CHG-CBA-Atenolol 2\plaque 2/@13 TESTO/H1_03- exclu.tif</t>
  </si>
  <si>
    <t xml:space="preserve">Q:\R&amp;D\2-Test oestrogénique\OECD and AOPs\REACTIV oecd interlaboratory validation\Results WF\Résultats CBA\2021-CHG-CBA-Atenolol 2\plaque 2/@13 TESTO/ </t>
  </si>
  <si>
    <t xml:space="preserve"> 68.8404 </t>
  </si>
  <si>
    <t xml:space="preserve"> 4.304 </t>
  </si>
  <si>
    <t xml:space="preserve"> 1717615.79 </t>
  </si>
  <si>
    <t xml:space="preserve"> 1136102.11 </t>
  </si>
  <si>
    <t xml:space="preserve">Q:\R&amp;D\2-Test oestrogénique\OECD and AOPs\REACTIV oecd interlaboratory validation\Results WF\Résultats CBA\2021-CHG-CBA-Atenolol 2\plaque 2/@14 TESTO/A2_01.tif </t>
  </si>
  <si>
    <t xml:space="preserve"> 18077.3704 </t>
  </si>
  <si>
    <t xml:space="preserve"> 67.1986 </t>
  </si>
  <si>
    <t xml:space="preserve">Q:\R&amp;D\2-Test oestrogénique\OECD and AOPs\REACTIV oecd interlaboratory validation\Results WF\Résultats CBA\2021-CHG-CBA-Atenolol 2\plaque 2/@14 TESTO/A2_02.tif </t>
  </si>
  <si>
    <t xml:space="preserve"> 14705.5384 </t>
  </si>
  <si>
    <t xml:space="preserve"> 66.5858 </t>
  </si>
  <si>
    <t xml:space="preserve">Q:\R&amp;D\2-Test oestrogénique\OECD and AOPs\REACTIV oecd interlaboratory validation\Results WF\Résultats CBA\2021-CHG-CBA-Atenolol 2\plaque 2/@14 TESTO/A2_03.tif </t>
  </si>
  <si>
    <t xml:space="preserve"> 13596.0969 </t>
  </si>
  <si>
    <t xml:space="preserve"> 66.176 </t>
  </si>
  <si>
    <t xml:space="preserve">Q:\R&amp;D\2-Test oestrogénique\OECD and AOPs\REACTIV oecd interlaboratory validation\Results WF\Résultats CBA\2021-CHG-CBA-Atenolol 2\plaque 2/@14 TESTO/B2_01.tif </t>
  </si>
  <si>
    <t xml:space="preserve"> 63.9296 </t>
  </si>
  <si>
    <t xml:space="preserve">Q:\R&amp;D\2-Test oestrogénique\OECD and AOPs\REACTIV oecd interlaboratory validation\Results WF\Résultats CBA\2021-CHG-CBA-Atenolol 2\plaque 2/@14 TESTO/B2_02.tif </t>
  </si>
  <si>
    <t xml:space="preserve"> 63.5938 </t>
  </si>
  <si>
    <t xml:space="preserve">Q:\R&amp;D\2-Test oestrogénique\OECD and AOPs\REACTIV oecd interlaboratory validation\Results WF\Résultats CBA\2021-CHG-CBA-Atenolol 2\plaque 2/@14 TESTO/B2_03.tif </t>
  </si>
  <si>
    <t xml:space="preserve"> 62.7534 </t>
  </si>
  <si>
    <t xml:space="preserve">Q:\R&amp;D\2-Test oestrogénique\OECD and AOPs\REACTIV oecd interlaboratory validation\Results WF\Résultats CBA\2021-CHG-CBA-Atenolol 2\plaque 2/@14 TESTO/C2_01.tif </t>
  </si>
  <si>
    <t xml:space="preserve"> 11812.289 </t>
  </si>
  <si>
    <t xml:space="preserve"> 65.2523 </t>
  </si>
  <si>
    <t xml:space="preserve">Q:\R&amp;D\2-Test oestrogénique\OECD and AOPs\REACTIV oecd interlaboratory validation\Results WF\Résultats CBA\2021-CHG-CBA-Atenolol 2\plaque 2/@14 TESTO/C2_02.tif </t>
  </si>
  <si>
    <t xml:space="preserve"> 16337.07 </t>
  </si>
  <si>
    <t xml:space="preserve"> 65.6272 </t>
  </si>
  <si>
    <t xml:space="preserve">Q:\R&amp;D\2-Test oestrogénique\OECD and AOPs\REACTIV oecd interlaboratory validation\Results WF\Résultats CBA\2021-CHG-CBA-Atenolol 2\plaque 2/@14 TESTO/C2_03.tif </t>
  </si>
  <si>
    <t xml:space="preserve"> 14161.6945 </t>
  </si>
  <si>
    <t xml:space="preserve"> 65.2949 </t>
  </si>
  <si>
    <t xml:space="preserve">Q:\R&amp;D\2-Test oestrogénique\OECD and AOPs\REACTIV oecd interlaboratory validation\Results WF\Résultats CBA\2021-CHG-CBA-Atenolol 2\plaque 2/@14 TESTO/D2_01.tif </t>
  </si>
  <si>
    <t xml:space="preserve"> 43268.2187 </t>
  </si>
  <si>
    <t xml:space="preserve"> 71.9231 </t>
  </si>
  <si>
    <t xml:space="preserve">Q:\R&amp;D\2-Test oestrogénique\OECD and AOPs\REACTIV oecd interlaboratory validation\Results WF\Résultats CBA\2021-CHG-CBA-Atenolol 2\plaque 2/@14 TESTO/D2_02.tif </t>
  </si>
  <si>
    <t xml:space="preserve"> 46379.0057 </t>
  </si>
  <si>
    <t xml:space="preserve"> 72.9958 </t>
  </si>
  <si>
    <t xml:space="preserve">Q:\R&amp;D\2-Test oestrogénique\OECD and AOPs\REACTIV oecd interlaboratory validation\Results WF\Résultats CBA\2021-CHG-CBA-Atenolol 2\plaque 2/@14 TESTO/D2_03.tif </t>
  </si>
  <si>
    <t xml:space="preserve"> 72.9003 </t>
  </si>
  <si>
    <t xml:space="preserve">Q:\R&amp;D\2-Test oestrogénique\OECD and AOPs\REACTIV oecd interlaboratory validation\Results WF\Résultats CBA\2021-CHG-CBA-Atenolol 2\plaque 2/@14 TESTO/E2_01.tif </t>
  </si>
  <si>
    <t xml:space="preserve"> 40614.2606 </t>
  </si>
  <si>
    <t xml:space="preserve"> 74.879 </t>
  </si>
  <si>
    <t xml:space="preserve">Q:\R&amp;D\2-Test oestrogénique\OECD and AOPs\REACTIV oecd interlaboratory validation\Results WF\Résultats CBA\2021-CHG-CBA-Atenolol 2\plaque 2/@14 TESTO/E2_02.tif </t>
  </si>
  <si>
    <t xml:space="preserve"> 38591.1614 </t>
  </si>
  <si>
    <t xml:space="preserve"> 75.3884 </t>
  </si>
  <si>
    <t xml:space="preserve">Q:\R&amp;D\2-Test oestrogénique\OECD and AOPs\REACTIV oecd interlaboratory validation\Results WF\Résultats CBA\2021-CHG-CBA-Atenolol 2\plaque 2/@14 TESTO/E2_03.tif </t>
  </si>
  <si>
    <t xml:space="preserve"> 43594.525 </t>
  </si>
  <si>
    <t xml:space="preserve"> 77.8179 </t>
  </si>
  <si>
    <t xml:space="preserve">Q:\R&amp;D\2-Test oestrogénique\OECD and AOPs\REACTIV oecd interlaboratory validation\Results WF\Résultats CBA\2021-CHG-CBA-Atenolol 2\plaque 2/@14 TESTO/F2_01.tif </t>
  </si>
  <si>
    <t xml:space="preserve"> 84143.5244 </t>
  </si>
  <si>
    <t xml:space="preserve"> 80.6231 </t>
  </si>
  <si>
    <t>Q:\R&amp;D\2-Test oestrogénique\OECD and AOPs\REACTIV oecd interlaboratory validation\Results WF\Résultats CBA\2021-CHG-CBA-Atenolol 2\plaque 2/@14 TESTO/F2_02- exclu.tif</t>
  </si>
  <si>
    <t xml:space="preserve">Q:\R&amp;D\2-Test oestrogénique\OECD and AOPs\REACTIV oecd interlaboratory validation\Results WF\Résultats CBA\2021-CHG-CBA-Atenolol 2\plaque 2/@14 TESTO/F2_03.tif </t>
  </si>
  <si>
    <t xml:space="preserve"> 74811.1635 </t>
  </si>
  <si>
    <t xml:space="preserve"> 78.3446 </t>
  </si>
  <si>
    <t xml:space="preserve">Q:\R&amp;D\2-Test oestrogénique\OECD and AOPs\REACTIV oecd interlaboratory validation\Results WF\Résultats CBA\2021-CHG-CBA-Atenolol 2\plaque 2/@14 TESTO/G2_01.tif </t>
  </si>
  <si>
    <t xml:space="preserve"> 27692.5301 </t>
  </si>
  <si>
    <t xml:space="preserve"> 67.4902 </t>
  </si>
  <si>
    <t xml:space="preserve">Q:\R&amp;D\2-Test oestrogénique\OECD and AOPs\REACTIV oecd interlaboratory validation\Results WF\Résultats CBA\2021-CHG-CBA-Atenolol 2\plaque 2/@14 TESTO/G2_02.tif </t>
  </si>
  <si>
    <t xml:space="preserve"> 24712.2657 </t>
  </si>
  <si>
    <t xml:space="preserve"> 66.9331 </t>
  </si>
  <si>
    <t xml:space="preserve">Q:\R&amp;D\2-Test oestrogénique\OECD and AOPs\REACTIV oecd interlaboratory validation\Results WF\Résultats CBA\2021-CHG-CBA-Atenolol 2\plaque 2/@14 TESTO/G2_03.tif </t>
  </si>
  <si>
    <t xml:space="preserve"> 28149.359 </t>
  </si>
  <si>
    <t xml:space="preserve"> 67.5317 </t>
  </si>
  <si>
    <t>Q:\R&amp;D\2-Test oestrogénique\OECD and AOPs\REACTIV oecd interlaboratory validation\Results WF\Résultats CBA\2021-CHG-CBA-Atenolol 2\plaque 2/@14 TESTO/H2_01- exclu.tif</t>
  </si>
  <si>
    <t xml:space="preserve">Q:\R&amp;D\2-Test oestrogénique\OECD and AOPs\REACTIV oecd interlaboratory validation\Results WF\Résultats CBA\2021-CHG-CBA-Atenolol 2\plaque 2/@14 TESTO/H2_02.tif </t>
  </si>
  <si>
    <t xml:space="preserve"> 21470.9562 </t>
  </si>
  <si>
    <t xml:space="preserve"> 66.4164 </t>
  </si>
  <si>
    <t xml:space="preserve">Q:\R&amp;D\2-Test oestrogénique\OECD and AOPs\REACTIV oecd interlaboratory validation\Results WF\Résultats CBA\2021-CHG-CBA-Atenolol 2\plaque 2/@14 TESTO/H2_03.tif </t>
  </si>
  <si>
    <t xml:space="preserve"> 18425.4305 </t>
  </si>
  <si>
    <t xml:space="preserve"> 65.8406 </t>
  </si>
  <si>
    <t xml:space="preserve">Q:\R&amp;D\2-Test oestrogénique\OECD and AOPs\REACTIV oecd interlaboratory validation\Results WF\Résultats CBA\2021-CHG-CBA-Atenolol 2\plaque 2/@14 TESTO/ </t>
  </si>
  <si>
    <t xml:space="preserve"> 69.0246 </t>
  </si>
  <si>
    <t xml:space="preserve"> 5.1698 </t>
  </si>
  <si>
    <t xml:space="preserve"> 1988700.25 </t>
  </si>
  <si>
    <t xml:space="preserve"> 1696547.87 </t>
  </si>
  <si>
    <t xml:space="preserve">Q:\R&amp;D\2-Test oestrogénique\OECD and AOPs\REACTIV oecd interlaboratory validation\Results WF\Résultats CBA\2021-CHG-CBA-Atenolol 2\plaque 2/@15 TESTO + EE2/A3_01.tif </t>
  </si>
  <si>
    <t xml:space="preserve"> 50969.048 </t>
  </si>
  <si>
    <t xml:space="preserve"> 77.405 </t>
  </si>
  <si>
    <t xml:space="preserve">Q:\R&amp;D\2-Test oestrogénique\OECD and AOPs\REACTIV oecd interlaboratory validation\Results WF\Résultats CBA\2021-CHG-CBA-Atenolol 2\plaque 2/@15 TESTO + EE2/A3_02.tif </t>
  </si>
  <si>
    <t xml:space="preserve"> 46509.5282 </t>
  </si>
  <si>
    <t xml:space="preserve"> 77.652 </t>
  </si>
  <si>
    <t xml:space="preserve">Q:\R&amp;D\2-Test oestrogénique\OECD and AOPs\REACTIV oecd interlaboratory validation\Results WF\Résultats CBA\2021-CHG-CBA-Atenolol 2\plaque 2/@15 TESTO + EE2/A3_03.tif </t>
  </si>
  <si>
    <t xml:space="preserve"> 48097.5523 </t>
  </si>
  <si>
    <t xml:space="preserve"> 79.0222 </t>
  </si>
  <si>
    <t xml:space="preserve">Q:\R&amp;D\2-Test oestrogénique\OECD and AOPs\REACTIV oecd interlaboratory validation\Results WF\Résultats CBA\2021-CHG-CBA-Atenolol 2\plaque 2/@15 TESTO + EE2/B3_01.tif </t>
  </si>
  <si>
    <t xml:space="preserve"> 64108.316 </t>
  </si>
  <si>
    <t xml:space="preserve"> 78.7798 </t>
  </si>
  <si>
    <t xml:space="preserve">Q:\R&amp;D\2-Test oestrogénique\OECD and AOPs\REACTIV oecd interlaboratory validation\Results WF\Résultats CBA\2021-CHG-CBA-Atenolol 2\plaque 2/@15 TESTO + EE2/B3_02.tif </t>
  </si>
  <si>
    <t xml:space="preserve"> 60627.7152 </t>
  </si>
  <si>
    <t xml:space="preserve"> 78.7513 </t>
  </si>
  <si>
    <t xml:space="preserve">Q:\R&amp;D\2-Test oestrogénique\OECD and AOPs\REACTIV oecd interlaboratory validation\Results WF\Résultats CBA\2021-CHG-CBA-Atenolol 2\plaque 2/@15 TESTO + EE2/B3_03.tif </t>
  </si>
  <si>
    <t xml:space="preserve"> 61323.8354 </t>
  </si>
  <si>
    <t xml:space="preserve"> 78.4565 </t>
  </si>
  <si>
    <t xml:space="preserve">Q:\R&amp;D\2-Test oestrogénique\OECD and AOPs\REACTIV oecd interlaboratory validation\Results WF\Résultats CBA\2021-CHG-CBA-Atenolol 2\plaque 2/@15 TESTO + EE2/C3_01.tif </t>
  </si>
  <si>
    <t xml:space="preserve"> 54145.0962 </t>
  </si>
  <si>
    <t xml:space="preserve"> 74.5946 </t>
  </si>
  <si>
    <t xml:space="preserve">Q:\R&amp;D\2-Test oestrogénique\OECD and AOPs\REACTIV oecd interlaboratory validation\Results WF\Résultats CBA\2021-CHG-CBA-Atenolol 2\plaque 2/@15 TESTO + EE2/C3_02.tif </t>
  </si>
  <si>
    <t xml:space="preserve"> 47292.6634 </t>
  </si>
  <si>
    <t xml:space="preserve"> 72.5616 </t>
  </si>
  <si>
    <t xml:space="preserve">Q:\R&amp;D\2-Test oestrogénique\OECD and AOPs\REACTIV oecd interlaboratory validation\Results WF\Résultats CBA\2021-CHG-CBA-Atenolol 2\plaque 2/@15 TESTO + EE2/C3_03.tif </t>
  </si>
  <si>
    <t xml:space="preserve"> 43485.7563 </t>
  </si>
  <si>
    <t xml:space="preserve"> 73.7159 </t>
  </si>
  <si>
    <t xml:space="preserve">Q:\R&amp;D\2-Test oestrogénique\OECD and AOPs\REACTIV oecd interlaboratory validation\Results WF\Résultats CBA\2021-CHG-CBA-Atenolol 2\plaque 2/@15 TESTO + EE2/D3_01.tif </t>
  </si>
  <si>
    <t xml:space="preserve"> 57777.9733 </t>
  </si>
  <si>
    <t xml:space="preserve"> 76.9556 </t>
  </si>
  <si>
    <t xml:space="preserve">Q:\R&amp;D\2-Test oestrogénique\OECD and AOPs\REACTIV oecd interlaboratory validation\Results WF\Résultats CBA\2021-CHG-CBA-Atenolol 2\plaque 2/@15 TESTO + EE2/D3_02.tif </t>
  </si>
  <si>
    <t xml:space="preserve"> 52796.3634 </t>
  </si>
  <si>
    <t xml:space="preserve"> 77.9967 </t>
  </si>
  <si>
    <t xml:space="preserve">Q:\R&amp;D\2-Test oestrogénique\OECD and AOPs\REACTIV oecd interlaboratory validation\Results WF\Résultats CBA\2021-CHG-CBA-Atenolol 2\plaque 2/@15 TESTO + EE2/D3_03.tif </t>
  </si>
  <si>
    <t xml:space="preserve"> 51077.8167 </t>
  </si>
  <si>
    <t xml:space="preserve"> 74.5128 </t>
  </si>
  <si>
    <t xml:space="preserve">Q:\R&amp;D\2-Test oestrogénique\OECD and AOPs\REACTIV oecd interlaboratory validation\Results WF\Résultats CBA\2021-CHG-CBA-Atenolol 2\plaque 2/@15 TESTO + EE2/E3_01.tif </t>
  </si>
  <si>
    <t xml:space="preserve"> 80.1512 </t>
  </si>
  <si>
    <t xml:space="preserve">Q:\R&amp;D\2-Test oestrogénique\OECD and AOPs\REACTIV oecd interlaboratory validation\Results WF\Résultats CBA\2021-CHG-CBA-Atenolol 2\plaque 2/@15 TESTO + EE2/E3_02.tif </t>
  </si>
  <si>
    <t xml:space="preserve"> 81.7476 </t>
  </si>
  <si>
    <t xml:space="preserve">Q:\R&amp;D\2-Test oestrogénique\OECD and AOPs\REACTIV oecd interlaboratory validation\Results WF\Résultats CBA\2021-CHG-CBA-Atenolol 2\plaque 2/@15 TESTO + EE2/E3_03.tif </t>
  </si>
  <si>
    <t xml:space="preserve"> 63564.4721 </t>
  </si>
  <si>
    <t xml:space="preserve"> 79.7635 </t>
  </si>
  <si>
    <t xml:space="preserve">Q:\R&amp;D\2-Test oestrogénique\OECD and AOPs\REACTIV oecd interlaboratory validation\Results WF\Résultats CBA\2021-CHG-CBA-Atenolol 2\plaque 2/@15 TESTO + EE2/F3_01.tif </t>
  </si>
  <si>
    <t xml:space="preserve"> 43855.5701 </t>
  </si>
  <si>
    <t xml:space="preserve"> 75.9028 </t>
  </si>
  <si>
    <t xml:space="preserve">Q:\R&amp;D\2-Test oestrogénique\OECD and AOPs\REACTIV oecd interlaboratory validation\Results WF\Résultats CBA\2021-CHG-CBA-Atenolol 2\plaque 2/@15 TESTO + EE2/F3_02.tif </t>
  </si>
  <si>
    <t xml:space="preserve"> 41245.1195 </t>
  </si>
  <si>
    <t xml:space="preserve"> 76.8592 </t>
  </si>
  <si>
    <t xml:space="preserve">Q:\R&amp;D\2-Test oestrogénique\OECD and AOPs\REACTIV oecd interlaboratory validation\Results WF\Résultats CBA\2021-CHG-CBA-Atenolol 2\plaque 2/@15 TESTO + EE2/F3_03.tif </t>
  </si>
  <si>
    <t xml:space="preserve"> 80.321 </t>
  </si>
  <si>
    <t xml:space="preserve">Q:\R&amp;D\2-Test oestrogénique\OECD and AOPs\REACTIV oecd interlaboratory validation\Results WF\Résultats CBA\2021-CHG-CBA-Atenolol 2\plaque 2/@15 TESTO + EE2/G3_01.tif </t>
  </si>
  <si>
    <t xml:space="preserve"> 77.2285 </t>
  </si>
  <si>
    <t xml:space="preserve">Q:\R&amp;D\2-Test oestrogénique\OECD and AOPs\REACTIV oecd interlaboratory validation\Results WF\Résultats CBA\2021-CHG-CBA-Atenolol 2\plaque 2/@15 TESTO + EE2/G3_02.tif </t>
  </si>
  <si>
    <t xml:space="preserve"> 48075.7986 </t>
  </si>
  <si>
    <t xml:space="preserve"> 75.6538 </t>
  </si>
  <si>
    <t>Q:\R&amp;D\2-Test oestrogénique\OECD and AOPs\REACTIV oecd interlaboratory validation\Results WF\Résultats CBA\2021-CHG-CBA-Atenolol 2\plaque 2/@15 TESTO + EE2/G3_03- exclu.tif</t>
  </si>
  <si>
    <t>Q:\R&amp;D\2-Test oestrogénique\OECD and AOPs\REACTIV oecd interlaboratory validation\Results WF\Résultats CBA\2021-CHG-CBA-Atenolol 2\plaque 2/@15 TESTO + EE2/H3_01- exclu.tif</t>
  </si>
  <si>
    <t>Q:\R&amp;D\2-Test oestrogénique\OECD and AOPs\REACTIV oecd interlaboratory validation\Results WF\Résultats CBA\2021-CHG-CBA-Atenolol 2\plaque 2/@15 TESTO + EE2/H3_02- exclu.tif</t>
  </si>
  <si>
    <t>Q:\R&amp;D\2-Test oestrogénique\OECD and AOPs\REACTIV oecd interlaboratory validation\Results WF\Résultats CBA\2021-CHG-CBA-Atenolol 2\plaque 2/@15 TESTO + EE2/H3_03- exclu.tif</t>
  </si>
  <si>
    <t xml:space="preserve">Q:\R&amp;D\2-Test oestrogénique\OECD and AOPs\REACTIV oecd interlaboratory validation\Results WF\Résultats CBA\2021-CHG-CBA-Atenolol 2\plaque 2/@15 TESTO + EE2/ </t>
  </si>
  <si>
    <t xml:space="preserve"> 75.4815 </t>
  </si>
  <si>
    <t xml:space="preserve"> 4.9804 </t>
  </si>
  <si>
    <t xml:space="preserve"> 3485277.79 </t>
  </si>
  <si>
    <t xml:space="preserve"> 1540559.81 </t>
  </si>
  <si>
    <t xml:space="preserve">Q:\R&amp;D\2-Test oestrogénique\OECD and AOPs\REACTIV oecd interlaboratory validation\Results WF\Résultats CBA\2021-CHG-CBA-Atenolol 2\plaque 2/@16 TESTO + FAD/A4_01.tif </t>
  </si>
  <si>
    <t xml:space="preserve"> 62.7308 </t>
  </si>
  <si>
    <t xml:space="preserve">Q:\R&amp;D\2-Test oestrogénique\OECD and AOPs\REACTIV oecd interlaboratory validation\Results WF\Résultats CBA\2021-CHG-CBA-Atenolol 2\plaque 2/@16 TESTO + FAD/A4_02.tif </t>
  </si>
  <si>
    <t xml:space="preserve">Q:\R&amp;D\2-Test oestrogénique\OECD and AOPs\REACTIV oecd interlaboratory validation\Results WF\Résultats CBA\2021-CHG-CBA-Atenolol 2\plaque 2/@16 TESTO + FAD/A4_03.tif </t>
  </si>
  <si>
    <t xml:space="preserve"> 62.3793 </t>
  </si>
  <si>
    <t>Q:\R&amp;D\2-Test oestrogénique\OECD and AOPs\REACTIV oecd interlaboratory validation\Results WF\Résultats CBA\2021-CHG-CBA-Atenolol 2\plaque 2/@16 TESTO + FAD/B4_01- exclu.tif</t>
  </si>
  <si>
    <t xml:space="preserve">Q:\R&amp;D\2-Test oestrogénique\OECD and AOPs\REACTIV oecd interlaboratory validation\Results WF\Résultats CBA\2021-CHG-CBA-Atenolol 2\plaque 2/@16 TESTO + FAD/B4_02.tif </t>
  </si>
  <si>
    <t xml:space="preserve"> 64.0769 </t>
  </si>
  <si>
    <t xml:space="preserve">Q:\R&amp;D\2-Test oestrogénique\OECD and AOPs\REACTIV oecd interlaboratory validation\Results WF\Résultats CBA\2021-CHG-CBA-Atenolol 2\plaque 2/@16 TESTO + FAD/B4_03.tif </t>
  </si>
  <si>
    <t xml:space="preserve"> 63.381 </t>
  </si>
  <si>
    <t xml:space="preserve">Q:\R&amp;D\2-Test oestrogénique\OECD and AOPs\REACTIV oecd interlaboratory validation\Results WF\Résultats CBA\2021-CHG-CBA-Atenolol 2\plaque 2/@16 TESTO + FAD/C4_01.tif </t>
  </si>
  <si>
    <t xml:space="preserve"> 64.2222 </t>
  </si>
  <si>
    <t xml:space="preserve">Q:\R&amp;D\2-Test oestrogénique\OECD and AOPs\REACTIV oecd interlaboratory validation\Results WF\Résultats CBA\2021-CHG-CBA-Atenolol 2\plaque 2/@16 TESTO + FAD/C4_02.tif </t>
  </si>
  <si>
    <t xml:space="preserve"> 65.0123 </t>
  </si>
  <si>
    <t xml:space="preserve">Q:\R&amp;D\2-Test oestrogénique\OECD and AOPs\REACTIV oecd interlaboratory validation\Results WF\Résultats CBA\2021-CHG-CBA-Atenolol 2\plaque 2/@16 TESTO + FAD/C4_03.tif </t>
  </si>
  <si>
    <t xml:space="preserve"> 66.042 </t>
  </si>
  <si>
    <t xml:space="preserve">Q:\R&amp;D\2-Test oestrogénique\OECD and AOPs\REACTIV oecd interlaboratory validation\Results WF\Résultats CBA\2021-CHG-CBA-Atenolol 2\plaque 2/@16 TESTO + FAD/D4_01.tif </t>
  </si>
  <si>
    <t xml:space="preserve"> 64.7308 </t>
  </si>
  <si>
    <t>Q:\R&amp;D\2-Test oestrogénique\OECD and AOPs\REACTIV oecd interlaboratory validation\Results WF\Résultats CBA\2021-CHG-CBA-Atenolol 2\plaque 2/@16 TESTO + FAD/D4_02- exclu.tif</t>
  </si>
  <si>
    <t xml:space="preserve">Q:\R&amp;D\2-Test oestrogénique\OECD and AOPs\REACTIV oecd interlaboratory validation\Results WF\Résultats CBA\2021-CHG-CBA-Atenolol 2\plaque 2/@16 TESTO + FAD/D4_03.tif </t>
  </si>
  <si>
    <t xml:space="preserve">Q:\R&amp;D\2-Test oestrogénique\OECD and AOPs\REACTIV oecd interlaboratory validation\Results WF\Résultats CBA\2021-CHG-CBA-Atenolol 2\plaque 2/@16 TESTO + FAD/E4_01.tif </t>
  </si>
  <si>
    <t xml:space="preserve"> 62.4706 </t>
  </si>
  <si>
    <t xml:space="preserve">Q:\R&amp;D\2-Test oestrogénique\OECD and AOPs\REACTIV oecd interlaboratory validation\Results WF\Résultats CBA\2021-CHG-CBA-Atenolol 2\plaque 2/@16 TESTO + FAD/E4_02.tif </t>
  </si>
  <si>
    <t xml:space="preserve"> 61.8182 </t>
  </si>
  <si>
    <t xml:space="preserve">Q:\R&amp;D\2-Test oestrogénique\OECD and AOPs\REACTIV oecd interlaboratory validation\Results WF\Résultats CBA\2021-CHG-CBA-Atenolol 2\plaque 2/@16 TESTO + FAD/E4_03.tif </t>
  </si>
  <si>
    <t xml:space="preserve"> 63.5185 </t>
  </si>
  <si>
    <t xml:space="preserve">Q:\R&amp;D\2-Test oestrogénique\OECD and AOPs\REACTIV oecd interlaboratory validation\Results WF\Résultats CBA\2021-CHG-CBA-Atenolol 2\plaque 2/@16 TESTO + FAD/F4_01.tif </t>
  </si>
  <si>
    <t xml:space="preserve"> 63.2222 </t>
  </si>
  <si>
    <t xml:space="preserve">Q:\R&amp;D\2-Test oestrogénique\OECD and AOPs\REACTIV oecd interlaboratory validation\Results WF\Résultats CBA\2021-CHG-CBA-Atenolol 2\plaque 2/@16 TESTO + FAD/F4_02.tif </t>
  </si>
  <si>
    <t xml:space="preserve"> 62.1875 </t>
  </si>
  <si>
    <t>Q:\R&amp;D\2-Test oestrogénique\OECD and AOPs\REACTIV oecd interlaboratory validation\Results WF\Résultats CBA\2021-CHG-CBA-Atenolol 2\plaque 2/@16 TESTO + FAD/F4_03- exclu.tif</t>
  </si>
  <si>
    <t xml:space="preserve">Q:\R&amp;D\2-Test oestrogénique\OECD and AOPs\REACTIV oecd interlaboratory validation\Results WF\Résultats CBA\2021-CHG-CBA-Atenolol 2\plaque 2/@16 TESTO + FAD/G4_01.tif </t>
  </si>
  <si>
    <t xml:space="preserve"> 6091.0514 </t>
  </si>
  <si>
    <t xml:space="preserve"> 69.6821 </t>
  </si>
  <si>
    <t xml:space="preserve">Q:\R&amp;D\2-Test oestrogénique\OECD and AOPs\REACTIV oecd interlaboratory validation\Results WF\Résultats CBA\2021-CHG-CBA-Atenolol 2\plaque 2/@16 TESTO + FAD/G4_02.tif </t>
  </si>
  <si>
    <t xml:space="preserve"> 66.3624 </t>
  </si>
  <si>
    <t xml:space="preserve">Q:\R&amp;D\2-Test oestrogénique\OECD and AOPs\REACTIV oecd interlaboratory validation\Results WF\Résultats CBA\2021-CHG-CBA-Atenolol 2\plaque 2/@16 TESTO + FAD/G4_03.tif </t>
  </si>
  <si>
    <t xml:space="preserve"> 66.4756 </t>
  </si>
  <si>
    <t xml:space="preserve">Q:\R&amp;D\2-Test oestrogénique\OECD and AOPs\REACTIV oecd interlaboratory validation\Results WF\Résultats CBA\2021-CHG-CBA-Atenolol 2\plaque 2/@16 TESTO + FAD/H4_01.tif </t>
  </si>
  <si>
    <t xml:space="preserve"> 63.15 </t>
  </si>
  <si>
    <t xml:space="preserve">Q:\R&amp;D\2-Test oestrogénique\OECD and AOPs\REACTIV oecd interlaboratory validation\Results WF\Résultats CBA\2021-CHG-CBA-Atenolol 2\plaque 2/@16 TESTO + FAD/H4_02.tif </t>
  </si>
  <si>
    <t xml:space="preserve"> 63.7143 </t>
  </si>
  <si>
    <t xml:space="preserve">Q:\R&amp;D\2-Test oestrogénique\OECD and AOPs\REACTIV oecd interlaboratory validation\Results WF\Résultats CBA\2021-CHG-CBA-Atenolol 2\plaque 2/@16 TESTO + FAD/H4_03.tif </t>
  </si>
  <si>
    <t xml:space="preserve"> 63.7105 </t>
  </si>
  <si>
    <t xml:space="preserve">Q:\R&amp;D\2-Test oestrogénique\OECD and AOPs\REACTIV oecd interlaboratory validation\Results WF\Résultats CBA\2021-CHG-CBA-Atenolol 2\plaque 2/@16 TESTO + FAD/ </t>
  </si>
  <si>
    <t xml:space="preserve"> 63.8859 </t>
  </si>
  <si>
    <t xml:space="preserve"> 1.7952 </t>
  </si>
  <si>
    <t xml:space="preserve"> 87852.6667 </t>
  </si>
  <si>
    <t xml:space="preserve"> 109892.984 </t>
  </si>
  <si>
    <t>Q:\R&amp;D\2-Test oestrogénique\OECD and AOPs\REACTIV oecd interlaboratory validation\Results WF\Résultats CBA\2021-CHG-CBA-Atenolol 2\plaque 2/@17 Atenolol 0.01/A5_01- exclu.tif</t>
  </si>
  <si>
    <t xml:space="preserve">Q:\R&amp;D\2-Test oestrogénique\OECD and AOPs\REACTIV oecd interlaboratory validation\Results WF\Résultats CBA\2021-CHG-CBA-Atenolol 2\plaque 2/@17 Atenolol 0.01/A5_02.tif </t>
  </si>
  <si>
    <t xml:space="preserve"> 15880.2412 </t>
  </si>
  <si>
    <t xml:space="preserve"> 66.5479 </t>
  </si>
  <si>
    <t xml:space="preserve">Q:\R&amp;D\2-Test oestrogénique\OECD and AOPs\REACTIV oecd interlaboratory validation\Results WF\Résultats CBA\2021-CHG-CBA-Atenolol 2\plaque 2/@17 Atenolol 0.01/A5_03.tif </t>
  </si>
  <si>
    <t xml:space="preserve"> 13095.7605 </t>
  </si>
  <si>
    <t xml:space="preserve"> 65.5714 </t>
  </si>
  <si>
    <t xml:space="preserve">Q:\R&amp;D\2-Test oestrogénique\OECD and AOPs\REACTIV oecd interlaboratory validation\Results WF\Résultats CBA\2021-CHG-CBA-Atenolol 2\plaque 2/@17 Atenolol 0.01/B5_01.tif </t>
  </si>
  <si>
    <t xml:space="preserve"> 26604.8424 </t>
  </si>
  <si>
    <t xml:space="preserve"> 80.4252 </t>
  </si>
  <si>
    <t xml:space="preserve">Q:\R&amp;D\2-Test oestrogénique\OECD and AOPs\REACTIV oecd interlaboratory validation\Results WF\Résultats CBA\2021-CHG-CBA-Atenolol 2\plaque 2/@17 Atenolol 0.01/B5_02.tif </t>
  </si>
  <si>
    <t xml:space="preserve"> 26713.6111 </t>
  </si>
  <si>
    <t xml:space="preserve"> 79.2036 </t>
  </si>
  <si>
    <t xml:space="preserve">Q:\R&amp;D\2-Test oestrogénique\OECD and AOPs\REACTIV oecd interlaboratory validation\Results WF\Résultats CBA\2021-CHG-CBA-Atenolol 2\plaque 2/@17 Atenolol 0.01/B5_03.tif </t>
  </si>
  <si>
    <t xml:space="preserve"> 24886.2957 </t>
  </si>
  <si>
    <t xml:space="preserve"> 76.0437 </t>
  </si>
  <si>
    <t xml:space="preserve">Q:\R&amp;D\2-Test oestrogénique\OECD and AOPs\REACTIV oecd interlaboratory validation\Results WF\Résultats CBA\2021-CHG-CBA-Atenolol 2\plaque 2/@17 Atenolol 0.01/C5_01.tif </t>
  </si>
  <si>
    <t xml:space="preserve"> 53862.2974 </t>
  </si>
  <si>
    <t xml:space="preserve"> 81.5929 </t>
  </si>
  <si>
    <t xml:space="preserve">Q:\R&amp;D\2-Test oestrogénique\OECD and AOPs\REACTIV oecd interlaboratory validation\Results WF\Résultats CBA\2021-CHG-CBA-Atenolol 2\plaque 2/@17 Atenolol 0.01/C5_02.tif </t>
  </si>
  <si>
    <t xml:space="preserve"> 50816.7717 </t>
  </si>
  <si>
    <t xml:space="preserve"> 78.8947 </t>
  </si>
  <si>
    <t xml:space="preserve">Q:\R&amp;D\2-Test oestrogénique\OECD and AOPs\REACTIV oecd interlaboratory validation\Results WF\Résultats CBA\2021-CHG-CBA-Atenolol 2\plaque 2/@17 Atenolol 0.01/C5_03.tif </t>
  </si>
  <si>
    <t xml:space="preserve"> 79.4293 </t>
  </si>
  <si>
    <t xml:space="preserve">Q:\R&amp;D\2-Test oestrogénique\OECD and AOPs\REACTIV oecd interlaboratory validation\Results WF\Résultats CBA\2021-CHG-CBA-Atenolol 2\plaque 2/@17 Atenolol 0.01/D5_01.tif </t>
  </si>
  <si>
    <t xml:space="preserve"> 27409.7313 </t>
  </si>
  <si>
    <t xml:space="preserve"> 68.7921 </t>
  </si>
  <si>
    <t xml:space="preserve">Q:\R&amp;D\2-Test oestrogénique\OECD and AOPs\REACTIV oecd interlaboratory validation\Results WF\Résultats CBA\2021-CHG-CBA-Atenolol 2\plaque 2/@17 Atenolol 0.01/D5_02.tif </t>
  </si>
  <si>
    <t xml:space="preserve"> 25038.572 </t>
  </si>
  <si>
    <t xml:space="preserve"> 67.3632 </t>
  </si>
  <si>
    <t xml:space="preserve">Q:\R&amp;D\2-Test oestrogénique\OECD and AOPs\REACTIV oecd interlaboratory validation\Results WF\Résultats CBA\2021-CHG-CBA-Atenolol 2\plaque 2/@17 Atenolol 0.01/D5_03.tif </t>
  </si>
  <si>
    <t xml:space="preserve"> 28040.5902 </t>
  </si>
  <si>
    <t xml:space="preserve"> 68.5407 </t>
  </si>
  <si>
    <t xml:space="preserve">Q:\R&amp;D\2-Test oestrogénique\OECD and AOPs\REACTIV oecd interlaboratory validation\Results WF\Résultats CBA\2021-CHG-CBA-Atenolol 2\plaque 2/@17 Atenolol 0.01/E5_01.tif </t>
  </si>
  <si>
    <t xml:space="preserve"> 20796.5898 </t>
  </si>
  <si>
    <t xml:space="preserve"> 66.6015 </t>
  </si>
  <si>
    <t xml:space="preserve">Q:\R&amp;D\2-Test oestrogénique\OECD and AOPs\REACTIV oecd interlaboratory validation\Results WF\Résultats CBA\2021-CHG-CBA-Atenolol 2\plaque 2/@17 Atenolol 0.01/E5_02.tif </t>
  </si>
  <si>
    <t xml:space="preserve"> 21644.9862 </t>
  </si>
  <si>
    <t xml:space="preserve">Q:\R&amp;D\2-Test oestrogénique\OECD and AOPs\REACTIV oecd interlaboratory validation\Results WF\Résultats CBA\2021-CHG-CBA-Atenolol 2\plaque 2/@17 Atenolol 0.01/E5_03.tif </t>
  </si>
  <si>
    <t xml:space="preserve"> 16141.2862 </t>
  </si>
  <si>
    <t xml:space="preserve"> 66.3571 </t>
  </si>
  <si>
    <t xml:space="preserve">Q:\R&amp;D\2-Test oestrogénique\OECD and AOPs\REACTIV oecd interlaboratory validation\Results WF\Résultats CBA\2021-CHG-CBA-Atenolol 2\plaque 2/@17 Atenolol 0.01/F5_01.tif </t>
  </si>
  <si>
    <t xml:space="preserve"> 25343.1246 </t>
  </si>
  <si>
    <t xml:space="preserve"> 67.9399 </t>
  </si>
  <si>
    <t xml:space="preserve">Q:\R&amp;D\2-Test oestrogénique\OECD and AOPs\REACTIV oecd interlaboratory validation\Results WF\Résultats CBA\2021-CHG-CBA-Atenolol 2\plaque 2/@17 Atenolol 0.01/F5_02.tif </t>
  </si>
  <si>
    <t xml:space="preserve"> 22906.704 </t>
  </si>
  <si>
    <t xml:space="preserve"> 69.7208 </t>
  </si>
  <si>
    <t xml:space="preserve">Q:\R&amp;D\2-Test oestrogénique\OECD and AOPs\REACTIV oecd interlaboratory validation\Results WF\Résultats CBA\2021-CHG-CBA-Atenolol 2\plaque 2/@17 Atenolol 0.01/F5_03.tif </t>
  </si>
  <si>
    <t xml:space="preserve"> 68.9347 </t>
  </si>
  <si>
    <t xml:space="preserve">Q:\R&amp;D\2-Test oestrogénique\OECD and AOPs\REACTIV oecd interlaboratory validation\Results WF\Résultats CBA\2021-CHG-CBA-Atenolol 2\plaque 2/@17 Atenolol 0.01/G5_01.tif </t>
  </si>
  <si>
    <t xml:space="preserve"> 47727.7385 </t>
  </si>
  <si>
    <t xml:space="preserve"> 71.6112 </t>
  </si>
  <si>
    <t xml:space="preserve">Q:\R&amp;D\2-Test oestrogénique\OECD and AOPs\REACTIV oecd interlaboratory validation\Results WF\Résultats CBA\2021-CHG-CBA-Atenolol 2\plaque 2/@17 Atenolol 0.01/G5_02.tif </t>
  </si>
  <si>
    <t xml:space="preserve"> 42115.2697 </t>
  </si>
  <si>
    <t xml:space="preserve"> 70.8042 </t>
  </si>
  <si>
    <t xml:space="preserve">Q:\R&amp;D\2-Test oestrogénique\OECD and AOPs\REACTIV oecd interlaboratory validation\Results WF\Résultats CBA\2021-CHG-CBA-Atenolol 2\plaque 2/@17 Atenolol 0.01/G5_03.tif </t>
  </si>
  <si>
    <t xml:space="preserve"> 38852.2064 </t>
  </si>
  <si>
    <t xml:space="preserve"> 71.5857 </t>
  </si>
  <si>
    <t xml:space="preserve">Q:\R&amp;D\2-Test oestrogénique\OECD and AOPs\REACTIV oecd interlaboratory validation\Results WF\Résultats CBA\2021-CHG-CBA-Atenolol 2\plaque 2/@17 Atenolol 0.01/H5_01.tif </t>
  </si>
  <si>
    <t xml:space="preserve"> 40962.3207 </t>
  </si>
  <si>
    <t xml:space="preserve"> 72.7631 </t>
  </si>
  <si>
    <t xml:space="preserve">Q:\R&amp;D\2-Test oestrogénique\OECD and AOPs\REACTIV oecd interlaboratory validation\Results WF\Résultats CBA\2021-CHG-CBA-Atenolol 2\plaque 2/@17 Atenolol 0.01/H5_02.tif </t>
  </si>
  <si>
    <t xml:space="preserve"> 40135.678 </t>
  </si>
  <si>
    <t xml:space="preserve"> 71.1154 </t>
  </si>
  <si>
    <t xml:space="preserve">Q:\R&amp;D\2-Test oestrogénique\OECD and AOPs\REACTIV oecd interlaboratory validation\Results WF\Résultats CBA\2021-CHG-CBA-Atenolol 2\plaque 2/@17 Atenolol 0.01/H5_03.tif </t>
  </si>
  <si>
    <t xml:space="preserve"> 42376.3147 </t>
  </si>
  <si>
    <t xml:space="preserve"> 70.2444 </t>
  </si>
  <si>
    <t xml:space="preserve">Q:\R&amp;D\2-Test oestrogénique\OECD and AOPs\REACTIV oecd interlaboratory validation\Results WF\Résultats CBA\2021-CHG-CBA-Atenolol 2\plaque 2/@17 Atenolol 0.01/ </t>
  </si>
  <si>
    <t xml:space="preserve"> 71.3865 </t>
  </si>
  <si>
    <t xml:space="preserve"> 5.0956 </t>
  </si>
  <si>
    <t xml:space="preserve"> 2253941.04 </t>
  </si>
  <si>
    <t xml:space="preserve"> 1052474.69 </t>
  </si>
  <si>
    <t xml:space="preserve">Q:\R&amp;D\2-Test oestrogénique\OECD and AOPs\REACTIV oecd interlaboratory validation\Results WF\Résultats CBA\2021-CHG-CBA-Atenolol 2\plaque 2/@18 Atenolol 0.1/A6_01.tif </t>
  </si>
  <si>
    <t xml:space="preserve"> 13400.3131 </t>
  </si>
  <si>
    <t xml:space="preserve"> 67.5601 </t>
  </si>
  <si>
    <t xml:space="preserve">Q:\R&amp;D\2-Test oestrogénique\OECD and AOPs\REACTIV oecd interlaboratory validation\Results WF\Résultats CBA\2021-CHG-CBA-Atenolol 2\plaque 2/@18 Atenolol 0.1/A6_02.tif </t>
  </si>
  <si>
    <t xml:space="preserve"> 10006.7273 </t>
  </si>
  <si>
    <t xml:space="preserve"> 66.6957 </t>
  </si>
  <si>
    <t xml:space="preserve">Q:\R&amp;D\2-Test oestrogénique\OECD and AOPs\REACTIV oecd interlaboratory validation\Results WF\Résultats CBA\2021-CHG-CBA-Atenolol 2\plaque 2/@18 Atenolol 0.1/A6_03.tif </t>
  </si>
  <si>
    <t xml:space="preserve">Q:\R&amp;D\2-Test oestrogénique\OECD and AOPs\REACTIV oecd interlaboratory validation\Results WF\Résultats CBA\2021-CHG-CBA-Atenolol 2\plaque 2/@18 Atenolol 0.1/B6_01.tif </t>
  </si>
  <si>
    <t xml:space="preserve"> 45291.3179 </t>
  </si>
  <si>
    <t xml:space="preserve"> 80.0932 </t>
  </si>
  <si>
    <t xml:space="preserve">Q:\R&amp;D\2-Test oestrogénique\OECD and AOPs\REACTIV oecd interlaboratory validation\Results WF\Résultats CBA\2021-CHG-CBA-Atenolol 2\plaque 2/@18 Atenolol 0.1/B6_02.tif </t>
  </si>
  <si>
    <t xml:space="preserve"> 46422.5132 </t>
  </si>
  <si>
    <t xml:space="preserve"> 82.0698 </t>
  </si>
  <si>
    <t xml:space="preserve">Q:\R&amp;D\2-Test oestrogénique\OECD and AOPs\REACTIV oecd interlaboratory validation\Results WF\Résultats CBA\2021-CHG-CBA-Atenolol 2\plaque 2/@18 Atenolol 0.1/B6_03.tif </t>
  </si>
  <si>
    <t xml:space="preserve"> 45987.4381 </t>
  </si>
  <si>
    <t xml:space="preserve"> 77.3926 </t>
  </si>
  <si>
    <t xml:space="preserve">Q:\R&amp;D\2-Test oestrogénique\OECD and AOPs\REACTIV oecd interlaboratory validation\Results WF\Résultats CBA\2021-CHG-CBA-Atenolol 2\plaque 2/@18 Atenolol 0.1/C6_01.tif </t>
  </si>
  <si>
    <t xml:space="preserve"> 24625.2507 </t>
  </si>
  <si>
    <t xml:space="preserve"> 71.5477 </t>
  </si>
  <si>
    <t xml:space="preserve">Q:\R&amp;D\2-Test oestrogénique\OECD and AOPs\REACTIV oecd interlaboratory validation\Results WF\Résultats CBA\2021-CHG-CBA-Atenolol 2\plaque 2/@18 Atenolol 0.1/C6_02.tif </t>
  </si>
  <si>
    <t xml:space="preserve"> 25495.4009 </t>
  </si>
  <si>
    <t xml:space="preserve"> 71.523 </t>
  </si>
  <si>
    <t>Q:\R&amp;D\2-Test oestrogénique\OECD and AOPs\REACTIV oecd interlaboratory validation\Results WF\Résultats CBA\2021-CHG-CBA-Atenolol 2\plaque 2/@18 Atenolol 0.1/C6_03- exclu.tif</t>
  </si>
  <si>
    <t xml:space="preserve">Q:\R&amp;D\2-Test oestrogénique\OECD and AOPs\REACTIV oecd interlaboratory validation\Results WF\Résultats CBA\2021-CHG-CBA-Atenolol 2\plaque 2/@18 Atenolol 0.1/D6_01.tif </t>
  </si>
  <si>
    <t xml:space="preserve"> 42811.3898 </t>
  </si>
  <si>
    <t xml:space="preserve"> 68.998 </t>
  </si>
  <si>
    <t xml:space="preserve">Q:\R&amp;D\2-Test oestrogénique\OECD and AOPs\REACTIV oecd interlaboratory validation\Results WF\Résultats CBA\2021-CHG-CBA-Atenolol 2\plaque 2/@18 Atenolol 0.1/D6_02.tif </t>
  </si>
  <si>
    <t xml:space="preserve"> 40353.2155 </t>
  </si>
  <si>
    <t xml:space="preserve"> 69.8922 </t>
  </si>
  <si>
    <t xml:space="preserve">Q:\R&amp;D\2-Test oestrogénique\OECD and AOPs\REACTIV oecd interlaboratory validation\Results WF\Résultats CBA\2021-CHG-CBA-Atenolol 2\plaque 2/@18 Atenolol 0.1/D6_03.tif </t>
  </si>
  <si>
    <t xml:space="preserve"> 35850.1882 </t>
  </si>
  <si>
    <t xml:space="preserve"> 68.6317 </t>
  </si>
  <si>
    <t xml:space="preserve">Q:\R&amp;D\2-Test oestrogénique\OECD and AOPs\REACTIV oecd interlaboratory validation\Results WF\Résultats CBA\2021-CHG-CBA-Atenolol 2\plaque 2/@18 Atenolol 0.1/E6_01.tif </t>
  </si>
  <si>
    <t xml:space="preserve"> 36002.4645 </t>
  </si>
  <si>
    <t xml:space="preserve"> 75.4405 </t>
  </si>
  <si>
    <t xml:space="preserve">Q:\R&amp;D\2-Test oestrogénique\OECD and AOPs\REACTIV oecd interlaboratory validation\Results WF\Résultats CBA\2021-CHG-CBA-Atenolol 2\plaque 2/@18 Atenolol 0.1/E6_02.tif </t>
  </si>
  <si>
    <t xml:space="preserve"> 38656.4226 </t>
  </si>
  <si>
    <t xml:space="preserve"> 73.121 </t>
  </si>
  <si>
    <t xml:space="preserve">Q:\R&amp;D\2-Test oestrogénique\OECD and AOPs\REACTIV oecd interlaboratory validation\Results WF\Résultats CBA\2021-CHG-CBA-Atenolol 2\plaque 2/@18 Atenolol 0.1/E6_03.tif </t>
  </si>
  <si>
    <t xml:space="preserve"> 34806.008 </t>
  </si>
  <si>
    <t xml:space="preserve"> 71.065 </t>
  </si>
  <si>
    <t xml:space="preserve">Q:\R&amp;D\2-Test oestrogénique\OECD and AOPs\REACTIV oecd interlaboratory validation\Results WF\Résultats CBA\2021-CHG-CBA-Atenolol 2\plaque 2/@18 Atenolol 0.1/F6_01.tif </t>
  </si>
  <si>
    <t xml:space="preserve"> 63.4889 </t>
  </si>
  <si>
    <t xml:space="preserve">Q:\R&amp;D\2-Test oestrogénique\OECD and AOPs\REACTIV oecd interlaboratory validation\Results WF\Résultats CBA\2021-CHG-CBA-Atenolol 2\plaque 2/@18 Atenolol 0.1/F6_02.tif </t>
  </si>
  <si>
    <t xml:space="preserve"> 64.0185 </t>
  </si>
  <si>
    <t xml:space="preserve">Q:\R&amp;D\2-Test oestrogénique\OECD and AOPs\REACTIV oecd interlaboratory validation\Results WF\Résultats CBA\2021-CHG-CBA-Atenolol 2\plaque 2/@18 Atenolol 0.1/F6_03.tif </t>
  </si>
  <si>
    <t xml:space="preserve"> 66.0663 </t>
  </si>
  <si>
    <t xml:space="preserve">Q:\R&amp;D\2-Test oestrogénique\OECD and AOPs\REACTIV oecd interlaboratory validation\Results WF\Résultats CBA\2021-CHG-CBA-Atenolol 2\plaque 2/@18 Atenolol 0.1/G6_01.tif </t>
  </si>
  <si>
    <t xml:space="preserve"> 64217.0848 </t>
  </si>
  <si>
    <t xml:space="preserve"> 78.3584 </t>
  </si>
  <si>
    <t>Q:\R&amp;D\2-Test oestrogénique\OECD and AOPs\REACTIV oecd interlaboratory validation\Results WF\Résultats CBA\2021-CHG-CBA-Atenolol 2\plaque 2/@18 Atenolol 0.1/G6_02- exclu.tif</t>
  </si>
  <si>
    <t xml:space="preserve">Q:\R&amp;D\2-Test oestrogénique\OECD and AOPs\REACTIV oecd interlaboratory validation\Results WF\Résultats CBA\2021-CHG-CBA-Atenolol 2\plaque 2/@18 Atenolol 0.1/G6_03.tif </t>
  </si>
  <si>
    <t xml:space="preserve"> 60779.9915 </t>
  </si>
  <si>
    <t xml:space="preserve"> 77.3125 </t>
  </si>
  <si>
    <t xml:space="preserve">Q:\R&amp;D\2-Test oestrogénique\OECD and AOPs\REACTIV oecd interlaboratory validation\Results WF\Résultats CBA\2021-CHG-CBA-Atenolol 2\plaque 2/@18 Atenolol 0.1/H6_01.tif </t>
  </si>
  <si>
    <t xml:space="preserve"> 32217.3112 </t>
  </si>
  <si>
    <t xml:space="preserve"> 68.6016 </t>
  </si>
  <si>
    <t xml:space="preserve">Q:\R&amp;D\2-Test oestrogénique\OECD and AOPs\REACTIV oecd interlaboratory validation\Results WF\Résultats CBA\2021-CHG-CBA-Atenolol 2\plaque 2/@18 Atenolol 0.1/H6_02.tif </t>
  </si>
  <si>
    <t xml:space="preserve"> 24929.8032 </t>
  </si>
  <si>
    <t xml:space="preserve"> 69.6667 </t>
  </si>
  <si>
    <t xml:space="preserve">Q:\R&amp;D\2-Test oestrogénique\OECD and AOPs\REACTIV oecd interlaboratory validation\Results WF\Résultats CBA\2021-CHG-CBA-Atenolol 2\plaque 2/@18 Atenolol 0.1/H6_03.tif </t>
  </si>
  <si>
    <t xml:space="preserve"> 68.2618 </t>
  </si>
  <si>
    <t xml:space="preserve">Q:\R&amp;D\2-Test oestrogénique\OECD and AOPs\REACTIV oecd interlaboratory validation\Results WF\Résultats CBA\2021-CHG-CBA-Atenolol 2\plaque 2/@18 Atenolol 0.1/ </t>
  </si>
  <si>
    <t xml:space="preserve"> 71.2272 </t>
  </si>
  <si>
    <t xml:space="preserve"> 5.1318 </t>
  </si>
  <si>
    <t xml:space="preserve"> 2319227.58 </t>
  </si>
  <si>
    <t xml:space="preserve"> 1406939.02 </t>
  </si>
  <si>
    <t xml:space="preserve">Q:\R&amp;D\2-Test oestrogénique\OECD and AOPs\REACTIV oecd interlaboratory validation\Results WF\Résultats CBA\2021-CHG-CBA-Atenolol 2\plaque 2/@19 Atenolol 1/A7_01.tif </t>
  </si>
  <si>
    <t xml:space="preserve"> 22384.6139 </t>
  </si>
  <si>
    <t xml:space="preserve"> 71.2954 </t>
  </si>
  <si>
    <t xml:space="preserve">Q:\R&amp;D\2-Test oestrogénique\OECD and AOPs\REACTIV oecd interlaboratory validation\Results WF\Résultats CBA\2021-CHG-CBA-Atenolol 2\plaque 2/@19 Atenolol 1/A7_02.tif </t>
  </si>
  <si>
    <t xml:space="preserve"> 18273.1542 </t>
  </si>
  <si>
    <t xml:space="preserve"> 70.7619 </t>
  </si>
  <si>
    <t xml:space="preserve">Q:\R&amp;D\2-Test oestrogénique\OECD and AOPs\REACTIV oecd interlaboratory validation\Results WF\Résultats CBA\2021-CHG-CBA-Atenolol 2\plaque 2/@19 Atenolol 1/A7_03.tif </t>
  </si>
  <si>
    <t xml:space="preserve"> 71.977 </t>
  </si>
  <si>
    <t xml:space="preserve">Q:\R&amp;D\2-Test oestrogénique\OECD and AOPs\REACTIV oecd interlaboratory validation\Results WF\Résultats CBA\2021-CHG-CBA-Atenolol 2\plaque 2/@19 Atenolol 1/B7_01.tif </t>
  </si>
  <si>
    <t xml:space="preserve"> 59779.3188 </t>
  </si>
  <si>
    <t xml:space="preserve"> 72.2067 </t>
  </si>
  <si>
    <t xml:space="preserve">Q:\R&amp;D\2-Test oestrogénique\OECD and AOPs\REACTIV oecd interlaboratory validation\Results WF\Résultats CBA\2021-CHG-CBA-Atenolol 2\plaque 2/@19 Atenolol 1/B7_02.tif </t>
  </si>
  <si>
    <t xml:space="preserve"> 49011.21 </t>
  </si>
  <si>
    <t xml:space="preserve"> 70.9095 </t>
  </si>
  <si>
    <t xml:space="preserve">Q:\R&amp;D\2-Test oestrogénique\OECD and AOPs\REACTIV oecd interlaboratory validation\Results WF\Résultats CBA\2021-CHG-CBA-Atenolol 2\plaque 2/@19 Atenolol 1/B7_03.tif </t>
  </si>
  <si>
    <t xml:space="preserve"> 46792.327 </t>
  </si>
  <si>
    <t xml:space="preserve"> 71.1213 </t>
  </si>
  <si>
    <t xml:space="preserve">Q:\R&amp;D\2-Test oestrogénique\OECD and AOPs\REACTIV oecd interlaboratory validation\Results WF\Résultats CBA\2021-CHG-CBA-Atenolol 2\plaque 2/@19 Atenolol 1/C7_01.tif </t>
  </si>
  <si>
    <t xml:space="preserve"> 75.8168 </t>
  </si>
  <si>
    <t xml:space="preserve">Q:\R&amp;D\2-Test oestrogénique\OECD and AOPs\REACTIV oecd interlaboratory validation\Results WF\Résultats CBA\2021-CHG-CBA-Atenolol 2\plaque 2/@19 Atenolol 1/C7_02.tif </t>
  </si>
  <si>
    <t xml:space="preserve"> 48967.7025 </t>
  </si>
  <si>
    <t xml:space="preserve"> 75.2403 </t>
  </si>
  <si>
    <t xml:space="preserve">Q:\R&amp;D\2-Test oestrogénique\OECD and AOPs\REACTIV oecd interlaboratory validation\Results WF\Résultats CBA\2021-CHG-CBA-Atenolol 2\plaque 2/@19 Atenolol 1/C7_03.tif </t>
  </si>
  <si>
    <t xml:space="preserve"> 48619.6424 </t>
  </si>
  <si>
    <t xml:space="preserve"> 76.8309 </t>
  </si>
  <si>
    <t xml:space="preserve">Q:\R&amp;D\2-Test oestrogénique\OECD and AOPs\REACTIV oecd interlaboratory validation\Results WF\Résultats CBA\2021-CHG-CBA-Atenolol 2\plaque 2/@19 Atenolol 1/D7_01.tif </t>
  </si>
  <si>
    <t xml:space="preserve"> 77.1712 </t>
  </si>
  <si>
    <t xml:space="preserve">Q:\R&amp;D\2-Test oestrogénique\OECD and AOPs\REACTIV oecd interlaboratory validation\Results WF\Résultats CBA\2021-CHG-CBA-Atenolol 2\plaque 2/@19 Atenolol 1/D7_02.tif </t>
  </si>
  <si>
    <t xml:space="preserve"> 77.7254 </t>
  </si>
  <si>
    <t xml:space="preserve">Q:\R&amp;D\2-Test oestrogénique\OECD and AOPs\REACTIV oecd interlaboratory validation\Results WF\Résultats CBA\2021-CHG-CBA-Atenolol 2\plaque 2/@19 Atenolol 1/D7_03.tif </t>
  </si>
  <si>
    <t xml:space="preserve"> 42245.7922 </t>
  </si>
  <si>
    <t xml:space="preserve"> 74.8708 </t>
  </si>
  <si>
    <t xml:space="preserve">Q:\R&amp;D\2-Test oestrogénique\OECD and AOPs\REACTIV oecd interlaboratory validation\Results WF\Résultats CBA\2021-CHG-CBA-Atenolol 2\plaque 2/@19 Atenolol 1/E7_01.tif </t>
  </si>
  <si>
    <t xml:space="preserve"> 49511.5464 </t>
  </si>
  <si>
    <t xml:space="preserve"> 67.5242 </t>
  </si>
  <si>
    <t xml:space="preserve">Q:\R&amp;D\2-Test oestrogénique\OECD and AOPs\REACTIV oecd interlaboratory validation\Results WF\Résultats CBA\2021-CHG-CBA-Atenolol 2\plaque 2/@19 Atenolol 1/E7_02.tif </t>
  </si>
  <si>
    <t xml:space="preserve"> 42680.8673 </t>
  </si>
  <si>
    <t xml:space="preserve"> 68.1081 </t>
  </si>
  <si>
    <t xml:space="preserve">Q:\R&amp;D\2-Test oestrogénique\OECD and AOPs\REACTIV oecd interlaboratory validation\Results WF\Résultats CBA\2021-CHG-CBA-Atenolol 2\plaque 2/@19 Atenolol 1/E7_03.tif </t>
  </si>
  <si>
    <t xml:space="preserve"> 39983.4017 </t>
  </si>
  <si>
    <t xml:space="preserve"> 66.7029 </t>
  </si>
  <si>
    <t xml:space="preserve">Q:\R&amp;D\2-Test oestrogénique\OECD and AOPs\REACTIV oecd interlaboratory validation\Results WF\Résultats CBA\2021-CHG-CBA-Atenolol 2\plaque 2/@19 Atenolol 1/F7_01.tif </t>
  </si>
  <si>
    <t xml:space="preserve"> 13944.157 </t>
  </si>
  <si>
    <t xml:space="preserve"> 64.4197 </t>
  </si>
  <si>
    <t xml:space="preserve">Q:\R&amp;D\2-Test oestrogénique\OECD and AOPs\REACTIV oecd interlaboratory validation\Results WF\Résultats CBA\2021-CHG-CBA-Atenolol 2\plaque 2/@19 Atenolol 1/F7_02.tif </t>
  </si>
  <si>
    <t xml:space="preserve"> 19012.7819 </t>
  </si>
  <si>
    <t xml:space="preserve"> 65.2357 </t>
  </si>
  <si>
    <t xml:space="preserve">Q:\R&amp;D\2-Test oestrogénique\OECD and AOPs\REACTIV oecd interlaboratory validation\Results WF\Résultats CBA\2021-CHG-CBA-Atenolol 2\plaque 2/@19 Atenolol 1/F7_03.tif </t>
  </si>
  <si>
    <t xml:space="preserve"> 15575.6886 </t>
  </si>
  <si>
    <t xml:space="preserve"> 65.1676 </t>
  </si>
  <si>
    <t xml:space="preserve">Q:\R&amp;D\2-Test oestrogénique\OECD and AOPs\REACTIV oecd interlaboratory validation\Results WF\Résultats CBA\2021-CHG-CBA-Atenolol 2\plaque 2/@19 Atenolol 1/G7_01.tif </t>
  </si>
  <si>
    <t xml:space="preserve"> 61258.5741 </t>
  </si>
  <si>
    <t xml:space="preserve"> 73.8672 </t>
  </si>
  <si>
    <t xml:space="preserve">Q:\R&amp;D\2-Test oestrogénique\OECD and AOPs\REACTIV oecd interlaboratory validation\Results WF\Résultats CBA\2021-CHG-CBA-Atenolol 2\plaque 2/@19 Atenolol 1/G7_02.tif </t>
  </si>
  <si>
    <t xml:space="preserve"> 59540.0274 </t>
  </si>
  <si>
    <t xml:space="preserve"> 73.0698 </t>
  </si>
  <si>
    <t xml:space="preserve">Q:\R&amp;D\2-Test oestrogénique\OECD and AOPs\REACTIV oecd interlaboratory validation\Results WF\Résultats CBA\2021-CHG-CBA-Atenolol 2\plaque 2/@19 Atenolol 1/G7_03.tif </t>
  </si>
  <si>
    <t xml:space="preserve"> 61171.5591 </t>
  </si>
  <si>
    <t xml:space="preserve"> 75.4605 </t>
  </si>
  <si>
    <t xml:space="preserve">Q:\R&amp;D\2-Test oestrogénique\OECD and AOPs\REACTIV oecd interlaboratory validation\Results WF\Résultats CBA\2021-CHG-CBA-Atenolol 2\plaque 2/@19 Atenolol 1/H7_01.tif </t>
  </si>
  <si>
    <t xml:space="preserve"> 49642.0689 </t>
  </si>
  <si>
    <t xml:space="preserve"> 73.5942 </t>
  </si>
  <si>
    <t xml:space="preserve">Q:\R&amp;D\2-Test oestrogénique\OECD and AOPs\REACTIV oecd interlaboratory validation\Results WF\Résultats CBA\2021-CHG-CBA-Atenolol 2\plaque 2/@19 Atenolol 1/H7_02.tif </t>
  </si>
  <si>
    <t xml:space="preserve"> 47553.7084 </t>
  </si>
  <si>
    <t xml:space="preserve"> 75.3861 </t>
  </si>
  <si>
    <t xml:space="preserve">Q:\R&amp;D\2-Test oestrogénique\OECD and AOPs\REACTIV oecd interlaboratory validation\Results WF\Résultats CBA\2021-CHG-CBA-Atenolol 2\plaque 2/@19 Atenolol 1/H7_03.tif </t>
  </si>
  <si>
    <t xml:space="preserve"> 53318.4535 </t>
  </si>
  <si>
    <t xml:space="preserve"> 76.6397 </t>
  </si>
  <si>
    <t xml:space="preserve">Q:\R&amp;D\2-Test oestrogénique\OECD and AOPs\REACTIV oecd interlaboratory validation\Results WF\Résultats CBA\2021-CHG-CBA-Atenolol 2\plaque 2/@19 Atenolol 1/ </t>
  </si>
  <si>
    <t xml:space="preserve"> 72.1293 </t>
  </si>
  <si>
    <t xml:space="preserve"> 4.0918 </t>
  </si>
  <si>
    <t xml:space="preserve"> 3042398.54 </t>
  </si>
  <si>
    <t xml:space="preserve"> 1158521.68 </t>
  </si>
  <si>
    <t xml:space="preserve">Q:\R&amp;D\2-Test oestrogénique\OECD and AOPs\REACTIV oecd interlaboratory validation\Results WF\Résultats CBA\2021-CHG-CBA-Atenolol 2\plaque 2/@20 Atenolol 10/A8_01.tif </t>
  </si>
  <si>
    <t xml:space="preserve"> 21209.9111 </t>
  </si>
  <si>
    <t xml:space="preserve"> 84.8462 </t>
  </si>
  <si>
    <t xml:space="preserve">Q:\R&amp;D\2-Test oestrogénique\OECD and AOPs\REACTIV oecd interlaboratory validation\Results WF\Résultats CBA\2021-CHG-CBA-Atenolol 2\plaque 2/@20 Atenolol 10/A8_02.tif </t>
  </si>
  <si>
    <t xml:space="preserve"> 10702.8475 </t>
  </si>
  <si>
    <t xml:space="preserve"> 76.4654 </t>
  </si>
  <si>
    <t>Q:\R&amp;D\2-Test oestrogénique\OECD and AOPs\REACTIV oecd interlaboratory validation\Results WF\Résultats CBA\2021-CHG-CBA-Atenolol 2\plaque 2/@20 Atenolol 10/A8_03- exclu.tif</t>
  </si>
  <si>
    <t xml:space="preserve">Q:\R&amp;D\2-Test oestrogénique\OECD and AOPs\REACTIV oecd interlaboratory validation\Results WF\Résultats CBA\2021-CHG-CBA-Atenolol 2\plaque 2/@20 Atenolol 10/B8_01.tif </t>
  </si>
  <si>
    <t xml:space="preserve"> 45095.5341 </t>
  </si>
  <si>
    <t xml:space="preserve"> 71.5818 </t>
  </si>
  <si>
    <t xml:space="preserve">Q:\R&amp;D\2-Test oestrogénique\OECD and AOPs\REACTIV oecd interlaboratory validation\Results WF\Résultats CBA\2021-CHG-CBA-Atenolol 2\plaque 2/@20 Atenolol 10/B8_02.tif </t>
  </si>
  <si>
    <t xml:space="preserve"> 44595.1978 </t>
  </si>
  <si>
    <t xml:space="preserve"> 71.2141 </t>
  </si>
  <si>
    <t>Q:\R&amp;D\2-Test oestrogénique\OECD and AOPs\REACTIV oecd interlaboratory validation\Results WF\Résultats CBA\2021-CHG-CBA-Atenolol 2\plaque 2/@20 Atenolol 10/B8_03- exclu.tif</t>
  </si>
  <si>
    <t xml:space="preserve">Q:\R&amp;D\2-Test oestrogénique\OECD and AOPs\REACTIV oecd interlaboratory validation\Results WF\Résultats CBA\2021-CHG-CBA-Atenolol 2\plaque 2/@20 Atenolol 10/C8_01.tif </t>
  </si>
  <si>
    <t xml:space="preserve"> 39504.8191 </t>
  </si>
  <si>
    <t xml:space="preserve"> 72.7627 </t>
  </si>
  <si>
    <t xml:space="preserve">Q:\R&amp;D\2-Test oestrogénique\OECD and AOPs\REACTIV oecd interlaboratory validation\Results WF\Résultats CBA\2021-CHG-CBA-Atenolol 2\plaque 2/@20 Atenolol 10/C8_02.tif </t>
  </si>
  <si>
    <t xml:space="preserve"> 41397.3958 </t>
  </si>
  <si>
    <t xml:space="preserve"> 73.0252 </t>
  </si>
  <si>
    <t xml:space="preserve">Q:\R&amp;D\2-Test oestrogénique\OECD and AOPs\REACTIV oecd interlaboratory validation\Results WF\Résultats CBA\2021-CHG-CBA-Atenolol 2\plaque 2/@20 Atenolol 10/C8_03.tif </t>
  </si>
  <si>
    <t xml:space="preserve"> 38438.8851 </t>
  </si>
  <si>
    <t xml:space="preserve"> 72.6938 </t>
  </si>
  <si>
    <t xml:space="preserve">Q:\R&amp;D\2-Test oestrogénique\OECD and AOPs\REACTIV oecd interlaboratory validation\Results WF\Résultats CBA\2021-CHG-CBA-Atenolol 2\plaque 2/@20 Atenolol 10/D8_01.tif </t>
  </si>
  <si>
    <t xml:space="preserve"> 71.5391 </t>
  </si>
  <si>
    <t xml:space="preserve">Q:\R&amp;D\2-Test oestrogénique\OECD and AOPs\REACTIV oecd interlaboratory validation\Results WF\Résultats CBA\2021-CHG-CBA-Atenolol 2\plaque 2/@20 Atenolol 10/D8_02.tif </t>
  </si>
  <si>
    <t xml:space="preserve"> 47314.4171 </t>
  </si>
  <si>
    <t xml:space="preserve"> 71.8184 </t>
  </si>
  <si>
    <t xml:space="preserve">Q:\R&amp;D\2-Test oestrogénique\OECD and AOPs\REACTIV oecd interlaboratory validation\Results WF\Résultats CBA\2021-CHG-CBA-Atenolol 2\plaque 2/@20 Atenolol 10/D8_03.tif </t>
  </si>
  <si>
    <t xml:space="preserve"> 47249.1559 </t>
  </si>
  <si>
    <t xml:space="preserve"> 70.7965 </t>
  </si>
  <si>
    <t xml:space="preserve">Q:\R&amp;D\2-Test oestrogénique\OECD and AOPs\REACTIV oecd interlaboratory validation\Results WF\Résultats CBA\2021-CHG-CBA-Atenolol 2\plaque 2/@20 Atenolol 10/E8_01.tif </t>
  </si>
  <si>
    <t xml:space="preserve"> 68.3539 </t>
  </si>
  <si>
    <t xml:space="preserve">Q:\R&amp;D\2-Test oestrogénique\OECD and AOPs\REACTIV oecd interlaboratory validation\Results WF\Résultats CBA\2021-CHG-CBA-Atenolol 2\plaque 2/@20 Atenolol 10/E8_02.tif </t>
  </si>
  <si>
    <t xml:space="preserve"> 16467.5925 </t>
  </si>
  <si>
    <t xml:space="preserve"> 66.4914 </t>
  </si>
  <si>
    <t xml:space="preserve">Q:\R&amp;D\2-Test oestrogénique\OECD and AOPs\REACTIV oecd interlaboratory validation\Results WF\Résultats CBA\2021-CHG-CBA-Atenolol 2\plaque 2/@20 Atenolol 10/E8_03.tif </t>
  </si>
  <si>
    <t xml:space="preserve"> 24777.5269 </t>
  </si>
  <si>
    <t xml:space="preserve"> 67.7937 </t>
  </si>
  <si>
    <t xml:space="preserve">Q:\R&amp;D\2-Test oestrogénique\OECD and AOPs\REACTIV oecd interlaboratory validation\Results WF\Résultats CBA\2021-CHG-CBA-Atenolol 2\plaque 2/@20 Atenolol 10/F8_01.tif </t>
  </si>
  <si>
    <t xml:space="preserve"> 32326.0799 </t>
  </si>
  <si>
    <t xml:space="preserve"> 71.245 </t>
  </si>
  <si>
    <t xml:space="preserve">Q:\R&amp;D\2-Test oestrogénique\OECD and AOPs\REACTIV oecd interlaboratory validation\Results WF\Résultats CBA\2021-CHG-CBA-Atenolol 2\plaque 2/@20 Atenolol 10/F8_02.tif </t>
  </si>
  <si>
    <t xml:space="preserve"> 28519.1728 </t>
  </si>
  <si>
    <t xml:space="preserve"> 71.1686 </t>
  </si>
  <si>
    <t xml:space="preserve">Q:\R&amp;D\2-Test oestrogénique\OECD and AOPs\REACTIV oecd interlaboratory validation\Results WF\Résultats CBA\2021-CHG-CBA-Atenolol 2\plaque 2/@20 Atenolol 10/F8_03.tif </t>
  </si>
  <si>
    <t xml:space="preserve"> 33457.2752 </t>
  </si>
  <si>
    <t xml:space="preserve"> 71.4876 </t>
  </si>
  <si>
    <t>Q:\R&amp;D\2-Test oestrogénique\OECD and AOPs\REACTIV oecd interlaboratory validation\Results WF\Résultats CBA\2021-CHG-CBA-Atenolol 2\plaque 2/@20 Atenolol 10/G8_01- exclu.tif</t>
  </si>
  <si>
    <t>Q:\R&amp;D\2-Test oestrogénique\OECD and AOPs\REACTIV oecd interlaboratory validation\Results WF\Résultats CBA\2021-CHG-CBA-Atenolol 2\plaque 2/@20 Atenolol 10/G8_02- exclu.tif</t>
  </si>
  <si>
    <t xml:space="preserve">Q:\R&amp;D\2-Test oestrogénique\OECD and AOPs\REACTIV oecd interlaboratory validation\Results WF\Résultats CBA\2021-CHG-CBA-Atenolol 2\plaque 2/@20 Atenolol 10/G8_03.tif </t>
  </si>
  <si>
    <t xml:space="preserve"> 55232.784 </t>
  </si>
  <si>
    <t xml:space="preserve"> 68.7664 </t>
  </si>
  <si>
    <t xml:space="preserve">Q:\R&amp;D\2-Test oestrogénique\OECD and AOPs\REACTIV oecd interlaboratory validation\Results WF\Résultats CBA\2021-CHG-CBA-Atenolol 2\plaque 2/@20 Atenolol 10/H8_01.tif </t>
  </si>
  <si>
    <t xml:space="preserve"> 16859.1601 </t>
  </si>
  <si>
    <t xml:space="preserve"> 64.9948 </t>
  </si>
  <si>
    <t xml:space="preserve">Q:\R&amp;D\2-Test oestrogénique\OECD and AOPs\REACTIV oecd interlaboratory validation\Results WF\Résultats CBA\2021-CHG-CBA-Atenolol 2\plaque 2/@20 Atenolol 10/H8_02.tif </t>
  </si>
  <si>
    <t xml:space="preserve"> 22014.8001 </t>
  </si>
  <si>
    <t xml:space="preserve"> 65.7955 </t>
  </si>
  <si>
    <t xml:space="preserve">Q:\R&amp;D\2-Test oestrogénique\OECD and AOPs\REACTIV oecd interlaboratory validation\Results WF\Résultats CBA\2021-CHG-CBA-Atenolol 2\plaque 2/@20 Atenolol 10/H8_03.tif </t>
  </si>
  <si>
    <t xml:space="preserve"> 15358.151 </t>
  </si>
  <si>
    <t xml:space="preserve"> 65.6218 </t>
  </si>
  <si>
    <t xml:space="preserve">Q:\R&amp;D\2-Test oestrogénique\OECD and AOPs\REACTIV oecd interlaboratory validation\Results WF\Résultats CBA\2021-CHG-CBA-Atenolol 2\plaque 2/@20 Atenolol 10/ </t>
  </si>
  <si>
    <t xml:space="preserve"> 70.8555 </t>
  </si>
  <si>
    <t xml:space="preserve"> 4.4743 </t>
  </si>
  <si>
    <t xml:space="preserve"> 2259636.92 </t>
  </si>
  <si>
    <t xml:space="preserve"> 913320.488 </t>
  </si>
  <si>
    <t>Q:\R&amp;D\2-Test oestrogénique\OECD and AOPs\REACTIV oecd interlaboratory validation\Results WF\Résultats CBA\2021-CHG-CBA-Atenolol 2\plaque 2/@21Atenolol 100/A9_01- exclu.tif</t>
  </si>
  <si>
    <t xml:space="preserve">Q:\R&amp;D\2-Test oestrogénique\OECD and AOPs\REACTIV oecd interlaboratory validation\Results WF\Résultats CBA\2021-CHG-CBA-Atenolol 2\plaque 2/@21Atenolol 100/A9_02.tif </t>
  </si>
  <si>
    <t xml:space="preserve"> 43725.0476 </t>
  </si>
  <si>
    <t xml:space="preserve"> 73.2249 </t>
  </si>
  <si>
    <t xml:space="preserve">Q:\R&amp;D\2-Test oestrogénique\OECD and AOPs\REACTIV oecd interlaboratory validation\Results WF\Résultats CBA\2021-CHG-CBA-Atenolol 2\plaque 2/@21Atenolol 100/A9_03.tif </t>
  </si>
  <si>
    <t xml:space="preserve"> 54623.6788 </t>
  </si>
  <si>
    <t xml:space="preserve"> 70.949 </t>
  </si>
  <si>
    <t xml:space="preserve">Q:\R&amp;D\2-Test oestrogénique\OECD and AOPs\REACTIV oecd interlaboratory validation\Results WF\Résultats CBA\2021-CHG-CBA-Atenolol 2\plaque 2/@21Atenolol 100/B9_01.tif </t>
  </si>
  <si>
    <t xml:space="preserve"> 25169.0945 </t>
  </si>
  <si>
    <t xml:space="preserve"> 66.7174 </t>
  </si>
  <si>
    <t xml:space="preserve">Q:\R&amp;D\2-Test oestrogénique\OECD and AOPs\REACTIV oecd interlaboratory validation\Results WF\Résultats CBA\2021-CHG-CBA-Atenolol 2\plaque 2/@21Atenolol 100/B9_02.tif </t>
  </si>
  <si>
    <t xml:space="preserve"> 27257.455 </t>
  </si>
  <si>
    <t xml:space="preserve"> 67.3743 </t>
  </si>
  <si>
    <t xml:space="preserve">Q:\R&amp;D\2-Test oestrogénique\OECD and AOPs\REACTIV oecd interlaboratory validation\Results WF\Résultats CBA\2021-CHG-CBA-Atenolol 2\plaque 2/@21Atenolol 100/B9_03.tif </t>
  </si>
  <si>
    <t xml:space="preserve"> 27975.3289 </t>
  </si>
  <si>
    <t xml:space="preserve"> 66.6485 </t>
  </si>
  <si>
    <t xml:space="preserve">Q:\R&amp;D\2-Test oestrogénique\OECD and AOPs\REACTIV oecd interlaboratory validation\Results WF\Résultats CBA\2021-CHG-CBA-Atenolol 2\plaque 2/@21Atenolol 100/C9_01.tif </t>
  </si>
  <si>
    <t xml:space="preserve"> 70.9356 </t>
  </si>
  <si>
    <t xml:space="preserve">Q:\R&amp;D\2-Test oestrogénique\OECD and AOPs\REACTIV oecd interlaboratory validation\Results WF\Résultats CBA\2021-CHG-CBA-Atenolol 2\plaque 2/@21Atenolol 100/C9_02.tif </t>
  </si>
  <si>
    <t xml:space="preserve"> 52013.2282 </t>
  </si>
  <si>
    <t xml:space="preserve"> 72.3559 </t>
  </si>
  <si>
    <t xml:space="preserve">Q:\R&amp;D\2-Test oestrogénique\OECD and AOPs\REACTIV oecd interlaboratory validation\Results WF\Résultats CBA\2021-CHG-CBA-Atenolol 2\plaque 2/@21Atenolol 100/C9_03.tif </t>
  </si>
  <si>
    <t xml:space="preserve"> 49707.3302 </t>
  </si>
  <si>
    <t xml:space="preserve"> 71.7125 </t>
  </si>
  <si>
    <t>Q:\R&amp;D\2-Test oestrogénique\OECD and AOPs\REACTIV oecd interlaboratory validation\Results WF\Résultats CBA\2021-CHG-CBA-Atenolol 2\plaque 2/@21Atenolol 100/D9_01- exclu.tif</t>
  </si>
  <si>
    <t>Q:\R&amp;D\2-Test oestrogénique\OECD and AOPs\REACTIV oecd interlaboratory validation\Results WF\Résultats CBA\2021-CHG-CBA-Atenolol 2\plaque 2/@21Atenolol 100/D9_02- exclu.tif</t>
  </si>
  <si>
    <t>Q:\R&amp;D\2-Test oestrogénique\OECD and AOPs\REACTIV oecd interlaboratory validation\Results WF\Résultats CBA\2021-CHG-CBA-Atenolol 2\plaque 2/@21Atenolol 100/D9_03- exclu.tif</t>
  </si>
  <si>
    <t xml:space="preserve">Q:\R&amp;D\2-Test oestrogénique\OECD and AOPs\REACTIV oecd interlaboratory validation\Results WF\Résultats CBA\2021-CHG-CBA-Atenolol 2\plaque 2/@21Atenolol 100/E9_01.tif </t>
  </si>
  <si>
    <t xml:space="preserve"> 68154.5144 </t>
  </si>
  <si>
    <t xml:space="preserve"> 78.4309 </t>
  </si>
  <si>
    <t xml:space="preserve">Q:\R&amp;D\2-Test oestrogénique\OECD and AOPs\REACTIV oecd interlaboratory validation\Results WF\Résultats CBA\2021-CHG-CBA-Atenolol 2\plaque 2/@21Atenolol 100/E9_02.tif </t>
  </si>
  <si>
    <t xml:space="preserve"> 60192.6401 </t>
  </si>
  <si>
    <t xml:space="preserve"> 75.2743 </t>
  </si>
  <si>
    <t xml:space="preserve">Q:\R&amp;D\2-Test oestrogénique\OECD and AOPs\REACTIV oecd interlaboratory validation\Results WF\Résultats CBA\2021-CHG-CBA-Atenolol 2\plaque 2/@21Atenolol 100/E9_03.tif </t>
  </si>
  <si>
    <t xml:space="preserve"> 63999.5472 </t>
  </si>
  <si>
    <t xml:space="preserve"> 76.3372 </t>
  </si>
  <si>
    <t xml:space="preserve">Q:\R&amp;D\2-Test oestrogénique\OECD and AOPs\REACTIV oecd interlaboratory validation\Results WF\Résultats CBA\2021-CHG-CBA-Atenolol 2\plaque 2/@21Atenolol 100/F9_01.tif </t>
  </si>
  <si>
    <t xml:space="preserve"> 21819.0163 </t>
  </si>
  <si>
    <t xml:space="preserve"> 69.9043 </t>
  </si>
  <si>
    <t xml:space="preserve">Q:\R&amp;D\2-Test oestrogénique\OECD and AOPs\REACTIV oecd interlaboratory validation\Results WF\Résultats CBA\2021-CHG-CBA-Atenolol 2\plaque 2/@21Atenolol 100/F9_02.tif </t>
  </si>
  <si>
    <t xml:space="preserve"> 17120.2052 </t>
  </si>
  <si>
    <t xml:space="preserve"> 68.845 </t>
  </si>
  <si>
    <t xml:space="preserve">Q:\R&amp;D\2-Test oestrogénique\OECD and AOPs\REACTIV oecd interlaboratory validation\Results WF\Résultats CBA\2021-CHG-CBA-Atenolol 2\plaque 2/@21Atenolol 100/F9_03.tif </t>
  </si>
  <si>
    <t xml:space="preserve"> 20774.836 </t>
  </si>
  <si>
    <t xml:space="preserve"> 68.5246 </t>
  </si>
  <si>
    <t>Q:\R&amp;D\2-Test oestrogénique\OECD and AOPs\REACTIV oecd interlaboratory validation\Results WF\Résultats CBA\2021-CHG-CBA-Atenolol 2\plaque 2/@21Atenolol 100/G9_01- exclu.tif</t>
  </si>
  <si>
    <t xml:space="preserve">Q:\R&amp;D\2-Test oestrogénique\OECD and AOPs\REACTIV oecd interlaboratory validation\Results WF\Résultats CBA\2021-CHG-CBA-Atenolol 2\plaque 2/@21Atenolol 100/G9_02.tif </t>
  </si>
  <si>
    <t xml:space="preserve"> 42137.0234 </t>
  </si>
  <si>
    <t xml:space="preserve"> 72.0015 </t>
  </si>
  <si>
    <t xml:space="preserve">Q:\R&amp;D\2-Test oestrogénique\OECD and AOPs\REACTIV oecd interlaboratory validation\Results WF\Résultats CBA\2021-CHG-CBA-Atenolol 2\plaque 2/@21Atenolol 100/G9_03.tif </t>
  </si>
  <si>
    <t xml:space="preserve"> 38873.9602 </t>
  </si>
  <si>
    <t xml:space="preserve"> 70.8025 </t>
  </si>
  <si>
    <t xml:space="preserve">Q:\R&amp;D\2-Test oestrogénique\OECD and AOPs\REACTIV oecd interlaboratory validation\Results WF\Résultats CBA\2021-CHG-CBA-Atenolol 2\plaque 2/@21Atenolol 100/H9_01.tif </t>
  </si>
  <si>
    <t xml:space="preserve"> 61954.6943 </t>
  </si>
  <si>
    <t xml:space="preserve"> 80.2623 </t>
  </si>
  <si>
    <t xml:space="preserve">Q:\R&amp;D\2-Test oestrogénique\OECD and AOPs\REACTIV oecd interlaboratory validation\Results WF\Résultats CBA\2021-CHG-CBA-Atenolol 2\plaque 2/@21Atenolol 100/H9_02.tif </t>
  </si>
  <si>
    <t xml:space="preserve"> 56255.2104 </t>
  </si>
  <si>
    <t xml:space="preserve"> 78.6241 </t>
  </si>
  <si>
    <t xml:space="preserve">Q:\R&amp;D\2-Test oestrogénique\OECD and AOPs\REACTIV oecd interlaboratory validation\Results WF\Résultats CBA\2021-CHG-CBA-Atenolol 2\plaque 2/@21Atenolol 100/H9_03.tif </t>
  </si>
  <si>
    <t xml:space="preserve"> 59431.2587 </t>
  </si>
  <si>
    <t xml:space="preserve"> 80.1398 </t>
  </si>
  <si>
    <t xml:space="preserve">Q:\R&amp;D\2-Test oestrogénique\OECD and AOPs\REACTIV oecd interlaboratory validation\Results WF\Résultats CBA\2021-CHG-CBA-Atenolol 2\plaque 2/@21Atenolol 100/ </t>
  </si>
  <si>
    <t xml:space="preserve"> 71.6349 </t>
  </si>
  <si>
    <t xml:space="preserve"> 5.2178 </t>
  </si>
  <si>
    <t xml:space="preserve"> 2804134.29 </t>
  </si>
  <si>
    <t xml:space="preserve"> 1625336.57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</si>
</sst>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sz val="9"/>
      <name val="Arial"/>
      <family val="2"/>
    </font>
    <font>
      <sz val="8"/>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6">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20"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xf numFmtId="0" fontId="21" fillId="0" borderId="0" xfId="0" applyFont="1"/>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9.2481515429384778E-2</c:v>
                  </c:pt>
                  <c:pt idx="2">
                    <c:v>0.16982561447050717</c:v>
                  </c:pt>
                  <c:pt idx="3">
                    <c:v>1.8296865304295685E-2</c:v>
                  </c:pt>
                  <c:pt idx="4">
                    <c:v>0.12911174097996875</c:v>
                  </c:pt>
                  <c:pt idx="5">
                    <c:v>0.10300496511344552</c:v>
                  </c:pt>
                  <c:pt idx="6">
                    <c:v>9.9983219797876624E-2</c:v>
                  </c:pt>
                  <c:pt idx="7">
                    <c:v>0.17981685523614852</c:v>
                  </c:pt>
                  <c:pt idx="8">
                    <c:v>9.2875790568960476E-2</c:v>
                  </c:pt>
                </c:numCache>
              </c:numRef>
            </c:plus>
            <c:minus>
              <c:numRef>
                <c:f>'R1'!$N$48:$V$48</c:f>
                <c:numCache>
                  <c:formatCode>General</c:formatCode>
                  <c:ptCount val="9"/>
                  <c:pt idx="0">
                    <c:v>0</c:v>
                  </c:pt>
                  <c:pt idx="1">
                    <c:v>9.2481515429384778E-2</c:v>
                  </c:pt>
                  <c:pt idx="2">
                    <c:v>0.16982561447050717</c:v>
                  </c:pt>
                  <c:pt idx="3">
                    <c:v>1.8296865304295685E-2</c:v>
                  </c:pt>
                  <c:pt idx="4">
                    <c:v>0.12911174097996875</c:v>
                  </c:pt>
                  <c:pt idx="5">
                    <c:v>0.10300496511344552</c:v>
                  </c:pt>
                  <c:pt idx="6">
                    <c:v>9.9983219797876624E-2</c:v>
                  </c:pt>
                  <c:pt idx="7">
                    <c:v>0.17981685523614852</c:v>
                  </c:pt>
                  <c:pt idx="8">
                    <c:v>9.2875790568960476E-2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FAD-10mg/L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'R1'!$B$53:$V$53</c:f>
              <c:numCache>
                <c:formatCode>0.0000</c:formatCode>
                <c:ptCount val="21"/>
                <c:pt idx="0">
                  <c:v>0.14418668881977043</c:v>
                </c:pt>
                <c:pt idx="1">
                  <c:v>9.6309552158890935E-2</c:v>
                </c:pt>
                <c:pt idx="2">
                  <c:v>7.1805086694790077E-2</c:v>
                </c:pt>
                <c:pt idx="3">
                  <c:v>0.21927693955505986</c:v>
                </c:pt>
                <c:pt idx="4">
                  <c:v>0.70910028857143015</c:v>
                </c:pt>
                <c:pt idx="5">
                  <c:v>1.1630866629514198</c:v>
                </c:pt>
                <c:pt idx="6">
                  <c:v>1.9605291153285302</c:v>
                </c:pt>
                <c:pt idx="7">
                  <c:v>0.11244177143383205</c:v>
                </c:pt>
                <c:pt idx="8">
                  <c:v>7.5841473316316507E-2</c:v>
                </c:pt>
                <c:pt idx="9">
                  <c:v>0.1278258111959234</c:v>
                </c:pt>
                <c:pt idx="10">
                  <c:v>6.8319657623815408E-2</c:v>
                </c:pt>
                <c:pt idx="11">
                  <c:v>0.14637073583461577</c:v>
                </c:pt>
                <c:pt idx="13">
                  <c:v>0.99999999999999989</c:v>
                </c:pt>
                <c:pt idx="14">
                  <c:v>1.2690078891570304</c:v>
                </c:pt>
                <c:pt idx="15">
                  <c:v>0.14567865704012237</c:v>
                </c:pt>
                <c:pt idx="16">
                  <c:v>0.95390490417785456</c:v>
                </c:pt>
                <c:pt idx="17">
                  <c:v>0.72264976699295103</c:v>
                </c:pt>
                <c:pt idx="18">
                  <c:v>0.66576741947361129</c:v>
                </c:pt>
                <c:pt idx="19">
                  <c:v>0.69953835473931036</c:v>
                </c:pt>
                <c:pt idx="20">
                  <c:v>0.87383808852261313</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88817133-EBE6-41BA-9BF6-59E276AEBDC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2FA-413B-B836-BCCE12646940}"/>
                </c:ext>
              </c:extLst>
            </c:dLbl>
            <c:dLbl>
              <c:idx val="1"/>
              <c:tx>
                <c:rich>
                  <a:bodyPr/>
                  <a:lstStyle/>
                  <a:p>
                    <a:fld id="{11750FD9-C11A-467A-9FC2-A8E9188014A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2FA-413B-B836-BCCE12646940}"/>
                </c:ext>
              </c:extLst>
            </c:dLbl>
            <c:dLbl>
              <c:idx val="2"/>
              <c:tx>
                <c:rich>
                  <a:bodyPr/>
                  <a:lstStyle/>
                  <a:p>
                    <a:fld id="{A8E474CA-E88B-417A-90F5-A7D7BD2660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2FA-413B-B836-BCCE12646940}"/>
                </c:ext>
              </c:extLst>
            </c:dLbl>
            <c:dLbl>
              <c:idx val="3"/>
              <c:tx>
                <c:rich>
                  <a:bodyPr/>
                  <a:lstStyle/>
                  <a:p>
                    <a:fld id="{9818F91B-FF9B-439F-AC02-C4CED36395CA}"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2FA-413B-B836-BCCE12646940}"/>
                </c:ext>
              </c:extLst>
            </c:dLbl>
            <c:dLbl>
              <c:idx val="4"/>
              <c:tx>
                <c:rich>
                  <a:bodyPr/>
                  <a:lstStyle/>
                  <a:p>
                    <a:fld id="{583158FF-1278-42DC-9829-713F60896DD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2FA-413B-B836-BCCE12646940}"/>
                </c:ext>
              </c:extLst>
            </c:dLbl>
            <c:dLbl>
              <c:idx val="5"/>
              <c:tx>
                <c:rich>
                  <a:bodyPr/>
                  <a:lstStyle/>
                  <a:p>
                    <a:fld id="{492BAC75-CD5B-43A0-9FBE-0790C76515D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2FA-413B-B836-BCCE12646940}"/>
                </c:ext>
              </c:extLst>
            </c:dLbl>
            <c:dLbl>
              <c:idx val="6"/>
              <c:tx>
                <c:rich>
                  <a:bodyPr/>
                  <a:lstStyle/>
                  <a:p>
                    <a:fld id="{1BD3EFEB-7AC7-4EA3-9153-441C253D115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2FA-413B-B836-BCCE12646940}"/>
                </c:ext>
              </c:extLst>
            </c:dLbl>
            <c:dLbl>
              <c:idx val="7"/>
              <c:tx>
                <c:rich>
                  <a:bodyPr/>
                  <a:lstStyle/>
                  <a:p>
                    <a:fld id="{7D33B7ED-93EA-4A39-8F06-1D1C2081CAE3}"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2FA-413B-B836-BCCE12646940}"/>
                </c:ext>
              </c:extLst>
            </c:dLbl>
            <c:dLbl>
              <c:idx val="8"/>
              <c:tx>
                <c:rich>
                  <a:bodyPr/>
                  <a:lstStyle/>
                  <a:p>
                    <a:fld id="{53B89C64-1A23-44CA-A20A-44B861E96C0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2FA-413B-B836-BCCE12646940}"/>
                </c:ext>
              </c:extLst>
            </c:dLbl>
            <c:dLbl>
              <c:idx val="9"/>
              <c:tx>
                <c:rich>
                  <a:bodyPr/>
                  <a:lstStyle/>
                  <a:p>
                    <a:fld id="{1AE433BA-8E97-4E2D-BCB8-A5263863930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AD869E1D-6D85-45A7-A520-FA64F05A289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2FA-413B-B836-BCCE12646940}"/>
                </c:ext>
              </c:extLst>
            </c:dLbl>
            <c:dLbl>
              <c:idx val="11"/>
              <c:tx>
                <c:rich>
                  <a:bodyPr/>
                  <a:lstStyle/>
                  <a:p>
                    <a:fld id="{98CBB482-771C-491F-B875-22AB0801D74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52FA-413B-B836-BCCE12646940}"/>
                </c:ext>
              </c:extLst>
            </c:dLbl>
            <c:dLbl>
              <c:idx val="13"/>
              <c:tx>
                <c:rich>
                  <a:bodyPr/>
                  <a:lstStyle/>
                  <a:p>
                    <a:fld id="{D4BB29A9-EA10-4BE6-AC21-FB34225F775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A033C3ED-1F62-467F-B730-87BBCA273DC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2FA-413B-B836-BCCE12646940}"/>
                </c:ext>
              </c:extLst>
            </c:dLbl>
            <c:dLbl>
              <c:idx val="15"/>
              <c:tx>
                <c:rich>
                  <a:bodyPr/>
                  <a:lstStyle/>
                  <a:p>
                    <a:fld id="{0D4E9605-56F0-4973-A09B-AE93D24D9EB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7A7F8B48-5BA0-4AC2-8A11-6074D446E5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2FA-413B-B836-BCCE12646940}"/>
                </c:ext>
              </c:extLst>
            </c:dLbl>
            <c:dLbl>
              <c:idx val="17"/>
              <c:tx>
                <c:rich>
                  <a:bodyPr/>
                  <a:lstStyle/>
                  <a:p>
                    <a:fld id="{AA630E74-C649-4824-8BBE-DCC80CC1204E}"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2FA-413B-B836-BCCE12646940}"/>
                </c:ext>
              </c:extLst>
            </c:dLbl>
            <c:dLbl>
              <c:idx val="18"/>
              <c:tx>
                <c:rich>
                  <a:bodyPr/>
                  <a:lstStyle/>
                  <a:p>
                    <a:fld id="{1F18CCA5-E8DB-4FD5-BCDC-E4F1FAD5CAC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2FA-413B-B836-BCCE12646940}"/>
                </c:ext>
              </c:extLst>
            </c:dLbl>
            <c:dLbl>
              <c:idx val="19"/>
              <c:tx>
                <c:rich>
                  <a:bodyPr/>
                  <a:lstStyle/>
                  <a:p>
                    <a:fld id="{6C33109A-57FE-4821-A347-73D3F7AAC48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2FA-413B-B836-BCCE12646940}"/>
                </c:ext>
              </c:extLst>
            </c:dLbl>
            <c:dLbl>
              <c:idx val="20"/>
              <c:tx>
                <c:rich>
                  <a:bodyPr/>
                  <a:lstStyle/>
                  <a:p>
                    <a:fld id="{616A2CD0-84C3-48E5-A3EF-821728B160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52FA-413B-B836-BCCE12646940}"/>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3.4191227379626939E-2</c:v>
                  </c:pt>
                  <c:pt idx="1">
                    <c:v>2.6007055881678186E-2</c:v>
                  </c:pt>
                  <c:pt idx="2">
                    <c:v>6.7957152288868963E-2</c:v>
                  </c:pt>
                  <c:pt idx="3">
                    <c:v>7.8066452474065809E-2</c:v>
                  </c:pt>
                  <c:pt idx="4">
                    <c:v>0.23867799072099474</c:v>
                  </c:pt>
                  <c:pt idx="5">
                    <c:v>0.20637707294766855</c:v>
                  </c:pt>
                  <c:pt idx="6">
                    <c:v>0.25128560002797762</c:v>
                  </c:pt>
                  <c:pt idx="7">
                    <c:v>2.0831911905009007E-2</c:v>
                  </c:pt>
                  <c:pt idx="8">
                    <c:v>8.5848343988102309E-3</c:v>
                  </c:pt>
                  <c:pt idx="9">
                    <c:v>4.1750194706311888E-2</c:v>
                  </c:pt>
                  <c:pt idx="10">
                    <c:v>3.281901288196952E-2</c:v>
                  </c:pt>
                  <c:pt idx="11">
                    <c:v>5.0673715875748412E-2</c:v>
                  </c:pt>
                  <c:pt idx="13">
                    <c:v>0.1959766826797589</c:v>
                  </c:pt>
                  <c:pt idx="14">
                    <c:v>0.13155563915204918</c:v>
                  </c:pt>
                  <c:pt idx="15">
                    <c:v>1.9052318159926807E-2</c:v>
                  </c:pt>
                  <c:pt idx="16">
                    <c:v>0.18426388158372242</c:v>
                  </c:pt>
                  <c:pt idx="17">
                    <c:v>0.25012788297996313</c:v>
                  </c:pt>
                  <c:pt idx="18">
                    <c:v>0.20202196251979312</c:v>
                  </c:pt>
                  <c:pt idx="19">
                    <c:v>0.17271551286088954</c:v>
                  </c:pt>
                  <c:pt idx="20">
                    <c:v>0.24484930603796407</c:v>
                  </c:pt>
                </c:numCache>
              </c:numRef>
            </c:plus>
            <c:minus>
              <c:numRef>
                <c:f>'R1'!$N$48:$V$48</c:f>
                <c:numCache>
                  <c:formatCode>General</c:formatCode>
                  <c:ptCount val="9"/>
                  <c:pt idx="0">
                    <c:v>0</c:v>
                  </c:pt>
                  <c:pt idx="1">
                    <c:v>9.2481515429384778E-2</c:v>
                  </c:pt>
                  <c:pt idx="2">
                    <c:v>0.16982561447050717</c:v>
                  </c:pt>
                  <c:pt idx="3">
                    <c:v>1.8296865304295685E-2</c:v>
                  </c:pt>
                  <c:pt idx="4">
                    <c:v>0.12911174097996875</c:v>
                  </c:pt>
                  <c:pt idx="5">
                    <c:v>0.10300496511344552</c:v>
                  </c:pt>
                  <c:pt idx="6">
                    <c:v>9.9983219797876624E-2</c:v>
                  </c:pt>
                  <c:pt idx="7">
                    <c:v>0.17981685523614852</c:v>
                  </c:pt>
                  <c:pt idx="8">
                    <c:v>9.2875790568960476E-2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FAD-10mg/L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'R2'!$B$53:$V$53</c:f>
              <c:numCache>
                <c:formatCode>0.0000</c:formatCode>
                <c:ptCount val="21"/>
                <c:pt idx="0">
                  <c:v>0.10719472559927347</c:v>
                </c:pt>
                <c:pt idx="1">
                  <c:v>0.10052252583353222</c:v>
                </c:pt>
                <c:pt idx="2">
                  <c:v>0.22499961192061443</c:v>
                </c:pt>
                <c:pt idx="3">
                  <c:v>0.28083754216264123</c:v>
                </c:pt>
                <c:pt idx="4">
                  <c:v>0.73506496037280311</c:v>
                </c:pt>
                <c:pt idx="5">
                  <c:v>1.5670711479010744</c:v>
                </c:pt>
                <c:pt idx="6">
                  <c:v>3.1883506685266951</c:v>
                </c:pt>
                <c:pt idx="7">
                  <c:v>9.5007343478100997E-2</c:v>
                </c:pt>
                <c:pt idx="8">
                  <c:v>3.2858340834041641E-2</c:v>
                </c:pt>
                <c:pt idx="9">
                  <c:v>0.1557576109395778</c:v>
                </c:pt>
                <c:pt idx="10">
                  <c:v>0.18095954798306066</c:v>
                </c:pt>
                <c:pt idx="11">
                  <c:v>0.13774998422145907</c:v>
                </c:pt>
                <c:pt idx="13">
                  <c:v>0.99999999999999989</c:v>
                </c:pt>
                <c:pt idx="14">
                  <c:v>1.941274943125979</c:v>
                </c:pt>
                <c:pt idx="15">
                  <c:v>4.2236918362266632E-2</c:v>
                </c:pt>
                <c:pt idx="16">
                  <c:v>1.0843092952766806</c:v>
                </c:pt>
                <c:pt idx="17">
                  <c:v>1.1305982558132959</c:v>
                </c:pt>
                <c:pt idx="18">
                  <c:v>1.4610804531742101</c:v>
                </c:pt>
                <c:pt idx="19">
                  <c:v>1.1699469628117558</c:v>
                </c:pt>
                <c:pt idx="20">
                  <c:v>1.5671389846121728</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c:v>
                  </c:pt>
                  <c:pt idx="9">
                    <c:v>NS</c:v>
                  </c:pt>
                  <c:pt idx="10">
                    <c:v>*</c:v>
                  </c:pt>
                  <c:pt idx="11">
                    <c:v>NS</c:v>
                  </c:pt>
                  <c:pt idx="13">
                    <c:v>***</c:v>
                  </c:pt>
                  <c:pt idx="14">
                    <c:v>**</c:v>
                  </c:pt>
                  <c:pt idx="15">
                    <c:v>*</c:v>
                  </c:pt>
                  <c:pt idx="16">
                    <c:v>***</c:v>
                  </c:pt>
                  <c:pt idx="17">
                    <c:v>**</c:v>
                  </c:pt>
                  <c:pt idx="18">
                    <c:v>***</c:v>
                  </c:pt>
                  <c:pt idx="19">
                    <c:v>***</c:v>
                  </c:pt>
                  <c:pt idx="20">
                    <c:v>**</c:v>
                  </c:pt>
                </c15:dlblRangeCache>
              </c15:datalabelsRange>
            </c:ext>
            <c:ext xmlns:c16="http://schemas.microsoft.com/office/drawing/2014/chart" uri="{C3380CC4-5D6E-409C-BE32-E72D297353CC}">
              <c16:uniqueId val="{00000016-EED2-4ACE-91AA-7F8713196E92}"/>
            </c:ext>
          </c:extLst>
        </c:ser>
        <c:dLbls>
          <c:dLblPos val="outEnd"/>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1.3249677888548618E-2</c:v>
                  </c:pt>
                  <c:pt idx="1">
                    <c:v>1.1403286042858304E-2</c:v>
                  </c:pt>
                  <c:pt idx="2">
                    <c:v>1.3361491621242666E-2</c:v>
                  </c:pt>
                  <c:pt idx="3">
                    <c:v>7.3979535187289447E-2</c:v>
                  </c:pt>
                  <c:pt idx="4">
                    <c:v>0.16155700887808325</c:v>
                  </c:pt>
                  <c:pt idx="5">
                    <c:v>0.13645704584270557</c:v>
                  </c:pt>
                  <c:pt idx="6">
                    <c:v>0.3104106829446262</c:v>
                  </c:pt>
                  <c:pt idx="7">
                    <c:v>2.0626051603518995E-2</c:v>
                  </c:pt>
                  <c:pt idx="8">
                    <c:v>4.5384293130208029E-3</c:v>
                  </c:pt>
                  <c:pt idx="9">
                    <c:v>1.1075300550588635E-2</c:v>
                  </c:pt>
                  <c:pt idx="10">
                    <c:v>7.4667164591442946E-3</c:v>
                  </c:pt>
                  <c:pt idx="11">
                    <c:v>8.9484671569544805E-3</c:v>
                  </c:pt>
                  <c:pt idx="13">
                    <c:v>0.1378866115008332</c:v>
                  </c:pt>
                  <c:pt idx="14">
                    <c:v>0.26589964273492278</c:v>
                  </c:pt>
                  <c:pt idx="15">
                    <c:v>1.2267960520025382E-2</c:v>
                  </c:pt>
                  <c:pt idx="16">
                    <c:v>0.16780939888658555</c:v>
                  </c:pt>
                  <c:pt idx="17">
                    <c:v>0.15542769857794397</c:v>
                  </c:pt>
                  <c:pt idx="18">
                    <c:v>0.17394080278841151</c:v>
                  </c:pt>
                  <c:pt idx="19">
                    <c:v>0.14192766704469068</c:v>
                  </c:pt>
                  <c:pt idx="20">
                    <c:v>0.16812515069474507</c:v>
                  </c:pt>
                </c:numCache>
              </c:numRef>
            </c:plus>
            <c:minus>
              <c:numRef>
                <c:f>'R1'!$N$48:$V$48</c:f>
                <c:numCache>
                  <c:formatCode>General</c:formatCode>
                  <c:ptCount val="9"/>
                  <c:pt idx="0">
                    <c:v>0</c:v>
                  </c:pt>
                  <c:pt idx="1">
                    <c:v>9.2481515429384778E-2</c:v>
                  </c:pt>
                  <c:pt idx="2">
                    <c:v>0.16982561447050717</c:v>
                  </c:pt>
                  <c:pt idx="3">
                    <c:v>1.8296865304295685E-2</c:v>
                  </c:pt>
                  <c:pt idx="4">
                    <c:v>0.12911174097996875</c:v>
                  </c:pt>
                  <c:pt idx="5">
                    <c:v>0.10300496511344552</c:v>
                  </c:pt>
                  <c:pt idx="6">
                    <c:v>9.9983219797876624E-2</c:v>
                  </c:pt>
                  <c:pt idx="7">
                    <c:v>0.17981685523614852</c:v>
                  </c:pt>
                  <c:pt idx="8">
                    <c:v>9.2875790568960476E-2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FAD-10mg/L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'R3'!$B$53:$V$53</c:f>
              <c:numCache>
                <c:formatCode>0.0000</c:formatCode>
                <c:ptCount val="21"/>
                <c:pt idx="0">
                  <c:v>3.7859251383083561E-2</c:v>
                </c:pt>
                <c:pt idx="1">
                  <c:v>6.6280526945018556E-2</c:v>
                </c:pt>
                <c:pt idx="2">
                  <c:v>5.0453108862308402E-2</c:v>
                </c:pt>
                <c:pt idx="3">
                  <c:v>0.14545339203503907</c:v>
                </c:pt>
                <c:pt idx="4">
                  <c:v>0.32486777510290954</c:v>
                </c:pt>
                <c:pt idx="5">
                  <c:v>1.3072808430602969</c:v>
                </c:pt>
                <c:pt idx="6">
                  <c:v>1.7397204307315974</c:v>
                </c:pt>
                <c:pt idx="7">
                  <c:v>5.793986049833795E-2</c:v>
                </c:pt>
                <c:pt idx="8">
                  <c:v>2.1177060025855482E-2</c:v>
                </c:pt>
                <c:pt idx="9">
                  <c:v>3.1245220532507698E-2</c:v>
                </c:pt>
                <c:pt idx="10">
                  <c:v>3.0943979945513858E-2</c:v>
                </c:pt>
                <c:pt idx="11">
                  <c:v>3.9322523101683861E-2</c:v>
                </c:pt>
                <c:pt idx="13">
                  <c:v>0.99999999999999978</c:v>
                </c:pt>
                <c:pt idx="14">
                  <c:v>1.2476146472562859</c:v>
                </c:pt>
                <c:pt idx="15">
                  <c:v>4.8784038483442864E-2</c:v>
                </c:pt>
                <c:pt idx="16">
                  <c:v>0.95677453912344368</c:v>
                </c:pt>
                <c:pt idx="17">
                  <c:v>1.1728342575285216</c:v>
                </c:pt>
                <c:pt idx="18">
                  <c:v>1.2689411567867999</c:v>
                </c:pt>
                <c:pt idx="19">
                  <c:v>1.0392076253349825</c:v>
                </c:pt>
                <c:pt idx="20">
                  <c:v>1.05772288576175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815CDA4C-F50B-48E0-BEAA-8670439C623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7AA2C472-71AA-43C0-B49A-D3D8E61E3A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D06715F4-F998-4841-9FEC-5D4B221642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75AEDB5C-9D4A-4186-9276-EDAEDEB33E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E9E02064-0A82-44FC-9AF2-220EC01D8A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A9926E42-B86E-4172-A5A9-EC47401903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75546166-4055-48B8-AE62-9D3B529C63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75F11A0-8607-42DB-A677-C9CEC84300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101BC6E6-9626-460D-8062-B23BAE47EA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19677094-C815-4098-B8E8-FB65E1FADC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044B9C47-C280-463E-B646-169AE08021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80B679D9-84BF-4AD3-B22A-A0F40B0BDD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327AAF3-E490-40D2-9087-A6F5FF29C1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C7513B8F-F70E-4E43-A60C-D4B40D356A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161974F4-62D1-43AF-AAED-E96EB443AA8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39E04AF7-6DC1-4D16-BE06-EF99892F9C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356947D9-7F7A-4264-841E-233A7B1B6C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9482DCA9-A363-4580-8655-6F85C83DF0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41D90330-2953-475E-A8EC-30EECEA132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4B9ED8C-6931-4107-9563-D8556EA28A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1.704379261219386E-2</c:v>
                  </c:pt>
                  <c:pt idx="1">
                    <c:v>1.1960851971809889E-2</c:v>
                  </c:pt>
                  <c:pt idx="2">
                    <c:v>2.6259458774713546E-2</c:v>
                  </c:pt>
                  <c:pt idx="3">
                    <c:v>3.95503364467732E-2</c:v>
                  </c:pt>
                  <c:pt idx="4">
                    <c:v>0.1235063933606029</c:v>
                  </c:pt>
                  <c:pt idx="5">
                    <c:v>0.10501320519245963</c:v>
                  </c:pt>
                  <c:pt idx="6">
                    <c:v>0.18804683919930312</c:v>
                  </c:pt>
                  <c:pt idx="7">
                    <c:v>1.2991832972567901E-2</c:v>
                  </c:pt>
                  <c:pt idx="8">
                    <c:v>9.1120023731064616E-3</c:v>
                  </c:pt>
                  <c:pt idx="9">
                    <c:v>1.9586226931114521E-2</c:v>
                  </c:pt>
                  <c:pt idx="10">
                    <c:v>1.7670464541692649E-2</c:v>
                  </c:pt>
                  <c:pt idx="11">
                    <c:v>2.0834884926607383E-2</c:v>
                  </c:pt>
                  <c:pt idx="13">
                    <c:v>8.2404802336767127E-2</c:v>
                  </c:pt>
                  <c:pt idx="14">
                    <c:v>0.12989033169582018</c:v>
                  </c:pt>
                  <c:pt idx="15">
                    <c:v>1.3472798562892515E-2</c:v>
                  </c:pt>
                  <c:pt idx="16">
                    <c:v>9.029532730396693E-2</c:v>
                  </c:pt>
                  <c:pt idx="17">
                    <c:v>0.10800873730992118</c:v>
                  </c:pt>
                  <c:pt idx="18">
                    <c:v>0.11495897646267009</c:v>
                  </c:pt>
                  <c:pt idx="19">
                    <c:v>9.9642023383718706E-2</c:v>
                  </c:pt>
                  <c:pt idx="20">
                    <c:v>0.11316630328958455</c:v>
                  </c:pt>
                </c:numCache>
              </c:numRef>
            </c:plus>
            <c:minus>
              <c:numRef>
                <c:f>'pooled normalised values'!$B$76:$V$76</c:f>
                <c:numCache>
                  <c:formatCode>General</c:formatCode>
                  <c:ptCount val="21"/>
                  <c:pt idx="0">
                    <c:v>1.704379261219386E-2</c:v>
                  </c:pt>
                  <c:pt idx="1">
                    <c:v>1.1960851971809889E-2</c:v>
                  </c:pt>
                  <c:pt idx="2">
                    <c:v>2.6259458774713546E-2</c:v>
                  </c:pt>
                  <c:pt idx="3">
                    <c:v>3.95503364467732E-2</c:v>
                  </c:pt>
                  <c:pt idx="4">
                    <c:v>0.1235063933606029</c:v>
                  </c:pt>
                  <c:pt idx="5">
                    <c:v>0.10501320519245963</c:v>
                  </c:pt>
                  <c:pt idx="6">
                    <c:v>0.18804683919930312</c:v>
                  </c:pt>
                  <c:pt idx="7">
                    <c:v>1.2991832972567901E-2</c:v>
                  </c:pt>
                  <c:pt idx="8">
                    <c:v>9.1120023731064616E-3</c:v>
                  </c:pt>
                  <c:pt idx="9">
                    <c:v>1.9586226931114521E-2</c:v>
                  </c:pt>
                  <c:pt idx="10">
                    <c:v>1.7670464541692649E-2</c:v>
                  </c:pt>
                  <c:pt idx="11">
                    <c:v>2.0834884926607383E-2</c:v>
                  </c:pt>
                  <c:pt idx="13">
                    <c:v>8.2404802336767127E-2</c:v>
                  </c:pt>
                  <c:pt idx="14">
                    <c:v>0.12989033169582018</c:v>
                  </c:pt>
                  <c:pt idx="15">
                    <c:v>1.3472798562892515E-2</c:v>
                  </c:pt>
                  <c:pt idx="16">
                    <c:v>9.029532730396693E-2</c:v>
                  </c:pt>
                  <c:pt idx="17">
                    <c:v>0.10800873730992118</c:v>
                  </c:pt>
                  <c:pt idx="18">
                    <c:v>0.11495897646267009</c:v>
                  </c:pt>
                  <c:pt idx="19">
                    <c:v>9.9642023383718706E-2</c:v>
                  </c:pt>
                  <c:pt idx="20">
                    <c:v>0.11316630328958455</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FAD-10mg/L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'pooled normalised values'!$B$75:$V$75</c:f>
              <c:numCache>
                <c:formatCode>0.0000</c:formatCode>
                <c:ptCount val="21"/>
                <c:pt idx="0">
                  <c:v>9.6413555267375828E-2</c:v>
                </c:pt>
                <c:pt idx="1">
                  <c:v>8.7704201645813898E-2</c:v>
                </c:pt>
                <c:pt idx="2">
                  <c:v>0.11100273251743865</c:v>
                </c:pt>
                <c:pt idx="3">
                  <c:v>0.21518929125091338</c:v>
                </c:pt>
                <c:pt idx="4">
                  <c:v>0.58335648834801479</c:v>
                </c:pt>
                <c:pt idx="5">
                  <c:v>1.3458128846375972</c:v>
                </c:pt>
                <c:pt idx="6">
                  <c:v>2.2574109151377342</c:v>
                </c:pt>
                <c:pt idx="7">
                  <c:v>8.9790084468862177E-2</c:v>
                </c:pt>
                <c:pt idx="8">
                  <c:v>4.374594141633336E-2</c:v>
                </c:pt>
                <c:pt idx="9">
                  <c:v>0.10494288088933629</c:v>
                </c:pt>
                <c:pt idx="10">
                  <c:v>9.3407728517463304E-2</c:v>
                </c:pt>
                <c:pt idx="11">
                  <c:v>0.10781441438591959</c:v>
                </c:pt>
                <c:pt idx="13">
                  <c:v>1.0000000000000002</c:v>
                </c:pt>
                <c:pt idx="14">
                  <c:v>1.4859658265130984</c:v>
                </c:pt>
                <c:pt idx="15">
                  <c:v>7.5996445828110118E-2</c:v>
                </c:pt>
                <c:pt idx="16">
                  <c:v>0.99832957952599288</c:v>
                </c:pt>
                <c:pt idx="17">
                  <c:v>1.0086940934449224</c:v>
                </c:pt>
                <c:pt idx="18">
                  <c:v>1.1319296764782072</c:v>
                </c:pt>
                <c:pt idx="19">
                  <c:v>0.98130457340648169</c:v>
                </c:pt>
                <c:pt idx="20">
                  <c:v>1.1488026385460919</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5D0AF76-C683-4F39-8A8B-C9C8527C06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BD43AB88-04FF-4146-89EF-4C99E08248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CA3E4115-0E60-49B5-8809-F161ECBDC0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9976013A-C7BE-41F3-A685-18C55B87F9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21AD95BC-9337-4BDA-819F-B07AF85D76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BAC30788-31DE-4B64-A6A9-C472C050BD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E5FEA6F9-D6DA-49E2-A0F3-F1EF50E36D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56C4E6A-0C9A-45E0-920E-4D6F5E3DFE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1BFE7454-C1D1-48A2-BD36-2D8B96CAA1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4584B98-5E15-417D-8FE6-FBF8FC07EF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F327FEFC-F628-43D3-ADDE-3DCA0AA96E6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E32BD5B4-7EB8-457E-A582-0148BD5422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481F4195-BF69-4428-9967-4BF038DF25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EBE23701-F49C-4FB1-88D7-D66215B487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9.1120023731064616E-3</c:v>
                  </c:pt>
                  <c:pt idx="2">
                    <c:v>1.9586226931114521E-2</c:v>
                  </c:pt>
                  <c:pt idx="3">
                    <c:v>1.7670464541692649E-2</c:v>
                  </c:pt>
                  <c:pt idx="4">
                    <c:v>2.0834884926607383E-2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9.1120023731064616E-3</c:v>
                  </c:pt>
                  <c:pt idx="2">
                    <c:v>1.9586226931114521E-2</c:v>
                  </c:pt>
                  <c:pt idx="3">
                    <c:v>1.7670464541692649E-2</c:v>
                  </c:pt>
                  <c:pt idx="4">
                    <c:v>2.0834884926607383E-2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4.374594141633336E-2</c:v>
                </c:pt>
                <c:pt idx="2">
                  <c:v>0.10494288088933629</c:v>
                </c:pt>
                <c:pt idx="3">
                  <c:v>9.3407728517463304E-2</c:v>
                </c:pt>
                <c:pt idx="4">
                  <c:v>0.10781441438591959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9.6413555267375828E-2</c:v>
                </c:pt>
                <c:pt idx="1">
                  <c:v>9.6413555267375828E-2</c:v>
                </c:pt>
                <c:pt idx="2">
                  <c:v>9.6413555267375828E-2</c:v>
                </c:pt>
                <c:pt idx="3">
                  <c:v>9.6413555267375828E-2</c:v>
                </c:pt>
                <c:pt idx="4">
                  <c:v>9.6413555267375828E-2</c:v>
                </c:pt>
                <c:pt idx="5">
                  <c:v>9.6413555267375828E-2</c:v>
                </c:pt>
                <c:pt idx="6">
                  <c:v>9.6413555267375828E-2</c:v>
                </c:pt>
                <c:pt idx="7">
                  <c:v>9.6413555267375828E-2</c:v>
                </c:pt>
                <c:pt idx="8">
                  <c:v>9.6413555267375828E-2</c:v>
                </c:pt>
                <c:pt idx="9">
                  <c:v>9.6413555267375828E-2</c:v>
                </c:pt>
                <c:pt idx="10">
                  <c:v>9.6413555267375828E-2</c:v>
                </c:pt>
                <c:pt idx="11">
                  <c:v>9.6413555267375828E-2</c:v>
                </c:pt>
                <c:pt idx="12">
                  <c:v>9.6413555267375828E-2</c:v>
                </c:pt>
                <c:pt idx="13">
                  <c:v>9.6413555267375828E-2</c:v>
                </c:pt>
                <c:pt idx="14">
                  <c:v>9.6413555267375828E-2</c:v>
                </c:pt>
                <c:pt idx="15">
                  <c:v>9.6413555267375828E-2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7.5996445828110118E-2</c:v>
                </c:pt>
                <c:pt idx="1">
                  <c:v>7.5996445828110118E-2</c:v>
                </c:pt>
                <c:pt idx="2">
                  <c:v>7.5996445828110118E-2</c:v>
                </c:pt>
                <c:pt idx="3">
                  <c:v>7.5996445828110118E-2</c:v>
                </c:pt>
                <c:pt idx="4">
                  <c:v>7.5996445828110118E-2</c:v>
                </c:pt>
                <c:pt idx="5">
                  <c:v>7.5996445828110118E-2</c:v>
                </c:pt>
                <c:pt idx="6">
                  <c:v>7.5996445828110118E-2</c:v>
                </c:pt>
                <c:pt idx="7">
                  <c:v>7.5996445828110118E-2</c:v>
                </c:pt>
                <c:pt idx="8">
                  <c:v>7.5996445828110118E-2</c:v>
                </c:pt>
                <c:pt idx="9">
                  <c:v>7.5996445828110118E-2</c:v>
                </c:pt>
                <c:pt idx="10">
                  <c:v>7.5996445828110118E-2</c:v>
                </c:pt>
                <c:pt idx="11">
                  <c:v>7.5996445828110118E-2</c:v>
                </c:pt>
                <c:pt idx="12">
                  <c:v>7.5996445828110118E-2</c:v>
                </c:pt>
                <c:pt idx="13">
                  <c:v>7.5996445828110118E-2</c:v>
                </c:pt>
                <c:pt idx="14">
                  <c:v>7.5996445828110118E-2</c:v>
                </c:pt>
                <c:pt idx="15">
                  <c:v>7.5996445828110118E-2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1.4099693806849882</c:v>
                </c:pt>
                <c:pt idx="1">
                  <c:v>1.4099693806849882</c:v>
                </c:pt>
                <c:pt idx="2">
                  <c:v>1.4099693806849882</c:v>
                </c:pt>
                <c:pt idx="3">
                  <c:v>1.4099693806849882</c:v>
                </c:pt>
                <c:pt idx="4">
                  <c:v>1.4099693806849882</c:v>
                </c:pt>
                <c:pt idx="5">
                  <c:v>1.4099693806849882</c:v>
                </c:pt>
                <c:pt idx="6">
                  <c:v>1.4099693806849882</c:v>
                </c:pt>
                <c:pt idx="7">
                  <c:v>1.4099693806849882</c:v>
                </c:pt>
                <c:pt idx="8">
                  <c:v>1.4099693806849882</c:v>
                </c:pt>
                <c:pt idx="9">
                  <c:v>1.4099693806849882</c:v>
                </c:pt>
                <c:pt idx="10">
                  <c:v>1.4099693806849882</c:v>
                </c:pt>
                <c:pt idx="11">
                  <c:v>1.4099693806849882</c:v>
                </c:pt>
                <c:pt idx="12">
                  <c:v>1.4099693806849882</c:v>
                </c:pt>
                <c:pt idx="13">
                  <c:v>1.4099693806849882</c:v>
                </c:pt>
                <c:pt idx="14">
                  <c:v>1.4099693806849882</c:v>
                </c:pt>
                <c:pt idx="15">
                  <c:v>1.4099693806849882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1.0900306193150118</c:v>
                </c:pt>
                <c:pt idx="1">
                  <c:v>1.0900306193150118</c:v>
                </c:pt>
                <c:pt idx="2">
                  <c:v>1.0900306193150118</c:v>
                </c:pt>
                <c:pt idx="3">
                  <c:v>1.0900306193150118</c:v>
                </c:pt>
                <c:pt idx="4">
                  <c:v>1.0900306193150118</c:v>
                </c:pt>
                <c:pt idx="5">
                  <c:v>1.0900306193150118</c:v>
                </c:pt>
                <c:pt idx="6">
                  <c:v>1.0900306193150118</c:v>
                </c:pt>
                <c:pt idx="7">
                  <c:v>1.0900306193150118</c:v>
                </c:pt>
                <c:pt idx="8">
                  <c:v>1.0900306193150118</c:v>
                </c:pt>
                <c:pt idx="9">
                  <c:v>1.0900306193150118</c:v>
                </c:pt>
                <c:pt idx="10">
                  <c:v>1.0900306193150118</c:v>
                </c:pt>
                <c:pt idx="11">
                  <c:v>1.0900306193150118</c:v>
                </c:pt>
                <c:pt idx="12">
                  <c:v>1.0900306193150118</c:v>
                </c:pt>
                <c:pt idx="13">
                  <c:v>1.0900306193150118</c:v>
                </c:pt>
                <c:pt idx="14">
                  <c:v>1.0900306193150118</c:v>
                </c:pt>
                <c:pt idx="15">
                  <c:v>1.0900306193150118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8B89612-F7D9-4F2F-A837-B0266A0A4B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24196E42-4F97-4042-B803-0A0546420C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D166CAEF-8EFB-4A37-8444-9F9656D706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6D726621-4321-441D-9A62-4E50809B37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51AB7F01-1330-4263-A4B8-AA2C4A00DF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7BA5111D-316E-46F3-BFB6-B784321DC0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DD007A0F-678E-4CE4-8AA5-F97DB2F056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DB4CBE16-EF72-4595-B572-4F6F0C6720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51EE8761-BF43-4BDC-AFC7-2891D810A4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634FC58D-3F68-4E48-B22A-C9125236B4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68DBF73E-B58A-427D-BA97-EB0DF10B1C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E495B9D4-D756-4182-8334-C7C54C1157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8578E950-D567-4222-961C-2C849F1ADC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FFD40EF3-65DE-4724-8F59-249572286E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9.029532730396693E-2</c:v>
                  </c:pt>
                  <c:pt idx="2">
                    <c:v>0.10800873730992118</c:v>
                  </c:pt>
                  <c:pt idx="3">
                    <c:v>0.11495897646267009</c:v>
                  </c:pt>
                  <c:pt idx="4">
                    <c:v>9.9642023383718706E-2</c:v>
                  </c:pt>
                  <c:pt idx="5">
                    <c:v>0.11316630328958455</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9.029532730396693E-2</c:v>
                  </c:pt>
                  <c:pt idx="2">
                    <c:v>0.10800873730992118</c:v>
                  </c:pt>
                  <c:pt idx="3">
                    <c:v>0.11495897646267009</c:v>
                  </c:pt>
                  <c:pt idx="4">
                    <c:v>9.9642023383718706E-2</c:v>
                  </c:pt>
                  <c:pt idx="5">
                    <c:v>0.11316630328958455</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0.99832957952599288</c:v>
                </c:pt>
                <c:pt idx="2">
                  <c:v>1.0086940934449224</c:v>
                </c:pt>
                <c:pt idx="3">
                  <c:v>1.1319296764782072</c:v>
                </c:pt>
                <c:pt idx="4">
                  <c:v>0.98130457340648169</c:v>
                </c:pt>
                <c:pt idx="5">
                  <c:v>1.1488026385460919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77BB7ABB-4B1F-4285-B7EF-9D26E75E4CE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BD0464CA-733A-4F04-8AD6-898540E77E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CD051BE8-8B70-4FF4-BD0D-E0B757A7CC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CF80C79C-D3DE-40F7-AE47-31CF7D0363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576E33F7-4458-47A2-BA00-C91413B17B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5DCF9C80-C236-4B97-A94B-AA9C363BDB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D7C30423-1054-4F8E-8F5E-1E8AD07F2E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AD3A4676-69E3-4900-9F70-6B8B3471B7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7ADECD80-8591-452C-933F-8640EDD9EA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FD9E2DD8-D246-4BEF-8B56-AA15E8530B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EF5FB6D0-9BAA-4370-85F5-DD9390F1D9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524CC29-989D-4994-A70A-CE12589513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0F867BE8-2309-4EA4-8562-9AF2BA1F33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D454C8A2-6527-49BF-B6A9-B52C823E8B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9.1120023731064616E-3</c:v>
                  </c:pt>
                  <c:pt idx="2">
                    <c:v>1.9586226931114521E-2</c:v>
                  </c:pt>
                  <c:pt idx="3">
                    <c:v>1.7670464541692649E-2</c:v>
                  </c:pt>
                  <c:pt idx="4">
                    <c:v>2.0834884926607383E-2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9.1120023731064616E-3</c:v>
                  </c:pt>
                  <c:pt idx="2">
                    <c:v>1.9586226931114521E-2</c:v>
                  </c:pt>
                  <c:pt idx="3">
                    <c:v>1.7670464541692649E-2</c:v>
                  </c:pt>
                  <c:pt idx="4">
                    <c:v>2.0834884926607383E-2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4.374594141633336E-2</c:v>
                </c:pt>
                <c:pt idx="2">
                  <c:v>0.10494288088933629</c:v>
                </c:pt>
                <c:pt idx="3">
                  <c:v>9.3407728517463304E-2</c:v>
                </c:pt>
                <c:pt idx="4">
                  <c:v>0.10781441438591959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9.6413555267375828E-2</c:v>
                </c:pt>
                <c:pt idx="1">
                  <c:v>9.6413555267375828E-2</c:v>
                </c:pt>
                <c:pt idx="2">
                  <c:v>9.6413555267375828E-2</c:v>
                </c:pt>
                <c:pt idx="3">
                  <c:v>9.6413555267375828E-2</c:v>
                </c:pt>
                <c:pt idx="4">
                  <c:v>9.6413555267375828E-2</c:v>
                </c:pt>
                <c:pt idx="5">
                  <c:v>9.6413555267375828E-2</c:v>
                </c:pt>
                <c:pt idx="6">
                  <c:v>9.6413555267375828E-2</c:v>
                </c:pt>
                <c:pt idx="7">
                  <c:v>9.6413555267375828E-2</c:v>
                </c:pt>
                <c:pt idx="8">
                  <c:v>9.6413555267375828E-2</c:v>
                </c:pt>
                <c:pt idx="9">
                  <c:v>9.6413555267375828E-2</c:v>
                </c:pt>
                <c:pt idx="10">
                  <c:v>9.6413555267375828E-2</c:v>
                </c:pt>
                <c:pt idx="11">
                  <c:v>9.6413555267375828E-2</c:v>
                </c:pt>
                <c:pt idx="12">
                  <c:v>9.6413555267375828E-2</c:v>
                </c:pt>
                <c:pt idx="13">
                  <c:v>9.6413555267375828E-2</c:v>
                </c:pt>
                <c:pt idx="14">
                  <c:v>9.6413555267375828E-2</c:v>
                </c:pt>
                <c:pt idx="15">
                  <c:v>9.6413555267375828E-2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7.5996445828110118E-2</c:v>
                </c:pt>
                <c:pt idx="1">
                  <c:v>7.5996445828110118E-2</c:v>
                </c:pt>
                <c:pt idx="2">
                  <c:v>7.5996445828110118E-2</c:v>
                </c:pt>
                <c:pt idx="3">
                  <c:v>7.5996445828110118E-2</c:v>
                </c:pt>
                <c:pt idx="4">
                  <c:v>7.5996445828110118E-2</c:v>
                </c:pt>
                <c:pt idx="5">
                  <c:v>7.5996445828110118E-2</c:v>
                </c:pt>
                <c:pt idx="6">
                  <c:v>7.5996445828110118E-2</c:v>
                </c:pt>
                <c:pt idx="7">
                  <c:v>7.5996445828110118E-2</c:v>
                </c:pt>
                <c:pt idx="8">
                  <c:v>7.5996445828110118E-2</c:v>
                </c:pt>
                <c:pt idx="9">
                  <c:v>7.5996445828110118E-2</c:v>
                </c:pt>
                <c:pt idx="10">
                  <c:v>7.5996445828110118E-2</c:v>
                </c:pt>
                <c:pt idx="11">
                  <c:v>7.5996445828110118E-2</c:v>
                </c:pt>
                <c:pt idx="12">
                  <c:v>7.5996445828110118E-2</c:v>
                </c:pt>
                <c:pt idx="13">
                  <c:v>7.5996445828110118E-2</c:v>
                </c:pt>
                <c:pt idx="14">
                  <c:v>7.5996445828110118E-2</c:v>
                </c:pt>
                <c:pt idx="15">
                  <c:v>7.5996445828110118E-2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1.4099693806849882</c:v>
                </c:pt>
                <c:pt idx="1">
                  <c:v>1.4099693806849882</c:v>
                </c:pt>
                <c:pt idx="2">
                  <c:v>1.4099693806849882</c:v>
                </c:pt>
                <c:pt idx="3">
                  <c:v>1.4099693806849882</c:v>
                </c:pt>
                <c:pt idx="4">
                  <c:v>1.4099693806849882</c:v>
                </c:pt>
                <c:pt idx="5">
                  <c:v>1.4099693806849882</c:v>
                </c:pt>
                <c:pt idx="6">
                  <c:v>1.4099693806849882</c:v>
                </c:pt>
                <c:pt idx="7">
                  <c:v>1.4099693806849882</c:v>
                </c:pt>
                <c:pt idx="8">
                  <c:v>1.4099693806849882</c:v>
                </c:pt>
                <c:pt idx="9">
                  <c:v>1.4099693806849882</c:v>
                </c:pt>
                <c:pt idx="10">
                  <c:v>1.4099693806849882</c:v>
                </c:pt>
                <c:pt idx="11">
                  <c:v>1.4099693806849882</c:v>
                </c:pt>
                <c:pt idx="12">
                  <c:v>1.4099693806849882</c:v>
                </c:pt>
                <c:pt idx="13">
                  <c:v>1.4099693806849882</c:v>
                </c:pt>
                <c:pt idx="14">
                  <c:v>1.4099693806849882</c:v>
                </c:pt>
                <c:pt idx="15">
                  <c:v>1.4099693806849882</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1.0900306193150118</c:v>
                </c:pt>
                <c:pt idx="1">
                  <c:v>1.0900306193150118</c:v>
                </c:pt>
                <c:pt idx="2">
                  <c:v>1.0900306193150118</c:v>
                </c:pt>
                <c:pt idx="3">
                  <c:v>1.0900306193150118</c:v>
                </c:pt>
                <c:pt idx="4">
                  <c:v>1.0900306193150118</c:v>
                </c:pt>
                <c:pt idx="5">
                  <c:v>1.0900306193150118</c:v>
                </c:pt>
                <c:pt idx="6">
                  <c:v>1.0900306193150118</c:v>
                </c:pt>
                <c:pt idx="7">
                  <c:v>1.0900306193150118</c:v>
                </c:pt>
                <c:pt idx="8">
                  <c:v>1.0900306193150118</c:v>
                </c:pt>
                <c:pt idx="9">
                  <c:v>1.0900306193150118</c:v>
                </c:pt>
                <c:pt idx="10">
                  <c:v>1.0900306193150118</c:v>
                </c:pt>
                <c:pt idx="11">
                  <c:v>1.0900306193150118</c:v>
                </c:pt>
                <c:pt idx="12">
                  <c:v>1.0900306193150118</c:v>
                </c:pt>
                <c:pt idx="13">
                  <c:v>1.0900306193150118</c:v>
                </c:pt>
                <c:pt idx="14">
                  <c:v>1.0900306193150118</c:v>
                </c:pt>
                <c:pt idx="15">
                  <c:v>1.0900306193150118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9B90ACCB-9EDE-4434-B1A2-062D196C77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A714BB86-53FB-4311-AC5F-F7A2C023CB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BFD545E3-5C3F-468B-B392-3A8021045D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634A859-D913-4E70-B3BF-ED94E83B193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1E33619-5E66-4698-88F3-EDB8A00440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52393438-2E7D-4858-B8A2-B6D9DB62BB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9854F355-D3D0-49F6-A968-AF2129BA7C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154A3127-E806-4F41-9C50-8860DE0FFC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93687980-4B67-4FCF-BA66-35BBC58A76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0269A389-7222-42A6-9AFC-EBF8F6C136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AE311E45-BBE6-416E-9EEA-BE35DFBB92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3EBE2D9-38A2-4795-9A5E-5389C841C7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AF602ADB-0DB1-430B-B098-233F56220E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CB4BC8B0-C78C-4580-AFDF-26A9DB5E7D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9.029532730396693E-2</c:v>
                  </c:pt>
                  <c:pt idx="2">
                    <c:v>0.10800873730992118</c:v>
                  </c:pt>
                  <c:pt idx="3">
                    <c:v>0.11495897646267009</c:v>
                  </c:pt>
                  <c:pt idx="4">
                    <c:v>9.9642023383718706E-2</c:v>
                  </c:pt>
                  <c:pt idx="5">
                    <c:v>0.11316630328958455</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9.029532730396693E-2</c:v>
                  </c:pt>
                  <c:pt idx="2">
                    <c:v>0.10800873730992118</c:v>
                  </c:pt>
                  <c:pt idx="3">
                    <c:v>0.11495897646267009</c:v>
                  </c:pt>
                  <c:pt idx="4">
                    <c:v>9.9642023383718706E-2</c:v>
                  </c:pt>
                  <c:pt idx="5">
                    <c:v>0.11316630328958455</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0.99832957952599288</c:v>
                </c:pt>
                <c:pt idx="2">
                  <c:v>1.0086940934449224</c:v>
                </c:pt>
                <c:pt idx="3">
                  <c:v>1.1319296764782072</c:v>
                </c:pt>
                <c:pt idx="4">
                  <c:v>0.98130457340648169</c:v>
                </c:pt>
                <c:pt idx="5">
                  <c:v>1.1488026385460919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Atenolol-0,1mg/L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A500EFC-FA85-4C59-A515-BE2DA72618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488509F3-379E-41F8-B0FF-456B3372CB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9.1120023731064616E-3</c:v>
                  </c:pt>
                </c:numCache>
              </c:numRef>
            </c:plus>
            <c:minus>
              <c:numRef>
                <c:f>'Graph format rapport CHG 1éch'!$E$4:$G$4</c:f>
                <c:numCache>
                  <c:formatCode>General</c:formatCode>
                  <c:ptCount val="3"/>
                  <c:pt idx="1">
                    <c:v>9.1120023731064616E-3</c:v>
                  </c:pt>
                </c:numCache>
              </c:numRef>
            </c:minus>
          </c:errBars>
          <c:cat>
            <c:strRef>
              <c:f>'Graph format rapport CHG 1éch'!$E$2:$G$2</c:f>
              <c:strCache>
                <c:ptCount val="2"/>
                <c:pt idx="1">
                  <c:v>Atenolol-0,1mg/L</c:v>
                </c:pt>
              </c:strCache>
            </c:strRef>
          </c:cat>
          <c:val>
            <c:numRef>
              <c:f>'Graph format rapport CHG 1éch'!$E$3:$G$3</c:f>
              <c:numCache>
                <c:formatCode>General</c:formatCode>
                <c:ptCount val="3"/>
                <c:pt idx="1">
                  <c:v>4.374594141633336E-2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9.6413555267375828E-2</c:v>
                </c:pt>
                <c:pt idx="1">
                  <c:v>9.6413555267375828E-2</c:v>
                </c:pt>
                <c:pt idx="2">
                  <c:v>9.6413555267375828E-2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1éch'!$H$8:$J$8</c:f>
              <c:numCache>
                <c:formatCode>General</c:formatCode>
                <c:ptCount val="3"/>
                <c:pt idx="0">
                  <c:v>7.5996445828110118E-2</c:v>
                </c:pt>
                <c:pt idx="1">
                  <c:v>7.5996445828110118E-2</c:v>
                </c:pt>
                <c:pt idx="2">
                  <c:v>7.5996445828110118E-2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Atenolol-0,01mg/L + Testostérone</c:v>
                </c:pt>
              </c:strCache>
            </c:strRef>
          </c:cat>
          <c:val>
            <c:numRef>
              <c:f>'Graph format rapport CHG 1éch'!$H$9:$J$9</c:f>
              <c:numCache>
                <c:formatCode>General</c:formatCode>
                <c:ptCount val="3"/>
                <c:pt idx="0">
                  <c:v>1.4099693806849882</c:v>
                </c:pt>
                <c:pt idx="1">
                  <c:v>1.4099693806849882</c:v>
                </c:pt>
                <c:pt idx="2">
                  <c:v>1.4099693806849882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1éch'!$H$10:$J$10</c:f>
              <c:numCache>
                <c:formatCode>General</c:formatCode>
                <c:ptCount val="3"/>
                <c:pt idx="0">
                  <c:v>1.0900306193150118</c:v>
                </c:pt>
                <c:pt idx="1">
                  <c:v>1.0900306193150118</c:v>
                </c:pt>
                <c:pt idx="2">
                  <c:v>1.0900306193150118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08204F3C-F61D-4659-BB11-963B0D31C1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DE90D771-89D5-423B-B818-E69BB3E8A0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9.029532730396693E-2</c:v>
                  </c:pt>
                </c:numCache>
              </c:numRef>
            </c:plus>
            <c:minus>
              <c:numRef>
                <c:f>'Graph format rapport CHG 1éch'!$H$4:$J$4</c:f>
                <c:numCache>
                  <c:formatCode>General</c:formatCode>
                  <c:ptCount val="3"/>
                  <c:pt idx="1">
                    <c:v>9.029532730396693E-2</c:v>
                  </c:pt>
                </c:numCache>
              </c:numRef>
            </c:minus>
          </c:errBars>
          <c:cat>
            <c:strRef>
              <c:f>'Graph format rapport CHG 1éch'!$H$2:$J$2</c:f>
              <c:strCache>
                <c:ptCount val="2"/>
                <c:pt idx="1">
                  <c:v>Atenolol-0,01mg/L + Testostérone</c:v>
                </c:pt>
              </c:strCache>
            </c:strRef>
          </c:cat>
          <c:val>
            <c:numRef>
              <c:f>'Graph format rapport CHG 1éch'!$H$3:$J$3</c:f>
              <c:numCache>
                <c:formatCode>General</c:formatCode>
                <c:ptCount val="3"/>
                <c:pt idx="1">
                  <c:v>0.99832957952599288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Atenolol-0,01mg/L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Atenolol-0,1mg/L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FFDCCF5C-23F6-493D-8926-1DCBB22FE7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2678A497-3B58-4E3D-A7E3-0B3EF5ED15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9.1120023731064616E-3</c:v>
                  </c:pt>
                </c:numCache>
              </c:numRef>
            </c:plus>
            <c:minus>
              <c:numRef>
                <c:f>'Graph format rapport CHG 1éch'!$E$4:$G$4</c:f>
                <c:numCache>
                  <c:formatCode>General</c:formatCode>
                  <c:ptCount val="3"/>
                  <c:pt idx="1">
                    <c:v>9.1120023731064616E-3</c:v>
                  </c:pt>
                </c:numCache>
              </c:numRef>
            </c:minus>
          </c:errBars>
          <c:cat>
            <c:strRef>
              <c:f>'Graph format rapport CHG 1éch'!$E$2:$G$2</c:f>
              <c:strCache>
                <c:ptCount val="2"/>
                <c:pt idx="1">
                  <c:v>Atenolol-0,1mg/L</c:v>
                </c:pt>
              </c:strCache>
            </c:strRef>
          </c:cat>
          <c:val>
            <c:numRef>
              <c:f>'Graph format rapport CHG 1éch'!$E$3:$G$3</c:f>
              <c:numCache>
                <c:formatCode>General</c:formatCode>
                <c:ptCount val="3"/>
                <c:pt idx="1">
                  <c:v>4.374594141633336E-2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9.6413555267375828E-2</c:v>
                </c:pt>
                <c:pt idx="1">
                  <c:v>9.6413555267375828E-2</c:v>
                </c:pt>
                <c:pt idx="2">
                  <c:v>9.6413555267375828E-2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1éch'!$H$8:$J$8</c:f>
              <c:numCache>
                <c:formatCode>General</c:formatCode>
                <c:ptCount val="3"/>
                <c:pt idx="0">
                  <c:v>7.5996445828110118E-2</c:v>
                </c:pt>
                <c:pt idx="1">
                  <c:v>7.5996445828110118E-2</c:v>
                </c:pt>
                <c:pt idx="2">
                  <c:v>7.5996445828110118E-2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Atenolol-0,01mg/L + Testostérone</c:v>
                </c:pt>
              </c:strCache>
            </c:strRef>
          </c:cat>
          <c:val>
            <c:numRef>
              <c:f>'Graph format rapport CHG 1éch'!$H$9:$J$9</c:f>
              <c:numCache>
                <c:formatCode>General</c:formatCode>
                <c:ptCount val="3"/>
                <c:pt idx="0">
                  <c:v>1.4099693806849882</c:v>
                </c:pt>
                <c:pt idx="1">
                  <c:v>1.4099693806849882</c:v>
                </c:pt>
                <c:pt idx="2">
                  <c:v>1.4099693806849882</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1éch'!$H$10:$J$10</c:f>
              <c:numCache>
                <c:formatCode>General</c:formatCode>
                <c:ptCount val="3"/>
                <c:pt idx="0">
                  <c:v>1.0900306193150118</c:v>
                </c:pt>
                <c:pt idx="1">
                  <c:v>1.0900306193150118</c:v>
                </c:pt>
                <c:pt idx="2">
                  <c:v>1.0900306193150118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968A1757-FCF3-4AC6-A1D5-D0CB279D47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81358121-921F-4002-A20B-0DE055AC36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9.029532730396693E-2</c:v>
                  </c:pt>
                </c:numCache>
              </c:numRef>
            </c:plus>
            <c:minus>
              <c:numRef>
                <c:f>'Graph format rapport CHG 1éch'!$H$4:$J$4</c:f>
                <c:numCache>
                  <c:formatCode>General</c:formatCode>
                  <c:ptCount val="3"/>
                  <c:pt idx="1">
                    <c:v>9.029532730396693E-2</c:v>
                  </c:pt>
                </c:numCache>
              </c:numRef>
            </c:minus>
          </c:errBars>
          <c:cat>
            <c:strRef>
              <c:f>'Graph format rapport CHG 1éch'!$H$2:$J$2</c:f>
              <c:strCache>
                <c:ptCount val="2"/>
                <c:pt idx="1">
                  <c:v>Atenolol-0,01mg/L + Testostérone</c:v>
                </c:pt>
              </c:strCache>
            </c:strRef>
          </c:cat>
          <c:val>
            <c:numRef>
              <c:f>'Graph format rapport CHG 1éch'!$H$3:$J$3</c:f>
              <c:numCache>
                <c:formatCode>General</c:formatCode>
                <c:ptCount val="3"/>
                <c:pt idx="1">
                  <c:v>0.99832957952599288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Atenolol-0,01mg/L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1"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1"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11"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22.568776736109" createdVersion="5" refreshedVersion="7" minRefreshableVersion="3" recordCount="1710" xr:uid="{00000000-000A-0000-FFFF-FFFF14000000}">
  <cacheSource type="worksheet">
    <worksheetSource name="Tableau467"/>
  </cacheSource>
  <cacheFields count="9">
    <cacheField name="Nom groupe" numFmtId="0">
      <sharedItems count="22">
        <s v="01 TS"/>
        <s v=""/>
        <s v="02 EE2 34"/>
        <s v="03 EE2 51"/>
        <s v="04 EE2 76"/>
        <s v="05 EE2 114"/>
        <s v="06 EE2 171"/>
        <s v="07 EE2 488"/>
        <s v="08 Atenolol 0.01"/>
        <s v="09 Atenolol 0.1"/>
        <s v="10 Atenolol 1"/>
        <s v="11 Atenolol 10"/>
        <s v="12 Atenolol 100"/>
        <s v="13 TESTO"/>
        <s v="14 TESTO"/>
        <s v="15 TESTO + EE2"/>
        <s v="16 TESTO + FAD"/>
        <s v="17 Atenolol 0.01"/>
        <s v="18 Atenolol 0.1"/>
        <s v="19 Atenolol 1"/>
        <s v="20 Atenolol 10"/>
        <s v="21Atenolol 10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5"/>
    </cacheField>
    <cacheField name=" " numFmtId="0">
      <sharedItems containsBlank="1" count="24">
        <s v=" "/>
        <m/>
        <s v=" SD mean fluo "/>
        <s v=" 2.2362 "/>
        <s v=" 2.7029 "/>
        <s v=" 2.913 "/>
        <s v=" 0.838 "/>
        <s v=" 2.5336 "/>
        <s v=" 3.298 "/>
        <s v=" 10.4139 "/>
        <s v=" 2.5129 "/>
        <s v=" 0.9259 "/>
        <s v=" 2.2241 "/>
        <s v=" 0.7712 "/>
        <s v=" 2.0556 "/>
        <s v=" 4.7313 "/>
        <s v=" 4.1919 "/>
        <s v=" 4.6108 "/>
        <s v=" 1.498 "/>
        <s v=" 3.2632 "/>
        <s v=" 4.4276 "/>
        <s v=" 7.9048 "/>
        <s v=" 3.2883 "/>
        <s v=" 4.2101 "/>
      </sharedItems>
    </cacheField>
    <cacheField name=" total fluorescence" numFmtId="0">
      <sharedItems containsBlank="1" containsMixedTypes="1" containsNumber="1" containsInteger="1" minValue="5351" maxValue="6801681"/>
    </cacheField>
    <cacheField name="         " numFmtId="0">
      <sharedItems containsBlank="1" containsMixedTypes="1" containsNumber="1" containsInteger="1" minValue="1014607" maxValue="1014607"/>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22.568776851855" createdVersion="6" refreshedVersion="7" minRefreshableVersion="3" recordCount="51" xr:uid="{8DEF666A-6C7D-4C16-AD6D-82242760D5D9}">
  <cacheSource type="worksheet">
    <worksheetSource name="liste_groupe"/>
  </cacheSource>
  <cacheFields count="6">
    <cacheField name="Nom sur le graphique" numFmtId="0">
      <sharedItems containsBlank="1" count="24">
        <s v="Témoin solvant"/>
        <s v="EE2-33,8ng/L"/>
        <s v="EE2-50,6ng/L"/>
        <s v="EE2-76ng/L"/>
        <s v="EE2-114ng/L"/>
        <s v="EE2-170,9ng/L"/>
        <s v="EE2-488ng/L"/>
        <s v="Atenolol-0,01mg/L"/>
        <s v="Atenolol-0,1mg/L"/>
        <s v="Atenolol-1mg/L"/>
        <s v="Atenolol-10mg/L"/>
        <s v="Atenolol-100mg/L"/>
        <s v=" "/>
        <s v="Testo -30µg/L"/>
        <s v="Testo 30µg/L + EE2 -64ng/L"/>
        <s v="Testo 30µg/L + FAD-10mg/L"/>
        <s v="Atenolol-0,01mg/L + Testostérone"/>
        <s v="Atenolol-0,1mg/L + Testostérone"/>
        <s v="Atenolol-1mg/L + Testostérone"/>
        <s v="Atenolol-10mg/L + Testostérone"/>
        <s v="Atenolol-100mg/L + Testostérone"/>
        <m/>
        <s v="0-00 + Testostérone" u="1"/>
        <s v="EE2-22,5ng/L" u="1"/>
      </sharedItems>
    </cacheField>
    <cacheField name="Code WF" numFmtId="0">
      <sharedItems containsBlank="1" containsMixedTypes="1" containsNumber="1" containsInteger="1" minValue="0" maxValue="0" count="4">
        <s v="Témoin"/>
        <s v="189-20"/>
        <m/>
        <n v="0" u="1"/>
      </sharedItems>
    </cacheField>
    <cacheField name="Concentration" numFmtId="0">
      <sharedItems containsString="0" containsBlank="1" containsNumber="1" minValue="0.01" maxValue="488"/>
    </cacheField>
    <cacheField name="Unité" numFmtId="0">
      <sharedItems containsBlank="1"/>
    </cacheField>
    <cacheField name="Nom de l'échantillon donné par le client" numFmtId="0">
      <sharedItems containsBlank="1"/>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22.568777199071" createdVersion="5" refreshedVersion="7" minRefreshableVersion="3" recordCount="1556" xr:uid="{00000000-000A-0000-FFFF-FFFF0C000000}">
  <cacheSource type="worksheet">
    <worksheetSource name="Tableau4"/>
  </cacheSource>
  <cacheFields count="9">
    <cacheField name="Nom groupe" numFmtId="0">
      <sharedItems containsBlank="1" count="23">
        <s v="01 TS"/>
        <s v=""/>
        <s v="02 EE2 34"/>
        <s v="03 EE2 51"/>
        <s v="04 EE2 76"/>
        <s v="05 EE2 114"/>
        <s v="06 EE2 171"/>
        <s v="07 EE2 488"/>
        <s v="08 Atenolol 0.01"/>
        <s v="09 Atenolol 0.1"/>
        <s v="10 Atenolol 1"/>
        <s v="11 Atenolol 10"/>
        <s v="12  Atenolol 100"/>
        <s v="13 Testo 30"/>
        <s v="14 Testo 30"/>
        <s v="15 Testo + EE2"/>
        <s v="16 Testo + FAD"/>
        <s v="17 Testo +  Atenolol 0.01"/>
        <s v="18  Testo + Atenolol 0.1"/>
        <s v="19 Testo + Atenolol 1"/>
        <s v="20 Testo + Atenolol 10"/>
        <s v="21 Testo + Atenolol 100"/>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4" maxValue="68"/>
    </cacheField>
    <cacheField name=" " numFmtId="0">
      <sharedItems containsBlank="1" count="24">
        <s v=" "/>
        <m/>
        <s v=" SD mean fluo "/>
        <s v=" 5.5161 "/>
        <s v=" 4.4751 "/>
        <s v=" 3.4931 "/>
        <s v=" 3.2191 "/>
        <s v=" 7.73 "/>
        <s v=" 4.9531 "/>
        <s v=" 6.5656 "/>
        <s v=" 5.4523 "/>
        <s v=" 4.0572 "/>
        <s v=" 5.6825 "/>
        <s v=" 2.7814 "/>
        <s v=" 4.2358 "/>
        <s v=" 3.6563 "/>
        <s v=" 3.5889 "/>
        <s v=" 7.2917 "/>
        <s v=" 5.224 "/>
        <s v=" 3.1111 "/>
        <s v=" 6.2477 "/>
        <s v=" 2.8112 "/>
        <s v=" 6.7774 "/>
        <s v=" 3.3959 "/>
      </sharedItems>
    </cacheField>
    <cacheField name=" total fluorescence" numFmtId="0">
      <sharedItems containsBlank="1" containsMixedTypes="1" containsNumber="1" containsInteger="1" minValue="16395" maxValue="8559533"/>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22.568777430555" createdVersion="5" refreshedVersion="7" minRefreshableVersion="3" recordCount="1530" xr:uid="{00000000-000A-0000-FFFF-FFFF10000000}">
  <cacheSource type="worksheet">
    <worksheetSource name="Tableau46"/>
  </cacheSource>
  <cacheFields count="9">
    <cacheField name="Nom groupe" numFmtId="0">
      <sharedItems count="25">
        <s v="01 TS"/>
        <s v=""/>
        <s v="02 EE2 34"/>
        <s v="03 EE2 51"/>
        <s v="04 EE2 76"/>
        <s v="05 EE2 114"/>
        <s v="06 EE2 171"/>
        <s v="07 EE2 488"/>
        <s v="08 Atenolol 0.01"/>
        <s v="09 Atenolol 0.1"/>
        <s v="10 Atenolol 1"/>
        <s v="11 Atenolol 10"/>
        <s v="12 Atenolol 100"/>
        <s v="13 TESTO"/>
        <s v="14 TESTO"/>
        <s v="15 TESTO + EE2"/>
        <s v="16 TESTO + FAD"/>
        <s v="17 Atenolol 0.01"/>
        <s v="18 Atenolol 0.1"/>
        <s v="19 Atenolol 1"/>
        <s v="20 Atenolol 10"/>
        <s v="21Atenolol 100"/>
        <s v="14 Testo 30" u="1"/>
        <s v="21 Atenolol 100" u="1"/>
        <s v="13 Testo 30"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45">
        <m/>
        <s v=" "/>
        <s v=" SD mean fluo "/>
        <s v=" 2.9545 "/>
        <s v=" 2.579 "/>
        <s v=" 7.1218 "/>
        <s v=" 3.1376 "/>
        <s v=" 5.477 "/>
        <s v=" 7.0658 "/>
        <s v=" 14.8394 "/>
        <s v=" 4.586 "/>
        <s v=" 5.135 "/>
        <s v=" 4.3864 "/>
        <s v=" 8.0458 "/>
        <s v=" 5.3453 "/>
        <s v=" 4.304 "/>
        <s v=" 5.1698 "/>
        <s v=" 4.9804 "/>
        <s v=" 1.7952 "/>
        <s v=" 5.0956 "/>
        <s v=" 5.1318 "/>
        <s v=" 4.0918 "/>
        <s v=" 4.4743 "/>
        <s v=" 5.2178 "/>
        <s v=" 4.7017 " u="1"/>
        <s v=" 5.9133 " u="1"/>
        <s v=" 6.0668 " u="1"/>
        <s v=" 3.4574 " u="1"/>
        <s v=" 2.7758 " u="1"/>
        <s v=" 5.7588 " u="1"/>
        <s v=" 5.8236 " u="1"/>
        <s v=" 2.3275 " u="1"/>
        <s v=" 6.8068 " u="1"/>
        <s v=" 6.6693 " u="1"/>
        <s v=" 5.2528 " u="1"/>
        <s v=" 11.1313 " u="1"/>
        <s v=" 2.6313 " u="1"/>
        <s v=" 5.5862 " u="1"/>
        <s v=" 2.7465 " u="1"/>
        <s v=" 6.8151 " u="1"/>
        <s v=" 6.9882 " u="1"/>
        <s v=" 3.8566 " u="1"/>
        <s v=" 6.7283 " u="1"/>
        <s v=" 2.611 " u="1"/>
        <s v=" 4.8064 " u="1"/>
      </sharedItems>
    </cacheField>
    <cacheField name=" total fluorescence" numFmtId="0">
      <sharedItems containsBlank="1" containsMixedTypes="1" containsNumber="1" containsInteger="1" minValue="8571" maxValue="9091677"/>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D:\images\20211118\plaque 1/@01 TS/A1_01.tif "/>
    <s v=" 826.6427 "/>
    <s v=" 64.6579 "/>
    <x v="0"/>
    <n v="53449"/>
    <m/>
    <m/>
  </r>
  <r>
    <x v="0"/>
    <x v="0"/>
    <s v="D:\images\20211118\plaque 1/@01 TS/A1_02.tif "/>
    <s v=" 1675.0391 "/>
    <s v=" 64.7143 "/>
    <x v="0"/>
    <n v="108399"/>
    <m/>
    <m/>
  </r>
  <r>
    <x v="0"/>
    <x v="0"/>
    <s v="D:\images\20211118\plaque 1/@01 TS/A1_03.tif "/>
    <s v=" 609.1051 "/>
    <s v=" 63.8214 "/>
    <x v="0"/>
    <n v="38874"/>
    <m/>
    <m/>
  </r>
  <r>
    <x v="0"/>
    <x v="1"/>
    <s v="D:\images\20211118\plaque 1/@01 TS/B1_01.tif "/>
    <s v=" 3589.3696 "/>
    <s v=" 69.0364 "/>
    <x v="0"/>
    <n v="247797"/>
    <m/>
    <m/>
  </r>
  <r>
    <x v="0"/>
    <x v="1"/>
    <s v="D:\images\20211118\plaque 1/@01 TS/B1_02.tif "/>
    <s v=" 1696.7929 "/>
    <s v=" 66.1026 "/>
    <x v="0"/>
    <n v="112162"/>
    <m/>
    <m/>
  </r>
  <r>
    <x v="0"/>
    <x v="1"/>
    <s v="D:\images\20211118\plaque 1/@01 TS/B1_03.tif "/>
    <s v=" 4154.9672 "/>
    <s v=" 70.8115 "/>
    <x v="0"/>
    <n v="294220"/>
    <m/>
    <m/>
  </r>
  <r>
    <x v="0"/>
    <x v="2"/>
    <s v="D:\images\20211118\plaque 1/@01 TS/C1_01.tif "/>
    <s v=" 630.8589 "/>
    <s v=" 65.1379 "/>
    <x v="0"/>
    <n v="41093"/>
    <m/>
    <m/>
  </r>
  <r>
    <x v="0"/>
    <x v="2"/>
    <s v="D:\images\20211118\plaque 1/@01 TS/C1_02.tif "/>
    <s v=" 630.8589 "/>
    <s v=" 64.0345 "/>
    <x v="0"/>
    <n v="40397"/>
    <m/>
    <m/>
  </r>
  <r>
    <x v="0"/>
    <x v="2"/>
    <s v="D:\images\20211118\plaque 1/@01 TS/C1_03.tif "/>
    <s v=" 522.0901 "/>
    <s v=" 65.9583 "/>
    <x v="0"/>
    <n v="34436"/>
    <m/>
    <m/>
  </r>
  <r>
    <x v="0"/>
    <x v="3"/>
    <s v="D:\images\20211118\plaque 1/@01 TS/D1_01.tif "/>
    <s v=" 1501.0091 "/>
    <s v=" 64.8696 "/>
    <x v="0"/>
    <n v="97370"/>
    <m/>
    <m/>
  </r>
  <r>
    <x v="0"/>
    <x v="3"/>
    <s v="D:\images\20211118\plaque 1/@01 TS/D1_02.tif "/>
    <s v=" 1696.7929 "/>
    <s v=" 67.1154 "/>
    <x v="0"/>
    <n v="113881"/>
    <m/>
    <m/>
  </r>
  <r>
    <x v="0"/>
    <x v="3"/>
    <s v="D:\images\20211118\plaque 1/@01 TS/D1_03.tif "/>
    <s v=" 1196.4565 "/>
    <s v=" 64.4182 "/>
    <x v="0"/>
    <n v="77074"/>
    <m/>
    <m/>
  </r>
  <r>
    <x v="0"/>
    <x v="4"/>
    <s v="D:\images\20211118\plaque 1/@01 TS/E1_01.tif "/>
    <s v=" 217.5376 "/>
    <s v=" 62.2 "/>
    <x v="0"/>
    <n v="13531"/>
    <m/>
    <m/>
  </r>
  <r>
    <x v="0"/>
    <x v="4"/>
    <s v="D:\images\20211118\plaque 1/@01 TS/E1_02.tif "/>
    <s v=" 87.015 "/>
    <s v=" 61.5 "/>
    <x v="0"/>
    <n v="5351"/>
    <m/>
    <m/>
  </r>
  <r>
    <x v="0"/>
    <x v="4"/>
    <s v="D:\images\20211118\plaque 1/@01 TS/E1_03.tif "/>
    <s v=" 130.5225 "/>
    <s v=" 67.5 "/>
    <x v="0"/>
    <n v="8810"/>
    <m/>
    <m/>
  </r>
  <r>
    <x v="0"/>
    <x v="5"/>
    <s v="D:\images\20211118\plaque 1/@01 TS/F1_01.tif "/>
    <s v=" 4938.1024 "/>
    <s v=" 65.7313 "/>
    <x v="0"/>
    <n v="324588"/>
    <m/>
    <m/>
  </r>
  <r>
    <x v="0"/>
    <x v="5"/>
    <s v="D:\images\20211118\plaque 1/@01 TS/F1_02- exclu.tif"/>
    <m/>
    <m/>
    <x v="1"/>
    <m/>
    <m/>
    <m/>
  </r>
  <r>
    <x v="0"/>
    <x v="5"/>
    <s v="D:\images\20211118\plaque 1/@01 TS/F1_03.tif "/>
    <s v=" 3328.3245 "/>
    <s v=" 69.9281 "/>
    <x v="0"/>
    <n v="232743"/>
    <m/>
    <m/>
  </r>
  <r>
    <x v="0"/>
    <x v="6"/>
    <s v="D:\images\20211118\plaque 1/@01 TS/G1_01.tif "/>
    <s v=" 870.1502 "/>
    <s v=" 67.425 "/>
    <x v="0"/>
    <n v="58670"/>
    <m/>
    <m/>
  </r>
  <r>
    <x v="0"/>
    <x v="6"/>
    <s v="D:\images\20211118\plaque 1/@01 TS/G1_02.tif "/>
    <s v=" 500.3364 "/>
    <s v=" 65.087 "/>
    <x v="0"/>
    <n v="32565"/>
    <m/>
    <m/>
  </r>
  <r>
    <x v="0"/>
    <x v="6"/>
    <s v="D:\images\20211118\plaque 1/@01 TS/G1_03.tif "/>
    <s v=" 435.0751 "/>
    <s v=" 64.5 "/>
    <x v="0"/>
    <n v="28062"/>
    <m/>
    <m/>
  </r>
  <r>
    <x v="0"/>
    <x v="7"/>
    <s v="D:\images\20211118\plaque 1/@01 TS/H1_01.tif "/>
    <s v=" 783.1352 "/>
    <s v=" 63.8889 "/>
    <x v="0"/>
    <n v="50034"/>
    <m/>
    <m/>
  </r>
  <r>
    <x v="0"/>
    <x v="7"/>
    <s v="D:\images\20211118\plaque 1/@01 TS/H1_02.tif "/>
    <s v=" 435.0751 "/>
    <s v=" 64.7 "/>
    <x v="0"/>
    <n v="28149"/>
    <m/>
    <m/>
  </r>
  <r>
    <x v="0"/>
    <x v="7"/>
    <s v="D:\images\20211118\plaque 1/@01 TS/H1_03- exclu.tif"/>
    <m/>
    <m/>
    <x v="1"/>
    <m/>
    <m/>
    <m/>
  </r>
  <r>
    <x v="1"/>
    <x v="8"/>
    <s v=" "/>
    <m/>
    <m/>
    <x v="1"/>
    <m/>
    <m/>
    <m/>
  </r>
  <r>
    <x v="1"/>
    <x v="8"/>
    <s v="group "/>
    <s v=" "/>
    <s v=" mean of mean fluo "/>
    <x v="2"/>
    <s v=" mean of total fluo "/>
    <s v=" SD total fluo "/>
    <s v=" n fluorescent "/>
  </r>
  <r>
    <x v="0"/>
    <x v="9"/>
    <s v="D:\images\20211118\plaque 1/@01 TS/ "/>
    <s v=" "/>
    <s v=" 65.4902 "/>
    <x v="3"/>
    <s v=" 88512.375 "/>
    <s v=" 91695.964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D:\images\20211118\plaque 1/@02 EE2 34/A2_01.tif "/>
    <s v=" 3915.6759 "/>
    <s v=" 66.4333 "/>
    <x v="0"/>
    <n v="260131"/>
    <m/>
    <m/>
  </r>
  <r>
    <x v="2"/>
    <x v="0"/>
    <s v="D:\images\20211118\plaque 1/@02 EE2 34/A2_02- exclu.tif"/>
    <m/>
    <m/>
    <x v="1"/>
    <m/>
    <m/>
    <m/>
  </r>
  <r>
    <x v="2"/>
    <x v="0"/>
    <s v="D:\images\20211118\plaque 1/@02 EE2 34/A2_03- exclu.tif"/>
    <m/>
    <m/>
    <x v="1"/>
    <m/>
    <m/>
    <m/>
  </r>
  <r>
    <x v="2"/>
    <x v="1"/>
    <s v="D:\images\20211118\plaque 1/@02 EE2 34/B2_01.tif "/>
    <s v=" 8505.7182 "/>
    <s v=" 72.4373 "/>
    <x v="0"/>
    <n v="616132"/>
    <m/>
    <m/>
  </r>
  <r>
    <x v="2"/>
    <x v="1"/>
    <s v="D:\images\20211118\plaque 1/@02 EE2 34/B2_02.tif "/>
    <s v=" 282.7988 "/>
    <s v=" 63.8462 "/>
    <x v="0"/>
    <n v="18056"/>
    <m/>
    <m/>
  </r>
  <r>
    <x v="2"/>
    <x v="1"/>
    <s v="D:\images\20211118\plaque 1/@02 EE2 34/B2_03.tif "/>
    <s v=" 282.7988 "/>
    <s v=" 63.9231 "/>
    <x v="0"/>
    <n v="18077"/>
    <m/>
    <m/>
  </r>
  <r>
    <x v="2"/>
    <x v="2"/>
    <s v="D:\images\20211118\plaque 1/@02 EE2 34/C2_01.tif "/>
    <s v=" 5133.8862 "/>
    <s v=" 67.8432 "/>
    <x v="0"/>
    <n v="348299"/>
    <m/>
    <m/>
  </r>
  <r>
    <x v="2"/>
    <x v="2"/>
    <s v="D:\images\20211118\plaque 1/@02 EE2 34/C2_02.tif "/>
    <s v=" 282.7988 "/>
    <s v=" 63.3846 "/>
    <x v="0"/>
    <n v="17925"/>
    <m/>
    <m/>
  </r>
  <r>
    <x v="2"/>
    <x v="2"/>
    <s v="D:\images\20211118\plaque 1/@02 EE2 34/C2_03.tif "/>
    <s v=" 4503.0273 "/>
    <s v=" 66.4928 "/>
    <x v="0"/>
    <n v="299419"/>
    <m/>
    <m/>
  </r>
  <r>
    <x v="2"/>
    <x v="3"/>
    <s v="D:\images\20211118\plaque 1/@02 EE2 34/D2_01.tif "/>
    <s v=" 2588.6968 "/>
    <s v=" 66.6723 "/>
    <x v="0"/>
    <n v="172594"/>
    <m/>
    <m/>
  </r>
  <r>
    <x v="2"/>
    <x v="3"/>
    <s v="D:\images\20211118\plaque 1/@02 EE2 34/D2_02.tif "/>
    <s v=" 3698.1384 "/>
    <s v=" 65.0412 "/>
    <x v="0"/>
    <n v="240531"/>
    <m/>
    <m/>
  </r>
  <r>
    <x v="2"/>
    <x v="3"/>
    <s v="D:\images\20211118\plaque 1/@02 EE2 34/D2_03.tif "/>
    <s v=" 2001.3455 "/>
    <s v=" 65.4022 "/>
    <x v="0"/>
    <n v="130892"/>
    <m/>
    <m/>
  </r>
  <r>
    <x v="2"/>
    <x v="4"/>
    <s v="D:\images\20211118\plaque 1/@02 EE2 34/E2_01.tif "/>
    <s v=" 261.0451 "/>
    <s v=" 61.5 "/>
    <x v="0"/>
    <n v="16054"/>
    <m/>
    <m/>
  </r>
  <r>
    <x v="2"/>
    <x v="4"/>
    <s v="D:\images\20211118\plaque 1/@02 EE2 34/E2_02.tif "/>
    <s v=" 348.0601 "/>
    <s v=" 62.9375 "/>
    <x v="0"/>
    <n v="21906"/>
    <m/>
    <m/>
  </r>
  <r>
    <x v="2"/>
    <x v="4"/>
    <s v="D:\images\20211118\plaque 1/@02 EE2 34/E2_03.tif "/>
    <s v=" 804.8889 "/>
    <s v=" 64.6757 "/>
    <x v="0"/>
    <n v="52057"/>
    <m/>
    <m/>
  </r>
  <r>
    <x v="2"/>
    <x v="5"/>
    <s v="D:\images\20211118\plaque 1/@02 EE2 34/F2_01- exclu.tif"/>
    <m/>
    <m/>
    <x v="1"/>
    <m/>
    <m/>
    <m/>
  </r>
  <r>
    <x v="2"/>
    <x v="5"/>
    <s v="D:\images\20211118\plaque 1/@02 EE2 34/F2_02.tif "/>
    <s v=" 2044.853 "/>
    <s v=" 63.6702 "/>
    <x v="0"/>
    <n v="130196"/>
    <m/>
    <m/>
  </r>
  <r>
    <x v="2"/>
    <x v="5"/>
    <s v="D:\images\20211118\plaque 1/@02 EE2 34/F2_03.tif "/>
    <s v=" 3110.787 "/>
    <s v=" 64.5385 "/>
    <x v="0"/>
    <n v="200765"/>
    <m/>
    <m/>
  </r>
  <r>
    <x v="2"/>
    <x v="6"/>
    <s v="D:\images\20211118\plaque 1/@02 EE2 34/G2_01.tif "/>
    <s v=" 4938.1024 "/>
    <s v=" 69.5991 "/>
    <x v="0"/>
    <n v="343688"/>
    <m/>
    <m/>
  </r>
  <r>
    <x v="2"/>
    <x v="6"/>
    <s v="D:\images\20211118\plaque 1/@02 EE2 34/G2_02.tif "/>
    <s v=" 4046.1984 "/>
    <s v=" 71.4516 "/>
    <x v="0"/>
    <n v="289107"/>
    <m/>
    <m/>
  </r>
  <r>
    <x v="2"/>
    <x v="6"/>
    <s v="D:\images\20211118\plaque 1/@02 EE2 34/G2_03.tif "/>
    <s v=" 1283.4715 "/>
    <s v=" 64.4068 "/>
    <x v="0"/>
    <n v="82664"/>
    <m/>
    <m/>
  </r>
  <r>
    <x v="2"/>
    <x v="7"/>
    <s v="D:\images\20211118\plaque 1/@02 EE2 34/H2_01.tif "/>
    <s v=" 1544.5166 "/>
    <s v=" 64.0563 "/>
    <x v="0"/>
    <n v="98936"/>
    <m/>
    <m/>
  </r>
  <r>
    <x v="2"/>
    <x v="7"/>
    <s v="D:\images\20211118\plaque 1/@02 EE2 34/H2_02.tif "/>
    <s v=" 717.8739 "/>
    <s v=" 65.3939 "/>
    <x v="0"/>
    <n v="46945"/>
    <m/>
    <m/>
  </r>
  <r>
    <x v="2"/>
    <x v="7"/>
    <s v="D:\images\20211118\plaque 1/@02 EE2 34/H2_03.tif "/>
    <s v=" 630.8589 "/>
    <s v=" 64.2414 "/>
    <x v="0"/>
    <n v="40527"/>
    <m/>
    <m/>
  </r>
  <r>
    <x v="1"/>
    <x v="8"/>
    <s v=" "/>
    <m/>
    <m/>
    <x v="1"/>
    <m/>
    <m/>
    <m/>
  </r>
  <r>
    <x v="1"/>
    <x v="8"/>
    <s v="group "/>
    <s v=" "/>
    <s v=" mean of mean fluo "/>
    <x v="2"/>
    <s v=" mean of total fluo "/>
    <s v=" SD total fluo "/>
    <s v=" n fluorescent "/>
  </r>
  <r>
    <x v="2"/>
    <x v="9"/>
    <s v="D:\images\20211118\plaque 1/@02 EE2 34/ "/>
    <s v=" "/>
    <s v=" 65.4412 "/>
    <x v="4"/>
    <s v=" 164416.625 "/>
    <s v=" 151466.08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D:\images\20211118\plaque 1/@03 EE2 51/A3_01- exclu.tif"/>
    <m/>
    <m/>
    <x v="1"/>
    <m/>
    <m/>
    <m/>
  </r>
  <r>
    <x v="3"/>
    <x v="0"/>
    <s v="D:\images\20211118\plaque 1/@03 EE2 51/A3_02.tif "/>
    <s v=" 1936.0842 "/>
    <s v=" 66.3146 "/>
    <x v="0"/>
    <n v="128391"/>
    <m/>
    <m/>
  </r>
  <r>
    <x v="3"/>
    <x v="0"/>
    <s v="D:\images\20211118\plaque 1/@03 EE2 51/A3_03- exclu.tif"/>
    <m/>
    <m/>
    <x v="1"/>
    <m/>
    <m/>
    <m/>
  </r>
  <r>
    <x v="3"/>
    <x v="1"/>
    <s v="D:\images\20211118\plaque 1/@03 EE2 51/B3_01- exclu.tif"/>
    <m/>
    <m/>
    <x v="1"/>
    <m/>
    <m/>
    <m/>
  </r>
  <r>
    <x v="3"/>
    <x v="1"/>
    <s v="D:\images\20211118\plaque 1/@03 EE2 51/B3_02.tif "/>
    <s v=" 1392.2403 "/>
    <s v=" 63.2969 "/>
    <x v="0"/>
    <n v="88124"/>
    <m/>
    <m/>
  </r>
  <r>
    <x v="3"/>
    <x v="1"/>
    <s v="D:\images\20211118\plaque 1/@03 EE2 51/B3_03.tif "/>
    <s v=" 804.8889 "/>
    <s v=" 64.3514 "/>
    <x v="0"/>
    <n v="51796"/>
    <m/>
    <m/>
  </r>
  <r>
    <x v="3"/>
    <x v="2"/>
    <s v="D:\images\20211118\plaque 1/@03 EE2 51/C3_01.tif "/>
    <s v=" 500.3364 "/>
    <n v="65"/>
    <x v="0"/>
    <n v="32522"/>
    <m/>
    <m/>
  </r>
  <r>
    <x v="3"/>
    <x v="2"/>
    <s v="D:\images\20211118\plaque 1/@03 EE2 51/C3_02.tif "/>
    <s v=" 587.3514 "/>
    <s v=" 63.9259 "/>
    <x v="0"/>
    <n v="37547"/>
    <m/>
    <m/>
  </r>
  <r>
    <x v="3"/>
    <x v="2"/>
    <s v="D:\images\20211118\plaque 1/@03 EE2 51/C3_03.tif "/>
    <s v=" 761.3814 "/>
    <s v=" 62.5714 "/>
    <x v="0"/>
    <n v="47641"/>
    <m/>
    <m/>
  </r>
  <r>
    <x v="3"/>
    <x v="3"/>
    <s v="D:\images\20211118\plaque 1/@03 EE2 51/D3_01.tif "/>
    <s v=" 1000.6727 "/>
    <s v=" 63.3696 "/>
    <x v="0"/>
    <n v="63412"/>
    <m/>
    <m/>
  </r>
  <r>
    <x v="3"/>
    <x v="3"/>
    <s v="D:\images\20211118\plaque 1/@03 EE2 51/D3_02.tif "/>
    <s v=" 1283.4715 "/>
    <s v=" 64.3898 "/>
    <x v="0"/>
    <n v="82643"/>
    <m/>
    <m/>
  </r>
  <r>
    <x v="3"/>
    <x v="3"/>
    <s v="D:\images\20211118\plaque 1/@03 EE2 51/D3_03.tif "/>
    <s v=" 4111.4597 "/>
    <s v=" 69.3862 "/>
    <x v="0"/>
    <n v="285279"/>
    <m/>
    <m/>
  </r>
  <r>
    <x v="3"/>
    <x v="4"/>
    <s v="D:\images\20211118\plaque 1/@03 EE2 51/E3_01.tif "/>
    <s v=" 5264.4087 "/>
    <s v=" 67.0083 "/>
    <x v="0"/>
    <n v="352759"/>
    <m/>
    <m/>
  </r>
  <r>
    <x v="3"/>
    <x v="4"/>
    <s v="D:\images\20211118\plaque 1/@03 EE2 51/E3_02.tif "/>
    <s v=" 2806.2344 "/>
    <s v=" 66.2636 "/>
    <x v="0"/>
    <n v="185951"/>
    <m/>
    <m/>
  </r>
  <r>
    <x v="3"/>
    <x v="4"/>
    <s v="D:\images\20211118\plaque 1/@03 EE2 51/E3_03.tif "/>
    <s v=" 348.0601 "/>
    <s v=" 62.6875 "/>
    <x v="0"/>
    <n v="21819"/>
    <m/>
    <m/>
  </r>
  <r>
    <x v="3"/>
    <x v="5"/>
    <s v="D:\images\20211118\plaque 1/@03 EE2 51/F3_01.tif "/>
    <s v=" 1087.6878 "/>
    <s v=" 64.3 "/>
    <x v="0"/>
    <n v="69938"/>
    <m/>
    <m/>
  </r>
  <r>
    <x v="3"/>
    <x v="5"/>
    <s v="D:\images\20211118\plaque 1/@03 EE2 51/F3_02.tif "/>
    <s v=" 891.904 "/>
    <s v=" 64.7073 "/>
    <x v="0"/>
    <n v="57713"/>
    <m/>
    <m/>
  </r>
  <r>
    <x v="3"/>
    <x v="5"/>
    <s v="D:\images\20211118\plaque 1/@03 EE2 51/F3_03.tif "/>
    <s v=" 348.0601 "/>
    <s v=" 64.3125 "/>
    <x v="0"/>
    <n v="22385"/>
    <m/>
    <m/>
  </r>
  <r>
    <x v="3"/>
    <x v="6"/>
    <s v="D:\images\20211118\plaque 1/@03 EE2 51/G3_01.tif "/>
    <s v=" 1805.5617 "/>
    <s v=" 63.7229 "/>
    <x v="0"/>
    <n v="115056"/>
    <m/>
    <m/>
  </r>
  <r>
    <x v="3"/>
    <x v="6"/>
    <s v="D:\images\20211118\plaque 1/@03 EE2 51/G3_02.tif "/>
    <s v=" 1109.4415 "/>
    <s v=" 63.2941 "/>
    <x v="0"/>
    <n v="70221"/>
    <m/>
    <m/>
  </r>
  <r>
    <x v="3"/>
    <x v="6"/>
    <s v="D:\images\20211118\plaque 1/@03 EE2 51/G3_03.tif "/>
    <s v=" 1305.2253 "/>
    <s v=" 64.4 "/>
    <x v="0"/>
    <n v="84057"/>
    <m/>
    <m/>
  </r>
  <r>
    <x v="3"/>
    <x v="7"/>
    <s v="D:\images\20211118\plaque 1/@03 EE2 51/H3_01.tif "/>
    <s v=" 500.3364 "/>
    <s v=" 63.087 "/>
    <x v="0"/>
    <n v="31565"/>
    <m/>
    <m/>
  </r>
  <r>
    <x v="3"/>
    <x v="7"/>
    <s v="D:\images\20211118\plaque 1/@03 EE2 51/H3_02.tif "/>
    <s v=" 6808.9253 "/>
    <s v=" 74.6454 "/>
    <x v="0"/>
    <n v="508255"/>
    <m/>
    <m/>
  </r>
  <r>
    <x v="3"/>
    <x v="7"/>
    <s v="D:\images\20211118\plaque 1/@03 EE2 51/H3_03.tif "/>
    <s v=" 6743.6641 "/>
    <s v=" 71.2452 "/>
    <x v="0"/>
    <n v="480453"/>
    <m/>
    <m/>
  </r>
  <r>
    <x v="1"/>
    <x v="8"/>
    <s v=" "/>
    <m/>
    <m/>
    <x v="1"/>
    <m/>
    <m/>
    <m/>
  </r>
  <r>
    <x v="1"/>
    <x v="8"/>
    <s v="group "/>
    <s v=" "/>
    <s v=" mean of mean fluo "/>
    <x v="2"/>
    <s v=" mean of total fluo "/>
    <s v=" SD total fluo "/>
    <s v=" n fluorescent "/>
  </r>
  <r>
    <x v="3"/>
    <x v="9"/>
    <s v="D:\images\20211118\plaque 1/@03 EE2 51/ "/>
    <s v=" "/>
    <s v=" 65.1137 "/>
    <x v="5"/>
    <s v=" 129808.375 "/>
    <s v=" 139687.89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D:\images\20211118\plaque 1/@04 EE2 76/A4_01.tif "/>
    <s v=" 6178.0664 "/>
    <s v=" 63.3697 "/>
    <x v="0"/>
    <n v="391502"/>
    <m/>
    <m/>
  </r>
  <r>
    <x v="4"/>
    <x v="0"/>
    <s v="D:\images\20211118\plaque 1/@04 EE2 76/A4_02- exclu.tif"/>
    <m/>
    <m/>
    <x v="1"/>
    <m/>
    <m/>
    <m/>
  </r>
  <r>
    <x v="4"/>
    <x v="0"/>
    <s v="D:\images\20211118\plaque 1/@04 EE2 76/A4_03.tif "/>
    <s v=" 7178.7392 "/>
    <s v=" 64.0333 "/>
    <x v="0"/>
    <n v="459679"/>
    <m/>
    <m/>
  </r>
  <r>
    <x v="4"/>
    <x v="1"/>
    <s v="D:\images\20211118\plaque 1/@04 EE2 76/B4_01.tif "/>
    <s v=" 1653.2854 "/>
    <s v=" 62.9868 "/>
    <x v="0"/>
    <n v="104135"/>
    <m/>
    <m/>
  </r>
  <r>
    <x v="4"/>
    <x v="1"/>
    <s v="D:\images\20211118\plaque 1/@04 EE2 76/B4_02.tif "/>
    <s v=" 1914.3304 "/>
    <s v=" 63.0227 "/>
    <x v="0"/>
    <n v="120646"/>
    <m/>
    <m/>
  </r>
  <r>
    <x v="4"/>
    <x v="1"/>
    <s v="D:\images\20211118\plaque 1/@04 EE2 76/B4_03.tif "/>
    <s v=" 2871.4957 "/>
    <s v=" 63.3182 "/>
    <x v="0"/>
    <n v="181818"/>
    <m/>
    <m/>
  </r>
  <r>
    <x v="4"/>
    <x v="2"/>
    <s v="D:\images\20211118\plaque 1/@04 EE2 76/C4_01.tif "/>
    <s v=" 304.5526 "/>
    <n v="63"/>
    <x v="0"/>
    <n v="19187"/>
    <m/>
    <m/>
  </r>
  <r>
    <x v="4"/>
    <x v="2"/>
    <s v="D:\images\20211118\plaque 1/@04 EE2 76/C4_02.tif "/>
    <s v=" 739.6277 "/>
    <s v=" 62.6176 "/>
    <x v="0"/>
    <n v="46314"/>
    <m/>
    <m/>
  </r>
  <r>
    <x v="4"/>
    <x v="2"/>
    <s v="D:\images\20211118\plaque 1/@04 EE2 76/C4_03.tif "/>
    <s v=" 543.8439 "/>
    <s v=" 62.84 "/>
    <x v="0"/>
    <n v="34175"/>
    <m/>
    <m/>
  </r>
  <r>
    <x v="4"/>
    <x v="3"/>
    <s v="D:\images\20211118\plaque 1/@04 EE2 76/D4_01.tif "/>
    <s v=" 5046.8712 "/>
    <s v=" 64.0259 "/>
    <x v="0"/>
    <n v="323130"/>
    <m/>
    <m/>
  </r>
  <r>
    <x v="4"/>
    <x v="3"/>
    <s v="D:\images\20211118\plaque 1/@04 EE2 76/D4_02.tif "/>
    <s v=" 5808.2526 "/>
    <s v=" 64.3184 "/>
    <x v="0"/>
    <n v="373577"/>
    <m/>
    <m/>
  </r>
  <r>
    <x v="4"/>
    <x v="3"/>
    <s v="D:\images\20211118\plaque 1/@04 EE2 76/D4_03.tif "/>
    <s v=" 3872.1684 "/>
    <s v=" 64.5843 "/>
    <x v="0"/>
    <n v="250081"/>
    <m/>
    <m/>
  </r>
  <r>
    <x v="4"/>
    <x v="4"/>
    <s v="D:\images\20211118\plaque 1/@04 EE2 76/E4_01.tif "/>
    <s v=" 543.8439 "/>
    <s v=" 64.04 "/>
    <x v="0"/>
    <n v="34828"/>
    <m/>
    <m/>
  </r>
  <r>
    <x v="4"/>
    <x v="4"/>
    <s v="D:\images\20211118\plaque 1/@04 EE2 76/E4_02.tif "/>
    <s v=" 1174.7028 "/>
    <s v=" 63.5 "/>
    <x v="0"/>
    <n v="74594"/>
    <m/>
    <m/>
  </r>
  <r>
    <x v="4"/>
    <x v="4"/>
    <s v="D:\images\20211118\plaque 1/@04 EE2 76/E4_03.tif "/>
    <s v=" 2284.1443 "/>
    <s v=" 64.1524 "/>
    <x v="0"/>
    <n v="146533"/>
    <m/>
    <m/>
  </r>
  <r>
    <x v="4"/>
    <x v="5"/>
    <s v="D:\images\20211118\plaque 1/@04 EE2 76/F4_01.tif "/>
    <s v=" 30955.5934 "/>
    <s v=" 66.0576 "/>
    <x v="0"/>
    <n v="2044853"/>
    <m/>
    <m/>
  </r>
  <r>
    <x v="4"/>
    <x v="5"/>
    <s v="D:\images\20211118\plaque 1/@04 EE2 76/F4_02- exclu.tif"/>
    <m/>
    <m/>
    <x v="1"/>
    <m/>
    <m/>
    <m/>
  </r>
  <r>
    <x v="4"/>
    <x v="5"/>
    <s v="D:\images\20211118\plaque 1/@04 EE2 76/F4_03.tif "/>
    <s v=" 20230.9922 "/>
    <s v=" 65.0903 "/>
    <x v="0"/>
    <n v="1316842"/>
    <m/>
    <m/>
  </r>
  <r>
    <x v="4"/>
    <x v="6"/>
    <s v="D:\images\20211118\plaque 1/@04 EE2 76/G4_01.tif "/>
    <s v=" 1305.2253 "/>
    <s v=" 63.4833 "/>
    <x v="0"/>
    <n v="82860"/>
    <m/>
    <m/>
  </r>
  <r>
    <x v="4"/>
    <x v="6"/>
    <s v="D:\images\20211118\plaque 1/@04 EE2 76/G4_02.tif "/>
    <s v=" 1370.4866 "/>
    <s v=" 63.4762 "/>
    <x v="0"/>
    <n v="86993"/>
    <m/>
    <m/>
  </r>
  <r>
    <x v="4"/>
    <x v="6"/>
    <s v="D:\images\20211118\plaque 1/@04 EE2 76/G4_03- exclu.tif"/>
    <m/>
    <m/>
    <x v="1"/>
    <m/>
    <m/>
    <m/>
  </r>
  <r>
    <x v="4"/>
    <x v="7"/>
    <s v="D:\images\20211118\plaque 1/@04 EE2 76/H4_01.tif "/>
    <s v=" 5133.8862 "/>
    <s v=" 63.7712 "/>
    <x v="0"/>
    <n v="327394"/>
    <m/>
    <m/>
  </r>
  <r>
    <x v="4"/>
    <x v="7"/>
    <s v="D:\images\20211118\plaque 1/@04 EE2 76/H4_02.tif "/>
    <s v=" 3350.0783 "/>
    <s v=" 63.0974 "/>
    <x v="0"/>
    <n v="211381"/>
    <m/>
    <m/>
  </r>
  <r>
    <x v="4"/>
    <x v="7"/>
    <s v="D:\images\20211118\plaque 1/@04 EE2 76/H4_03.tif "/>
    <s v=" 3828.6609 "/>
    <s v=" 63.4318 "/>
    <x v="0"/>
    <n v="242859"/>
    <m/>
    <m/>
  </r>
  <r>
    <x v="1"/>
    <x v="8"/>
    <s v=" "/>
    <m/>
    <m/>
    <x v="1"/>
    <m/>
    <m/>
    <m/>
  </r>
  <r>
    <x v="1"/>
    <x v="8"/>
    <s v="group "/>
    <s v=" "/>
    <s v=" mean of mean fluo "/>
    <x v="2"/>
    <s v=" mean of total fluo "/>
    <s v=" SD total fluo "/>
    <s v=" n fluorescent "/>
  </r>
  <r>
    <x v="4"/>
    <x v="9"/>
    <s v="D:\images\20211118\plaque 1/@04 EE2 76/ "/>
    <s v=" "/>
    <s v=" 63.6807 "/>
    <x v="6"/>
    <s v=" 341889.25 "/>
    <s v=" 487007.54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D:\images\20211118\plaque 1/@05 EE2 114/A5_01.tif "/>
    <s v=" 4590.0423 "/>
    <s v=" 63.8957 "/>
    <x v="0"/>
    <n v="293284"/>
    <m/>
    <m/>
  </r>
  <r>
    <x v="5"/>
    <x v="0"/>
    <s v="D:\images\20211118\plaque 1/@05 EE2 114/A5_02.tif "/>
    <s v=" 5503.7 "/>
    <s v=" 64.0593 "/>
    <x v="0"/>
    <n v="352563"/>
    <m/>
    <m/>
  </r>
  <r>
    <x v="5"/>
    <x v="0"/>
    <s v="D:\images\20211118\plaque 1/@05 EE2 114/A5_03.tif "/>
    <s v=" 10202.5111 "/>
    <s v=" 65.0533 "/>
    <x v="0"/>
    <n v="663707"/>
    <m/>
    <m/>
  </r>
  <r>
    <x v="5"/>
    <x v="1"/>
    <s v="D:\images\20211118\plaque 1/@05 EE2 114/B5_01.tif "/>
    <s v=" 14313.9708 "/>
    <s v=" 64.5015 "/>
    <x v="0"/>
    <n v="923273"/>
    <m/>
    <m/>
  </r>
  <r>
    <x v="5"/>
    <x v="1"/>
    <s v="D:\images\20211118\plaque 1/@05 EE2 114/B5_02.tif "/>
    <s v=" 13509.0819 "/>
    <s v=" 64.3172 "/>
    <x v="0"/>
    <n v="868867"/>
    <m/>
    <m/>
  </r>
  <r>
    <x v="5"/>
    <x v="1"/>
    <s v="D:\images\20211118\plaque 1/@05 EE2 114/B5_03.tif "/>
    <s v=" 12899.9767 "/>
    <s v=" 64.9545 "/>
    <x v="0"/>
    <n v="837911"/>
    <m/>
    <m/>
  </r>
  <r>
    <x v="5"/>
    <x v="2"/>
    <s v="D:\images\20211118\plaque 1/@05 EE2 114/C5_01.tif "/>
    <s v=" 52557.0721 "/>
    <s v=" 70.375 "/>
    <x v="0"/>
    <n v="3698704"/>
    <m/>
    <m/>
  </r>
  <r>
    <x v="5"/>
    <x v="2"/>
    <s v="D:\images\20211118\plaque 1/@05 EE2 114/C5_02.tif "/>
    <s v=" 46944.6033 "/>
    <s v=" 70.2822 "/>
    <x v="0"/>
    <n v="3299370"/>
    <m/>
    <m/>
  </r>
  <r>
    <x v="5"/>
    <x v="2"/>
    <s v="D:\images\20211118\plaque 1/@05 EE2 114/C5_03.tif "/>
    <s v=" 54580.1713 "/>
    <s v=" 72.265 "/>
    <x v="0"/>
    <n v="3944239"/>
    <m/>
    <m/>
  </r>
  <r>
    <x v="5"/>
    <x v="3"/>
    <s v="D:\images\20211118\plaque 1/@05 EE2 114/D5_01.tif "/>
    <s v=" 413.3213 "/>
    <s v=" 64.3684 "/>
    <x v="0"/>
    <n v="26605"/>
    <m/>
    <m/>
  </r>
  <r>
    <x v="5"/>
    <x v="3"/>
    <s v="D:\images\20211118\plaque 1/@05 EE2 114/D5_02.tif "/>
    <s v=" 522.0901 "/>
    <s v=" 64.1667 "/>
    <x v="0"/>
    <n v="33501"/>
    <m/>
    <m/>
  </r>
  <r>
    <x v="5"/>
    <x v="3"/>
    <s v="D:\images\20211118\plaque 1/@05 EE2 114/D5_03.tif "/>
    <s v=" 456.8289 "/>
    <n v="63"/>
    <x v="0"/>
    <n v="28780"/>
    <m/>
    <m/>
  </r>
  <r>
    <x v="5"/>
    <x v="4"/>
    <s v="D:\images\20211118\plaque 1/@05 EE2 114/E5_01.tif "/>
    <s v=" 3698.1384 "/>
    <s v=" 63.6118 "/>
    <x v="0"/>
    <n v="235245"/>
    <m/>
    <m/>
  </r>
  <r>
    <x v="5"/>
    <x v="4"/>
    <s v="D:\images\20211118\plaque 1/@05 EE2 114/E5_02.tif "/>
    <s v=" 2262.3905 "/>
    <s v=" 62.9231 "/>
    <x v="0"/>
    <n v="142357"/>
    <m/>
    <m/>
  </r>
  <r>
    <x v="5"/>
    <x v="4"/>
    <s v="D:\images\20211118\plaque 1/@05 EE2 114/E5_03.tif "/>
    <s v=" 6482.619 "/>
    <s v=" 68.4799 "/>
    <x v="0"/>
    <n v="443929"/>
    <m/>
    <m/>
  </r>
  <r>
    <x v="5"/>
    <x v="5"/>
    <s v="D:\images\20211118\plaque 1/@05 EE2 114/F5_01.tif "/>
    <s v=" 2175.3755 "/>
    <s v=" 63.43 "/>
    <x v="0"/>
    <n v="137984"/>
    <m/>
    <m/>
  </r>
  <r>
    <x v="5"/>
    <x v="5"/>
    <s v="D:\images\20211118\plaque 1/@05 EE2 114/F5_02.tif "/>
    <s v=" 1653.2854 "/>
    <s v=" 63.6974 "/>
    <x v="0"/>
    <n v="105310"/>
    <m/>
    <m/>
  </r>
  <r>
    <x v="5"/>
    <x v="5"/>
    <s v="D:\images\20211118\plaque 1/@05 EE2 114/F5_03.tif "/>
    <s v=" 2501.6818 "/>
    <s v=" 63.8435 "/>
    <x v="0"/>
    <n v="159716"/>
    <m/>
    <m/>
  </r>
  <r>
    <x v="5"/>
    <x v="6"/>
    <s v="D:\images\20211118\plaque 1/@05 EE2 114/G5_01.tif "/>
    <s v=" 13791.8807 "/>
    <s v=" 64.9527 "/>
    <x v="0"/>
    <n v="895820"/>
    <m/>
    <m/>
  </r>
  <r>
    <x v="5"/>
    <x v="6"/>
    <s v="D:\images\20211118\plaque 1/@05 EE2 114/G5_02.tif "/>
    <s v=" 19969.9471 "/>
    <s v=" 65.8845 "/>
    <x v="0"/>
    <n v="1315711"/>
    <m/>
    <m/>
  </r>
  <r>
    <x v="5"/>
    <x v="6"/>
    <s v="D:\images\20211118\plaque 1/@05 EE2 114/G5_03.tif "/>
    <s v=" 14379.2321 "/>
    <s v=" 65.1437 "/>
    <x v="0"/>
    <n v="936717"/>
    <m/>
    <m/>
  </r>
  <r>
    <x v="5"/>
    <x v="7"/>
    <s v="D:\images\20211118\plaque 1/@05 EE2 114/H5_01.tif "/>
    <s v=" 4807.5799 "/>
    <s v=" 63.5113 "/>
    <x v="0"/>
    <n v="305336"/>
    <m/>
    <m/>
  </r>
  <r>
    <x v="5"/>
    <x v="7"/>
    <s v="D:\images\20211118\plaque 1/@05 EE2 114/H5_02.tif "/>
    <s v=" 2980.2644 "/>
    <s v=" 63.219 "/>
    <x v="0"/>
    <n v="188409"/>
    <m/>
    <m/>
  </r>
  <r>
    <x v="5"/>
    <x v="7"/>
    <s v="D:\images\20211118\plaque 1/@05 EE2 114/H5_03.tif "/>
    <s v=" 6373.8502 "/>
    <s v=" 64.1092 "/>
    <x v="0"/>
    <n v="408623"/>
    <m/>
    <m/>
  </r>
  <r>
    <x v="1"/>
    <x v="8"/>
    <s v=" "/>
    <m/>
    <m/>
    <x v="1"/>
    <m/>
    <m/>
    <m/>
  </r>
  <r>
    <x v="1"/>
    <x v="8"/>
    <s v="group "/>
    <s v=" "/>
    <s v=" mean of mean fluo "/>
    <x v="2"/>
    <s v=" mean of total fluo "/>
    <s v=" SD total fluo "/>
    <s v=" n fluorescent "/>
  </r>
  <r>
    <x v="5"/>
    <x v="9"/>
    <s v="D:\images\20211118\plaque 1/@05 EE2 114/ "/>
    <s v=" "/>
    <s v=" 65.1685 "/>
    <x v="7"/>
    <s v=" 843581.708 "/>
    <s v=" 1142882.2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D:\images\20211118\plaque 1/@06 EE2 171/A6_01.tif "/>
    <s v=" 44725.7203 "/>
    <s v=" 72.9898 "/>
    <x v="0"/>
    <n v="3264521"/>
    <m/>
    <m/>
  </r>
  <r>
    <x v="6"/>
    <x v="0"/>
    <s v="D:\images\20211118\plaque 1/@06 EE2 171/A6_02.tif "/>
    <s v=" 45247.8104 "/>
    <s v=" 75.0885 "/>
    <x v="0"/>
    <n v="3397588"/>
    <m/>
    <m/>
  </r>
  <r>
    <x v="6"/>
    <x v="0"/>
    <s v="D:\images\20211118\plaque 1/@06 EE2 171/A6_03.tif "/>
    <s v=" 44986.7653 "/>
    <s v=" 72.7795 "/>
    <x v="0"/>
    <n v="3274114"/>
    <m/>
    <m/>
  </r>
  <r>
    <x v="6"/>
    <x v="1"/>
    <s v="D:\images\20211118\plaque 1/@06 EE2 171/B6_01.tif "/>
    <s v=" 63129.397 "/>
    <s v=" 74.8156 "/>
    <x v="0"/>
    <n v="4723067"/>
    <m/>
    <m/>
  </r>
  <r>
    <x v="6"/>
    <x v="1"/>
    <s v="D:\images\20211118\plaque 1/@06 EE2 171/B6_02.tif "/>
    <s v=" 62237.4931 "/>
    <s v=" 74.7655 "/>
    <x v="0"/>
    <n v="4653215"/>
    <m/>
    <m/>
  </r>
  <r>
    <x v="6"/>
    <x v="1"/>
    <s v="D:\images\20211118\plaque 1/@06 EE2 171/B6_03.tif "/>
    <s v=" 62172.2318 "/>
    <s v=" 74.7376 "/>
    <x v="0"/>
    <n v="4646602"/>
    <m/>
    <m/>
  </r>
  <r>
    <x v="6"/>
    <x v="2"/>
    <s v="D:\images\20211118\plaque 1/@06 EE2 171/C6_01- exclu.tif"/>
    <m/>
    <m/>
    <x v="1"/>
    <m/>
    <m/>
    <m/>
  </r>
  <r>
    <x v="6"/>
    <x v="2"/>
    <s v="D:\images\20211118\plaque 1/@06 EE2 171/C6_02.tif "/>
    <s v=" 52339.5345 "/>
    <s v=" 71.6783 "/>
    <x v="0"/>
    <n v="3751609"/>
    <m/>
    <m/>
  </r>
  <r>
    <x v="6"/>
    <x v="2"/>
    <s v="D:\images\20211118\plaque 1/@06 EE2 171/C6_03- exclu.tif"/>
    <m/>
    <m/>
    <x v="1"/>
    <m/>
    <m/>
    <m/>
  </r>
  <r>
    <x v="6"/>
    <x v="3"/>
    <s v="D:\images\20211118\plaque 1/@06 EE2 171/D6_01.tif "/>
    <s v=" 25734.6922 "/>
    <s v=" 66.0566 "/>
    <x v="0"/>
    <n v="1699947"/>
    <m/>
    <m/>
  </r>
  <r>
    <x v="6"/>
    <x v="3"/>
    <s v="D:\images\20211118\plaque 1/@06 EE2 171/D6_02.tif "/>
    <s v=" 18947.5206 "/>
    <s v=" 65.023 "/>
    <x v="0"/>
    <n v="1232024"/>
    <m/>
    <m/>
  </r>
  <r>
    <x v="6"/>
    <x v="3"/>
    <s v="D:\images\20211118\plaque 1/@06 EE2 171/D6_03.tif "/>
    <s v=" 22210.5839 "/>
    <s v=" 65.2693 "/>
    <x v="0"/>
    <n v="1449670"/>
    <m/>
    <m/>
  </r>
  <r>
    <x v="6"/>
    <x v="4"/>
    <s v="D:\images\20211118\plaque 1/@06 EE2 171/E6_01- exclu.tif"/>
    <m/>
    <m/>
    <x v="1"/>
    <m/>
    <m/>
    <m/>
  </r>
  <r>
    <x v="6"/>
    <x v="4"/>
    <s v="D:\images\20211118\plaque 1/@06 EE2 171/E6_02.tif "/>
    <s v=" 57603.9433 "/>
    <s v=" 76.054 "/>
    <x v="0"/>
    <n v="4381010"/>
    <m/>
    <m/>
  </r>
  <r>
    <x v="6"/>
    <x v="4"/>
    <s v="D:\images\20211118\plaque 1/@06 EE2 171/E6_03.tif "/>
    <s v=" 58474.0935 "/>
    <s v=" 74.8501 "/>
    <x v="0"/>
    <n v="4376790"/>
    <m/>
    <m/>
  </r>
  <r>
    <x v="6"/>
    <x v="5"/>
    <s v="D:\images\20211118\plaque 1/@06 EE2 171/F6_01.tif "/>
    <s v=" 37068.3985 "/>
    <s v=" 69.0176 "/>
    <x v="0"/>
    <n v="2558372"/>
    <m/>
    <m/>
  </r>
  <r>
    <x v="6"/>
    <x v="5"/>
    <s v="D:\images\20211118\plaque 1/@06 EE2 171/F6_02.tif "/>
    <s v=" 40266.2005 "/>
    <s v=" 67.8811 "/>
    <x v="0"/>
    <n v="2733316"/>
    <m/>
    <m/>
  </r>
  <r>
    <x v="6"/>
    <x v="5"/>
    <s v="D:\images\20211118\plaque 1/@06 EE2 171/F6_03.tif "/>
    <s v=" 41527.9183 "/>
    <s v=" 68.6113 "/>
    <x v="0"/>
    <n v="2849285"/>
    <m/>
    <m/>
  </r>
  <r>
    <x v="6"/>
    <x v="6"/>
    <s v="D:\images\20211118\plaque 1/@06 EE2 171/G6_01.tif "/>
    <s v=" 44986.7653 "/>
    <s v=" 68.7979 "/>
    <x v="0"/>
    <n v="3094994"/>
    <m/>
    <m/>
  </r>
  <r>
    <x v="6"/>
    <x v="6"/>
    <s v="D:\images\20211118\plaque 1/@06 EE2 171/G6_02.tif "/>
    <s v=" 48554.3812 "/>
    <s v=" 70.5314 "/>
    <x v="0"/>
    <n v="3424607"/>
    <m/>
    <m/>
  </r>
  <r>
    <x v="6"/>
    <x v="6"/>
    <s v="D:\images\20211118\plaque 1/@06 EE2 171/G6_03.tif "/>
    <s v=" 45639.378 "/>
    <s v=" 69.399 "/>
    <x v="0"/>
    <n v="3167325"/>
    <m/>
    <m/>
  </r>
  <r>
    <x v="6"/>
    <x v="7"/>
    <s v="D:\images\20211118\plaque 1/@06 EE2 171/H6_01.tif "/>
    <s v=" 48989.4563 "/>
    <s v=" 70.9649 "/>
    <x v="0"/>
    <n v="3476533"/>
    <m/>
    <m/>
  </r>
  <r>
    <x v="6"/>
    <x v="7"/>
    <s v="D:\images\20211118\plaque 1/@06 EE2 171/H6_02.tif "/>
    <s v=" 54580.1713 "/>
    <s v=" 72.6441 "/>
    <x v="0"/>
    <n v="3964926"/>
    <m/>
    <m/>
  </r>
  <r>
    <x v="6"/>
    <x v="7"/>
    <s v="D:\images\20211118\plaque 1/@06 EE2 171/H6_03.tif "/>
    <s v=" 49098.225 "/>
    <s v=" 70.6526 "/>
    <x v="0"/>
    <n v="3468919"/>
    <m/>
    <m/>
  </r>
  <r>
    <x v="1"/>
    <x v="8"/>
    <s v=" "/>
    <m/>
    <m/>
    <x v="1"/>
    <m/>
    <m/>
    <m/>
  </r>
  <r>
    <x v="1"/>
    <x v="8"/>
    <s v="group "/>
    <s v=" "/>
    <s v=" mean of mean fluo "/>
    <x v="2"/>
    <s v=" mean of total fluo "/>
    <s v=" SD total fluo "/>
    <s v=" n fluorescent "/>
  </r>
  <r>
    <x v="6"/>
    <x v="9"/>
    <s v="D:\images\20211118\plaque 1/@06 EE2 171/ "/>
    <s v=" "/>
    <s v=" 71.0113 "/>
    <x v="8"/>
    <s v=" 3327010.17 "/>
    <s v=" 961420.38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D:\images\20211118\plaque 1/@07 EE2 488/A7_01.tif "/>
    <s v=" 9528.1447 "/>
    <s v=" 63.9475 "/>
    <x v="0"/>
    <n v="609301"/>
    <m/>
    <m/>
  </r>
  <r>
    <x v="7"/>
    <x v="0"/>
    <s v="D:\images\20211118\plaque 1/@07 EE2 488/A7_02.tif "/>
    <s v=" 7135.2316 "/>
    <s v=" 63.8445 "/>
    <x v="0"/>
    <n v="455545"/>
    <m/>
    <m/>
  </r>
  <r>
    <x v="7"/>
    <x v="0"/>
    <s v="D:\images\20211118\plaque 1/@07 EE2 488/A7_03.tif "/>
    <s v=" 11638.2589 "/>
    <s v=" 64.9551 "/>
    <x v="0"/>
    <n v="755965"/>
    <m/>
    <m/>
  </r>
  <r>
    <x v="7"/>
    <x v="1"/>
    <s v="D:\images\20211118\plaque 1/@07 EE2 488/B7_01.tif "/>
    <s v=" 72091.9441 "/>
    <s v=" 91.1672 "/>
    <x v="0"/>
    <n v="6572418"/>
    <m/>
    <m/>
  </r>
  <r>
    <x v="7"/>
    <x v="1"/>
    <s v="D:\images\20211118\plaque 1/@07 EE2 488/B7_02.tif "/>
    <s v=" 74006.2745 "/>
    <s v=" 91.9068 "/>
    <x v="0"/>
    <n v="6801681"/>
    <m/>
    <m/>
  </r>
  <r>
    <x v="7"/>
    <x v="1"/>
    <s v="D:\images\20211118\plaque 1/@07 EE2 488/B7_03.tif "/>
    <s v=" 73723.4757 "/>
    <s v=" 92.1018 "/>
    <x v="0"/>
    <n v="6790065"/>
    <m/>
    <m/>
  </r>
  <r>
    <x v="7"/>
    <x v="2"/>
    <s v="D:\images\20211118\plaque 1/@07 EE2 488/C7_01.tif "/>
    <s v=" 65892.1239 "/>
    <s v=" 81.6448 "/>
    <x v="0"/>
    <n v="5379747"/>
    <m/>
    <m/>
  </r>
  <r>
    <x v="7"/>
    <x v="2"/>
    <s v="D:\images\20211118\plaque 1/@07 EE2 488/C7_02.tif "/>
    <s v=" 66936.3041 "/>
    <s v=" 80.4072 "/>
    <x v="0"/>
    <n v="5382162"/>
    <m/>
    <m/>
  </r>
  <r>
    <x v="7"/>
    <x v="2"/>
    <s v="D:\images\20211118\plaque 1/@07 EE2 488/C7_03.tif "/>
    <s v=" 68328.5445 "/>
    <s v=" 80.7883 "/>
    <x v="0"/>
    <n v="5520146"/>
    <m/>
    <m/>
  </r>
  <r>
    <x v="7"/>
    <x v="3"/>
    <s v="D:\images\20211118\plaque 1/@07 EE2 488/D7_01.tif "/>
    <s v=" 72505.2654 "/>
    <s v=" 85.0174 "/>
    <x v="0"/>
    <n v="6164209"/>
    <m/>
    <m/>
  </r>
  <r>
    <x v="7"/>
    <x v="3"/>
    <s v="D:\images\20211118\plaque 1/@07 EE2 488/D7_02.tif "/>
    <s v=" 73897.5057 "/>
    <s v=" 82.5078 "/>
    <x v="0"/>
    <n v="6097121"/>
    <m/>
    <m/>
  </r>
  <r>
    <x v="7"/>
    <x v="3"/>
    <s v="D:\images\20211118\plaque 1/@07 EE2 488/D7_03.tif "/>
    <s v=" 71678.6227 "/>
    <s v=" 85.1253 "/>
    <x v="0"/>
    <n v="6101667"/>
    <m/>
    <m/>
  </r>
  <r>
    <x v="7"/>
    <x v="4"/>
    <s v="D:\images\20211118\plaque 1/@07 EE2 488/E7_01.tif "/>
    <s v=" 60127.3788 "/>
    <s v=" 83.2377 "/>
    <x v="0"/>
    <n v="5004865"/>
    <m/>
    <m/>
  </r>
  <r>
    <x v="7"/>
    <x v="4"/>
    <s v="D:\images\20211118\plaque 1/@07 EE2 488/E7_02.tif "/>
    <s v=" 64391.1148 "/>
    <s v=" 83.4321 "/>
    <x v="0"/>
    <n v="5372286"/>
    <m/>
    <m/>
  </r>
  <r>
    <x v="7"/>
    <x v="4"/>
    <s v="D:\images\20211118\plaque 1/@07 EE2 488/E7_03.tif "/>
    <s v=" 69133.4334 "/>
    <s v=" 83.3307 "/>
    <x v="0"/>
    <n v="5760938"/>
    <m/>
    <m/>
  </r>
  <r>
    <x v="7"/>
    <x v="5"/>
    <s v="D:\images\20211118\plaque 1/@07 EE2 488/F7_01.tif "/>
    <s v=" 73092.6168 "/>
    <s v=" 91.1283 "/>
    <x v="0"/>
    <n v="6660804"/>
    <m/>
    <m/>
  </r>
  <r>
    <x v="7"/>
    <x v="5"/>
    <s v="D:\images\20211118\plaque 1/@07 EE2 488/F7_02.tif "/>
    <s v=" 69873.0611 "/>
    <s v=" 92.8431 "/>
    <x v="0"/>
    <n v="6487231"/>
    <m/>
    <m/>
  </r>
  <r>
    <x v="7"/>
    <x v="5"/>
    <s v="D:\images\20211118\plaque 1/@07 EE2 488/F7_03.tif "/>
    <s v=" 70612.6887 "/>
    <s v=" 94.1965 "/>
    <x v="0"/>
    <n v="6651472"/>
    <m/>
    <m/>
  </r>
  <r>
    <x v="7"/>
    <x v="6"/>
    <s v="D:\images\20211118\plaque 1/@07 EE2 488/G7_01- exclu.tif"/>
    <m/>
    <m/>
    <x v="1"/>
    <m/>
    <m/>
    <m/>
  </r>
  <r>
    <x v="7"/>
    <x v="6"/>
    <s v="D:\images\20211118\plaque 1/@07 EE2 488/G7_02.tif "/>
    <s v=" 45465.348 "/>
    <s v=" 71.3263 "/>
    <x v="0"/>
    <n v="3242876"/>
    <m/>
    <m/>
  </r>
  <r>
    <x v="7"/>
    <x v="6"/>
    <s v="D:\images\20211118\plaque 1/@07 EE2 488/G7_03- exclu.tif"/>
    <m/>
    <m/>
    <x v="1"/>
    <m/>
    <m/>
    <m/>
  </r>
  <r>
    <x v="7"/>
    <x v="7"/>
    <s v="D:\images\20211118\plaque 1/@07 EE2 488/H7_01.tif "/>
    <s v=" 27627.2689 "/>
    <s v=" 66.0543 "/>
    <x v="0"/>
    <n v="1824901"/>
    <m/>
    <m/>
  </r>
  <r>
    <x v="7"/>
    <x v="7"/>
    <s v="D:\images\20211118\plaque 1/@07 EE2 488/H7_02.tif "/>
    <s v=" 30172.4582 "/>
    <s v=" 67.3828 "/>
    <x v="0"/>
    <n v="2033106"/>
    <m/>
    <m/>
  </r>
  <r>
    <x v="7"/>
    <x v="7"/>
    <s v="D:\images\20211118\plaque 1/@07 EE2 488/H7_03.tif "/>
    <s v=" 33718.3203 "/>
    <s v=" 67.2097 "/>
    <x v="0"/>
    <n v="2266197"/>
    <m/>
    <m/>
  </r>
  <r>
    <x v="1"/>
    <x v="8"/>
    <s v=" "/>
    <m/>
    <m/>
    <x v="1"/>
    <m/>
    <m/>
    <m/>
  </r>
  <r>
    <x v="1"/>
    <x v="8"/>
    <s v="group "/>
    <s v=" "/>
    <s v=" mean of mean fluo "/>
    <x v="2"/>
    <s v=" mean of total fluo "/>
    <s v=" SD total fluo "/>
    <s v=" n fluorescent "/>
  </r>
  <r>
    <x v="7"/>
    <x v="9"/>
    <s v="D:\images\20211118\plaque 1/@07 EE2 488/ "/>
    <s v=" "/>
    <s v=" 79.3872 "/>
    <x v="9"/>
    <s v=" 4496066.12 "/>
    <s v=" 2197659.6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D:\images\20211118\plaque 1/@08 Atenolol 0.01/A8_01.tif "/>
    <s v=" 4894.5949 "/>
    <s v=" 66.5467 "/>
    <x v="0"/>
    <n v="325719"/>
    <m/>
    <m/>
  </r>
  <r>
    <x v="8"/>
    <x v="0"/>
    <s v="D:\images\20211118\plaque 1/@08 Atenolol 0.01/A8_02.tif "/>
    <s v=" 5481.9463 "/>
    <s v=" 73.4365 "/>
    <x v="0"/>
    <n v="402575"/>
    <m/>
    <m/>
  </r>
  <r>
    <x v="8"/>
    <x v="0"/>
    <s v="D:\images\20211118\plaque 1/@08 Atenolol 0.01/A8_03.tif "/>
    <s v=" 5982.2826 "/>
    <s v=" 68.5164 "/>
    <x v="0"/>
    <n v="409884"/>
    <m/>
    <m/>
  </r>
  <r>
    <x v="8"/>
    <x v="1"/>
    <s v="D:\images\20211118\plaque 1/@08 Atenolol 0.01/B8_01.tif "/>
    <s v=" 783.1352 "/>
    <s v=" 63.0556 "/>
    <x v="0"/>
    <n v="49381"/>
    <m/>
    <m/>
  </r>
  <r>
    <x v="8"/>
    <x v="1"/>
    <s v="D:\images\20211118\plaque 1/@08 Atenolol 0.01/B8_02.tif "/>
    <s v=" 957.1652 "/>
    <s v=" 63.2045 "/>
    <x v="0"/>
    <n v="60497"/>
    <m/>
    <m/>
  </r>
  <r>
    <x v="8"/>
    <x v="1"/>
    <s v="D:\images\20211118\plaque 1/@08 Atenolol 0.01/B8_03.tif "/>
    <s v=" 739.6277 "/>
    <s v=" 63.6765 "/>
    <x v="0"/>
    <n v="47097"/>
    <m/>
    <m/>
  </r>
  <r>
    <x v="8"/>
    <x v="2"/>
    <s v="D:\images\20211118\plaque 1/@08 Atenolol 0.01/C8_01.tif "/>
    <s v=" 1239.964 "/>
    <s v=" 66.5439 "/>
    <x v="0"/>
    <n v="82512"/>
    <m/>
    <m/>
  </r>
  <r>
    <x v="8"/>
    <x v="2"/>
    <s v="D:\images\20211118\plaque 1/@08 Atenolol 0.01/C8_02.tif "/>
    <s v=" 369.8138 "/>
    <s v=" 63.2941 "/>
    <x v="0"/>
    <n v="23407"/>
    <m/>
    <m/>
  </r>
  <r>
    <x v="8"/>
    <x v="2"/>
    <s v="D:\images\20211118\plaque 1/@08 Atenolol 0.01/C8_03.tif "/>
    <s v=" 652.6127 "/>
    <s v=" 63.7 "/>
    <x v="0"/>
    <n v="41571"/>
    <m/>
    <m/>
  </r>
  <r>
    <x v="8"/>
    <x v="3"/>
    <s v="D:\images\20211118\plaque 1/@08 Atenolol 0.01/D8_01.tif "/>
    <s v=" 1979.5917 "/>
    <s v=" 65.6484 "/>
    <x v="0"/>
    <n v="129957"/>
    <m/>
    <m/>
  </r>
  <r>
    <x v="8"/>
    <x v="3"/>
    <s v="D:\images\20211118\plaque 1/@08 Atenolol 0.01/D8_02.tif "/>
    <s v=" 935.4115 "/>
    <s v=" 63.5349 "/>
    <x v="0"/>
    <n v="59431"/>
    <m/>
    <m/>
  </r>
  <r>
    <x v="8"/>
    <x v="3"/>
    <s v="D:\images\20211118\plaque 1/@08 Atenolol 0.01/D8_03.tif "/>
    <s v=" 2936.7569 "/>
    <s v=" 65.6593 "/>
    <x v="0"/>
    <n v="192825"/>
    <m/>
    <m/>
  </r>
  <r>
    <x v="8"/>
    <x v="4"/>
    <s v="D:\images\20211118\plaque 1/@08 Atenolol 0.01/E8_01.tif "/>
    <s v=" 152.2763 "/>
    <n v="63"/>
    <x v="0"/>
    <n v="9593"/>
    <m/>
    <m/>
  </r>
  <r>
    <x v="8"/>
    <x v="4"/>
    <s v="D:\images\20211118\plaque 1/@08 Atenolol 0.01/E8_02.tif "/>
    <s v=" 152.2763 "/>
    <s v=" 63.1429 "/>
    <x v="0"/>
    <n v="9615"/>
    <m/>
    <m/>
  </r>
  <r>
    <x v="8"/>
    <x v="4"/>
    <s v="D:\images\20211118\plaque 1/@08 Atenolol 0.01/E8_03.tif "/>
    <s v=" 152.2763 "/>
    <n v="63"/>
    <x v="0"/>
    <n v="9593"/>
    <m/>
    <m/>
  </r>
  <r>
    <x v="8"/>
    <x v="5"/>
    <s v="D:\images\20211118\plaque 1/@08 Atenolol 0.01/F8_01.tif "/>
    <s v=" 2131.868 "/>
    <s v=" 63.6224 "/>
    <x v="0"/>
    <n v="135635"/>
    <m/>
    <m/>
  </r>
  <r>
    <x v="8"/>
    <x v="5"/>
    <s v="D:\images\20211118\plaque 1/@08 Atenolol 0.01/F8_02.tif "/>
    <s v=" 1936.0842 "/>
    <s v=" 63.3483 "/>
    <x v="0"/>
    <n v="122648"/>
    <m/>
    <m/>
  </r>
  <r>
    <x v="8"/>
    <x v="5"/>
    <s v="D:\images\20211118\plaque 1/@08 Atenolol 0.01/F8_03.tif "/>
    <s v=" 1631.5316 "/>
    <s v=" 63.6933 "/>
    <x v="0"/>
    <n v="103918"/>
    <m/>
    <m/>
  </r>
  <r>
    <x v="8"/>
    <x v="6"/>
    <s v="D:\images\20211118\plaque 1/@08 Atenolol 0.01/G8_01.tif "/>
    <s v=" 5895.2676 "/>
    <s v=" 68.7159 "/>
    <x v="0"/>
    <n v="405098"/>
    <m/>
    <m/>
  </r>
  <r>
    <x v="8"/>
    <x v="6"/>
    <s v="D:\images\20211118\plaque 1/@08 Atenolol 0.01/G8_02.tif "/>
    <s v=" 4807.5799 "/>
    <s v=" 65.2715 "/>
    <x v="0"/>
    <n v="313798"/>
    <m/>
    <m/>
  </r>
  <r>
    <x v="8"/>
    <x v="6"/>
    <s v="D:\images\20211118\plaque 1/@08 Atenolol 0.01/G8_03.tif "/>
    <s v=" 3415.3395 "/>
    <s v=" 65.8025 "/>
    <x v="0"/>
    <n v="224738"/>
    <m/>
    <m/>
  </r>
  <r>
    <x v="8"/>
    <x v="7"/>
    <s v="D:\images\20211118\plaque 1/@08 Atenolol 0.01/H8_01- exclu.tif"/>
    <m/>
    <m/>
    <x v="1"/>
    <m/>
    <m/>
    <m/>
  </r>
  <r>
    <x v="8"/>
    <x v="7"/>
    <s v="D:\images\20211118\plaque 1/@08 Atenolol 0.01/H8_02- exclu.tif"/>
    <m/>
    <m/>
    <x v="1"/>
    <m/>
    <m/>
    <m/>
  </r>
  <r>
    <x v="8"/>
    <x v="7"/>
    <s v="D:\images\20211118\plaque 1/@08 Atenolol 0.01/H8_03- exclu.tif"/>
    <m/>
    <m/>
    <x v="1"/>
    <m/>
    <m/>
    <m/>
  </r>
  <r>
    <x v="1"/>
    <x v="8"/>
    <s v=" "/>
    <m/>
    <m/>
    <x v="1"/>
    <m/>
    <m/>
    <m/>
  </r>
  <r>
    <x v="1"/>
    <x v="8"/>
    <s v="group "/>
    <s v=" "/>
    <s v=" mean of mean fluo "/>
    <x v="2"/>
    <s v=" mean of total fluo "/>
    <s v=" SD total fluo "/>
    <s v=" n fluorescent "/>
  </r>
  <r>
    <x v="8"/>
    <x v="9"/>
    <s v="D:\images\20211118\plaque 1/@08 Atenolol 0.01/ "/>
    <s v=" "/>
    <s v=" 64.8485 "/>
    <x v="10"/>
    <s v=" 132679.667 "/>
    <s v=" 139328.65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D:\images\20211118\plaque 1/@09 Atenolol 0.1/A9_01.tif "/>
    <s v=" 2088.3605 "/>
    <s v=" 63.3333 "/>
    <x v="0"/>
    <n v="132263"/>
    <m/>
    <m/>
  </r>
  <r>
    <x v="9"/>
    <x v="0"/>
    <s v="D:\images\20211118\plaque 1/@09 Atenolol 0.1/A9_02.tif "/>
    <s v=" 2479.9281 "/>
    <s v=" 62.8333 "/>
    <x v="0"/>
    <n v="155822"/>
    <m/>
    <m/>
  </r>
  <r>
    <x v="9"/>
    <x v="0"/>
    <s v="D:\images\20211118\plaque 1/@09 Atenolol 0.1/A9_03.tif "/>
    <s v=" 1196.4565 "/>
    <s v=" 62.2909 "/>
    <x v="0"/>
    <n v="74528"/>
    <m/>
    <m/>
  </r>
  <r>
    <x v="9"/>
    <x v="1"/>
    <s v="D:\images\20211118\plaque 1/@09 Atenolol 0.1/B9_01.tif "/>
    <s v=" 456.8289 "/>
    <s v=" 64.8571 "/>
    <x v="0"/>
    <n v="29629"/>
    <m/>
    <m/>
  </r>
  <r>
    <x v="9"/>
    <x v="1"/>
    <s v="D:\images\20211118\plaque 1/@09 Atenolol 0.1/B9_02.tif "/>
    <s v=" 1588.0241 "/>
    <s v=" 63.274 "/>
    <x v="0"/>
    <n v="100481"/>
    <m/>
    <m/>
  </r>
  <r>
    <x v="9"/>
    <x v="1"/>
    <s v="D:\images\20211118\plaque 1/@09 Atenolol 0.1/B9_03.tif "/>
    <s v=" 500.3364 "/>
    <s v=" 64.3913 "/>
    <x v="0"/>
    <n v="32217"/>
    <m/>
    <m/>
  </r>
  <r>
    <x v="9"/>
    <x v="2"/>
    <s v="D:\images\20211118\plaque 1/@09 Atenolol 0.1/C9_01.tif "/>
    <s v=" 326.3063 "/>
    <s v=" 63.0667 "/>
    <x v="0"/>
    <n v="20579"/>
    <m/>
    <m/>
  </r>
  <r>
    <x v="9"/>
    <x v="2"/>
    <s v="D:\images\20211118\plaque 1/@09 Atenolol 0.1/C9_02.tif "/>
    <s v=" 239.2913 "/>
    <s v=" 62.8182 "/>
    <x v="0"/>
    <n v="15032"/>
    <m/>
    <m/>
  </r>
  <r>
    <x v="9"/>
    <x v="2"/>
    <s v="D:\images\20211118\plaque 1/@09 Atenolol 0.1/C9_03.tif "/>
    <s v=" 174.03 "/>
    <n v="65"/>
    <x v="0"/>
    <n v="11312"/>
    <m/>
    <m/>
  </r>
  <r>
    <x v="9"/>
    <x v="3"/>
    <s v="D:\images\20211118\plaque 1/@09 Atenolol 0.1/D9_01.tif "/>
    <s v=" 369.8138 "/>
    <s v=" 64.1765 "/>
    <x v="0"/>
    <n v="23733"/>
    <m/>
    <m/>
  </r>
  <r>
    <x v="9"/>
    <x v="3"/>
    <s v="D:\images\20211118\plaque 1/@09 Atenolol 0.1/D9_02.tif "/>
    <s v=" 891.904 "/>
    <s v=" 63.0976 "/>
    <x v="0"/>
    <n v="56277"/>
    <m/>
    <m/>
  </r>
  <r>
    <x v="9"/>
    <x v="3"/>
    <s v="D:\images\20211118\plaque 1/@09 Atenolol 0.1/D9_03.tif "/>
    <s v=" 391.5676 "/>
    <s v=" 61.7778 "/>
    <x v="0"/>
    <n v="24190"/>
    <m/>
    <m/>
  </r>
  <r>
    <x v="9"/>
    <x v="4"/>
    <s v="D:\images\20211118\plaque 1/@09 Atenolol 0.1/E9_01.tif "/>
    <s v=" 696.1202 "/>
    <s v=" 63.9375 "/>
    <x v="0"/>
    <n v="44508"/>
    <m/>
    <m/>
  </r>
  <r>
    <x v="9"/>
    <x v="4"/>
    <s v="D:\images\20211118\plaque 1/@09 Atenolol 0.1/E9_02.tif "/>
    <s v=" 935.4115 "/>
    <s v=" 63.4186 "/>
    <x v="0"/>
    <n v="59322"/>
    <m/>
    <m/>
  </r>
  <r>
    <x v="9"/>
    <x v="4"/>
    <s v="D:\images\20211118\plaque 1/@09 Atenolol 0.1/E9_03.tif "/>
    <s v=" 456.8289 "/>
    <s v=" 64.2381 "/>
    <x v="0"/>
    <n v="29346"/>
    <m/>
    <m/>
  </r>
  <r>
    <x v="9"/>
    <x v="5"/>
    <s v="D:\images\20211118\plaque 1/@09 Atenolol 0.1/F9_01.tif "/>
    <s v=" 478.5826 "/>
    <s v=" 63.3182 "/>
    <x v="0"/>
    <n v="30303"/>
    <m/>
    <m/>
  </r>
  <r>
    <x v="9"/>
    <x v="5"/>
    <s v="D:\images\20211118\plaque 1/@09 Atenolol 0.1/F9_02- exclu.tif"/>
    <m/>
    <m/>
    <x v="1"/>
    <m/>
    <m/>
    <m/>
  </r>
  <r>
    <x v="9"/>
    <x v="5"/>
    <s v="D:\images\20211118\plaque 1/@09 Atenolol 0.1/F9_03.tif "/>
    <s v=" 435.0751 "/>
    <s v=" 63.7 "/>
    <x v="0"/>
    <n v="27714"/>
    <m/>
    <m/>
  </r>
  <r>
    <x v="9"/>
    <x v="6"/>
    <s v="D:\images\20211118\plaque 1/@09 Atenolol 0.1/G9_01.tif "/>
    <s v=" 804.8889 "/>
    <s v=" 63.7838 "/>
    <x v="0"/>
    <n v="51339"/>
    <m/>
    <m/>
  </r>
  <r>
    <x v="9"/>
    <x v="6"/>
    <s v="D:\images\20211118\plaque 1/@09 Atenolol 0.1/G9_02.tif "/>
    <s v=" 282.7988 "/>
    <s v=" 62.6154 "/>
    <x v="0"/>
    <n v="17708"/>
    <m/>
    <m/>
  </r>
  <r>
    <x v="9"/>
    <x v="6"/>
    <s v="D:\images\20211118\plaque 1/@09 Atenolol 0.1/G9_03.tif "/>
    <s v=" 1740.3004 "/>
    <s v=" 64.5875 "/>
    <x v="0"/>
    <n v="112402"/>
    <m/>
    <m/>
  </r>
  <r>
    <x v="9"/>
    <x v="7"/>
    <s v="D:\images\20211118\plaque 1/@09 Atenolol 0.1/H9_01.tif "/>
    <s v=" 369.8138 "/>
    <s v=" 62.2353 "/>
    <x v="0"/>
    <n v="23015"/>
    <m/>
    <m/>
  </r>
  <r>
    <x v="9"/>
    <x v="7"/>
    <s v="D:\images\20211118\plaque 1/@09 Atenolol 0.1/H9_02.tif "/>
    <s v=" 1522.7629 "/>
    <s v=" 65.0429 "/>
    <x v="0"/>
    <n v="99045"/>
    <m/>
    <m/>
  </r>
  <r>
    <x v="9"/>
    <x v="7"/>
    <s v="D:\images\20211118\plaque 1/@09 Atenolol 0.1/H9_03.tif "/>
    <s v=" 1849.0692 "/>
    <s v=" 64.8941 "/>
    <x v="0"/>
    <n v="119994"/>
    <m/>
    <m/>
  </r>
  <r>
    <x v="1"/>
    <x v="8"/>
    <s v=" "/>
    <m/>
    <m/>
    <x v="1"/>
    <m/>
    <m/>
    <m/>
  </r>
  <r>
    <x v="1"/>
    <x v="8"/>
    <s v="group "/>
    <s v=" "/>
    <s v=" mean of mean fluo "/>
    <x v="2"/>
    <s v=" mean of total fluo "/>
    <s v=" SD total fluo "/>
    <s v=" n fluorescent "/>
  </r>
  <r>
    <x v="9"/>
    <x v="9"/>
    <s v="D:\images\20211118\plaque 1/@09 Atenolol 0.1/ "/>
    <s v=" "/>
    <s v=" 63.6027 "/>
    <x v="11"/>
    <s v=" 54301.9167 "/>
    <s v=" 42829.28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D:\images\20211118\plaque 1/@10 Atenolol 1/A10_01- exclu.tif"/>
    <m/>
    <m/>
    <x v="1"/>
    <m/>
    <m/>
    <m/>
  </r>
  <r>
    <x v="10"/>
    <x v="0"/>
    <s v="D:\images\20211118\plaque 1/@10 Atenolol 1/A10_02.tif "/>
    <s v=" 3002.0182 "/>
    <s v=" 67.4058 "/>
    <x v="0"/>
    <n v="202353"/>
    <m/>
    <m/>
  </r>
  <r>
    <x v="10"/>
    <x v="0"/>
    <s v="D:\images\20211118\plaque 1/@10 Atenolol 1/A10_03.tif "/>
    <s v=" 4742.3186 "/>
    <s v=" 69.5826 "/>
    <x v="0"/>
    <n v="329983"/>
    <m/>
    <m/>
  </r>
  <r>
    <x v="10"/>
    <x v="1"/>
    <s v="D:\images\20211118\plaque 1/@10 Atenolol 1/B10_01.tif "/>
    <s v=" 326.3063 "/>
    <s v=" 62.2667 "/>
    <x v="0"/>
    <n v="20318"/>
    <m/>
    <m/>
  </r>
  <r>
    <x v="10"/>
    <x v="1"/>
    <s v="D:\images\20211118\plaque 1/@10 Atenolol 1/B10_02.tif "/>
    <s v=" 369.8138 "/>
    <s v=" 63.4118 "/>
    <x v="0"/>
    <n v="23451"/>
    <m/>
    <m/>
  </r>
  <r>
    <x v="10"/>
    <x v="1"/>
    <s v="D:\images\20211118\plaque 1/@10 Atenolol 1/B10_03.tif "/>
    <s v=" 304.5526 "/>
    <s v=" 62.8571 "/>
    <x v="0"/>
    <n v="19143"/>
    <m/>
    <m/>
  </r>
  <r>
    <x v="10"/>
    <x v="2"/>
    <s v="D:\images\20211118\plaque 1/@10 Atenolol 1/C10_01.tif "/>
    <s v=" 239.2913 "/>
    <s v=" 61.7273 "/>
    <x v="0"/>
    <n v="14771"/>
    <m/>
    <m/>
  </r>
  <r>
    <x v="10"/>
    <x v="2"/>
    <s v="D:\images\20211118\plaque 1/@10 Atenolol 1/C10_02- exclu.tif"/>
    <m/>
    <m/>
    <x v="1"/>
    <m/>
    <m/>
    <m/>
  </r>
  <r>
    <x v="10"/>
    <x v="2"/>
    <s v="D:\images\20211118\plaque 1/@10 Atenolol 1/C10_03.tif "/>
    <s v=" 522.0901 "/>
    <s v=" 62.5833 "/>
    <x v="0"/>
    <n v="32674"/>
    <m/>
    <m/>
  </r>
  <r>
    <x v="10"/>
    <x v="3"/>
    <s v="D:\images\20211118\plaque 1/@10 Atenolol 1/D10_01.tif "/>
    <s v=" 1109.4415 "/>
    <s v=" 65.4118 "/>
    <x v="0"/>
    <n v="72571"/>
    <m/>
    <m/>
  </r>
  <r>
    <x v="10"/>
    <x v="3"/>
    <s v="D:\images\20211118\plaque 1/@10 Atenolol 1/D10_02.tif "/>
    <s v=" 217.5376 "/>
    <s v=" 63.2 "/>
    <x v="0"/>
    <n v="13748"/>
    <m/>
    <m/>
  </r>
  <r>
    <x v="10"/>
    <x v="3"/>
    <s v="D:\images\20211118\plaque 1/@10 Atenolol 1/D10_03.tif "/>
    <s v=" 282.7988 "/>
    <s v=" 63.5385 "/>
    <x v="0"/>
    <n v="17969"/>
    <m/>
    <m/>
  </r>
  <r>
    <x v="10"/>
    <x v="4"/>
    <s v="D:\images\20211118\plaque 1/@10 Atenolol 1/E10_01.tif "/>
    <s v=" 522.0901 "/>
    <s v=" 65.4583 "/>
    <x v="0"/>
    <n v="34175"/>
    <m/>
    <m/>
  </r>
  <r>
    <x v="10"/>
    <x v="4"/>
    <s v="D:\images\20211118\plaque 1/@10 Atenolol 1/E10_02.tif "/>
    <s v=" 1696.7929 "/>
    <s v=" 65.2179 "/>
    <x v="0"/>
    <n v="110661"/>
    <m/>
    <m/>
  </r>
  <r>
    <x v="10"/>
    <x v="4"/>
    <s v="D:\images\20211118\plaque 1/@10 Atenolol 1/E10_03.tif "/>
    <s v=" 2371.1593 "/>
    <s v=" 65.6422 "/>
    <x v="0"/>
    <n v="155648"/>
    <m/>
    <m/>
  </r>
  <r>
    <x v="10"/>
    <x v="5"/>
    <s v="D:\images\20211118\plaque 1/@10 Atenolol 1/F10_01.tif "/>
    <s v=" 609.1051 "/>
    <s v=" 62.8571 "/>
    <x v="0"/>
    <n v="38287"/>
    <m/>
    <m/>
  </r>
  <r>
    <x v="10"/>
    <x v="5"/>
    <s v="D:\images\20211118\plaque 1/@10 Atenolol 1/F10_02.tif "/>
    <s v=" 1979.5917 "/>
    <s v=" 65.5385 "/>
    <x v="0"/>
    <n v="129739"/>
    <m/>
    <m/>
  </r>
  <r>
    <x v="10"/>
    <x v="5"/>
    <s v="D:\images\20211118\plaque 1/@10 Atenolol 1/F10_03.tif "/>
    <s v=" 369.8138 "/>
    <s v=" 61.5882 "/>
    <x v="0"/>
    <n v="22776"/>
    <m/>
    <m/>
  </r>
  <r>
    <x v="10"/>
    <x v="6"/>
    <s v="D:\images\20211118\plaque 1/@10 Atenolol 1/G10_01.tif "/>
    <s v=" 674.3664 "/>
    <s v=" 63.4194 "/>
    <x v="0"/>
    <n v="42768"/>
    <m/>
    <m/>
  </r>
  <r>
    <x v="10"/>
    <x v="6"/>
    <s v="D:\images\20211118\plaque 1/@10 Atenolol 1/G10_02.tif "/>
    <s v=" 652.6127 "/>
    <s v=" 62.3333 "/>
    <x v="0"/>
    <n v="40680"/>
    <m/>
    <m/>
  </r>
  <r>
    <x v="10"/>
    <x v="6"/>
    <s v="D:\images\20211118\plaque 1/@10 Atenolol 1/G10_03.tif "/>
    <s v=" 456.8289 "/>
    <s v=" 63.7619 "/>
    <x v="0"/>
    <n v="29128"/>
    <m/>
    <m/>
  </r>
  <r>
    <x v="10"/>
    <x v="7"/>
    <s v="D:\images\20211118\plaque 1/@10 Atenolol 1/H10_01.tif "/>
    <s v=" 3937.4297 "/>
    <s v=" 70.0939 "/>
    <x v="0"/>
    <n v="275990"/>
    <m/>
    <m/>
  </r>
  <r>
    <x v="10"/>
    <x v="7"/>
    <s v="D:\images\20211118\plaque 1/@10 Atenolol 1/H10_02.tif "/>
    <s v=" 326.3063 "/>
    <s v=" 63.8 "/>
    <x v="0"/>
    <n v="20818"/>
    <m/>
    <m/>
  </r>
  <r>
    <x v="10"/>
    <x v="7"/>
    <s v="D:\images\20211118\plaque 1/@10 Atenolol 1/H10_03.tif "/>
    <s v=" 152.2763 "/>
    <s v=" 63.5714 "/>
    <x v="0"/>
    <n v="9680"/>
    <m/>
    <m/>
  </r>
  <r>
    <x v="1"/>
    <x v="8"/>
    <s v=" "/>
    <m/>
    <m/>
    <x v="1"/>
    <m/>
    <m/>
    <m/>
  </r>
  <r>
    <x v="1"/>
    <x v="8"/>
    <s v="group "/>
    <s v=" "/>
    <s v=" mean of mean fluo "/>
    <x v="2"/>
    <s v=" mean of total fluo "/>
    <s v=" SD total fluo "/>
    <s v=" n fluorescent "/>
  </r>
  <r>
    <x v="10"/>
    <x v="9"/>
    <s v="D:\images\20211118\plaque 1/@10 Atenolol 1/ "/>
    <s v=" "/>
    <s v=" 64.2383 "/>
    <x v="12"/>
    <s v=" 71983.1667 "/>
    <s v=" 87022.36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D:\images\20211118\plaque 1/@11 Atenolol 10/A11_01.tif "/>
    <s v=" 1196.4565 "/>
    <s v=" 63.7273 "/>
    <x v="0"/>
    <n v="76247"/>
    <m/>
    <m/>
  </r>
  <r>
    <x v="11"/>
    <x v="0"/>
    <s v="D:\images\20211118\plaque 1/@11 Atenolol 10/A11_02.tif "/>
    <s v=" 587.3514 "/>
    <s v=" 63.8889 "/>
    <x v="0"/>
    <n v="37525"/>
    <m/>
    <m/>
  </r>
  <r>
    <x v="11"/>
    <x v="0"/>
    <s v="D:\images\20211118\plaque 1/@11 Atenolol 10/A11_03.tif "/>
    <s v=" 1022.4265 "/>
    <s v=" 63.7234 "/>
    <x v="0"/>
    <n v="65152"/>
    <m/>
    <m/>
  </r>
  <r>
    <x v="11"/>
    <x v="1"/>
    <s v="D:\images\20211118\plaque 1/@11 Atenolol 10/B11_01.tif "/>
    <s v=" 3524.1083 "/>
    <s v=" 63.7346 "/>
    <x v="0"/>
    <n v="224608"/>
    <m/>
    <m/>
  </r>
  <r>
    <x v="11"/>
    <x v="1"/>
    <s v="D:\images\20211118\plaque 1/@11 Atenolol 10/B11_02.tif "/>
    <s v=" 1740.3004 "/>
    <n v="63"/>
    <x v="0"/>
    <n v="109639"/>
    <m/>
    <m/>
  </r>
  <r>
    <x v="11"/>
    <x v="1"/>
    <s v="D:\images\20211118\plaque 1/@11 Atenolol 10/B11_03.tif "/>
    <s v=" 2153.6217 "/>
    <s v=" 63.798 "/>
    <x v="0"/>
    <n v="137397"/>
    <m/>
    <m/>
  </r>
  <r>
    <x v="11"/>
    <x v="2"/>
    <s v="D:\images\20211118\plaque 1/@11 Atenolol 10/C11_01.tif "/>
    <s v=" 1065.934 "/>
    <s v=" 63.3673 "/>
    <x v="0"/>
    <n v="67545"/>
    <m/>
    <m/>
  </r>
  <r>
    <x v="11"/>
    <x v="2"/>
    <s v="D:\images\20211118\plaque 1/@11 Atenolol 10/C11_02.tif "/>
    <s v=" 2566.9431 "/>
    <s v=" 64.5169 "/>
    <x v="0"/>
    <n v="165611"/>
    <m/>
    <m/>
  </r>
  <r>
    <x v="11"/>
    <x v="2"/>
    <s v="D:\images\20211118\plaque 1/@11 Atenolol 10/C11_03.tif "/>
    <s v=" 4328.9972 "/>
    <s v=" 65.603 "/>
    <x v="0"/>
    <n v="283995"/>
    <m/>
    <m/>
  </r>
  <r>
    <x v="11"/>
    <x v="3"/>
    <s v="D:\images\20211118\plaque 1/@11 Atenolol 10/D11_01.tif "/>
    <s v=" 1000.6727 "/>
    <s v=" 62.413 "/>
    <x v="0"/>
    <n v="62455"/>
    <m/>
    <m/>
  </r>
  <r>
    <x v="11"/>
    <x v="3"/>
    <s v="D:\images\20211118\plaque 1/@11 Atenolol 10/D11_02.tif "/>
    <s v=" 696.1202 "/>
    <s v=" 63.5625 "/>
    <x v="0"/>
    <n v="44247"/>
    <m/>
    <m/>
  </r>
  <r>
    <x v="11"/>
    <x v="3"/>
    <s v="D:\images\20211118\plaque 1/@11 Atenolol 10/D11_03.tif "/>
    <s v=" 783.1352 "/>
    <s v=" 62.9722 "/>
    <x v="0"/>
    <n v="49316"/>
    <m/>
    <m/>
  </r>
  <r>
    <x v="11"/>
    <x v="4"/>
    <s v="D:\images\20211118\plaque 1/@11 Atenolol 10/E11_01.tif "/>
    <s v=" 500.3364 "/>
    <s v=" 62.5652 "/>
    <x v="0"/>
    <n v="31304"/>
    <m/>
    <m/>
  </r>
  <r>
    <x v="11"/>
    <x v="4"/>
    <s v="D:\images\20211118\plaque 1/@11 Atenolol 10/E11_02.tif "/>
    <s v=" 435.0751 "/>
    <s v=" 62.95 "/>
    <x v="0"/>
    <n v="27388"/>
    <m/>
    <m/>
  </r>
  <r>
    <x v="11"/>
    <x v="4"/>
    <s v="D:\images\20211118\plaque 1/@11 Atenolol 10/E11_03.tif "/>
    <s v=" 522.0901 "/>
    <s v=" 63.5 "/>
    <x v="0"/>
    <n v="33153"/>
    <m/>
    <m/>
  </r>
  <r>
    <x v="11"/>
    <x v="5"/>
    <s v="D:\images\20211118\plaque 1/@11 Atenolol 10/F11_01.tif "/>
    <s v=" 1588.0241 "/>
    <s v=" 62.8904 "/>
    <x v="0"/>
    <n v="99871"/>
    <m/>
    <m/>
  </r>
  <r>
    <x v="11"/>
    <x v="5"/>
    <s v="D:\images\20211118\plaque 1/@11 Atenolol 10/F11_02.tif "/>
    <s v=" 609.1051 "/>
    <s v=" 63.3571 "/>
    <x v="0"/>
    <n v="38591"/>
    <m/>
    <m/>
  </r>
  <r>
    <x v="11"/>
    <x v="5"/>
    <s v="D:\images\20211118\plaque 1/@11 Atenolol 10/F11_03.tif "/>
    <s v=" 717.8739 "/>
    <s v=" 63.1818 "/>
    <x v="0"/>
    <n v="45357"/>
    <m/>
    <m/>
  </r>
  <r>
    <x v="11"/>
    <x v="6"/>
    <s v="D:\images\20211118\plaque 1/@11 Atenolol 10/G11_01.tif "/>
    <s v=" 1239.964 "/>
    <s v=" 62.9825 "/>
    <x v="0"/>
    <n v="78096"/>
    <m/>
    <m/>
  </r>
  <r>
    <x v="11"/>
    <x v="6"/>
    <s v="D:\images\20211118\plaque 1/@11 Atenolol 10/G11_02.tif "/>
    <s v=" 1174.7028 "/>
    <s v=" 62.6667 "/>
    <x v="0"/>
    <n v="73615"/>
    <m/>
    <m/>
  </r>
  <r>
    <x v="11"/>
    <x v="6"/>
    <s v="D:\images\20211118\plaque 1/@11 Atenolol 10/G11_03.tif "/>
    <s v=" 1413.9941 "/>
    <s v=" 63.2 "/>
    <x v="0"/>
    <n v="89364"/>
    <m/>
    <m/>
  </r>
  <r>
    <x v="11"/>
    <x v="7"/>
    <s v="D:\images\20211118\plaque 1/@11 Atenolol 10/H11_01.tif "/>
    <s v=" 261.0451 "/>
    <s v=" 62.5833 "/>
    <x v="0"/>
    <n v="16337"/>
    <m/>
    <m/>
  </r>
  <r>
    <x v="11"/>
    <x v="7"/>
    <s v="D:\images\20211118\plaque 1/@11 Atenolol 10/H11_02.tif "/>
    <s v=" 565.5976 "/>
    <s v=" 64.2308 "/>
    <x v="0"/>
    <n v="36329"/>
    <m/>
    <m/>
  </r>
  <r>
    <x v="11"/>
    <x v="7"/>
    <s v="D:\images\20211118\plaque 1/@11 Atenolol 10/H11_03.tif "/>
    <s v=" 543.8439 "/>
    <s v=" 64.92 "/>
    <x v="0"/>
    <n v="35306"/>
    <m/>
    <m/>
  </r>
  <r>
    <x v="1"/>
    <x v="8"/>
    <s v=" "/>
    <m/>
    <m/>
    <x v="1"/>
    <m/>
    <m/>
    <m/>
  </r>
  <r>
    <x v="1"/>
    <x v="8"/>
    <s v="group "/>
    <s v=" "/>
    <s v=" mean of mean fluo "/>
    <x v="2"/>
    <s v=" mean of total fluo "/>
    <s v=" SD total fluo "/>
    <s v=" n fluorescent "/>
  </r>
  <r>
    <x v="11"/>
    <x v="9"/>
    <s v="D:\images\20211118\plaque 1/@11 Atenolol 10/ "/>
    <s v=" "/>
    <s v=" 63.4723 "/>
    <x v="13"/>
    <n v="80352"/>
    <s v=" 65101.736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D:\images\20211118\plaque 1/@12 Atenolol 100/A12_01.tif "/>
    <s v=" 1479.2553 "/>
    <s v=" 65.4559 "/>
    <x v="0"/>
    <n v="96826"/>
    <m/>
    <m/>
  </r>
  <r>
    <x v="12"/>
    <x v="0"/>
    <s v="D:\images\20211118\plaque 1/@12 Atenolol 100/A12_02.tif "/>
    <s v=" 413.3213 "/>
    <s v=" 62.8421 "/>
    <x v="0"/>
    <n v="25974"/>
    <m/>
    <m/>
  </r>
  <r>
    <x v="12"/>
    <x v="0"/>
    <s v="D:\images\20211118\plaque 1/@12 Atenolol 100/A12_03.tif "/>
    <s v=" 652.6127 "/>
    <s v=" 63.7333 "/>
    <x v="0"/>
    <n v="41593"/>
    <m/>
    <m/>
  </r>
  <r>
    <x v="12"/>
    <x v="1"/>
    <s v="D:\images\20211118\plaque 1/@12 Atenolol 100/B12_01.tif "/>
    <s v=" 1305.2253 "/>
    <s v=" 64.4167 "/>
    <x v="0"/>
    <n v="84078"/>
    <m/>
    <m/>
  </r>
  <r>
    <x v="12"/>
    <x v="1"/>
    <s v="D:\images\20211118\plaque 1/@12 Atenolol 100/B12_02.tif "/>
    <s v=" 1152.949 "/>
    <s v=" 64.6226 "/>
    <x v="0"/>
    <n v="74507"/>
    <m/>
    <m/>
  </r>
  <r>
    <x v="12"/>
    <x v="1"/>
    <s v="D:\images\20211118\plaque 1/@12 Atenolol 100/B12_03.tif "/>
    <s v=" 217.5376 "/>
    <s v=" 64.2 "/>
    <x v="0"/>
    <n v="13966"/>
    <m/>
    <m/>
  </r>
  <r>
    <x v="12"/>
    <x v="2"/>
    <s v="D:\images\20211118\plaque 1/@12 Atenolol 100/C12_01.tif "/>
    <s v=" 2458.1743 "/>
    <s v=" 65.0708 "/>
    <x v="0"/>
    <n v="159955"/>
    <m/>
    <m/>
  </r>
  <r>
    <x v="12"/>
    <x v="2"/>
    <s v="D:\images\20211118\plaque 1/@12 Atenolol 100/C12_02- exclu.tif"/>
    <m/>
    <m/>
    <x v="1"/>
    <m/>
    <m/>
    <m/>
  </r>
  <r>
    <x v="12"/>
    <x v="2"/>
    <s v="D:\images\20211118\plaque 1/@12 Atenolol 100/C12_03.tif "/>
    <s v=" 1283.4715 "/>
    <s v=" 63.9492 "/>
    <x v="0"/>
    <n v="82077"/>
    <m/>
    <m/>
  </r>
  <r>
    <x v="12"/>
    <x v="3"/>
    <s v="D:\images\20211118\plaque 1/@12 Atenolol 100/D12_01.tif "/>
    <s v=" 1305.2253 "/>
    <s v=" 63.4333 "/>
    <x v="0"/>
    <n v="82795"/>
    <m/>
    <m/>
  </r>
  <r>
    <x v="12"/>
    <x v="3"/>
    <s v="D:\images\20211118\plaque 1/@12 Atenolol 100/D12_02.tif "/>
    <s v=" 1065.934 "/>
    <s v=" 61.6735 "/>
    <x v="0"/>
    <n v="65740"/>
    <m/>
    <m/>
  </r>
  <r>
    <x v="12"/>
    <x v="3"/>
    <s v="D:\images\20211118\plaque 1/@12 Atenolol 100/D12_03.tif "/>
    <s v=" 1827.3154 "/>
    <s v=" 64.2381 "/>
    <x v="0"/>
    <n v="117383"/>
    <m/>
    <m/>
  </r>
  <r>
    <x v="12"/>
    <x v="4"/>
    <s v="D:\images\20211118\plaque 1/@12 Atenolol 100/E12_01.tif "/>
    <s v=" 1305.2253 "/>
    <s v=" 63.1667 "/>
    <x v="0"/>
    <n v="82447"/>
    <m/>
    <m/>
  </r>
  <r>
    <x v="12"/>
    <x v="4"/>
    <s v="D:\images\20211118\plaque 1/@12 Atenolol 100/E12_02.tif "/>
    <s v=" 891.904 "/>
    <s v=" 62.6829 "/>
    <x v="0"/>
    <n v="55907"/>
    <m/>
    <m/>
  </r>
  <r>
    <x v="12"/>
    <x v="4"/>
    <s v="D:\images\20211118\plaque 1/@12 Atenolol 100/E12_03.tif "/>
    <s v=" 652.6127 "/>
    <s v=" 63.0333 "/>
    <x v="0"/>
    <n v="41136"/>
    <m/>
    <m/>
  </r>
  <r>
    <x v="12"/>
    <x v="5"/>
    <s v="D:\images\20211118\plaque 1/@12 Atenolol 100/F12_01.tif "/>
    <s v=" 1979.5917 "/>
    <s v=" 66.5934 "/>
    <x v="0"/>
    <n v="131828"/>
    <m/>
    <m/>
  </r>
  <r>
    <x v="12"/>
    <x v="5"/>
    <s v="D:\images\20211118\plaque 1/@12 Atenolol 100/F12_02.tif "/>
    <s v=" 696.1202 "/>
    <s v=" 62.75 "/>
    <x v="0"/>
    <n v="43682"/>
    <m/>
    <m/>
  </r>
  <r>
    <x v="12"/>
    <x v="5"/>
    <s v="D:\images\20211118\plaque 1/@12 Atenolol 100/F12_03.tif "/>
    <s v=" 565.5976 "/>
    <s v=" 63.9615 "/>
    <x v="0"/>
    <n v="36176"/>
    <m/>
    <m/>
  </r>
  <r>
    <x v="12"/>
    <x v="6"/>
    <s v="D:\images\20211118\plaque 1/@12 Atenolol 100/G12_01.tif "/>
    <s v=" 1870.8229 "/>
    <s v=" 63.7209 "/>
    <x v="0"/>
    <n v="119211"/>
    <m/>
    <m/>
  </r>
  <r>
    <x v="12"/>
    <x v="6"/>
    <s v="D:\images\20211118\plaque 1/@12 Atenolol 100/G12_02.tif "/>
    <s v=" 2110.1142 "/>
    <s v=" 63.7732 "/>
    <x v="0"/>
    <n v="134569"/>
    <m/>
    <m/>
  </r>
  <r>
    <x v="12"/>
    <x v="6"/>
    <s v="D:\images\20211118\plaque 1/@12 Atenolol 100/G12_03.tif "/>
    <s v=" 1305.2253 "/>
    <s v=" 63.2333 "/>
    <x v="0"/>
    <n v="82534"/>
    <m/>
    <m/>
  </r>
  <r>
    <x v="12"/>
    <x v="7"/>
    <s v="D:\images\20211118\plaque 1/@12 Atenolol 100/H12_01.tif "/>
    <s v=" 6482.619 "/>
    <s v=" 70.8154 "/>
    <x v="0"/>
    <n v="459069"/>
    <m/>
    <m/>
  </r>
  <r>
    <x v="12"/>
    <x v="7"/>
    <s v="D:\images\20211118\plaque 1/@12 Atenolol 100/H12_02.tif "/>
    <s v=" 3502.3546 "/>
    <s v=" 68.9876 "/>
    <x v="0"/>
    <n v="241619"/>
    <m/>
    <m/>
  </r>
  <r>
    <x v="12"/>
    <x v="7"/>
    <s v="D:\images\20211118\plaque 1/@12 Atenolol 100/H12_03.tif "/>
    <s v=" 891.904 "/>
    <s v=" 63.3659 "/>
    <x v="0"/>
    <n v="56516"/>
    <m/>
    <m/>
  </r>
  <r>
    <x v="1"/>
    <x v="8"/>
    <s v=" "/>
    <m/>
    <m/>
    <x v="1"/>
    <m/>
    <m/>
    <m/>
  </r>
  <r>
    <x v="1"/>
    <x v="8"/>
    <s v="group "/>
    <s v=" "/>
    <s v=" mean of mean fluo "/>
    <x v="2"/>
    <s v=" mean of total fluo "/>
    <s v=" SD total fluo "/>
    <s v=" n fluorescent "/>
  </r>
  <r>
    <x v="12"/>
    <x v="9"/>
    <s v="D:\images\20211118\plaque 1/@12 Atenolol 100/ "/>
    <s v=" "/>
    <s v=" 64.2443 "/>
    <x v="14"/>
    <s v=" 97460.4583 "/>
    <s v=" 92703.004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D:\images\20211118\plaque 2/@13 TESTO/A1_01.tif "/>
    <s v=" 52296.027 "/>
    <s v=" 73.3453 "/>
    <x v="0"/>
    <n v="3835666"/>
    <m/>
    <m/>
  </r>
  <r>
    <x v="13"/>
    <x v="0"/>
    <s v="D:\images\20211118\plaque 2/@13 TESTO/A1_02.tif "/>
    <s v=" 51382.3693 "/>
    <s v=" 74.1084 "/>
    <x v="0"/>
    <n v="3807864"/>
    <m/>
    <m/>
  </r>
  <r>
    <x v="13"/>
    <x v="0"/>
    <s v="D:\images\20211118\plaque 2/@13 TESTO/A1_03.tif "/>
    <s v=" 48771.9187 "/>
    <s v=" 74.4322 "/>
    <x v="0"/>
    <n v="3630201"/>
    <m/>
    <m/>
  </r>
  <r>
    <x v="13"/>
    <x v="1"/>
    <s v="D:\images\20211118\plaque 2/@13 TESTO/B1_01.tif "/>
    <s v=" 8331.6882 "/>
    <s v=" 65.329 "/>
    <x v="0"/>
    <n v="544301"/>
    <m/>
    <m/>
  </r>
  <r>
    <x v="13"/>
    <x v="1"/>
    <s v="D:\images\20211118\plaque 2/@13 TESTO/B1_02.tif "/>
    <s v=" 11333.7064 "/>
    <s v=" 66.0019 "/>
    <x v="0"/>
    <n v="748046"/>
    <m/>
    <m/>
  </r>
  <r>
    <x v="13"/>
    <x v="1"/>
    <s v="D:\images\20211118\plaque 2/@13 TESTO/B1_03.tif "/>
    <s v=" 5286.1625 "/>
    <s v=" 64.679 "/>
    <x v="0"/>
    <n v="341904"/>
    <m/>
    <m/>
  </r>
  <r>
    <x v="13"/>
    <x v="2"/>
    <s v="D:\images\20211118\plaque 2/@13 TESTO/C1_01.tif "/>
    <s v=" 55820.1353 "/>
    <s v=" 70.2124 "/>
    <x v="0"/>
    <n v="3919265"/>
    <m/>
    <m/>
  </r>
  <r>
    <x v="13"/>
    <x v="2"/>
    <s v="D:\images\20211118\plaque 2/@13 TESTO/C1_02.tif "/>
    <s v=" 47858.261 "/>
    <s v=" 68.6455 "/>
    <x v="0"/>
    <n v="3285252"/>
    <m/>
    <m/>
  </r>
  <r>
    <x v="13"/>
    <x v="2"/>
    <s v="D:\images\20211118\plaque 2/@13 TESTO/C1_03.tif "/>
    <s v=" 54732.4476 "/>
    <s v=" 69.4213 "/>
    <x v="0"/>
    <n v="3799598"/>
    <m/>
    <m/>
  </r>
  <r>
    <x v="13"/>
    <x v="3"/>
    <s v="D:\images\20211118\plaque 2/@13 TESTO/D1_01.tif "/>
    <s v=" 55211.0302 "/>
    <s v=" 79.5973 "/>
    <x v="0"/>
    <n v="4394650"/>
    <m/>
    <m/>
  </r>
  <r>
    <x v="13"/>
    <x v="3"/>
    <s v="D:\images\20211118\plaque 2/@13 TESTO/D1_02.tif "/>
    <s v=" 54079.8349 "/>
    <s v=" 78.8037 "/>
    <x v="0"/>
    <n v="4261691"/>
    <m/>
    <m/>
  </r>
  <r>
    <x v="13"/>
    <x v="3"/>
    <s v="D:\images\20211118\plaque 2/@13 TESTO/D1_03.tif "/>
    <s v=" 47923.5223 "/>
    <s v=" 77.4208 "/>
    <x v="0"/>
    <n v="3710277"/>
    <m/>
    <m/>
  </r>
  <r>
    <x v="13"/>
    <x v="4"/>
    <s v="D:\images\20211118\plaque 2/@13 TESTO/E1_01.tif "/>
    <s v=" 59257.2286 "/>
    <s v=" 74.2045 "/>
    <x v="0"/>
    <n v="4397152"/>
    <m/>
    <m/>
  </r>
  <r>
    <x v="13"/>
    <x v="4"/>
    <s v="D:\images\20211118\plaque 2/@13 TESTO/E1_02.tif "/>
    <s v=" 55515.5828 "/>
    <s v=" 74.1226 "/>
    <x v="0"/>
    <n v="4114962"/>
    <m/>
    <m/>
  </r>
  <r>
    <x v="13"/>
    <x v="4"/>
    <s v="D:\images\20211118\plaque 2/@13 TESTO/E1_03.tif "/>
    <s v=" 58561.1085 "/>
    <s v=" 75.6096 "/>
    <x v="0"/>
    <n v="4427781"/>
    <m/>
    <m/>
  </r>
  <r>
    <x v="13"/>
    <x v="5"/>
    <s v="D:\images\20211118\plaque 2/@13 TESTO/F1_01.tif "/>
    <s v=" 45704.6393 "/>
    <s v=" 77.4017 "/>
    <x v="0"/>
    <n v="3537617"/>
    <m/>
    <m/>
  </r>
  <r>
    <x v="13"/>
    <x v="5"/>
    <s v="D:\images\20211118\plaque 2/@13 TESTO/F1_02.tif "/>
    <s v=" 50642.7416 "/>
    <s v=" 75.4725 "/>
    <x v="0"/>
    <n v="3822135"/>
    <m/>
    <m/>
  </r>
  <r>
    <x v="13"/>
    <x v="5"/>
    <s v="D:\images\20211118\plaque 2/@13 TESTO/F1_03.tif "/>
    <s v=" 46226.7294 "/>
    <s v=" 76.1035 "/>
    <x v="0"/>
    <n v="3518017"/>
    <m/>
    <m/>
  </r>
  <r>
    <x v="13"/>
    <x v="6"/>
    <s v="D:\images\20211118\plaque 2/@13 TESTO/G1_01.tif "/>
    <s v=" 51991.4745 "/>
    <s v=" 72.6163 "/>
    <x v="0"/>
    <n v="3775429"/>
    <m/>
    <m/>
  </r>
  <r>
    <x v="13"/>
    <x v="6"/>
    <s v="D:\images\20211118\plaque 2/@13 TESTO/G1_02.tif "/>
    <s v=" 48402.1049 "/>
    <s v=" 70.7892 "/>
    <x v="0"/>
    <n v="3426347"/>
    <m/>
    <m/>
  </r>
  <r>
    <x v="13"/>
    <x v="6"/>
    <s v="D:\images\20211118\plaque 2/@13 TESTO/G1_03- exclu.tif"/>
    <m/>
    <m/>
    <x v="1"/>
    <m/>
    <m/>
    <m/>
  </r>
  <r>
    <x v="13"/>
    <x v="7"/>
    <s v="D:\images\20211118\plaque 2/@13 TESTO/H1_01.tif "/>
    <s v=" 22036.5538 "/>
    <s v=" 65.7147 "/>
    <x v="0"/>
    <n v="1448126"/>
    <m/>
    <m/>
  </r>
  <r>
    <x v="13"/>
    <x v="7"/>
    <s v="D:\images\20211118\plaque 2/@13 TESTO/H1_02.tif "/>
    <s v=" 14749.0459 "/>
    <s v=" 64.8761 "/>
    <x v="0"/>
    <n v="956861"/>
    <m/>
    <m/>
  </r>
  <r>
    <x v="13"/>
    <x v="7"/>
    <s v="D:\images\20211118\plaque 2/@13 TESTO/H1_03.tif "/>
    <s v=" 24821.0345 "/>
    <s v=" 65.7555 "/>
    <x v="0"/>
    <n v="1632119"/>
    <m/>
    <m/>
  </r>
  <r>
    <x v="1"/>
    <x v="8"/>
    <s v=" "/>
    <m/>
    <m/>
    <x v="1"/>
    <m/>
    <m/>
    <m/>
  </r>
  <r>
    <x v="1"/>
    <x v="8"/>
    <s v="group "/>
    <s v=" "/>
    <s v=" mean of mean fluo "/>
    <x v="2"/>
    <s v=" mean of total fluo "/>
    <s v=" SD total fluo "/>
    <s v=" n fluorescent "/>
  </r>
  <r>
    <x v="13"/>
    <x v="9"/>
    <s v="D:\images\20211118\plaque 2/@13 TESTO/ "/>
    <s v=" "/>
    <s v=" 71.8729 "/>
    <x v="15"/>
    <s v=" 3113607.67 "/>
    <s v=" 1336280.0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D:\images\20211118\plaque 2/@14 TESTO/A2_01.tif "/>
    <s v=" 27366.2238 "/>
    <s v=" 68.7122 "/>
    <x v="0"/>
    <n v="1880395"/>
    <m/>
    <m/>
  </r>
  <r>
    <x v="14"/>
    <x v="0"/>
    <s v="D:\images\20211118\plaque 2/@14 TESTO/A2_02.tif "/>
    <s v=" 22580.3977 "/>
    <s v=" 66.473 "/>
    <x v="0"/>
    <n v="1500987"/>
    <m/>
    <m/>
  </r>
  <r>
    <x v="14"/>
    <x v="0"/>
    <s v="D:\images\20211118\plaque 2/@14 TESTO/A2_03.tif "/>
    <s v=" 18316.6617 "/>
    <s v=" 65.9751 "/>
    <x v="0"/>
    <n v="1208443"/>
    <m/>
    <m/>
  </r>
  <r>
    <x v="14"/>
    <x v="1"/>
    <s v="D:\images\20211118\plaque 2/@14 TESTO/B2_01.tif "/>
    <s v=" 14031.172 "/>
    <s v=" 65.0744 "/>
    <x v="0"/>
    <n v="913070"/>
    <m/>
    <m/>
  </r>
  <r>
    <x v="14"/>
    <x v="1"/>
    <s v="D:\images\20211118\plaque 2/@14 TESTO/B2_02.tif "/>
    <s v=" 6482.619 "/>
    <s v=" 64.5436 "/>
    <x v="0"/>
    <n v="418412"/>
    <m/>
    <m/>
  </r>
  <r>
    <x v="14"/>
    <x v="1"/>
    <s v="D:\images\20211118\plaque 2/@14 TESTO/B2_03.tif "/>
    <s v=" 10876.8775 "/>
    <s v=" 65.182 "/>
    <x v="0"/>
    <n v="708977"/>
    <m/>
    <m/>
  </r>
  <r>
    <x v="14"/>
    <x v="2"/>
    <s v="D:\images\20211118\plaque 2/@14 TESTO/C2_01.tif "/>
    <s v=" 30411.7495 "/>
    <s v=" 66.902 "/>
    <x v="0"/>
    <n v="2034607"/>
    <m/>
    <m/>
  </r>
  <r>
    <x v="14"/>
    <x v="2"/>
    <s v="D:\images\20211118\plaque 2/@14 TESTO/C2_02.tif "/>
    <s v=" 35154.0681 "/>
    <s v=" 67.8212 "/>
    <x v="0"/>
    <n v="2384190"/>
    <m/>
    <m/>
  </r>
  <r>
    <x v="14"/>
    <x v="2"/>
    <s v="D:\images\20211118\plaque 2/@14 TESTO/C2_03.tif "/>
    <s v=" 32695.8938 "/>
    <s v=" 67.2768 "/>
    <x v="0"/>
    <n v="2199674"/>
    <m/>
    <m/>
  </r>
  <r>
    <x v="14"/>
    <x v="3"/>
    <s v="D:\images\20211118\plaque 2/@14 TESTO/D2_01.tif "/>
    <s v=" 51621.6606 "/>
    <s v=" 75.6039 "/>
    <x v="0"/>
    <n v="3902798"/>
    <m/>
    <m/>
  </r>
  <r>
    <x v="14"/>
    <x v="3"/>
    <s v="D:\images\20211118\plaque 2/@14 TESTO/D2_02.tif "/>
    <s v=" 55319.799 "/>
    <s v=" 73.9151 "/>
    <x v="0"/>
    <n v="4088966"/>
    <m/>
    <m/>
  </r>
  <r>
    <x v="14"/>
    <x v="3"/>
    <s v="D:\images\20211118\plaque 2/@14 TESTO/D2_03.tif "/>
    <s v=" 50316.4353 "/>
    <s v=" 72.2668 "/>
    <x v="0"/>
    <n v="3636205"/>
    <m/>
    <m/>
  </r>
  <r>
    <x v="14"/>
    <x v="4"/>
    <s v="D:\images\20211118\plaque 2/@14 TESTO/E2_01.tif "/>
    <s v=" 21710.2475 "/>
    <s v=" 66.1323 "/>
    <x v="0"/>
    <n v="1435748"/>
    <m/>
    <m/>
  </r>
  <r>
    <x v="14"/>
    <x v="4"/>
    <s v="D:\images\20211118\plaque 2/@14 TESTO/E2_02.tif "/>
    <s v=" 19730.6558 "/>
    <s v=" 66.0386 "/>
    <x v="0"/>
    <n v="1302985"/>
    <m/>
    <m/>
  </r>
  <r>
    <x v="14"/>
    <x v="4"/>
    <s v="D:\images\20211118\plaque 2/@14 TESTO/E2_03.tif "/>
    <s v=" 18577.7068 "/>
    <s v=" 66.4133 "/>
    <x v="0"/>
    <n v="1233808"/>
    <m/>
    <m/>
  </r>
  <r>
    <x v="14"/>
    <x v="5"/>
    <s v="D:\images\20211118\plaque 2/@14 TESTO/F2_01.tif "/>
    <s v=" 17381.2502 "/>
    <s v=" 67.2816 "/>
    <x v="0"/>
    <n v="1169438"/>
    <m/>
    <m/>
  </r>
  <r>
    <x v="14"/>
    <x v="5"/>
    <s v="D:\images\20211118\plaque 2/@14 TESTO/F2_02.tif "/>
    <s v=" 14901.3222 "/>
    <s v=" 65.181 "/>
    <x v="0"/>
    <n v="971283"/>
    <m/>
    <m/>
  </r>
  <r>
    <x v="14"/>
    <x v="5"/>
    <s v="D:\images\20211118\plaque 2/@14 TESTO/F2_03.tif "/>
    <s v=" 14836.0609 "/>
    <s v=" 66.7669 "/>
    <x v="0"/>
    <n v="990557"/>
    <m/>
    <m/>
  </r>
  <r>
    <x v="14"/>
    <x v="6"/>
    <s v="D:\images\20211118\plaque 2/@14 TESTO/G2_01.tif "/>
    <s v=" 27148.6862 "/>
    <s v=" 69.1282 "/>
    <x v="0"/>
    <n v="1876740"/>
    <m/>
    <m/>
  </r>
  <r>
    <x v="14"/>
    <x v="6"/>
    <s v="D:\images\20211118\plaque 2/@14 TESTO/G2_02.tif "/>
    <s v=" 19730.6558 "/>
    <s v=" 66.8004 "/>
    <x v="0"/>
    <n v="1318017"/>
    <m/>
    <m/>
  </r>
  <r>
    <x v="14"/>
    <x v="6"/>
    <s v="D:\images\20211118\plaque 2/@14 TESTO/G2_03.tif "/>
    <s v=" 19295.5807 "/>
    <s v=" 66.5998 "/>
    <x v="0"/>
    <n v="1285081"/>
    <m/>
    <m/>
  </r>
  <r>
    <x v="14"/>
    <x v="7"/>
    <s v="D:\images\20211118\plaque 2/@14 TESTO/H2_01.tif "/>
    <s v=" 53579.4986 "/>
    <s v=" 77.0325 "/>
    <x v="0"/>
    <n v="4127362"/>
    <m/>
    <m/>
  </r>
  <r>
    <x v="14"/>
    <x v="7"/>
    <s v="D:\images\20211118\plaque 2/@14 TESTO/H2_02.tif "/>
    <s v=" 56429.2405 "/>
    <s v=" 76.453 "/>
    <x v="0"/>
    <n v="4314183"/>
    <m/>
    <m/>
  </r>
  <r>
    <x v="14"/>
    <x v="7"/>
    <s v="D:\images\20211118\plaque 2/@14 TESTO/H2_03.tif "/>
    <s v=" 61824.1717 "/>
    <s v=" 77.6907 "/>
    <x v="0"/>
    <n v="4803164"/>
    <m/>
    <m/>
  </r>
  <r>
    <x v="1"/>
    <x v="8"/>
    <s v=" "/>
    <m/>
    <m/>
    <x v="1"/>
    <m/>
    <m/>
    <m/>
  </r>
  <r>
    <x v="1"/>
    <x v="8"/>
    <s v="group "/>
    <s v=" "/>
    <s v=" mean of mean fluo "/>
    <x v="2"/>
    <s v=" mean of total fluo "/>
    <s v=" SD total fluo "/>
    <s v=" n fluorescent "/>
  </r>
  <r>
    <x v="14"/>
    <x v="9"/>
    <s v="D:\images\20211118\plaque 2/@14 TESTO/ "/>
    <s v=" "/>
    <s v=" 68.8027 "/>
    <x v="16"/>
    <s v=" 2071045.42 "/>
    <s v=" 1316403.9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D:\images\20211118\plaque 2/@15 TESTO + EE2/A3_01.tif "/>
    <s v=" 54297.3725 "/>
    <s v=" 74.0136 "/>
    <x v="0"/>
    <n v="4018745"/>
    <m/>
    <m/>
  </r>
  <r>
    <x v="15"/>
    <x v="0"/>
    <s v="D:\images\20211118\plaque 2/@15 TESTO + EE2/A3_02.tif "/>
    <s v=" 46400.7594 "/>
    <s v=" 73.4046 "/>
    <x v="0"/>
    <n v="3406029"/>
    <m/>
    <m/>
  </r>
  <r>
    <x v="15"/>
    <x v="0"/>
    <s v="D:\images\20211118\plaque 2/@15 TESTO + EE2/A3_03.tif "/>
    <s v=" 53383.7148 "/>
    <s v=" 73.205 "/>
    <x v="0"/>
    <n v="3907953"/>
    <m/>
    <m/>
  </r>
  <r>
    <x v="15"/>
    <x v="1"/>
    <s v="D:\images\20211118\plaque 2/@15 TESTO + EE2/B3_01.tif "/>
    <s v=" 69437.986 "/>
    <s v=" 75.5047 "/>
    <x v="0"/>
    <n v="5242894"/>
    <m/>
    <m/>
  </r>
  <r>
    <x v="15"/>
    <x v="1"/>
    <s v="D:\images\20211118\plaque 2/@15 TESTO + EE2/B3_02.tif "/>
    <s v=" 66566.4903 "/>
    <s v=" 76.082 "/>
    <x v="0"/>
    <n v="5064513"/>
    <m/>
    <m/>
  </r>
  <r>
    <x v="15"/>
    <x v="1"/>
    <s v="D:\images\20211118\plaque 2/@15 TESTO + EE2/B3_03.tif "/>
    <s v=" 64478.1298 "/>
    <s v=" 74.4595 "/>
    <x v="0"/>
    <n v="4801010"/>
    <m/>
    <m/>
  </r>
  <r>
    <x v="15"/>
    <x v="2"/>
    <s v="D:\images\20211118\plaque 2/@15 TESTO + EE2/C3_01.tif "/>
    <s v=" 32630.6325 "/>
    <s v=" 68.746 "/>
    <x v="0"/>
    <n v="2243225"/>
    <m/>
    <m/>
  </r>
  <r>
    <x v="15"/>
    <x v="2"/>
    <s v="D:\images\20211118\plaque 2/@15 TESTO + EE2/C3_02- exclu.tif"/>
    <m/>
    <m/>
    <x v="1"/>
    <m/>
    <m/>
    <m/>
  </r>
  <r>
    <x v="15"/>
    <x v="2"/>
    <s v="D:\images\20211118\plaque 2/@15 TESTO + EE2/C3_03.tif "/>
    <s v=" 31412.4222 "/>
    <s v=" 69.1863 "/>
    <x v="0"/>
    <n v="2173309"/>
    <m/>
    <m/>
  </r>
  <r>
    <x v="15"/>
    <x v="3"/>
    <s v="D:\images\20211118\plaque 2/@15 TESTO + EE2/D3_01.tif "/>
    <s v=" 64913.2049 "/>
    <s v=" 78.6927 "/>
    <x v="0"/>
    <n v="5108195"/>
    <m/>
    <m/>
  </r>
  <r>
    <x v="15"/>
    <x v="3"/>
    <s v="D:\images\20211118\plaque 2/@15 TESTO + EE2/D3_02.tif "/>
    <s v=" 63368.6883 "/>
    <s v=" 78.9811 "/>
    <x v="0"/>
    <n v="5004930"/>
    <m/>
    <m/>
  </r>
  <r>
    <x v="15"/>
    <x v="3"/>
    <s v="D:\images\20211118\plaque 2/@15 TESTO + EE2/D3_03.tif "/>
    <s v=" 64760.9286 "/>
    <s v=" 79.8764 "/>
    <x v="0"/>
    <n v="5172869"/>
    <m/>
    <m/>
  </r>
  <r>
    <x v="15"/>
    <x v="4"/>
    <s v="D:\images\20211118\plaque 2/@15 TESTO + EE2/E3_01.tif "/>
    <s v=" 57995.5108 "/>
    <s v=" 75.2543 "/>
    <x v="0"/>
    <n v="4364412"/>
    <m/>
    <m/>
  </r>
  <r>
    <x v="15"/>
    <x v="4"/>
    <s v="D:\images\20211118\plaque 2/@15 TESTO + EE2/E3_02.tif "/>
    <s v=" 53470.7298 "/>
    <s v=" 74.1619 "/>
    <x v="0"/>
    <n v="3965492"/>
    <m/>
    <m/>
  </r>
  <r>
    <x v="15"/>
    <x v="4"/>
    <s v="D:\images\20211118\plaque 2/@15 TESTO + EE2/E3_03.tif "/>
    <s v=" 56385.733 "/>
    <s v=" 74.1883 "/>
    <x v="0"/>
    <n v="4183160"/>
    <m/>
    <m/>
  </r>
  <r>
    <x v="15"/>
    <x v="5"/>
    <s v="D:\images\20211118\plaque 2/@15 TESTO + EE2/F3_01.tif "/>
    <s v=" 30172.4582 "/>
    <s v=" 71.1471 "/>
    <x v="0"/>
    <n v="2146682"/>
    <m/>
    <m/>
  </r>
  <r>
    <x v="15"/>
    <x v="5"/>
    <s v="D:\images\20211118\plaque 2/@15 TESTO + EE2/F3_02.tif "/>
    <s v=" 37155.4135 "/>
    <s v=" 71.1306 "/>
    <x v="0"/>
    <n v="2642885"/>
    <m/>
    <m/>
  </r>
  <r>
    <x v="15"/>
    <x v="5"/>
    <s v="D:\images\20211118\plaque 2/@15 TESTO + EE2/F3_03.tif "/>
    <s v=" 33827.089 "/>
    <s v=" 68.6881 "/>
    <x v="0"/>
    <n v="2323519"/>
    <m/>
    <m/>
  </r>
  <r>
    <x v="15"/>
    <x v="6"/>
    <s v="D:\images\20211118\plaque 2/@15 TESTO + EE2/G3_01- exclu.tif"/>
    <m/>
    <m/>
    <x v="1"/>
    <m/>
    <m/>
    <m/>
  </r>
  <r>
    <x v="15"/>
    <x v="6"/>
    <s v="D:\images\20211118\plaque 2/@15 TESTO + EE2/G3_02- exclu.tif"/>
    <m/>
    <m/>
    <x v="1"/>
    <m/>
    <m/>
    <m/>
  </r>
  <r>
    <x v="15"/>
    <x v="6"/>
    <s v="D:\images\20211118\plaque 2/@15 TESTO + EE2/G3_03.tif "/>
    <s v=" 282.7988 "/>
    <s v=" 64.8462 "/>
    <x v="0"/>
    <n v="18338"/>
    <m/>
    <m/>
  </r>
  <r>
    <x v="15"/>
    <x v="7"/>
    <s v="D:\images\20211118\plaque 2/@15 TESTO + EE2/H3_01- exclu.tif"/>
    <m/>
    <m/>
    <x v="1"/>
    <m/>
    <m/>
    <m/>
  </r>
  <r>
    <x v="15"/>
    <x v="7"/>
    <s v="D:\images\20211118\plaque 2/@15 TESTO + EE2/H3_02- exclu- exclu.tif"/>
    <m/>
    <m/>
    <x v="1"/>
    <m/>
    <m/>
    <m/>
  </r>
  <r>
    <x v="15"/>
    <x v="7"/>
    <s v="D:\images\20211118\plaque 2/@15 TESTO + EE2/H3_03- exclu.tif"/>
    <m/>
    <m/>
    <x v="1"/>
    <m/>
    <m/>
    <m/>
  </r>
  <r>
    <x v="1"/>
    <x v="8"/>
    <s v=" "/>
    <m/>
    <m/>
    <x v="1"/>
    <m/>
    <m/>
    <m/>
  </r>
  <r>
    <x v="1"/>
    <x v="8"/>
    <s v="group "/>
    <s v=" "/>
    <s v=" mean of mean fluo "/>
    <x v="2"/>
    <s v=" mean of total fluo "/>
    <s v=" SD total fluo "/>
    <s v=" n fluorescent "/>
  </r>
  <r>
    <x v="15"/>
    <x v="9"/>
    <s v="D:\images\20211118\plaque 2/@15 TESTO + EE2/ "/>
    <s v=" "/>
    <s v=" 72.1437 "/>
    <x v="17"/>
    <s v=" 2883275.21 "/>
    <s v=" 1889091.4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D:\images\20211118\plaque 2/@16 TESTO + FAD/A4_01.tif "/>
    <s v=" 5525.4538 "/>
    <s v=" 65.937 "/>
    <x v="0"/>
    <n v="364332"/>
    <m/>
    <m/>
  </r>
  <r>
    <x v="16"/>
    <x v="0"/>
    <s v="D:\images\20211118\plaque 2/@16 TESTO + FAD/A4_02- exclu.tif"/>
    <m/>
    <m/>
    <x v="1"/>
    <m/>
    <m/>
    <m/>
  </r>
  <r>
    <x v="16"/>
    <x v="0"/>
    <s v="D:\images\20211118\plaque 2/@16 TESTO + FAD/A4_03.tif "/>
    <s v=" 3654.6308 "/>
    <s v=" 66.256 "/>
    <x v="0"/>
    <n v="242141"/>
    <m/>
    <m/>
  </r>
  <r>
    <x v="16"/>
    <x v="1"/>
    <s v="D:\images\20211118\plaque 2/@16 TESTO + FAD/B4_01.tif "/>
    <s v=" 1544.5166 "/>
    <s v=" 65.9577 "/>
    <x v="0"/>
    <n v="101873"/>
    <m/>
    <m/>
  </r>
  <r>
    <x v="16"/>
    <x v="1"/>
    <s v="D:\images\20211118\plaque 2/@16 TESTO + FAD/B4_02.tif "/>
    <s v=" 1283.4715 "/>
    <s v=" 67.7458 "/>
    <x v="0"/>
    <n v="86950"/>
    <m/>
    <m/>
  </r>
  <r>
    <x v="16"/>
    <x v="1"/>
    <s v="D:\images\20211118\plaque 2/@16 TESTO + FAD/B4_03.tif "/>
    <s v=" 935.4115 "/>
    <s v=" 64.6977 "/>
    <x v="0"/>
    <n v="60519"/>
    <m/>
    <m/>
  </r>
  <r>
    <x v="16"/>
    <x v="2"/>
    <s v="D:\images\20211118\plaque 2/@16 TESTO + FAD/C4_01.tif "/>
    <s v=" 1370.4866 "/>
    <s v=" 63.5238 "/>
    <x v="0"/>
    <n v="87059"/>
    <m/>
    <m/>
  </r>
  <r>
    <x v="16"/>
    <x v="2"/>
    <s v="D:\images\20211118\plaque 2/@16 TESTO + FAD/C4_02.tif "/>
    <s v=" 783.1352 "/>
    <s v=" 64.4444 "/>
    <x v="0"/>
    <n v="50469"/>
    <m/>
    <m/>
  </r>
  <r>
    <x v="16"/>
    <x v="2"/>
    <s v="D:\images\20211118\plaque 2/@16 TESTO + FAD/C4_03.tif "/>
    <s v=" 3632.8771 "/>
    <s v=" 66.3952 "/>
    <x v="0"/>
    <n v="241206"/>
    <m/>
    <m/>
  </r>
  <r>
    <x v="16"/>
    <x v="3"/>
    <s v="D:\images\20211118\plaque 2/@16 TESTO + FAD/D4_01.tif "/>
    <s v=" 1131.1953 "/>
    <s v=" 65.5192 "/>
    <x v="0"/>
    <n v="74115"/>
    <m/>
    <m/>
  </r>
  <r>
    <x v="16"/>
    <x v="3"/>
    <s v="D:\images\20211118\plaque 2/@16 TESTO + FAD/D4_02.tif "/>
    <s v=" 1087.6878 "/>
    <s v=" 64.44 "/>
    <x v="0"/>
    <n v="70091"/>
    <m/>
    <m/>
  </r>
  <r>
    <x v="16"/>
    <x v="3"/>
    <s v="D:\images\20211118\plaque 2/@16 TESTO + FAD/D4_03.tif "/>
    <s v=" 1218.2103 "/>
    <s v=" 63.9643 "/>
    <x v="0"/>
    <n v="77922"/>
    <m/>
    <m/>
  </r>
  <r>
    <x v="16"/>
    <x v="4"/>
    <s v="D:\images\20211118\plaque 2/@16 TESTO + FAD/E4_01.tif "/>
    <s v=" 3350.0783 "/>
    <s v=" 66.3636 "/>
    <x v="0"/>
    <n v="222323"/>
    <m/>
    <m/>
  </r>
  <r>
    <x v="16"/>
    <x v="4"/>
    <s v="D:\images\20211118\plaque 2/@16 TESTO + FAD/E4_02- exclu.tif"/>
    <m/>
    <m/>
    <x v="1"/>
    <m/>
    <m/>
    <m/>
  </r>
  <r>
    <x v="16"/>
    <x v="4"/>
    <s v="D:\images\20211118\plaque 2/@16 TESTO + FAD/E4_03- exclu.tif"/>
    <m/>
    <m/>
    <x v="1"/>
    <m/>
    <m/>
    <m/>
  </r>
  <r>
    <x v="16"/>
    <x v="5"/>
    <s v="D:\images\20211118\plaque 2/@16 TESTO + FAD/F4_01.tif "/>
    <s v=" 3284.817 "/>
    <s v=" 67.3709 "/>
    <x v="0"/>
    <n v="221301"/>
    <m/>
    <m/>
  </r>
  <r>
    <x v="16"/>
    <x v="5"/>
    <s v="D:\images\20211118\plaque 2/@16 TESTO + FAD/F4_02.tif "/>
    <s v=" 674.3664 "/>
    <s v=" 63.5484 "/>
    <x v="0"/>
    <n v="42855"/>
    <m/>
    <m/>
  </r>
  <r>
    <x v="16"/>
    <x v="5"/>
    <s v="D:\images\20211118\plaque 2/@16 TESTO + FAD/F4_03.tif "/>
    <s v=" 478.5826 "/>
    <s v=" 64.6364 "/>
    <x v="0"/>
    <n v="30934"/>
    <m/>
    <m/>
  </r>
  <r>
    <x v="16"/>
    <x v="6"/>
    <s v="D:\images\20211118\plaque 2/@16 TESTO + FAD/G4_01.tif "/>
    <s v=" 522.0901 "/>
    <s v=" 63.375 "/>
    <x v="0"/>
    <n v="33087"/>
    <m/>
    <m/>
  </r>
  <r>
    <x v="16"/>
    <x v="6"/>
    <s v="D:\images\20211118\plaque 2/@16 TESTO + FAD/G4_02.tif "/>
    <s v=" 1392.2403 "/>
    <s v=" 68.0156 "/>
    <x v="0"/>
    <n v="94694"/>
    <m/>
    <m/>
  </r>
  <r>
    <x v="16"/>
    <x v="6"/>
    <s v="D:\images\20211118\plaque 2/@16 TESTO + FAD/G4_03.tif "/>
    <s v=" 935.4115 "/>
    <s v=" 65.2093 "/>
    <x v="0"/>
    <n v="60998"/>
    <m/>
    <m/>
  </r>
  <r>
    <x v="16"/>
    <x v="7"/>
    <s v="D:\images\20211118\plaque 2/@16 TESTO + FAD/H4_01.tif "/>
    <s v=" 913.6577 "/>
    <s v=" 63.9762 "/>
    <x v="0"/>
    <n v="58452"/>
    <m/>
    <m/>
  </r>
  <r>
    <x v="16"/>
    <x v="7"/>
    <s v="D:\images\20211118\plaque 2/@16 TESTO + FAD/H4_02.tif "/>
    <s v=" 630.8589 "/>
    <s v=" 62.7931 "/>
    <x v="0"/>
    <n v="39614"/>
    <m/>
    <m/>
  </r>
  <r>
    <x v="16"/>
    <x v="7"/>
    <s v="D:\images\20211118\plaque 2/@16 TESTO + FAD/H4_03.tif "/>
    <s v=" 500.3364 "/>
    <s v=" 62.8261 "/>
    <x v="0"/>
    <n v="31434"/>
    <m/>
    <m/>
  </r>
  <r>
    <x v="1"/>
    <x v="8"/>
    <s v=" "/>
    <m/>
    <m/>
    <x v="1"/>
    <m/>
    <m/>
    <m/>
  </r>
  <r>
    <x v="1"/>
    <x v="8"/>
    <s v="group "/>
    <s v=" "/>
    <s v=" mean of mean fluo "/>
    <x v="2"/>
    <s v=" mean of total fluo "/>
    <s v=" SD total fluo "/>
    <s v=" n fluorescent "/>
  </r>
  <r>
    <x v="16"/>
    <x v="9"/>
    <s v="D:\images\20211118\plaque 2/@16 TESTO + FAD/ "/>
    <s v=" "/>
    <s v=" 65.0097 "/>
    <x v="18"/>
    <s v=" 105852.042 "/>
    <s v=" 88243.285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D:\images\20211118\plaque 2/@17 Atenolol 0.01/A5_01.tif "/>
    <s v=" 35523.8819 "/>
    <s v=" 68.5977 "/>
    <x v="0"/>
    <n v="2436856"/>
    <m/>
    <m/>
  </r>
  <r>
    <x v="17"/>
    <x v="0"/>
    <s v="D:\images\20211118\plaque 2/@17 Atenolol 0.01/A5_02.tif "/>
    <s v=" 36350.5246 "/>
    <s v=" 67.7427 "/>
    <x v="0"/>
    <n v="2462482"/>
    <m/>
    <m/>
  </r>
  <r>
    <x v="17"/>
    <x v="0"/>
    <s v="D:\images\20211118\plaque 2/@17 Atenolol 0.01/A5_03.tif "/>
    <s v=" 44812.7353 "/>
    <s v=" 69.4359 "/>
    <x v="0"/>
    <n v="3111614"/>
    <m/>
    <m/>
  </r>
  <r>
    <x v="17"/>
    <x v="1"/>
    <s v="D:\images\20211118\plaque 2/@17 Atenolol 0.01/B5_01.tif "/>
    <s v=" 14466.2471 "/>
    <s v=" 66.5098 "/>
    <x v="0"/>
    <n v="962147"/>
    <m/>
    <m/>
  </r>
  <r>
    <x v="17"/>
    <x v="1"/>
    <s v="D:\images\20211118\plaque 2/@17 Atenolol 0.01/B5_02.tif "/>
    <s v=" 16424.085 "/>
    <s v=" 67.1947 "/>
    <x v="0"/>
    <n v="1103611"/>
    <m/>
    <m/>
  </r>
  <r>
    <x v="17"/>
    <x v="1"/>
    <s v="D:\images\20211118\plaque 2/@17 Atenolol 0.01/B5_03.tif "/>
    <s v=" 15814.9799 "/>
    <s v=" 66.2545 "/>
    <x v="0"/>
    <n v="1047813"/>
    <m/>
    <m/>
  </r>
  <r>
    <x v="17"/>
    <x v="2"/>
    <s v="D:\images\20211118\plaque 2/@17 Atenolol 0.01/C5_01.tif "/>
    <s v=" 14662.0309 "/>
    <s v=" 66.5875 "/>
    <x v="0"/>
    <n v="976309"/>
    <m/>
    <m/>
  </r>
  <r>
    <x v="17"/>
    <x v="2"/>
    <s v="D:\images\20211118\plaque 2/@17 Atenolol 0.01/C5_02.tif "/>
    <s v=" 13835.3882 "/>
    <s v=" 65.2248 "/>
    <x v="0"/>
    <n v="902411"/>
    <m/>
    <m/>
  </r>
  <r>
    <x v="17"/>
    <x v="2"/>
    <s v="D:\images\20211118\plaque 2/@17 Atenolol 0.01/C5_03.tif "/>
    <s v=" 12595.4241 "/>
    <s v=" 65.7237 "/>
    <x v="0"/>
    <n v="827817"/>
    <m/>
    <m/>
  </r>
  <r>
    <x v="17"/>
    <x v="3"/>
    <s v="D:\images\20211118\plaque 2/@17 Atenolol 0.01/D5_01.tif "/>
    <s v=" 20187.4846 "/>
    <s v=" 68.0431 "/>
    <x v="0"/>
    <n v="1373619"/>
    <m/>
    <m/>
  </r>
  <r>
    <x v="17"/>
    <x v="3"/>
    <s v="D:\images\20211118\plaque 2/@17 Atenolol 0.01/D5_02- exclu.tif"/>
    <m/>
    <m/>
    <x v="1"/>
    <m/>
    <m/>
    <m/>
  </r>
  <r>
    <x v="17"/>
    <x v="3"/>
    <s v="D:\images\20211118\plaque 2/@17 Atenolol 0.01/D5_03.tif "/>
    <s v=" 18490.6918 "/>
    <s v=" 71.1612 "/>
    <x v="0"/>
    <n v="1315819"/>
    <m/>
    <m/>
  </r>
  <r>
    <x v="17"/>
    <x v="4"/>
    <s v="D:\images\20211118\plaque 2/@17 Atenolol 0.01/E5_01.tif "/>
    <s v=" 43072.4349 "/>
    <s v=" 71.9818 "/>
    <x v="0"/>
    <n v="3100432"/>
    <m/>
    <m/>
  </r>
  <r>
    <x v="17"/>
    <x v="4"/>
    <s v="D:\images\20211118\plaque 2/@17 Atenolol 0.01/E5_02.tif "/>
    <s v=" 45334.8254 "/>
    <s v=" 72.63 "/>
    <x v="0"/>
    <n v="3292670"/>
    <m/>
    <m/>
  </r>
  <r>
    <x v="17"/>
    <x v="4"/>
    <s v="D:\images\20211118\plaque 2/@17 Atenolol 0.01/E5_03.tif "/>
    <s v=" 39526.5728 "/>
    <s v=" 71.6103 "/>
    <x v="0"/>
    <n v="2830512"/>
    <m/>
    <m/>
  </r>
  <r>
    <x v="17"/>
    <x v="5"/>
    <s v="D:\images\20211118\plaque 2/@17 Atenolol 0.01/F5_01.tif "/>
    <s v=" 55058.7539 "/>
    <s v=" 75.0743 "/>
    <x v="0"/>
    <n v="4133496"/>
    <m/>
    <m/>
  </r>
  <r>
    <x v="17"/>
    <x v="5"/>
    <s v="D:\images\20211118\plaque 2/@17 Atenolol 0.01/F5_02- exclu.tif"/>
    <m/>
    <m/>
    <x v="1"/>
    <m/>
    <m/>
    <m/>
  </r>
  <r>
    <x v="17"/>
    <x v="5"/>
    <s v="D:\images\20211118\plaque 2/@17 Atenolol 0.01/F5_03.tif "/>
    <s v=" 52644.0871 "/>
    <s v=" 76.2227 "/>
    <x v="0"/>
    <n v="4012676"/>
    <m/>
    <m/>
  </r>
  <r>
    <x v="17"/>
    <x v="6"/>
    <s v="D:\images\20211118\plaque 2/@17 Atenolol 0.01/G5_01.tif "/>
    <s v=" 44268.8914 "/>
    <s v=" 74.5769 "/>
    <x v="0"/>
    <n v="3301437"/>
    <m/>
    <m/>
  </r>
  <r>
    <x v="17"/>
    <x v="6"/>
    <s v="D:\images\20211118\plaque 2/@17 Atenolol 0.01/G5_02.tif "/>
    <s v=" 38960.9752 "/>
    <s v=" 72.6974 "/>
    <x v="0"/>
    <n v="2832361"/>
    <m/>
    <m/>
  </r>
  <r>
    <x v="17"/>
    <x v="6"/>
    <s v="D:\images\20211118\plaque 2/@17 Atenolol 0.01/G5_03- exclu.tif"/>
    <m/>
    <m/>
    <x v="1"/>
    <m/>
    <m/>
    <m/>
  </r>
  <r>
    <x v="17"/>
    <x v="7"/>
    <s v="D:\images\20211118\plaque 2/@17 Atenolol 0.01/H5_01.tif "/>
    <s v=" 54688.9401 "/>
    <s v=" 69.3218 "/>
    <x v="0"/>
    <n v="3791136"/>
    <m/>
    <m/>
  </r>
  <r>
    <x v="17"/>
    <x v="7"/>
    <s v="D:\images\20211118\plaque 2/@17 Atenolol 0.01/H5_02.tif "/>
    <s v=" 54123.3424 "/>
    <s v=" 69.0394 "/>
    <x v="0"/>
    <n v="3736642"/>
    <m/>
    <m/>
  </r>
  <r>
    <x v="17"/>
    <x v="7"/>
    <s v="D:\images\20211118\plaque 2/@17 Atenolol 0.01/H5_03.tif "/>
    <s v=" 52078.4895 "/>
    <s v=" 68.9386 "/>
    <x v="0"/>
    <n v="3590218"/>
    <m/>
    <m/>
  </r>
  <r>
    <x v="1"/>
    <x v="8"/>
    <s v=" "/>
    <m/>
    <m/>
    <x v="1"/>
    <m/>
    <m/>
    <m/>
  </r>
  <r>
    <x v="1"/>
    <x v="8"/>
    <s v="group "/>
    <s v=" "/>
    <s v=" mean of mean fluo "/>
    <x v="2"/>
    <s v=" mean of total fluo "/>
    <s v=" SD total fluo "/>
    <s v=" n fluorescent "/>
  </r>
  <r>
    <x v="17"/>
    <x v="9"/>
    <s v="D:\images\20211118\plaque 2/@17 Atenolol 0.01/ "/>
    <s v=" "/>
    <s v=" 69.4462 "/>
    <x v="19"/>
    <s v=" 2371447.54 "/>
    <s v=" 1210481.3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D:\images\20211118\plaque 2/@18 Atenolol 0.1/A6_01.tif "/>
    <s v=" 62368.0156 "/>
    <s v=" 74.8458 "/>
    <x v="0"/>
    <n v="4667986"/>
    <m/>
    <m/>
  </r>
  <r>
    <x v="18"/>
    <x v="0"/>
    <s v="D:\images\20211118\plaque 2/@18 Atenolol 0.1/A6_02.tif "/>
    <s v=" 54841.2164 "/>
    <s v=" 72.8921 "/>
    <x v="0"/>
    <n v="3997492"/>
    <m/>
    <m/>
  </r>
  <r>
    <x v="18"/>
    <x v="0"/>
    <s v="D:\images\20211118\plaque 2/@18 Atenolol 0.1/A6_03.tif "/>
    <s v=" 53427.2223 "/>
    <s v=" 74.2028 "/>
    <x v="0"/>
    <n v="3964448"/>
    <m/>
    <m/>
  </r>
  <r>
    <x v="18"/>
    <x v="1"/>
    <s v="D:\images\20211118\plaque 2/@18 Atenolol 0.1/B6_01.tif "/>
    <s v=" 37873.2875 "/>
    <s v=" 69.9253 "/>
    <x v="0"/>
    <n v="2648302"/>
    <m/>
    <m/>
  </r>
  <r>
    <x v="18"/>
    <x v="1"/>
    <s v="D:\images\20211118\plaque 2/@18 Atenolol 0.1/B6_02.tif "/>
    <s v=" 39352.5428 "/>
    <s v=" 70.5992 "/>
    <x v="0"/>
    <n v="2778259"/>
    <m/>
    <m/>
  </r>
  <r>
    <x v="18"/>
    <x v="1"/>
    <s v="D:\images\20211118\plaque 2/@18 Atenolol 0.1/B6_03.tif "/>
    <s v=" 35415.1131 "/>
    <s v=" 70.0227 "/>
    <x v="0"/>
    <n v="2479863"/>
    <m/>
    <m/>
  </r>
  <r>
    <x v="18"/>
    <x v="2"/>
    <s v="D:\images\20211118\plaque 2/@18 Atenolol 0.1/C6_01.tif "/>
    <s v=" 44203.6302 "/>
    <s v=" 81.5832 "/>
    <x v="0"/>
    <n v="3606272"/>
    <m/>
    <m/>
  </r>
  <r>
    <x v="18"/>
    <x v="2"/>
    <s v="D:\images\20211118\plaque 2/@18 Atenolol 0.1/C6_02.tif "/>
    <s v=" 43224.7112 "/>
    <s v=" 81.7006 "/>
    <x v="0"/>
    <n v="3531483"/>
    <m/>
    <m/>
  </r>
  <r>
    <x v="18"/>
    <x v="2"/>
    <s v="D:\images\20211118\plaque 2/@18 Atenolol 0.1/C6_03.tif "/>
    <s v=" 44073.1076 "/>
    <s v=" 80.0464 "/>
    <x v="0"/>
    <n v="3527893"/>
    <m/>
    <m/>
  </r>
  <r>
    <x v="18"/>
    <x v="3"/>
    <s v="D:\images\20211118\plaque 2/@18 Atenolol 0.1/D6_01.tif "/>
    <s v=" 14488.0008 "/>
    <s v=" 66.1036 "/>
    <x v="0"/>
    <n v="957709"/>
    <m/>
    <m/>
  </r>
  <r>
    <x v="18"/>
    <x v="3"/>
    <s v="D:\images\20211118\plaque 2/@18 Atenolol 0.1/D6_02.tif "/>
    <s v=" 15771.4724 "/>
    <s v=" 66.1241 "/>
    <x v="0"/>
    <n v="1042875"/>
    <m/>
    <m/>
  </r>
  <r>
    <x v="18"/>
    <x v="3"/>
    <s v="D:\images\20211118\plaque 2/@18 Atenolol 0.1/D6_03.tif "/>
    <s v=" 17859.8329 "/>
    <s v=" 66.1888 "/>
    <x v="0"/>
    <n v="1182121"/>
    <m/>
    <m/>
  </r>
  <r>
    <x v="18"/>
    <x v="4"/>
    <s v="D:\images\20211118\plaque 2/@18 Atenolol 0.1/E6_01.tif "/>
    <s v=" 27431.4851 "/>
    <s v=" 67.6431 "/>
    <x v="0"/>
    <n v="1855552"/>
    <m/>
    <m/>
  </r>
  <r>
    <x v="18"/>
    <x v="4"/>
    <s v="D:\images\20211118\plaque 2/@18 Atenolol 0.1/E6_02.tif "/>
    <s v=" 28366.8965 "/>
    <s v=" 67.7301 "/>
    <x v="0"/>
    <n v="1921292"/>
    <m/>
    <m/>
  </r>
  <r>
    <x v="18"/>
    <x v="4"/>
    <s v="D:\images\20211118\plaque 2/@18 Atenolol 0.1/E6_03.tif "/>
    <s v=" 25386.6321 "/>
    <s v=" 67.862 "/>
    <x v="0"/>
    <n v="1722789"/>
    <m/>
    <m/>
  </r>
  <r>
    <x v="18"/>
    <x v="5"/>
    <s v="D:\images\20211118\plaque 2/@18 Atenolol 0.1/F6_01.tif "/>
    <s v=" 43376.9875 "/>
    <s v=" 70.4393 "/>
    <x v="0"/>
    <n v="3055445"/>
    <m/>
    <m/>
  </r>
  <r>
    <x v="18"/>
    <x v="5"/>
    <s v="D:\images\20211118\plaque 2/@18 Atenolol 0.1/F6_02.tif "/>
    <s v=" 44203.6302 "/>
    <s v=" 69.9272 "/>
    <x v="0"/>
    <n v="3091035"/>
    <m/>
    <m/>
  </r>
  <r>
    <x v="18"/>
    <x v="5"/>
    <s v="D:\images\20211118\plaque 2/@18 Atenolol 0.1/F6_03.tif "/>
    <s v=" 42506.8373 "/>
    <s v=" 70.7011 "/>
    <x v="0"/>
    <n v="3005281"/>
    <m/>
    <m/>
  </r>
  <r>
    <x v="18"/>
    <x v="6"/>
    <s v="D:\images\20211118\plaque 2/@18 Atenolol 0.1/G6_01- exclu.tif"/>
    <m/>
    <m/>
    <x v="1"/>
    <m/>
    <m/>
    <m/>
  </r>
  <r>
    <x v="18"/>
    <x v="6"/>
    <s v="D:\images\20211118\plaque 2/@18 Atenolol 0.1/G6_02.tif "/>
    <s v=" 51295.3543 "/>
    <s v=" 73.9911 "/>
    <x v="0"/>
    <n v="3795399"/>
    <m/>
    <m/>
  </r>
  <r>
    <x v="18"/>
    <x v="6"/>
    <s v="D:\images\20211118\plaque 2/@18 Atenolol 0.1/G6_03.tif "/>
    <s v=" 53405.4685 "/>
    <s v=" 71.9743 "/>
    <x v="0"/>
    <n v="3843823"/>
    <m/>
    <m/>
  </r>
  <r>
    <x v="18"/>
    <x v="7"/>
    <s v="D:\images\20211118\plaque 2/@18 Atenolol 0.1/H6_01- exclu.tif"/>
    <m/>
    <m/>
    <x v="1"/>
    <m/>
    <m/>
    <m/>
  </r>
  <r>
    <x v="18"/>
    <x v="7"/>
    <s v="D:\images\20211118\plaque 2/@18 Atenolol 0.1/H6_02.tif "/>
    <s v=" 55472.0753 "/>
    <s v=" 73.6302 "/>
    <x v="0"/>
    <n v="4084420"/>
    <m/>
    <m/>
  </r>
  <r>
    <x v="18"/>
    <x v="7"/>
    <s v="D:\images\20211118\plaque 2/@18 Atenolol 0.1/H6_03.tif "/>
    <s v=" 58582.8622 "/>
    <s v=" 73.6302 "/>
    <x v="0"/>
    <n v="4313465"/>
    <m/>
    <m/>
  </r>
  <r>
    <x v="1"/>
    <x v="8"/>
    <s v=" "/>
    <m/>
    <m/>
    <x v="1"/>
    <m/>
    <m/>
    <m/>
  </r>
  <r>
    <x v="1"/>
    <x v="8"/>
    <s v="group "/>
    <s v=" "/>
    <s v=" mean of mean fluo "/>
    <x v="2"/>
    <s v=" mean of total fluo "/>
    <s v=" SD total fluo "/>
    <s v=" n fluorescent "/>
  </r>
  <r>
    <x v="18"/>
    <x v="9"/>
    <s v="D:\images\20211118\plaque 2/@18 Atenolol 0.1/ "/>
    <s v=" "/>
    <s v=" 71.8424 "/>
    <x v="20"/>
    <s v=" 3002978.08 "/>
    <s v=" 1082724.5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D:\images\20211118\plaque 2/@19 Atenolol 1/A7_01.tif "/>
    <s v=" 34001.1191 "/>
    <s v=" 68.3544 "/>
    <x v="0"/>
    <n v="2324128"/>
    <m/>
    <m/>
  </r>
  <r>
    <x v="19"/>
    <x v="0"/>
    <s v="D:\images\20211118\plaque 2/@19 Atenolol 1/A7_02- exclu.tif"/>
    <m/>
    <m/>
    <x v="1"/>
    <m/>
    <m/>
    <m/>
  </r>
  <r>
    <x v="19"/>
    <x v="0"/>
    <s v="D:\images\20211118\plaque 2/@19 Atenolol 1/A7_03.tif "/>
    <s v=" 29715.6293 "/>
    <s v=" 68.5564 "/>
    <x v="0"/>
    <n v="2037196"/>
    <m/>
    <m/>
  </r>
  <r>
    <x v="19"/>
    <x v="1"/>
    <s v="D:\images\20211118\plaque 2/@19 Atenolol 1/B7_01.tif "/>
    <s v=" 63477.4571 "/>
    <s v=" 75.3321 "/>
    <x v="0"/>
    <n v="4781889"/>
    <m/>
    <m/>
  </r>
  <r>
    <x v="19"/>
    <x v="1"/>
    <s v="D:\images\20211118\plaque 2/@19 Atenolol 1/B7_02.tif "/>
    <s v=" 60932.2678 "/>
    <s v=" 75.0446 "/>
    <x v="0"/>
    <n v="4572639"/>
    <m/>
    <m/>
  </r>
  <r>
    <x v="19"/>
    <x v="1"/>
    <s v="D:\images\20211118\plaque 2/@19 Atenolol 1/B7_03.tif "/>
    <s v=" 58474.0935 "/>
    <s v=" 74.8118 "/>
    <x v="0"/>
    <n v="4374550"/>
    <m/>
    <m/>
  </r>
  <r>
    <x v="19"/>
    <x v="2"/>
    <s v="D:\images\20211118\plaque 2/@19 Atenolol 1/C7_01.tif "/>
    <s v=" 32021.5274 "/>
    <s v=" 67.0625 "/>
    <x v="0"/>
    <n v="2147444"/>
    <m/>
    <m/>
  </r>
  <r>
    <x v="19"/>
    <x v="2"/>
    <s v="D:\images\20211118\plaque 2/@19 Atenolol 1/C7_02.tif "/>
    <s v=" 33370.2602 "/>
    <s v=" 67.015 "/>
    <x v="0"/>
    <n v="2236308"/>
    <m/>
    <m/>
  </r>
  <r>
    <x v="19"/>
    <x v="2"/>
    <s v="D:\images\20211118\plaque 2/@19 Atenolol 1/C7_03.tif "/>
    <s v=" 40679.5219 "/>
    <s v=" 68.4679 "/>
    <x v="0"/>
    <n v="2785242"/>
    <m/>
    <m/>
  </r>
  <r>
    <x v="19"/>
    <x v="3"/>
    <s v="D:\images\20211118\plaque 2/@19 Atenolol 1/D7_01.tif "/>
    <s v=" 58930.9223 "/>
    <s v=" 76.8302 "/>
    <x v="0"/>
    <n v="4527674"/>
    <m/>
    <m/>
  </r>
  <r>
    <x v="19"/>
    <x v="3"/>
    <s v="D:\images\20211118\plaque 2/@19 Atenolol 1/D7_02.tif "/>
    <s v=" 55385.0602 "/>
    <s v=" 76.6438 "/>
    <x v="0"/>
    <n v="4244919"/>
    <m/>
    <m/>
  </r>
  <r>
    <x v="19"/>
    <x v="3"/>
    <s v="D:\images\20211118\plaque 2/@19 Atenolol 1/D7_03.tif "/>
    <s v=" 55058.7539 "/>
    <s v=" 76.6298 "/>
    <x v="0"/>
    <n v="4219141"/>
    <m/>
    <m/>
  </r>
  <r>
    <x v="19"/>
    <x v="4"/>
    <s v="D:\images\20211118\plaque 2/@19 Atenolol 1/E7_01.tif "/>
    <s v=" 50838.5254 "/>
    <s v=" 72.175 "/>
    <x v="0"/>
    <n v="3669271"/>
    <m/>
    <m/>
  </r>
  <r>
    <x v="19"/>
    <x v="4"/>
    <s v="D:\images\20211118\plaque 2/@19 Atenolol 1/E7_02.tif "/>
    <s v=" 49685.5764 "/>
    <s v=" 71.8082 "/>
    <x v="0"/>
    <n v="3567833"/>
    <m/>
    <m/>
  </r>
  <r>
    <x v="19"/>
    <x v="4"/>
    <s v="D:\images\20211118\plaque 2/@19 Atenolol 1/E7_03.tif "/>
    <s v=" 50142.4053 "/>
    <s v=" 72.6651 "/>
    <x v="0"/>
    <n v="3643602"/>
    <m/>
    <m/>
  </r>
  <r>
    <x v="19"/>
    <x v="5"/>
    <s v="D:\images\20211118\plaque 2/@19 Atenolol 1/F7_01.tif "/>
    <s v=" 17250.7277 "/>
    <s v=" 66.2169 "/>
    <x v="0"/>
    <n v="1142290"/>
    <m/>
    <m/>
  </r>
  <r>
    <x v="19"/>
    <x v="5"/>
    <s v="D:\images\20211118\plaque 2/@19 Atenolol 1/F7_02.tif "/>
    <s v=" 14313.9708 "/>
    <s v=" 65.4848 "/>
    <x v="0"/>
    <n v="937348"/>
    <m/>
    <m/>
  </r>
  <r>
    <x v="19"/>
    <x v="5"/>
    <s v="D:\images\20211118\plaque 2/@19 Atenolol 1/F7_03- exclu.tif"/>
    <m/>
    <m/>
    <x v="1"/>
    <m/>
    <m/>
    <m/>
  </r>
  <r>
    <x v="19"/>
    <x v="6"/>
    <s v="D:\images\20211118\plaque 2/@19 Atenolol 1/G7_01.tif "/>
    <s v=" 50903.7867 "/>
    <s v=" 89.4222 "/>
    <x v="0"/>
    <n v="4551930"/>
    <m/>
    <m/>
  </r>
  <r>
    <x v="19"/>
    <x v="6"/>
    <s v="D:\images\20211118\plaque 2/@19 Atenolol 1/G7_02.tif "/>
    <s v=" 46291.9906 "/>
    <s v=" 92.7209 "/>
    <x v="0"/>
    <n v="4292233"/>
    <m/>
    <m/>
  </r>
  <r>
    <x v="19"/>
    <x v="6"/>
    <s v="D:\images\20211118\plaque 2/@19 Atenolol 1/G7_03.tif "/>
    <s v=" 45943.9306 "/>
    <s v=" 92.4062 "/>
    <x v="0"/>
    <n v="4245506"/>
    <m/>
    <m/>
  </r>
  <r>
    <x v="19"/>
    <x v="7"/>
    <s v="D:\images\20211118\plaque 2/@19 Atenolol 1/H7_01.tif "/>
    <s v=" 51686.9219 "/>
    <s v=" 76.0859 "/>
    <x v="0"/>
    <n v="3932644"/>
    <m/>
    <m/>
  </r>
  <r>
    <x v="19"/>
    <x v="7"/>
    <s v="D:\images\20211118\plaque 2/@19 Atenolol 1/H7_02.tif "/>
    <s v=" 53296.6998 "/>
    <s v=" 74.8776 "/>
    <x v="0"/>
    <n v="3990726"/>
    <m/>
    <m/>
  </r>
  <r>
    <x v="19"/>
    <x v="7"/>
    <s v="D:\images\20211118\plaque 2/@19 Atenolol 1/H7_03.tif "/>
    <s v=" 48793.6725 "/>
    <s v=" 74.5221 "/>
    <x v="0"/>
    <n v="3636205"/>
    <m/>
    <m/>
  </r>
  <r>
    <x v="1"/>
    <x v="8"/>
    <s v=" "/>
    <m/>
    <m/>
    <x v="1"/>
    <m/>
    <m/>
    <m/>
  </r>
  <r>
    <x v="1"/>
    <x v="8"/>
    <s v="group "/>
    <s v=" "/>
    <s v=" mean of mean fluo "/>
    <x v="2"/>
    <s v=" mean of total fluo "/>
    <s v=" SD total fluo "/>
    <s v=" n fluorescent "/>
  </r>
  <r>
    <x v="19"/>
    <x v="9"/>
    <s v="D:\images\20211118\plaque 2/@19 Atenolol 1/ "/>
    <s v=" "/>
    <s v=" 73.932 "/>
    <x v="21"/>
    <s v=" 3251241.04 "/>
    <s v=" 1294281.5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D:\images\20211118\plaque 2/@20 Atenolol 10/A8_01.tif "/>
    <s v=" 44181.8764 "/>
    <s v=" 74.1113 "/>
    <x v="0"/>
    <n v="3274375"/>
    <m/>
    <m/>
  </r>
  <r>
    <x v="20"/>
    <x v="0"/>
    <s v="D:\images\20211118\plaque 2/@20 Atenolol 10/A8_02.tif "/>
    <s v=" 43311.7262 "/>
    <s v=" 74.554 "/>
    <x v="0"/>
    <n v="3229062"/>
    <m/>
    <m/>
  </r>
  <r>
    <x v="20"/>
    <x v="0"/>
    <s v="D:\images\20211118\plaque 2/@20 Atenolol 10/A8_03.tif "/>
    <s v=" 39657.0954 "/>
    <s v=" 74.2436 "/>
    <x v="0"/>
    <n v="2944284"/>
    <m/>
    <m/>
  </r>
  <r>
    <x v="20"/>
    <x v="1"/>
    <s v="D:\images\20211118\plaque 2/@20 Atenolol 10/B8_01.tif "/>
    <s v=" 48423.8586 "/>
    <s v=" 71.5472 "/>
    <x v="0"/>
    <n v="3464590"/>
    <m/>
    <m/>
  </r>
  <r>
    <x v="20"/>
    <x v="1"/>
    <s v="D:\images\20211118\plaque 2/@20 Atenolol 10/B8_02.tif "/>
    <s v=" 52818.1171 "/>
    <s v=" 71.7072 "/>
    <x v="0"/>
    <n v="3787438"/>
    <m/>
    <m/>
  </r>
  <r>
    <x v="20"/>
    <x v="1"/>
    <s v="D:\images\20211118\plaque 2/@20 Atenolol 10/B8_03.tif "/>
    <s v=" 55298.0452 "/>
    <s v=" 73.7781 "/>
    <x v="0"/>
    <n v="4079786"/>
    <m/>
    <m/>
  </r>
  <r>
    <x v="20"/>
    <x v="2"/>
    <s v="D:\images\20211118\plaque 2/@20 Atenolol 10/C8_01.tif "/>
    <s v=" 35480.3744 "/>
    <s v=" 68.4703 "/>
    <x v="0"/>
    <n v="2429351"/>
    <m/>
    <m/>
  </r>
  <r>
    <x v="20"/>
    <x v="2"/>
    <s v="D:\images\20211118\plaque 2/@20 Atenolol 10/C8_02.tif "/>
    <s v=" 28888.9866 "/>
    <s v=" 67.9556 "/>
    <x v="0"/>
    <n v="1963168"/>
    <m/>
    <m/>
  </r>
  <r>
    <x v="20"/>
    <x v="2"/>
    <s v="D:\images\20211118\plaque 2/@20 Atenolol 10/C8_03.tif "/>
    <s v=" 40200.9392 "/>
    <s v=" 69.9562 "/>
    <x v="0"/>
    <n v="2812304"/>
    <m/>
    <m/>
  </r>
  <r>
    <x v="20"/>
    <x v="3"/>
    <s v="D:\images\20211118\plaque 2/@20 Atenolol 10/D8_01.tif "/>
    <s v=" 51338.8618 "/>
    <s v=" 73.3369 "/>
    <x v="0"/>
    <n v="3765031"/>
    <m/>
    <m/>
  </r>
  <r>
    <x v="20"/>
    <x v="3"/>
    <s v="D:\images\20211118\plaque 2/@20 Atenolol 10/D8_02.tif "/>
    <s v=" 48532.6274 "/>
    <s v=" 73.156 "/>
    <x v="0"/>
    <n v="3550452"/>
    <m/>
    <m/>
  </r>
  <r>
    <x v="20"/>
    <x v="3"/>
    <s v="D:\images\20211118\plaque 2/@20 Atenolol 10/D8_03.tif "/>
    <s v=" 50164.159 "/>
    <s v=" 74.4289 "/>
    <x v="0"/>
    <n v="3733662"/>
    <m/>
    <m/>
  </r>
  <r>
    <x v="20"/>
    <x v="4"/>
    <s v="D:\images\20211118\plaque 2/@20 Atenolol 10/E8_01.tif "/>
    <s v=" 38069.0713 "/>
    <s v=" 71.4977 "/>
    <x v="0"/>
    <n v="2721852"/>
    <m/>
    <m/>
  </r>
  <r>
    <x v="20"/>
    <x v="4"/>
    <s v="D:\images\20211118\plaque 2/@20 Atenolol 10/E8_02.tif "/>
    <s v=" 37372.9511 "/>
    <s v=" 72.0768 "/>
    <x v="0"/>
    <n v="2693724"/>
    <m/>
    <m/>
  </r>
  <r>
    <x v="20"/>
    <x v="4"/>
    <s v="D:\images\20211118\plaque 2/@20 Atenolol 10/E8_03.tif "/>
    <s v=" 31847.4973 "/>
    <s v=" 70.6673 "/>
    <x v="0"/>
    <n v="2250578"/>
    <m/>
    <m/>
  </r>
  <r>
    <x v="20"/>
    <x v="5"/>
    <s v="D:\images\20211118\plaque 2/@20 Atenolol 10/F8_01.tif "/>
    <s v=" 33740.074 "/>
    <s v=" 68.1618 "/>
    <x v="0"/>
    <n v="2299785"/>
    <m/>
    <m/>
  </r>
  <r>
    <x v="20"/>
    <x v="5"/>
    <s v="D:\images\20211118\plaque 2/@20 Atenolol 10/F8_02.tif "/>
    <s v=" 30389.9957 "/>
    <s v=" 68.7552 "/>
    <x v="0"/>
    <n v="2089470"/>
    <m/>
    <m/>
  </r>
  <r>
    <x v="20"/>
    <x v="5"/>
    <s v="D:\images\20211118\plaque 2/@20 Atenolol 10/F8_03.tif "/>
    <s v=" 34610.2242 "/>
    <s v=" 69.8297 "/>
    <x v="0"/>
    <n v="2416820"/>
    <m/>
    <m/>
  </r>
  <r>
    <x v="20"/>
    <x v="6"/>
    <s v="D:\images\20211118\plaque 2/@20 Atenolol 10/G8_01.tif "/>
    <s v=" 7222.2467 "/>
    <s v=" 63.7831 "/>
    <x v="0"/>
    <n v="460658"/>
    <m/>
    <m/>
  </r>
  <r>
    <x v="20"/>
    <x v="6"/>
    <s v="D:\images\20211118\plaque 2/@20 Atenolol 10/G8_02.tif "/>
    <s v=" 8135.9044 "/>
    <s v=" 64.8048 "/>
    <x v="0"/>
    <n v="527246"/>
    <m/>
    <m/>
  </r>
  <r>
    <x v="20"/>
    <x v="6"/>
    <s v="D:\images\20211118\plaque 2/@20 Atenolol 10/G8_03.tif "/>
    <s v=" 9397.6222 "/>
    <s v=" 64.1134 "/>
    <x v="0"/>
    <n v="602514"/>
    <m/>
    <m/>
  </r>
  <r>
    <x v="20"/>
    <x v="7"/>
    <s v="D:\images\20211118\plaque 2/@20 Atenolol 10/H8_01.tif "/>
    <s v=" 45204.3029 "/>
    <s v=" 72.9697 "/>
    <x v="0"/>
    <n v="3298544"/>
    <m/>
    <m/>
  </r>
  <r>
    <x v="20"/>
    <x v="7"/>
    <s v="D:\images\20211118\plaque 2/@20 Atenolol 10/H8_02.tif "/>
    <s v=" 43007.1736 "/>
    <s v=" 73.1487 "/>
    <x v="0"/>
    <n v="3145919"/>
    <m/>
    <m/>
  </r>
  <r>
    <x v="20"/>
    <x v="7"/>
    <s v="D:\images\20211118\plaque 2/@20 Atenolol 10/H8_03.tif "/>
    <s v=" 43790.3088 "/>
    <s v=" 73.611 "/>
    <x v="0"/>
    <n v="3223450"/>
    <m/>
    <m/>
  </r>
  <r>
    <x v="1"/>
    <x v="8"/>
    <s v=" "/>
    <m/>
    <m/>
    <x v="1"/>
    <m/>
    <m/>
    <m/>
  </r>
  <r>
    <x v="1"/>
    <x v="8"/>
    <s v="group "/>
    <s v=" "/>
    <s v=" mean of mean fluo "/>
    <x v="2"/>
    <s v=" mean of total fluo "/>
    <s v=" SD total fluo "/>
    <s v=" n fluorescent "/>
  </r>
  <r>
    <x v="20"/>
    <x v="9"/>
    <s v="D:\images\20211118\plaque 2/@20 Atenolol 10/ "/>
    <s v=" "/>
    <s v=" 70.861 "/>
    <x v="22"/>
    <s v=" 2698502.62 "/>
    <n v="1014607"/>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D:\images\20211118\plaque 2/@21Atenolol 100/A9_01.tif "/>
    <s v=" 50490.4654 "/>
    <s v=" 72.9935 "/>
    <x v="0"/>
    <n v="3685478"/>
    <m/>
    <m/>
  </r>
  <r>
    <x v="21"/>
    <x v="0"/>
    <s v="D:\images\20211118\plaque 2/@21Atenolol 100/A9_02.tif "/>
    <s v=" 50838.5254 "/>
    <s v=" 74.3256 "/>
    <x v="0"/>
    <n v="3778605"/>
    <m/>
    <m/>
  </r>
  <r>
    <x v="21"/>
    <x v="0"/>
    <s v="D:\images\20211118\plaque 2/@21Atenolol 100/A9_03.tif "/>
    <s v=" 44442.9215 "/>
    <s v=" 73.698 "/>
    <x v="0"/>
    <n v="3275354"/>
    <m/>
    <m/>
  </r>
  <r>
    <x v="21"/>
    <x v="1"/>
    <s v="D:\images\20211118\plaque 2/@21Atenolol 100/B9_01.tif "/>
    <s v=" 20448.5297 "/>
    <s v=" 65.8723 "/>
    <x v="0"/>
    <n v="1346993"/>
    <m/>
    <m/>
  </r>
  <r>
    <x v="21"/>
    <x v="1"/>
    <s v="D:\images\20211118\plaque 2/@21Atenolol 100/B9_02.tif "/>
    <s v=" 20992.3736 "/>
    <s v=" 66.1409 "/>
    <x v="0"/>
    <n v="1388455"/>
    <m/>
    <m/>
  </r>
  <r>
    <x v="21"/>
    <x v="1"/>
    <s v="D:\images\20211118\plaque 2/@21Atenolol 100/B9_03.tif "/>
    <s v=" 28236.374 "/>
    <s v=" 67.047 "/>
    <x v="0"/>
    <n v="1893164"/>
    <m/>
    <m/>
  </r>
  <r>
    <x v="21"/>
    <x v="2"/>
    <s v="D:\images\20211118\plaque 2/@21Atenolol 100/C9_01.tif "/>
    <s v=" 50555.7266 "/>
    <s v=" 72.9208 "/>
    <x v="0"/>
    <n v="3686565"/>
    <m/>
    <m/>
  </r>
  <r>
    <x v="21"/>
    <x v="2"/>
    <s v="D:\images\20211118\plaque 2/@21Atenolol 100/C9_02.tif "/>
    <s v=" 50838.5254 "/>
    <s v=" 72.8164 "/>
    <x v="0"/>
    <n v="3701880"/>
    <m/>
    <m/>
  </r>
  <r>
    <x v="21"/>
    <x v="2"/>
    <s v="D:\images\20211118\plaque 2/@21Atenolol 100/C9_03.tif "/>
    <s v=" 52578.8258 "/>
    <s v=" 72.5809 "/>
    <x v="0"/>
    <n v="3816218"/>
    <m/>
    <m/>
  </r>
  <r>
    <x v="21"/>
    <x v="3"/>
    <s v="D:\images\20211118\plaque 2/@21Atenolol 100/D9_01.tif "/>
    <s v=" 31869.2511 "/>
    <s v=" 69.3201 "/>
    <x v="0"/>
    <n v="2209181"/>
    <m/>
    <m/>
  </r>
  <r>
    <x v="21"/>
    <x v="3"/>
    <s v="D:\images\20211118\plaque 2/@21Atenolol 100/D9_02.tif "/>
    <s v=" 38765.1914 "/>
    <s v=" 70.0146 "/>
    <x v="0"/>
    <n v="2714129"/>
    <m/>
    <m/>
  </r>
  <r>
    <x v="21"/>
    <x v="3"/>
    <s v="D:\images\20211118\plaque 2/@21Atenolol 100/D9_03.tif "/>
    <s v=" 34240.4104 "/>
    <s v=" 68.6747 "/>
    <x v="0"/>
    <n v="2351450"/>
    <m/>
    <m/>
  </r>
  <r>
    <x v="21"/>
    <x v="4"/>
    <s v="D:\images\20211118\plaque 2/@21Atenolol 100/E9_01.tif "/>
    <s v=" 5525.4538 "/>
    <s v=" 63.7756 "/>
    <x v="0"/>
    <n v="352389"/>
    <m/>
    <m/>
  </r>
  <r>
    <x v="21"/>
    <x v="4"/>
    <s v="D:\images\20211118\plaque 2/@21Atenolol 100/E9_02.tif "/>
    <s v=" 6417.3577 "/>
    <s v=" 64.1492 "/>
    <x v="0"/>
    <n v="411668"/>
    <m/>
    <m/>
  </r>
  <r>
    <x v="21"/>
    <x v="4"/>
    <s v="D:\images\20211118\plaque 2/@21Atenolol 100/E9_03.tif "/>
    <s v=" 5003.3637 "/>
    <s v=" 64.3957 "/>
    <x v="0"/>
    <n v="322195"/>
    <m/>
    <m/>
  </r>
  <r>
    <x v="21"/>
    <x v="5"/>
    <s v="D:\images\20211118\plaque 2/@21Atenolol 100/F9_01.tif "/>
    <s v=" 41462.657 "/>
    <s v=" 69.0047 "/>
    <x v="0"/>
    <n v="2861119"/>
    <m/>
    <m/>
  </r>
  <r>
    <x v="21"/>
    <x v="5"/>
    <s v="D:\images\20211118\plaque 2/@21Atenolol 100/F9_02.tif "/>
    <s v=" 46270.2369 "/>
    <s v=" 69.8745 "/>
    <x v="0"/>
    <n v="3233108"/>
    <m/>
    <m/>
  </r>
  <r>
    <x v="21"/>
    <x v="5"/>
    <s v="D:\images\20211118\plaque 2/@21Atenolol 100/F9_03.tif "/>
    <s v=" 44268.8914 "/>
    <s v=" 68.5862 "/>
    <x v="0"/>
    <n v="3036237"/>
    <m/>
    <m/>
  </r>
  <r>
    <x v="21"/>
    <x v="6"/>
    <s v="D:\images\20211118\plaque 2/@21Atenolol 100/G9_01- exclu.tif"/>
    <m/>
    <m/>
    <x v="1"/>
    <m/>
    <m/>
    <m/>
  </r>
  <r>
    <x v="21"/>
    <x v="6"/>
    <s v="D:\images\20211118\plaque 2/@21Atenolol 100/G9_02.tif "/>
    <s v=" 51099.5705 "/>
    <s v=" 72.1367 "/>
    <x v="0"/>
    <n v="3686152"/>
    <m/>
    <m/>
  </r>
  <r>
    <x v="21"/>
    <x v="6"/>
    <s v="D:\images\20211118\plaque 2/@21Atenolol 100/G9_03.tif "/>
    <s v=" 45421.8404 "/>
    <s v=" 70.9143 "/>
    <x v="0"/>
    <n v="3221057"/>
    <m/>
    <m/>
  </r>
  <r>
    <x v="21"/>
    <x v="7"/>
    <s v="D:\images\20211118\plaque 2/@21Atenolol 100/H9_01.tif "/>
    <s v=" 50207.6665 "/>
    <s v=" 77.2881 "/>
    <x v="0"/>
    <n v="3880457"/>
    <m/>
    <m/>
  </r>
  <r>
    <x v="21"/>
    <x v="7"/>
    <s v="D:\images\20211118\plaque 2/@21Atenolol 100/H9_02.tif "/>
    <s v=" 46814.0808 "/>
    <s v=" 77.7054 "/>
    <x v="0"/>
    <n v="3637706"/>
    <m/>
    <m/>
  </r>
  <r>
    <x v="21"/>
    <x v="7"/>
    <s v="D:\images\20211118\plaque 2/@21Atenolol 100/H9_03.tif "/>
    <s v=" 50251.1741 "/>
    <s v=" 79.0983 "/>
    <x v="0"/>
    <n v="3974781"/>
    <m/>
    <m/>
  </r>
  <r>
    <x v="1"/>
    <x v="8"/>
    <s v=" "/>
    <m/>
    <m/>
    <x v="1"/>
    <m/>
    <m/>
    <m/>
  </r>
  <r>
    <x v="1"/>
    <x v="8"/>
    <s v="group "/>
    <s v=" "/>
    <s v=" mean of mean fluo "/>
    <x v="2"/>
    <s v=" mean of total fluo "/>
    <s v=" SD total fluo "/>
    <s v=" n fluorescent "/>
  </r>
  <r>
    <x v="21"/>
    <x v="9"/>
    <s v="D:\images\20211118\plaque 2/@21Atenolol 100/ "/>
    <s v=" "/>
    <s v=" 70.576 "/>
    <x v="23"/>
    <s v=" 2728356.83 "/>
    <s v=" 1185059.27 "/>
    <n v="24"/>
  </r>
  <r>
    <x v="1"/>
    <x v="8"/>
    <s v=" "/>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m/>
    <m/>
    <s v="Témoin solvant"/>
    <x v="0"/>
  </r>
  <r>
    <x v="1"/>
    <x v="0"/>
    <n v="33.799999999999997"/>
    <s v="ng/L"/>
    <s v="EE2"/>
    <x v="0"/>
  </r>
  <r>
    <x v="2"/>
    <x v="0"/>
    <n v="50.6"/>
    <s v="ng/L"/>
    <s v="EE2"/>
    <x v="0"/>
  </r>
  <r>
    <x v="3"/>
    <x v="0"/>
    <n v="76"/>
    <s v="ng/L"/>
    <s v="EE2"/>
    <x v="0"/>
  </r>
  <r>
    <x v="4"/>
    <x v="0"/>
    <n v="114"/>
    <s v="ng/L"/>
    <s v="EE2"/>
    <x v="0"/>
  </r>
  <r>
    <x v="5"/>
    <x v="0"/>
    <n v="170.9"/>
    <s v="ng/L"/>
    <s v="EE2"/>
    <x v="0"/>
  </r>
  <r>
    <x v="6"/>
    <x v="0"/>
    <n v="488"/>
    <s v="ng/L"/>
    <s v="EE2"/>
    <x v="0"/>
  </r>
  <r>
    <x v="7"/>
    <x v="1"/>
    <n v="0.01"/>
    <s v="mg/L"/>
    <s v="Atenolol"/>
    <x v="0"/>
  </r>
  <r>
    <x v="8"/>
    <x v="1"/>
    <n v="0.1"/>
    <s v="mg/L"/>
    <s v="Atenolol"/>
    <x v="0"/>
  </r>
  <r>
    <x v="9"/>
    <x v="1"/>
    <n v="1"/>
    <s v="mg/L"/>
    <s v="Atenolol"/>
    <x v="0"/>
  </r>
  <r>
    <x v="10"/>
    <x v="1"/>
    <n v="10"/>
    <s v="mg/L"/>
    <s v="Atenolol"/>
    <x v="0"/>
  </r>
  <r>
    <x v="11"/>
    <x v="1"/>
    <n v="100"/>
    <s v="mg/L"/>
    <s v="Atenolol"/>
    <x v="0"/>
  </r>
  <r>
    <x v="12"/>
    <x v="2"/>
    <m/>
    <m/>
    <m/>
    <x v="0"/>
  </r>
  <r>
    <x v="12"/>
    <x v="2"/>
    <m/>
    <m/>
    <m/>
    <x v="0"/>
  </r>
  <r>
    <x v="12"/>
    <x v="2"/>
    <m/>
    <m/>
    <m/>
    <x v="0"/>
  </r>
  <r>
    <x v="12"/>
    <x v="2"/>
    <m/>
    <m/>
    <m/>
    <x v="0"/>
  </r>
  <r>
    <x v="12"/>
    <x v="2"/>
    <m/>
    <m/>
    <m/>
    <x v="0"/>
  </r>
  <r>
    <x v="12"/>
    <x v="2"/>
    <m/>
    <m/>
    <m/>
    <x v="0"/>
  </r>
  <r>
    <x v="12"/>
    <x v="2"/>
    <m/>
    <m/>
    <m/>
    <x v="0"/>
  </r>
  <r>
    <x v="12"/>
    <x v="2"/>
    <m/>
    <m/>
    <m/>
    <x v="0"/>
  </r>
  <r>
    <x v="12"/>
    <x v="2"/>
    <m/>
    <m/>
    <m/>
    <x v="0"/>
  </r>
  <r>
    <x v="12"/>
    <x v="2"/>
    <m/>
    <m/>
    <m/>
    <x v="0"/>
  </r>
  <r>
    <x v="12"/>
    <x v="2"/>
    <m/>
    <m/>
    <m/>
    <x v="0"/>
  </r>
  <r>
    <x v="12"/>
    <x v="2"/>
    <m/>
    <m/>
    <m/>
    <x v="0"/>
  </r>
  <r>
    <x v="12"/>
    <x v="2"/>
    <m/>
    <m/>
    <m/>
    <x v="0"/>
  </r>
  <r>
    <x v="12"/>
    <x v="2"/>
    <m/>
    <m/>
    <m/>
    <x v="0"/>
  </r>
  <r>
    <x v="12"/>
    <x v="2"/>
    <m/>
    <m/>
    <m/>
    <x v="0"/>
  </r>
  <r>
    <x v="12"/>
    <x v="2"/>
    <m/>
    <m/>
    <m/>
    <x v="0"/>
  </r>
  <r>
    <x v="13"/>
    <x v="0"/>
    <n v="30"/>
    <s v="µg/L"/>
    <s v="Testo "/>
    <x v="0"/>
  </r>
  <r>
    <x v="14"/>
    <x v="0"/>
    <n v="64"/>
    <s v="ng/L"/>
    <s v="Testo 30µg/L + EE2 "/>
    <x v="0"/>
  </r>
  <r>
    <x v="15"/>
    <x v="0"/>
    <n v="10"/>
    <s v="mg/L"/>
    <s v="Testo 30µg/L + FAD"/>
    <x v="0"/>
  </r>
  <r>
    <x v="16"/>
    <x v="1"/>
    <n v="0.01"/>
    <s v="mg/L"/>
    <s v="Atenolol"/>
    <x v="1"/>
  </r>
  <r>
    <x v="17"/>
    <x v="1"/>
    <n v="0.1"/>
    <s v="mg/L"/>
    <s v="Atenolol"/>
    <x v="1"/>
  </r>
  <r>
    <x v="18"/>
    <x v="1"/>
    <n v="1"/>
    <s v="mg/L"/>
    <s v="Atenolol"/>
    <x v="1"/>
  </r>
  <r>
    <x v="19"/>
    <x v="1"/>
    <n v="10"/>
    <s v="mg/L"/>
    <s v="Atenolol"/>
    <x v="1"/>
  </r>
  <r>
    <x v="20"/>
    <x v="1"/>
    <n v="100"/>
    <s v="mg/L"/>
    <s v="Atenolol"/>
    <x v="1"/>
  </r>
  <r>
    <x v="21"/>
    <x v="2"/>
    <m/>
    <m/>
    <m/>
    <x v="0"/>
  </r>
  <r>
    <x v="21"/>
    <x v="2"/>
    <m/>
    <m/>
    <m/>
    <x v="0"/>
  </r>
  <r>
    <x v="21"/>
    <x v="2"/>
    <m/>
    <m/>
    <m/>
    <x v="0"/>
  </r>
  <r>
    <x v="21"/>
    <x v="2"/>
    <m/>
    <m/>
    <m/>
    <x v="0"/>
  </r>
  <r>
    <x v="21"/>
    <x v="2"/>
    <m/>
    <m/>
    <m/>
    <x v="0"/>
  </r>
  <r>
    <x v="21"/>
    <x v="2"/>
    <m/>
    <m/>
    <m/>
    <x v="0"/>
  </r>
  <r>
    <x v="21"/>
    <x v="2"/>
    <m/>
    <m/>
    <m/>
    <x v="0"/>
  </r>
  <r>
    <x v="21"/>
    <x v="2"/>
    <m/>
    <m/>
    <m/>
    <x v="0"/>
  </r>
  <r>
    <x v="21"/>
    <x v="2"/>
    <m/>
    <m/>
    <m/>
    <x v="0"/>
  </r>
  <r>
    <x v="21"/>
    <x v="2"/>
    <m/>
    <m/>
    <m/>
    <x v="0"/>
  </r>
  <r>
    <x v="21"/>
    <x v="2"/>
    <m/>
    <m/>
    <m/>
    <x v="0"/>
  </r>
  <r>
    <x v="21"/>
    <x v="2"/>
    <m/>
    <m/>
    <m/>
    <x v="0"/>
  </r>
  <r>
    <x v="21"/>
    <x v="2"/>
    <m/>
    <m/>
    <m/>
    <x v="0"/>
  </r>
  <r>
    <x v="21"/>
    <x v="2"/>
    <m/>
    <m/>
    <m/>
    <x v="0"/>
  </r>
  <r>
    <x v="21"/>
    <x v="2"/>
    <m/>
    <m/>
    <m/>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Données chgh\2020-CHG-CZA-Atenolol-1\plaque 1/@01 TS/A1_01.tif "/>
    <s v=" 12523.709 "/>
    <s v=" 69.8687 "/>
    <x v="0"/>
    <n v="875016"/>
    <m/>
    <m/>
  </r>
  <r>
    <x v="0"/>
    <x v="0"/>
    <s v="F:\Données chgh\2020-CHG-CZA-Atenolol-1\plaque 1/@01 TS/A1_02.tif "/>
    <s v=" 6662.0075 "/>
    <s v=" 67.1948 "/>
    <x v="0"/>
    <n v="447652"/>
    <m/>
    <m/>
  </r>
  <r>
    <x v="0"/>
    <x v="0"/>
    <s v="F:\Données chgh\2020-CHG-CZA-Atenolol-1\plaque 1/@01 TS/A1_03.tif "/>
    <s v=" 2768.6265 "/>
    <s v=" 64.1484 "/>
    <x v="0"/>
    <n v="177603"/>
    <m/>
    <m/>
  </r>
  <r>
    <x v="0"/>
    <x v="1"/>
    <s v="F:\Données chgh\2020-CHG-CZA-Atenolol-1\plaque 1/@01 TS/B1_01- exclu.tif"/>
    <m/>
    <m/>
    <x v="1"/>
    <m/>
    <m/>
    <m/>
  </r>
  <r>
    <x v="0"/>
    <x v="1"/>
    <s v="F:\Données chgh\2020-CHG-CZA-Atenolol-1\plaque 1/@01 TS/B1_02.tif "/>
    <s v=" 12242.5204 "/>
    <s v=" 69.2756 "/>
    <x v="0"/>
    <n v="848108"/>
    <m/>
    <m/>
  </r>
  <r>
    <x v="0"/>
    <x v="1"/>
    <s v="F:\Données chgh\2020-CHG-CZA-Atenolol-1\plaque 1/@01 TS/B1_03.tif "/>
    <s v=" 475.8577 "/>
    <s v=" 63.1818 "/>
    <x v="0"/>
    <n v="30066"/>
    <m/>
    <m/>
  </r>
  <r>
    <x v="0"/>
    <x v="2"/>
    <s v="F:\Données chgh\2020-CHG-CZA-Atenolol-1\plaque 1/@01 TS/C1_01.tif "/>
    <s v=" 7072.9755 "/>
    <s v=" 74.422 "/>
    <x v="0"/>
    <n v="526385"/>
    <m/>
    <m/>
  </r>
  <r>
    <x v="0"/>
    <x v="2"/>
    <s v="F:\Données chgh\2020-CHG-CZA-Atenolol-1\plaque 1/@01 TS/C1_02.tif "/>
    <s v=" 12761.6378 "/>
    <s v=" 79.5492 "/>
    <x v="0"/>
    <n v="1015177"/>
    <m/>
    <m/>
  </r>
  <r>
    <x v="0"/>
    <x v="2"/>
    <s v="F:\Données chgh\2020-CHG-CZA-Atenolol-1\plaque 1/@01 TS/C1_03.tif "/>
    <s v=" 11204.2854 "/>
    <s v=" 74.6004 "/>
    <x v="0"/>
    <n v="835844"/>
    <m/>
    <m/>
  </r>
  <r>
    <x v="0"/>
    <x v="3"/>
    <s v="F:\Données chgh\2020-CHG-CZA-Atenolol-1\plaque 1/@01 TS/D1_01.tif "/>
    <s v=" 1989.9503 "/>
    <s v=" 64.6304 "/>
    <x v="0"/>
    <n v="128611"/>
    <m/>
    <m/>
  </r>
  <r>
    <x v="0"/>
    <x v="3"/>
    <s v="F:\Données chgh\2020-CHG-CZA-Atenolol-1\plaque 1/@01 TS/D1_02- exclu.tif"/>
    <m/>
    <m/>
    <x v="1"/>
    <m/>
    <m/>
    <m/>
  </r>
  <r>
    <x v="0"/>
    <x v="3"/>
    <s v="F:\Données chgh\2020-CHG-CZA-Atenolol-1\plaque 1/@01 TS/D1_03.tif "/>
    <s v=" 735.4164 "/>
    <s v=" 66.1176 "/>
    <x v="0"/>
    <n v="48624"/>
    <m/>
    <m/>
  </r>
  <r>
    <x v="0"/>
    <x v="4"/>
    <s v="F:\Données chgh\2020-CHG-CZA-Atenolol-1\plaque 1/@01 TS/E1_01.tif "/>
    <s v=" 10512.1288 "/>
    <s v=" 74.7407 "/>
    <x v="0"/>
    <n v="785684"/>
    <m/>
    <m/>
  </r>
  <r>
    <x v="0"/>
    <x v="4"/>
    <s v="F:\Données chgh\2020-CHG-CZA-Atenolol-1\plaque 1/@01 TS/E1_02.tif "/>
    <s v=" 2033.2101 "/>
    <s v=" 64.5532 "/>
    <x v="0"/>
    <n v="131250"/>
    <m/>
    <m/>
  </r>
  <r>
    <x v="0"/>
    <x v="4"/>
    <s v="F:\Données chgh\2020-CHG-CZA-Atenolol-1\plaque 1/@01 TS/E1_03.tif "/>
    <s v=" 7635.3528 "/>
    <s v=" 71.4873 "/>
    <x v="0"/>
    <n v="545830"/>
    <m/>
    <m/>
  </r>
  <r>
    <x v="0"/>
    <x v="5"/>
    <s v="F:\Données chgh\2020-CHG-CZA-Atenolol-1\plaque 1/@01 TS/F1_01- exclu.tif"/>
    <m/>
    <m/>
    <x v="1"/>
    <m/>
    <m/>
    <m/>
  </r>
  <r>
    <x v="0"/>
    <x v="5"/>
    <s v="F:\Données chgh\2020-CHG-CZA-Atenolol-1\plaque 1/@01 TS/F1_02.tif "/>
    <s v=" 8846.6269 "/>
    <s v=" 70.0587 "/>
    <x v="0"/>
    <n v="619783"/>
    <m/>
    <m/>
  </r>
  <r>
    <x v="0"/>
    <x v="5"/>
    <s v="F:\Données chgh\2020-CHG-CZA-Atenolol-1\plaque 1/@01 TS/F1_03.tif "/>
    <s v=" 4736.9469 "/>
    <s v=" 66.3379 "/>
    <x v="0"/>
    <n v="314239"/>
    <m/>
    <m/>
  </r>
  <r>
    <x v="0"/>
    <x v="6"/>
    <s v="F:\Données chgh\2020-CHG-CZA-Atenolol-1\plaque 1/@01 TS/G1_01.tif "/>
    <s v=" 1535.7225 "/>
    <s v=" 62.493 "/>
    <x v="0"/>
    <n v="95972"/>
    <m/>
    <m/>
  </r>
  <r>
    <x v="0"/>
    <x v="6"/>
    <s v="F:\Données chgh\2020-CHG-CZA-Atenolol-1\plaque 1/@01 TS/G1_02.tif "/>
    <s v=" 1124.7545 "/>
    <s v=" 63.6154 "/>
    <x v="0"/>
    <n v="71552"/>
    <m/>
    <m/>
  </r>
  <r>
    <x v="0"/>
    <x v="6"/>
    <s v="F:\Données chgh\2020-CHG-CZA-Atenolol-1\plaque 1/@01 TS/G1_03.tif "/>
    <s v=" 6294.2993 "/>
    <s v=" 66.4089 "/>
    <x v="0"/>
    <n v="417998"/>
    <m/>
    <m/>
  </r>
  <r>
    <x v="0"/>
    <x v="7"/>
    <s v="F:\Données chgh\2020-CHG-CZA-Atenolol-1\plaque 1/@01 TS/H1_01.tif "/>
    <s v=" 8630.328 "/>
    <s v=" 75.4261 "/>
    <x v="0"/>
    <n v="650952"/>
    <m/>
    <m/>
  </r>
  <r>
    <x v="0"/>
    <x v="7"/>
    <s v="F:\Données chgh\2020-CHG-CZA-Atenolol-1\plaque 1/@01 TS/H1_02.tif "/>
    <s v=" 12350.6698 "/>
    <s v=" 74.7723 "/>
    <x v="0"/>
    <n v="923488"/>
    <m/>
    <m/>
  </r>
  <r>
    <x v="0"/>
    <x v="7"/>
    <s v="F:\Données chgh\2020-CHG-CZA-Atenolol-1\plaque 1/@01 TS/H1_03.tif "/>
    <s v=" 8565.4383 "/>
    <s v=" 73.1465 "/>
    <x v="0"/>
    <n v="626532"/>
    <m/>
    <m/>
  </r>
  <r>
    <x v="1"/>
    <x v="8"/>
    <s v=" "/>
    <m/>
    <m/>
    <x v="1"/>
    <m/>
    <m/>
    <m/>
  </r>
  <r>
    <x v="1"/>
    <x v="8"/>
    <s v="group "/>
    <s v=" "/>
    <s v=" mean of mean fluo "/>
    <x v="2"/>
    <s v=" mean of total fluo "/>
    <s v=" SD total fluo "/>
    <s v=" n fluorescent "/>
  </r>
  <r>
    <x v="0"/>
    <x v="9"/>
    <s v="F:\Données chgh\2020-CHG-CZA-Atenolol-1\plaque 1/@01 TS/ "/>
    <s v=" "/>
    <s v=" 69.3215 "/>
    <x v="3"/>
    <n v="482754"/>
    <s v=" 378500.37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Atenolol-1\plaque 1/@02 EE2 34/A2_01.tif "/>
    <s v=" 5385.8438 "/>
    <s v=" 68.4498 "/>
    <x v="0"/>
    <n v="368660"/>
    <m/>
    <m/>
  </r>
  <r>
    <x v="2"/>
    <x v="0"/>
    <s v="F:\Données chgh\2020-CHG-CZA-Atenolol-1\plaque 1/@02 EE2 34/A2_02.tif "/>
    <s v=" 4563.9078 "/>
    <s v=" 69.1754 "/>
    <x v="0"/>
    <n v="315710"/>
    <m/>
    <m/>
  </r>
  <r>
    <x v="2"/>
    <x v="0"/>
    <s v="F:\Données chgh\2020-CHG-CZA-Atenolol-1\plaque 1/@02 EE2 34/A2_03- exclu.tif"/>
    <m/>
    <m/>
    <x v="1"/>
    <m/>
    <m/>
    <m/>
  </r>
  <r>
    <x v="2"/>
    <x v="1"/>
    <s v="F:\Données chgh\2020-CHG-CZA-Atenolol-1\plaque 1/@02 EE2 34/B2_01.tif "/>
    <s v=" 9863.232 "/>
    <s v=" 69.7719 "/>
    <x v="0"/>
    <n v="688177"/>
    <m/>
    <m/>
  </r>
  <r>
    <x v="2"/>
    <x v="1"/>
    <s v="F:\Données chgh\2020-CHG-CZA-Atenolol-1\plaque 1/@02 EE2 34/B2_02.tif "/>
    <s v=" 9625.3031 "/>
    <s v=" 68.8966 "/>
    <x v="0"/>
    <n v="663151"/>
    <m/>
    <m/>
  </r>
  <r>
    <x v="2"/>
    <x v="1"/>
    <s v="F:\Données chgh\2020-CHG-CZA-Atenolol-1\plaque 1/@02 EE2 34/B2_03.tif "/>
    <s v=" 8673.5877 "/>
    <s v=" 71.5611 "/>
    <x v="0"/>
    <n v="620691"/>
    <m/>
    <m/>
  </r>
  <r>
    <x v="2"/>
    <x v="2"/>
    <s v="F:\Données chgh\2020-CHG-CZA-Atenolol-1\plaque 1/@02 EE2 34/C2_01.tif "/>
    <s v=" 7938.1713 "/>
    <s v=" 83.3815 "/>
    <x v="0"/>
    <n v="661896"/>
    <m/>
    <m/>
  </r>
  <r>
    <x v="2"/>
    <x v="2"/>
    <s v="F:\Données chgh\2020-CHG-CZA-Atenolol-1\plaque 1/@02 EE2 34/C2_02.tif "/>
    <s v=" 5710.2922 "/>
    <s v=" 71.4848 "/>
    <x v="0"/>
    <n v="408199"/>
    <m/>
    <m/>
  </r>
  <r>
    <x v="2"/>
    <x v="2"/>
    <s v="F:\Données chgh\2020-CHG-CZA-Atenolol-1\plaque 1/@02 EE2 34/C2_03.tif "/>
    <s v=" 1838.541 "/>
    <s v=" 66.0353 "/>
    <x v="0"/>
    <n v="121409"/>
    <m/>
    <m/>
  </r>
  <r>
    <x v="2"/>
    <x v="3"/>
    <s v="F:\Données chgh\2020-CHG-CZA-Atenolol-1\plaque 1/@02 EE2 34/D2_01.tif "/>
    <s v=" 1362.6834 "/>
    <s v=" 63.3175 "/>
    <x v="0"/>
    <n v="86282"/>
    <m/>
    <m/>
  </r>
  <r>
    <x v="2"/>
    <x v="3"/>
    <s v="F:\Données chgh\2020-CHG-CZA-Atenolol-1\plaque 1/@02 EE2 34/D2_02.tif "/>
    <s v=" 3352.6337 "/>
    <s v=" 67.4129 "/>
    <x v="0"/>
    <n v="226011"/>
    <m/>
    <m/>
  </r>
  <r>
    <x v="2"/>
    <x v="3"/>
    <s v="F:\Données chgh\2020-CHG-CZA-Atenolol-1\plaque 1/@02 EE2 34/D2_03.tif "/>
    <s v=" 2465.808 "/>
    <s v=" 65.3158 "/>
    <x v="0"/>
    <n v="161056"/>
    <m/>
    <m/>
  </r>
  <r>
    <x v="2"/>
    <x v="4"/>
    <s v="F:\Données chgh\2020-CHG-CZA-Atenolol-1\plaque 1/@02 EE2 34/E2_01.tif "/>
    <s v=" 519.1175 "/>
    <s v=" 62.7083 "/>
    <x v="0"/>
    <n v="32553"/>
    <m/>
    <m/>
  </r>
  <r>
    <x v="2"/>
    <x v="4"/>
    <s v="F:\Données chgh\2020-CHG-CZA-Atenolol-1\plaque 1/@02 EE2 34/E2_02- exclu.tif"/>
    <m/>
    <m/>
    <x v="1"/>
    <m/>
    <m/>
    <m/>
  </r>
  <r>
    <x v="2"/>
    <x v="4"/>
    <s v="F:\Données chgh\2020-CHG-CZA-Atenolol-1\plaque 1/@02 EE2 34/E2_03.tif "/>
    <s v=" 281.1886 "/>
    <s v=" 63.4615 "/>
    <x v="0"/>
    <n v="17845"/>
    <m/>
    <m/>
  </r>
  <r>
    <x v="2"/>
    <x v="5"/>
    <s v="F:\Données chgh\2020-CHG-CZA-Atenolol-1\plaque 1/@02 EE2 34/F2_01.tif "/>
    <s v=" 1773.6514 "/>
    <s v=" 67.5732 "/>
    <x v="0"/>
    <n v="119851"/>
    <m/>
    <m/>
  </r>
  <r>
    <x v="2"/>
    <x v="5"/>
    <s v="F:\Données chgh\2020-CHG-CZA-Atenolol-1\plaque 1/@02 EE2 34/F2_02.tif "/>
    <s v=" 1449.2029 "/>
    <s v=" 64.6866 "/>
    <x v="0"/>
    <n v="93744"/>
    <m/>
    <m/>
  </r>
  <r>
    <x v="2"/>
    <x v="5"/>
    <s v="F:\Données chgh\2020-CHG-CZA-Atenolol-1\plaque 1/@02 EE2 34/F2_03.tif "/>
    <s v=" 3093.0749 "/>
    <s v=" 69.2238 "/>
    <x v="0"/>
    <n v="214114"/>
    <m/>
    <m/>
  </r>
  <r>
    <x v="2"/>
    <x v="6"/>
    <s v="F:\Données chgh\2020-CHG-CZA-Atenolol-1\plaque 1/@02 EE2 34/G2_01.tif "/>
    <s v=" 5342.584 "/>
    <n v="68"/>
    <x v="0"/>
    <n v="363296"/>
    <m/>
    <m/>
  </r>
  <r>
    <x v="2"/>
    <x v="6"/>
    <s v="F:\Données chgh\2020-CHG-CZA-Atenolol-1\plaque 1/@02 EE2 34/G2_02.tif "/>
    <s v=" 5061.3953 "/>
    <s v=" 67.9786 "/>
    <x v="0"/>
    <n v="344067"/>
    <m/>
    <m/>
  </r>
  <r>
    <x v="2"/>
    <x v="6"/>
    <s v="F:\Données chgh\2020-CHG-CZA-Atenolol-1\plaque 1/@02 EE2 34/G2_03.tif "/>
    <s v=" 1665.5019 "/>
    <s v=" 68.4675 "/>
    <x v="0"/>
    <n v="114033"/>
    <m/>
    <m/>
  </r>
  <r>
    <x v="2"/>
    <x v="7"/>
    <s v="F:\Données chgh\2020-CHG-CZA-Atenolol-1\plaque 1/@02 EE2 34/H2_01.tif "/>
    <s v=" 8240.9899 "/>
    <s v=" 71.3806 "/>
    <x v="0"/>
    <n v="588247"/>
    <m/>
    <m/>
  </r>
  <r>
    <x v="2"/>
    <x v="7"/>
    <s v="F:\Données chgh\2020-CHG-CZA-Atenolol-1\plaque 1/@02 EE2 34/H2_02.tif "/>
    <s v=" 8111.2105 "/>
    <s v=" 75.208 "/>
    <x v="0"/>
    <n v="610028"/>
    <m/>
    <m/>
  </r>
  <r>
    <x v="2"/>
    <x v="7"/>
    <s v="F:\Données chgh\2020-CHG-CZA-Atenolol-1\plaque 1/@02 EE2 34/H2_03.tif "/>
    <s v=" 3504.0429 "/>
    <s v=" 67.1358 "/>
    <x v="0"/>
    <n v="235247"/>
    <m/>
    <m/>
  </r>
  <r>
    <x v="1"/>
    <x v="8"/>
    <s v=" "/>
    <m/>
    <m/>
    <x v="1"/>
    <m/>
    <m/>
    <m/>
  </r>
  <r>
    <x v="1"/>
    <x v="8"/>
    <s v="group "/>
    <s v=" "/>
    <s v=" mean of mean fluo "/>
    <x v="2"/>
    <s v=" mean of total fluo "/>
    <s v=" SD total fluo "/>
    <s v=" n fluorescent "/>
  </r>
  <r>
    <x v="2"/>
    <x v="9"/>
    <s v="F:\Données chgh\2020-CHG-CZA-Atenolol-1\plaque 1/@02 EE2 34/ "/>
    <s v=" "/>
    <s v=" 68.2545 "/>
    <x v="4"/>
    <s v=" 303234.042 "/>
    <s v=" 225269.32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Atenolol-1\plaque 1/@03 EE2 51/A3_01- exclu.tif"/>
    <m/>
    <m/>
    <x v="1"/>
    <m/>
    <m/>
    <m/>
  </r>
  <r>
    <x v="3"/>
    <x v="0"/>
    <s v="F:\Données chgh\2020-CHG-CZA-Atenolol-1\plaque 1/@03 EE2 51/A3_02.tif "/>
    <s v=" 497.4876 "/>
    <s v=" 64.913 "/>
    <x v="0"/>
    <n v="32293"/>
    <m/>
    <m/>
  </r>
  <r>
    <x v="3"/>
    <x v="0"/>
    <s v="F:\Données chgh\2020-CHG-CZA-Atenolol-1\plaque 1/@03 EE2 51/A3_03.tif "/>
    <s v=" 454.2278 "/>
    <s v=" 63.0952 "/>
    <x v="0"/>
    <n v="28660"/>
    <m/>
    <m/>
  </r>
  <r>
    <x v="3"/>
    <x v="1"/>
    <s v="F:\Données chgh\2020-CHG-CZA-Atenolol-1\plaque 1/@03 EE2 51/B3_01- exclu.tif"/>
    <m/>
    <m/>
    <x v="1"/>
    <m/>
    <m/>
    <m/>
  </r>
  <r>
    <x v="3"/>
    <x v="1"/>
    <s v="F:\Données chgh\2020-CHG-CZA-Atenolol-1\plaque 1/@03 EE2 51/B3_02.tif "/>
    <s v=" 3331.0038 "/>
    <s v=" 65.8506 "/>
    <x v="0"/>
    <n v="219349"/>
    <m/>
    <m/>
  </r>
  <r>
    <x v="3"/>
    <x v="1"/>
    <s v="F:\Données chgh\2020-CHG-CZA-Atenolol-1\plaque 1/@03 EE2 51/B3_03.tif "/>
    <s v=" 1492.4627 "/>
    <s v=" 63.8841 "/>
    <x v="0"/>
    <n v="95345"/>
    <m/>
    <m/>
  </r>
  <r>
    <x v="3"/>
    <x v="2"/>
    <s v="F:\Données chgh\2020-CHG-CZA-Atenolol-1\plaque 1/@03 EE2 51/C3_01.tif "/>
    <s v=" 4845.0964 "/>
    <s v=" 71.8259 "/>
    <x v="0"/>
    <n v="348003"/>
    <m/>
    <m/>
  </r>
  <r>
    <x v="3"/>
    <x v="2"/>
    <s v="F:\Données chgh\2020-CHG-CZA-Atenolol-1\plaque 1/@03 EE2 51/C3_02.tif "/>
    <s v=" 3590.5625 "/>
    <s v=" 66.6928 "/>
    <x v="0"/>
    <n v="239465"/>
    <m/>
    <m/>
  </r>
  <r>
    <x v="3"/>
    <x v="2"/>
    <s v="F:\Données chgh\2020-CHG-CZA-Atenolol-1\plaque 1/@03 EE2 51/C3_03.tif "/>
    <s v=" 3655.4522 "/>
    <s v=" 67.2249 "/>
    <x v="0"/>
    <n v="245737"/>
    <m/>
    <m/>
  </r>
  <r>
    <x v="3"/>
    <x v="3"/>
    <s v="F:\Données chgh\2020-CHG-CZA-Atenolol-1\plaque 1/@03 EE2 51/D3_01.tif "/>
    <s v=" 6251.0395 "/>
    <s v=" 72.0346 "/>
    <x v="0"/>
    <n v="450291"/>
    <m/>
    <m/>
  </r>
  <r>
    <x v="3"/>
    <x v="3"/>
    <s v="F:\Données chgh\2020-CHG-CZA-Atenolol-1\plaque 1/@03 EE2 51/D3_02.tif "/>
    <s v=" 6424.0787 "/>
    <s v=" 67.0741 "/>
    <x v="0"/>
    <n v="430889"/>
    <m/>
    <m/>
  </r>
  <r>
    <x v="3"/>
    <x v="3"/>
    <s v="F:\Données chgh\2020-CHG-CZA-Atenolol-1\plaque 1/@03 EE2 51/D3_03.tif "/>
    <s v=" 6921.5663 "/>
    <s v=" 75.5687 "/>
    <x v="0"/>
    <n v="523054"/>
    <m/>
    <m/>
  </r>
  <r>
    <x v="3"/>
    <x v="4"/>
    <s v="F:\Données chgh\2020-CHG-CZA-Atenolol-1\plaque 1/@03 EE2 51/E3_01.tif "/>
    <s v=" 1622.2421 "/>
    <s v=" 65.0667 "/>
    <x v="0"/>
    <n v="105554"/>
    <m/>
    <m/>
  </r>
  <r>
    <x v="3"/>
    <x v="4"/>
    <s v="F:\Données chgh\2020-CHG-CZA-Atenolol-1\plaque 1/@03 EE2 51/E3_02- exclu.tif"/>
    <m/>
    <m/>
    <x v="1"/>
    <m/>
    <m/>
    <m/>
  </r>
  <r>
    <x v="3"/>
    <x v="4"/>
    <s v="F:\Données chgh\2020-CHG-CZA-Atenolol-1\plaque 1/@03 EE2 51/E3_03- exclu.tif"/>
    <m/>
    <m/>
    <x v="1"/>
    <m/>
    <m/>
    <m/>
  </r>
  <r>
    <x v="3"/>
    <x v="5"/>
    <s v="F:\Données chgh\2020-CHG-CZA-Atenolol-1\plaque 1/@03 EE2 51/F3_01.tif "/>
    <s v=" 6207.7798 "/>
    <s v=" 70.5889 "/>
    <x v="0"/>
    <n v="438200"/>
    <m/>
    <m/>
  </r>
  <r>
    <x v="3"/>
    <x v="5"/>
    <s v="F:\Données chgh\2020-CHG-CZA-Atenolol-1\plaque 1/@03 EE2 51/F3_02.tif "/>
    <s v=" 6142.8901 "/>
    <s v=" 74.6972 "/>
    <x v="0"/>
    <n v="458857"/>
    <m/>
    <m/>
  </r>
  <r>
    <x v="3"/>
    <x v="5"/>
    <s v="F:\Données chgh\2020-CHG-CZA-Atenolol-1\plaque 1/@03 EE2 51/F3_03.tif "/>
    <s v=" 778.6762 "/>
    <s v=" 64.9722 "/>
    <x v="0"/>
    <n v="50592"/>
    <m/>
    <m/>
  </r>
  <r>
    <x v="3"/>
    <x v="6"/>
    <s v="F:\Données chgh\2020-CHG-CZA-Atenolol-1\plaque 1/@03 EE2 51/G3_01.tif "/>
    <s v=" 3006.5554 "/>
    <s v=" 67.518 "/>
    <x v="0"/>
    <n v="202997"/>
    <m/>
    <m/>
  </r>
  <r>
    <x v="3"/>
    <x v="6"/>
    <s v="F:\Données chgh\2020-CHG-CZA-Atenolol-1\plaque 1/@03 EE2 51/G3_02.tif "/>
    <s v=" 2855.1461 "/>
    <s v=" 66.7197 "/>
    <x v="0"/>
    <n v="190494"/>
    <m/>
    <m/>
  </r>
  <r>
    <x v="3"/>
    <x v="6"/>
    <s v="F:\Données chgh\2020-CHG-CZA-Atenolol-1\plaque 1/@03 EE2 51/G3_03.tif "/>
    <s v=" 4672.0572 "/>
    <s v=" 67.125 "/>
    <x v="0"/>
    <n v="313612"/>
    <m/>
    <m/>
  </r>
  <r>
    <x v="3"/>
    <x v="7"/>
    <s v="F:\Données chgh\2020-CHG-CZA-Atenolol-1\plaque 1/@03 EE2 51/H3_01.tif "/>
    <s v=" 6078.0004 "/>
    <s v=" 65.516 "/>
    <x v="0"/>
    <n v="398206"/>
    <m/>
    <m/>
  </r>
  <r>
    <x v="3"/>
    <x v="7"/>
    <s v="F:\Données chgh\2020-CHG-CZA-Atenolol-1\plaque 1/@03 EE2 51/H3_02.tif "/>
    <s v=" 3612.1924 "/>
    <s v=" 64.2515 "/>
    <x v="0"/>
    <n v="232089"/>
    <m/>
    <m/>
  </r>
  <r>
    <x v="3"/>
    <x v="7"/>
    <s v="F:\Données chgh\2020-CHG-CZA-Atenolol-1\plaque 1/@03 EE2 51/H3_03.tif "/>
    <s v=" 2033.2101 "/>
    <s v=" 64.2872 "/>
    <x v="0"/>
    <n v="130709"/>
    <m/>
    <m/>
  </r>
  <r>
    <x v="1"/>
    <x v="8"/>
    <s v=" "/>
    <m/>
    <m/>
    <x v="1"/>
    <m/>
    <m/>
    <m/>
  </r>
  <r>
    <x v="1"/>
    <x v="8"/>
    <s v="group "/>
    <s v=" "/>
    <s v=" mean of mean fluo "/>
    <x v="2"/>
    <s v=" mean of total fluo "/>
    <s v=" SD total fluo "/>
    <s v=" n fluorescent "/>
  </r>
  <r>
    <x v="3"/>
    <x v="9"/>
    <s v="F:\Données chgh\2020-CHG-CZA-Atenolol-1\plaque 1/@03 EE2 51/ "/>
    <s v=" "/>
    <s v=" 66.944 "/>
    <x v="5"/>
    <s v=" 217046.042 "/>
    <s v=" 168450.96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Atenolol-1\plaque 1/@04 EE2 76/A4_01- exclu.tif"/>
    <m/>
    <m/>
    <x v="1"/>
    <m/>
    <m/>
    <m/>
  </r>
  <r>
    <x v="4"/>
    <x v="0"/>
    <s v="F:\Données chgh\2020-CHG-CZA-Atenolol-1\plaque 1/@04 EE2 76/A4_02.tif "/>
    <s v=" 6294.2993 "/>
    <s v=" 65.0309 "/>
    <x v="0"/>
    <n v="409324"/>
    <m/>
    <m/>
  </r>
  <r>
    <x v="4"/>
    <x v="0"/>
    <s v="F:\Données chgh\2020-CHG-CZA-Atenolol-1\plaque 1/@04 EE2 76/A4_03- exclu.tif"/>
    <m/>
    <m/>
    <x v="1"/>
    <m/>
    <m/>
    <m/>
  </r>
  <r>
    <x v="4"/>
    <x v="1"/>
    <s v="F:\Données chgh\2020-CHG-CZA-Atenolol-1\plaque 1/@04 EE2 76/B4_01.tif "/>
    <s v=" 9149.4454 "/>
    <s v=" 66.6336 "/>
    <x v="0"/>
    <n v="609660"/>
    <m/>
    <m/>
  </r>
  <r>
    <x v="4"/>
    <x v="1"/>
    <s v="F:\Données chgh\2020-CHG-CZA-Atenolol-1\plaque 1/@04 EE2 76/B4_02.tif "/>
    <s v=" 6618.7478 "/>
    <s v=" 66.8562 "/>
    <x v="0"/>
    <n v="442504"/>
    <m/>
    <m/>
  </r>
  <r>
    <x v="4"/>
    <x v="1"/>
    <s v="F:\Données chgh\2020-CHG-CZA-Atenolol-1\plaque 1/@04 EE2 76/B4_03.tif "/>
    <s v=" 4866.7263 "/>
    <s v=" 68.4489 "/>
    <x v="0"/>
    <n v="333122"/>
    <m/>
    <m/>
  </r>
  <r>
    <x v="4"/>
    <x v="2"/>
    <s v="F:\Données chgh\2020-CHG-CZA-Atenolol-1\plaque 1/@04 EE2 76/C4_01.tif "/>
    <s v=" 12134.3709 "/>
    <s v=" 72.7504 "/>
    <x v="0"/>
    <n v="882781"/>
    <m/>
    <m/>
  </r>
  <r>
    <x v="4"/>
    <x v="2"/>
    <s v="F:\Données chgh\2020-CHG-CZA-Atenolol-1\plaque 1/@04 EE2 76/C4_02.tif "/>
    <s v=" 11939.7018 "/>
    <s v=" 75.9728 "/>
    <x v="0"/>
    <n v="907093"/>
    <m/>
    <m/>
  </r>
  <r>
    <x v="4"/>
    <x v="2"/>
    <s v="F:\Données chgh\2020-CHG-CZA-Atenolol-1\plaque 1/@04 EE2 76/C4_03.tif "/>
    <s v=" 8695.2176 "/>
    <s v=" 72.9204 "/>
    <x v="0"/>
    <n v="634059"/>
    <m/>
    <m/>
  </r>
  <r>
    <x v="4"/>
    <x v="3"/>
    <s v="F:\Données chgh\2020-CHG-CZA-Atenolol-1\plaque 1/@04 EE2 76/D4_01.tif "/>
    <s v=" 27643.0053 "/>
    <s v=" 73.4429 "/>
    <x v="0"/>
    <n v="2030182"/>
    <m/>
    <m/>
  </r>
  <r>
    <x v="4"/>
    <x v="3"/>
    <s v="F:\Données chgh\2020-CHG-CZA-Atenolol-1\plaque 1/@04 EE2 76/D4_02.tif "/>
    <s v=" 23360.2862 "/>
    <s v=" 69.7704 "/>
    <x v="0"/>
    <n v="1629856"/>
    <m/>
    <m/>
  </r>
  <r>
    <x v="4"/>
    <x v="3"/>
    <s v="F:\Données chgh\2020-CHG-CZA-Atenolol-1\plaque 1/@04 EE2 76/D4_03.tif "/>
    <s v=" 23533.3254 "/>
    <s v=" 68.9697 "/>
    <x v="0"/>
    <n v="1623086"/>
    <m/>
    <m/>
  </r>
  <r>
    <x v="4"/>
    <x v="4"/>
    <s v="F:\Données chgh\2020-CHG-CZA-Atenolol-1\plaque 1/@04 EE2 76/E4_01.tif "/>
    <s v=" 13561.9439 "/>
    <s v=" 68.5805 "/>
    <x v="0"/>
    <n v="930085"/>
    <m/>
    <m/>
  </r>
  <r>
    <x v="4"/>
    <x v="4"/>
    <s v="F:\Données chgh\2020-CHG-CZA-Atenolol-1\plaque 1/@04 EE2 76/E4_02.tif "/>
    <s v=" 10403.9793 "/>
    <s v=" 67.4782 "/>
    <x v="0"/>
    <n v="702041"/>
    <m/>
    <m/>
  </r>
  <r>
    <x v="4"/>
    <x v="4"/>
    <s v="F:\Données chgh\2020-CHG-CZA-Atenolol-1\plaque 1/@04 EE2 76/E4_03.tif "/>
    <s v=" 9993.0113 "/>
    <s v=" 68.8853 "/>
    <x v="0"/>
    <n v="688371"/>
    <m/>
    <m/>
  </r>
  <r>
    <x v="4"/>
    <x v="5"/>
    <s v="F:\Données chgh\2020-CHG-CZA-Atenolol-1\plaque 1/@04 EE2 76/F4_01.tif "/>
    <s v=" 7700.2425 "/>
    <s v=" 65.7022 "/>
    <x v="0"/>
    <n v="505923"/>
    <m/>
    <m/>
  </r>
  <r>
    <x v="4"/>
    <x v="5"/>
    <s v="F:\Données chgh\2020-CHG-CZA-Atenolol-1\plaque 1/@04 EE2 76/F4_02.tif "/>
    <s v=" 8370.7692 "/>
    <s v=" 64.938 "/>
    <x v="0"/>
    <n v="543581"/>
    <m/>
    <m/>
  </r>
  <r>
    <x v="4"/>
    <x v="5"/>
    <s v="F:\Données chgh\2020-CHG-CZA-Atenolol-1\plaque 1/@04 EE2 76/F4_03.tif "/>
    <s v=" 9171.0753 "/>
    <s v=" 69.1274 "/>
    <x v="0"/>
    <n v="633972"/>
    <m/>
    <m/>
  </r>
  <r>
    <x v="4"/>
    <x v="6"/>
    <s v="F:\Données chgh\2020-CHG-CZA-Atenolol-1\plaque 1/@04 EE2 76/G4_01- exclu.tif"/>
    <m/>
    <m/>
    <x v="1"/>
    <m/>
    <m/>
    <m/>
  </r>
  <r>
    <x v="4"/>
    <x v="6"/>
    <s v="F:\Données chgh\2020-CHG-CZA-Atenolol-1\plaque 1/@04 EE2 76/G4_02.tif "/>
    <s v=" 5926.5911 "/>
    <s v=" 66.2664 "/>
    <x v="0"/>
    <n v="392734"/>
    <m/>
    <m/>
  </r>
  <r>
    <x v="4"/>
    <x v="6"/>
    <s v="F:\Données chgh\2020-CHG-CZA-Atenolol-1\plaque 1/@04 EE2 76/G4_03.tif "/>
    <s v=" 9582.0433 "/>
    <s v=" 66.8488 "/>
    <x v="0"/>
    <n v="640548"/>
    <m/>
    <m/>
  </r>
  <r>
    <x v="4"/>
    <x v="7"/>
    <s v="F:\Données chgh\2020-CHG-CZA-Atenolol-1\plaque 1/@04 EE2 76/H4_01.tif "/>
    <s v=" 9690.1928 "/>
    <s v=" 69.9844 "/>
    <x v="0"/>
    <n v="678162"/>
    <m/>
    <m/>
  </r>
  <r>
    <x v="4"/>
    <x v="7"/>
    <s v="F:\Données chgh\2020-CHG-CZA-Atenolol-1\plaque 1/@04 EE2 76/H4_02.tif "/>
    <s v=" 3244.4842 "/>
    <s v=" 64.6867 "/>
    <x v="0"/>
    <n v="209875"/>
    <m/>
    <m/>
  </r>
  <r>
    <x v="4"/>
    <x v="7"/>
    <s v="F:\Données chgh\2020-CHG-CZA-Atenolol-1\plaque 1/@04 EE2 76/H4_03.tif "/>
    <s v=" 2054.84 "/>
    <s v=" 65.8526 "/>
    <x v="0"/>
    <n v="135317"/>
    <m/>
    <m/>
  </r>
  <r>
    <x v="1"/>
    <x v="8"/>
    <s v=" "/>
    <m/>
    <m/>
    <x v="1"/>
    <m/>
    <m/>
    <m/>
  </r>
  <r>
    <x v="1"/>
    <x v="8"/>
    <s v="group "/>
    <s v=" "/>
    <s v=" mean of mean fluo "/>
    <x v="2"/>
    <s v=" mean of total fluo "/>
    <s v=" SD total fluo "/>
    <s v=" n fluorescent "/>
  </r>
  <r>
    <x v="4"/>
    <x v="9"/>
    <s v="F:\Données chgh\2020-CHG-CZA-Atenolol-1\plaque 1/@04 EE2 76/ "/>
    <s v=" "/>
    <s v=" 68.6156 "/>
    <x v="6"/>
    <s v=" 707795.917 "/>
    <s v=" 471488.72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Atenolol-1\plaque 1/@05 EE2 114/A5_01.tif "/>
    <s v=" 29135.4681 "/>
    <s v=" 68.2272 "/>
    <x v="0"/>
    <n v="1987831"/>
    <m/>
    <m/>
  </r>
  <r>
    <x v="5"/>
    <x v="0"/>
    <s v="F:\Données chgh\2020-CHG-CZA-Atenolol-1\plaque 1/@05 EE2 114/A5_02.tif "/>
    <s v=" 24290.3717 "/>
    <s v=" 67.1638 "/>
    <x v="0"/>
    <n v="1631435"/>
    <m/>
    <m/>
  </r>
  <r>
    <x v="5"/>
    <x v="0"/>
    <s v="F:\Données chgh\2020-CHG-CZA-Atenolol-1\plaque 1/@05 EE2 114/A5_03- exclu.tif"/>
    <m/>
    <m/>
    <x v="1"/>
    <m/>
    <m/>
    <m/>
  </r>
  <r>
    <x v="5"/>
    <x v="1"/>
    <s v="F:\Données chgh\2020-CHG-CZA-Atenolol-1\plaque 1/@05 EE2 114/B5_01- exclu.tif"/>
    <m/>
    <m/>
    <x v="1"/>
    <m/>
    <m/>
    <m/>
  </r>
  <r>
    <x v="5"/>
    <x v="1"/>
    <s v="F:\Données chgh\2020-CHG-CZA-Atenolol-1\plaque 1/@05 EE2 114/B5_02.tif "/>
    <s v=" 35689.3261 "/>
    <s v=" 70.1212 "/>
    <x v="0"/>
    <n v="2502579"/>
    <m/>
    <m/>
  </r>
  <r>
    <x v="5"/>
    <x v="1"/>
    <s v="F:\Données chgh\2020-CHG-CZA-Atenolol-1\plaque 1/@05 EE2 114/B5_03.tif "/>
    <s v=" 26518.2508 "/>
    <s v=" 68.4152 "/>
    <x v="0"/>
    <n v="1814251"/>
    <m/>
    <m/>
  </r>
  <r>
    <x v="5"/>
    <x v="2"/>
    <s v="F:\Données chgh\2020-CHG-CZA-Atenolol-1\plaque 1/@05 EE2 114/C5_01.tif "/>
    <s v=" 84810.8168 "/>
    <s v=" 87.9559 "/>
    <x v="0"/>
    <n v="7459610"/>
    <m/>
    <m/>
  </r>
  <r>
    <x v="5"/>
    <x v="2"/>
    <s v="F:\Données chgh\2020-CHG-CZA-Atenolol-1\plaque 1/@05 EE2 114/C5_02.tif "/>
    <s v=" 78840.9659 "/>
    <s v=" 93.1059 "/>
    <x v="0"/>
    <n v="7340559"/>
    <m/>
    <m/>
  </r>
  <r>
    <x v="5"/>
    <x v="2"/>
    <s v="F:\Données chgh\2020-CHG-CZA-Atenolol-1\plaque 1/@05 EE2 114/C5_03.tif "/>
    <s v=" 77499.9125 "/>
    <s v=" 88.2375 "/>
    <x v="0"/>
    <n v="6838399"/>
    <m/>
    <m/>
  </r>
  <r>
    <x v="5"/>
    <x v="3"/>
    <s v="F:\Données chgh\2020-CHG-CZA-Atenolol-1\plaque 1/@05 EE2 114/D5_01.tif "/>
    <s v=" 16049.3818 "/>
    <s v=" 68.2197 "/>
    <x v="0"/>
    <n v="1094884"/>
    <m/>
    <m/>
  </r>
  <r>
    <x v="5"/>
    <x v="3"/>
    <s v="F:\Données chgh\2020-CHG-CZA-Atenolol-1\plaque 1/@05 EE2 114/D5_02.tif "/>
    <s v=" 8435.6589 "/>
    <s v=" 64.3846 "/>
    <x v="0"/>
    <n v="543127"/>
    <m/>
    <m/>
  </r>
  <r>
    <x v="5"/>
    <x v="3"/>
    <s v="F:\Données chgh\2020-CHG-CZA-Atenolol-1\plaque 1/@05 EE2 114/D5_03.tif "/>
    <s v=" 9409.0042 "/>
    <s v=" 67.0552 "/>
    <x v="0"/>
    <n v="630922"/>
    <m/>
    <m/>
  </r>
  <r>
    <x v="5"/>
    <x v="4"/>
    <s v="F:\Données chgh\2020-CHG-CZA-Atenolol-1\plaque 1/@05 EE2 114/E5_01.tif "/>
    <s v=" 17130.8765 "/>
    <s v=" 68.3131 "/>
    <x v="0"/>
    <n v="1170264"/>
    <m/>
    <m/>
  </r>
  <r>
    <x v="5"/>
    <x v="4"/>
    <s v="F:\Données chgh\2020-CHG-CZA-Atenolol-1\plaque 1/@05 EE2 114/E5_02.tif "/>
    <s v=" 13843.1326 "/>
    <s v=" 68.0766 "/>
    <x v="0"/>
    <n v="942393"/>
    <m/>
    <m/>
  </r>
  <r>
    <x v="5"/>
    <x v="4"/>
    <s v="F:\Données chgh\2020-CHG-CZA-Atenolol-1\plaque 1/@05 EE2 114/E5_03.tif "/>
    <s v=" 17282.2858 "/>
    <s v=" 66.9387 "/>
    <x v="0"/>
    <n v="1156853"/>
    <m/>
    <m/>
  </r>
  <r>
    <x v="5"/>
    <x v="5"/>
    <s v="F:\Données chgh\2020-CHG-CZA-Atenolol-1\plaque 1/@05 EE2 114/F5_01.tif "/>
    <s v=" 6726.8972 "/>
    <s v=" 64.9325 "/>
    <x v="0"/>
    <n v="436794"/>
    <m/>
    <m/>
  </r>
  <r>
    <x v="5"/>
    <x v="5"/>
    <s v="F:\Données chgh\2020-CHG-CZA-Atenolol-1\plaque 1/@05 EE2 114/F5_02.tif "/>
    <s v=" 12826.5275 "/>
    <s v=" 65.1079 "/>
    <x v="0"/>
    <n v="835109"/>
    <m/>
    <m/>
  </r>
  <r>
    <x v="5"/>
    <x v="5"/>
    <s v="F:\Données chgh\2020-CHG-CZA-Atenolol-1\plaque 1/@05 EE2 114/F5_03.tif "/>
    <s v=" 5083.0252 "/>
    <s v=" 64.983 "/>
    <x v="0"/>
    <n v="330310"/>
    <m/>
    <m/>
  </r>
  <r>
    <x v="5"/>
    <x v="6"/>
    <s v="F:\Données chgh\2020-CHG-CZA-Atenolol-1\plaque 1/@05 EE2 114/G5_01.tif "/>
    <s v=" 35667.6962 "/>
    <s v=" 67.8563 "/>
    <x v="0"/>
    <n v="2420277"/>
    <m/>
    <m/>
  </r>
  <r>
    <x v="5"/>
    <x v="6"/>
    <s v="F:\Données chgh\2020-CHG-CZA-Atenolol-1\plaque 1/@05 EE2 114/G5_02.tif "/>
    <s v=" 34478.052 "/>
    <s v=" 68.7553 "/>
    <x v="0"/>
    <n v="2370550"/>
    <m/>
    <m/>
  </r>
  <r>
    <x v="5"/>
    <x v="6"/>
    <s v="F:\Données chgh\2020-CHG-CZA-Atenolol-1\plaque 1/@05 EE2 114/G5_03.tif "/>
    <s v=" 33699.3758 "/>
    <s v=" 68.0379 "/>
    <x v="0"/>
    <n v="2292834"/>
    <m/>
    <m/>
  </r>
  <r>
    <x v="5"/>
    <x v="7"/>
    <s v="F:\Données chgh\2020-CHG-CZA-Atenolol-1\plaque 1/@05 EE2 114/H5_01.tif "/>
    <s v=" 33894.0449 "/>
    <s v=" 68.8564 "/>
    <x v="0"/>
    <n v="2333822"/>
    <m/>
    <m/>
  </r>
  <r>
    <x v="5"/>
    <x v="7"/>
    <s v="F:\Données chgh\2020-CHG-CZA-Atenolol-1\plaque 1/@05 EE2 114/H5_02.tif "/>
    <s v=" 32682.7708 "/>
    <s v=" 68.4659 "/>
    <x v="0"/>
    <n v="2237656"/>
    <m/>
    <m/>
  </r>
  <r>
    <x v="5"/>
    <x v="7"/>
    <s v="F:\Données chgh\2020-CHG-CZA-Atenolol-1\plaque 1/@05 EE2 114/H5_03.tif "/>
    <s v=" 33915.6748 "/>
    <s v=" 67.9636 "/>
    <x v="0"/>
    <n v="2305033"/>
    <m/>
    <m/>
  </r>
  <r>
    <x v="1"/>
    <x v="8"/>
    <s v=" "/>
    <m/>
    <m/>
    <x v="1"/>
    <m/>
    <m/>
    <m/>
  </r>
  <r>
    <x v="1"/>
    <x v="8"/>
    <s v="group "/>
    <s v=" "/>
    <s v=" mean of mean fluo "/>
    <x v="2"/>
    <s v=" mean of total fluo "/>
    <s v=" SD total fluo "/>
    <s v=" n fluorescent "/>
  </r>
  <r>
    <x v="5"/>
    <x v="9"/>
    <s v="F:\Données chgh\2020-CHG-CZA-Atenolol-1\plaque 1/@05 EE2 114/ "/>
    <s v=" "/>
    <s v=" 70.2009 "/>
    <x v="7"/>
    <s v=" 2161185.21 "/>
    <s v=" 2086094.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Atenolol-1\plaque 1/@06 EE2 171/A6_01.tif "/>
    <s v=" 34175.2335 "/>
    <s v=" 73.3418 "/>
    <x v="0"/>
    <n v="2506472"/>
    <m/>
    <m/>
  </r>
  <r>
    <x v="6"/>
    <x v="0"/>
    <s v="F:\Données chgh\2020-CHG-CZA-Atenolol-1\plaque 1/@06 EE2 171/A6_02.tif "/>
    <s v=" 29741.1051 "/>
    <s v=" 70.5978 "/>
    <x v="0"/>
    <n v="2099657"/>
    <m/>
    <m/>
  </r>
  <r>
    <x v="6"/>
    <x v="0"/>
    <s v="F:\Données chgh\2020-CHG-CZA-Atenolol-1\plaque 1/@06 EE2 171/A6_03.tif "/>
    <s v=" 32012.2441 "/>
    <s v=" 74.4412 "/>
    <x v="0"/>
    <n v="2383030"/>
    <m/>
    <m/>
  </r>
  <r>
    <x v="6"/>
    <x v="1"/>
    <s v="F:\Données chgh\2020-CHG-CZA-Atenolol-1\plaque 1/@06 EE2 171/B6_01.tif "/>
    <s v=" 60953.0431 "/>
    <s v=" 76.5096 "/>
    <x v="0"/>
    <n v="4663492"/>
    <m/>
    <m/>
  </r>
  <r>
    <x v="6"/>
    <x v="1"/>
    <s v="F:\Données chgh\2020-CHG-CZA-Atenolol-1\plaque 1/@06 EE2 171/B6_02.tif "/>
    <s v=" 61277.4915 "/>
    <s v=" 75.2146 "/>
    <x v="0"/>
    <n v="4608963"/>
    <m/>
    <m/>
  </r>
  <r>
    <x v="6"/>
    <x v="1"/>
    <s v="F:\Données chgh\2020-CHG-CZA-Atenolol-1\plaque 1/@06 EE2 171/B6_03.tif "/>
    <s v=" 54399.185 "/>
    <s v=" 74.8553 "/>
    <x v="0"/>
    <n v="4072066"/>
    <m/>
    <m/>
  </r>
  <r>
    <x v="6"/>
    <x v="2"/>
    <s v="F:\Données chgh\2020-CHG-CZA-Atenolol-1\plaque 1/@06 EE2 171/C6_01.tif "/>
    <s v=" 3028.1852 "/>
    <s v=" 64.8286 "/>
    <x v="0"/>
    <n v="196313"/>
    <m/>
    <m/>
  </r>
  <r>
    <x v="6"/>
    <x v="2"/>
    <s v="F:\Données chgh\2020-CHG-CZA-Atenolol-1\plaque 1/@06 EE2 171/C6_02.tif "/>
    <s v=" 2617.2173 "/>
    <s v=" 64.9835 "/>
    <x v="0"/>
    <n v="170076"/>
    <m/>
    <m/>
  </r>
  <r>
    <x v="6"/>
    <x v="2"/>
    <s v="F:\Données chgh\2020-CHG-CZA-Atenolol-1\plaque 1/@06 EE2 171/C6_03.tif "/>
    <s v=" 1708.7617 "/>
    <s v=" 63.0759 "/>
    <x v="0"/>
    <n v="107782"/>
    <m/>
    <m/>
  </r>
  <r>
    <x v="6"/>
    <x v="3"/>
    <s v="F:\Données chgh\2020-CHG-CZA-Atenolol-1\plaque 1/@06 EE2 171/D6_01.tif "/>
    <s v=" 57189.4414 "/>
    <s v=" 74.2141 "/>
    <x v="0"/>
    <n v="4244261"/>
    <m/>
    <m/>
  </r>
  <r>
    <x v="6"/>
    <x v="3"/>
    <s v="F:\Données chgh\2020-CHG-CZA-Atenolol-1\plaque 1/@06 EE2 171/D6_02- exclu.tif"/>
    <m/>
    <m/>
    <x v="1"/>
    <m/>
    <m/>
    <m/>
  </r>
  <r>
    <x v="6"/>
    <x v="3"/>
    <s v="F:\Données chgh\2020-CHG-CZA-Atenolol-1\plaque 1/@06 EE2 171/D6_03.tif "/>
    <s v=" 57578.7795 "/>
    <s v=" 72.76 "/>
    <x v="0"/>
    <n v="4189429"/>
    <m/>
    <m/>
  </r>
  <r>
    <x v="6"/>
    <x v="4"/>
    <s v="F:\Données chgh\2020-CHG-CZA-Atenolol-1\plaque 1/@06 EE2 171/E6_01.tif "/>
    <s v=" 79900.8308 "/>
    <s v=" 76.379 "/>
    <x v="0"/>
    <n v="6102745"/>
    <m/>
    <m/>
  </r>
  <r>
    <x v="6"/>
    <x v="4"/>
    <s v="F:\Données chgh\2020-CHG-CZA-Atenolol-1\plaque 1/@06 EE2 171/E6_02.tif "/>
    <s v=" 70318.7874 "/>
    <s v=" 76.8074 "/>
    <x v="0"/>
    <n v="5401006"/>
    <m/>
    <m/>
  </r>
  <r>
    <x v="6"/>
    <x v="4"/>
    <s v="F:\Données chgh\2020-CHG-CZA-Atenolol-1\plaque 1/@06 EE2 171/E6_03.tif "/>
    <s v=" 69864.5597 "/>
    <s v=" 75.9994 "/>
    <x v="0"/>
    <n v="5309663"/>
    <m/>
    <m/>
  </r>
  <r>
    <x v="6"/>
    <x v="5"/>
    <s v="F:\Données chgh\2020-CHG-CZA-Atenolol-1\plaque 1/@06 EE2 171/F6_01.tif "/>
    <s v=" 45509.2983 "/>
    <s v=" 72.9653 "/>
    <x v="0"/>
    <n v="3320600"/>
    <m/>
    <m/>
  </r>
  <r>
    <x v="6"/>
    <x v="5"/>
    <s v="F:\Données chgh\2020-CHG-CZA-Atenolol-1\plaque 1/@06 EE2 171/F6_02.tif "/>
    <s v=" 57989.7475 "/>
    <s v=" 73.8847 "/>
    <x v="0"/>
    <n v="4284558"/>
    <m/>
    <m/>
  </r>
  <r>
    <x v="6"/>
    <x v="5"/>
    <s v="F:\Données chgh\2020-CHG-CZA-Atenolol-1\plaque 1/@06 EE2 171/F6_03.tif "/>
    <s v=" 58422.3454 "/>
    <s v=" 72.3873 "/>
    <x v="0"/>
    <n v="4229034"/>
    <m/>
    <m/>
  </r>
  <r>
    <x v="6"/>
    <x v="6"/>
    <s v="F:\Données chgh\2020-CHG-CZA-Atenolol-1\plaque 1/@06 EE2 171/G6_01.tif "/>
    <s v=" 55696.9787 "/>
    <s v=" 82.6365 "/>
    <x v="0"/>
    <n v="4602604"/>
    <m/>
    <m/>
  </r>
  <r>
    <x v="6"/>
    <x v="6"/>
    <s v="F:\Données chgh\2020-CHG-CZA-Atenolol-1\plaque 1/@06 EE2 171/G6_02.tif "/>
    <s v=" 56735.2136 "/>
    <s v=" 81.7968 "/>
    <x v="0"/>
    <n v="4640759"/>
    <m/>
    <m/>
  </r>
  <r>
    <x v="6"/>
    <x v="6"/>
    <s v="F:\Données chgh\2020-CHG-CZA-Atenolol-1\plaque 1/@06 EE2 171/G6_03.tif "/>
    <s v=" 57081.2919 "/>
    <s v=" 81.2217 "/>
    <x v="0"/>
    <n v="4636238"/>
    <m/>
    <m/>
  </r>
  <r>
    <x v="6"/>
    <x v="7"/>
    <s v="F:\Données chgh\2020-CHG-CZA-Atenolol-1\plaque 1/@06 EE2 171/H6_01- exclu.tif"/>
    <m/>
    <m/>
    <x v="1"/>
    <m/>
    <m/>
    <m/>
  </r>
  <r>
    <x v="6"/>
    <x v="7"/>
    <s v="F:\Données chgh\2020-CHG-CZA-Atenolol-1\plaque 1/@06 EE2 171/H6_02.tif "/>
    <s v=" 64067.7479 "/>
    <s v=" 75.4666 "/>
    <x v="0"/>
    <n v="4834974"/>
    <m/>
    <m/>
  </r>
  <r>
    <x v="6"/>
    <x v="7"/>
    <s v="F:\Données chgh\2020-CHG-CZA-Atenolol-1\plaque 1/@06 EE2 171/H6_03.tif "/>
    <s v=" 57146.1816 "/>
    <s v=" 74.5439 "/>
    <x v="0"/>
    <n v="4259900"/>
    <m/>
    <m/>
  </r>
  <r>
    <x v="1"/>
    <x v="8"/>
    <s v=" "/>
    <m/>
    <m/>
    <x v="1"/>
    <m/>
    <m/>
    <m/>
  </r>
  <r>
    <x v="1"/>
    <x v="8"/>
    <s v="group "/>
    <s v=" "/>
    <s v=" mean of mean fluo "/>
    <x v="2"/>
    <s v=" mean of total fluo "/>
    <s v=" SD total fluo "/>
    <s v=" n fluorescent "/>
  </r>
  <r>
    <x v="6"/>
    <x v="9"/>
    <s v="F:\Données chgh\2020-CHG-CZA-Atenolol-1\plaque 1/@06 EE2 171/ "/>
    <s v=" "/>
    <s v=" 73.7577 "/>
    <x v="8"/>
    <s v=" 3632646.25 "/>
    <s v=" 1669065.3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Atenolol-1\plaque 1/@07 EE2 488/A7_01.tif "/>
    <s v=" 75596.4817 "/>
    <s v=" 95.3994 "/>
    <x v="0"/>
    <n v="7211861"/>
    <m/>
    <m/>
  </r>
  <r>
    <x v="7"/>
    <x v="0"/>
    <s v="F:\Données chgh\2020-CHG-CZA-Atenolol-1\plaque 1/@07 EE2 488/A7_02.tif "/>
    <s v=" 85329.9343 "/>
    <s v=" 88.6798 "/>
    <x v="0"/>
    <n v="7567046"/>
    <m/>
    <m/>
  </r>
  <r>
    <x v="7"/>
    <x v="0"/>
    <s v="F:\Données chgh\2020-CHG-CZA-Atenolol-1\plaque 1/@07 EE2 488/A7_03.tif "/>
    <s v=" 80203.6493 "/>
    <s v=" 91.8344 "/>
    <x v="0"/>
    <n v="7365455"/>
    <m/>
    <m/>
  </r>
  <r>
    <x v="7"/>
    <x v="1"/>
    <s v="F:\Données chgh\2020-CHG-CZA-Atenolol-1\plaque 1/@07 EE2 488/B7_01.tif "/>
    <s v=" 50549.0637 "/>
    <s v=" 97.4604 "/>
    <x v="0"/>
    <n v="4926533"/>
    <m/>
    <m/>
  </r>
  <r>
    <x v="7"/>
    <x v="1"/>
    <s v="F:\Données chgh\2020-CHG-CZA-Atenolol-1\plaque 1/@07 EE2 488/B7_02.tif "/>
    <s v=" 47737.1774 "/>
    <s v=" 100.8917 "/>
    <x v="0"/>
    <n v="4816285"/>
    <m/>
    <m/>
  </r>
  <r>
    <x v="7"/>
    <x v="1"/>
    <s v="F:\Données chgh\2020-CHG-CZA-Atenolol-1\plaque 1/@07 EE2 488/B7_03.tif "/>
    <s v=" 53144.6511 "/>
    <s v=" 90.4978 "/>
    <x v="0"/>
    <n v="4809472"/>
    <m/>
    <m/>
  </r>
  <r>
    <x v="7"/>
    <x v="2"/>
    <s v="F:\Données chgh\2020-CHG-CZA-Atenolol-1\plaque 1/@07 EE2 488/C7_01.tif "/>
    <s v=" 66987.7837 "/>
    <s v=" 94.1514 "/>
    <x v="0"/>
    <n v="6306996"/>
    <m/>
    <m/>
  </r>
  <r>
    <x v="7"/>
    <x v="2"/>
    <s v="F:\Données chgh\2020-CHG-CZA-Atenolol-1\plaque 1/@07 EE2 488/C7_02.tif "/>
    <s v=" 68047.6485 "/>
    <s v=" 91.6993 "/>
    <x v="0"/>
    <n v="6239922"/>
    <m/>
    <m/>
  </r>
  <r>
    <x v="7"/>
    <x v="2"/>
    <s v="F:\Données chgh\2020-CHG-CZA-Atenolol-1\plaque 1/@07 EE2 488/C7_03.tif "/>
    <s v=" 71421.9121 "/>
    <s v=" 91.6644 "/>
    <x v="0"/>
    <n v="6546850"/>
    <m/>
    <m/>
  </r>
  <r>
    <x v="7"/>
    <x v="3"/>
    <s v="F:\Données chgh\2020-CHG-CZA-Atenolol-1\plaque 1/@07 EE2 488/D7_01.tif "/>
    <s v=" 85654.3827 "/>
    <s v=" 99.9311 "/>
    <x v="0"/>
    <n v="8559533"/>
    <m/>
    <m/>
  </r>
  <r>
    <x v="7"/>
    <x v="3"/>
    <s v="F:\Données chgh\2020-CHG-CZA-Atenolol-1\plaque 1/@07 EE2 488/D7_02.tif "/>
    <s v=" 86714.2476 "/>
    <s v=" 98.1008 "/>
    <x v="0"/>
    <n v="8506735"/>
    <m/>
    <m/>
  </r>
  <r>
    <x v="7"/>
    <x v="3"/>
    <s v="F:\Données chgh\2020-CHG-CZA-Atenolol-1\plaque 1/@07 EE2 488/D7_03.tif "/>
    <s v=" 81501.443 "/>
    <s v=" 95.22 "/>
    <x v="0"/>
    <n v="7760568"/>
    <m/>
    <m/>
  </r>
  <r>
    <x v="7"/>
    <x v="4"/>
    <s v="F:\Données chgh\2020-CHG-CZA-Atenolol-1\plaque 1/@07 EE2 488/E7_01.tif "/>
    <s v=" 52603.9037 "/>
    <s v=" 92.7467 "/>
    <x v="0"/>
    <n v="4878839"/>
    <m/>
    <m/>
  </r>
  <r>
    <x v="7"/>
    <x v="4"/>
    <s v="F:\Données chgh\2020-CHG-CZA-Atenolol-1\plaque 1/@07 EE2 488/E7_02.tif "/>
    <s v=" 66144.2178 "/>
    <s v=" 87.6978 "/>
    <x v="0"/>
    <n v="5800705"/>
    <m/>
    <m/>
  </r>
  <r>
    <x v="7"/>
    <x v="4"/>
    <s v="F:\Données chgh\2020-CHG-CZA-Atenolol-1\plaque 1/@07 EE2 488/E7_03.tif "/>
    <s v=" 60585.3349 "/>
    <s v=" 85.6965 "/>
    <x v="0"/>
    <n v="5191953"/>
    <m/>
    <m/>
  </r>
  <r>
    <x v="7"/>
    <x v="5"/>
    <s v="F:\Données chgh\2020-CHG-CZA-Atenolol-1\plaque 1/@07 EE2 488/F7_01.tif "/>
    <s v=" 57211.0713 "/>
    <s v=" 102.4423 "/>
    <x v="0"/>
    <n v="5860836"/>
    <m/>
    <m/>
  </r>
  <r>
    <x v="7"/>
    <x v="5"/>
    <s v="F:\Données chgh\2020-CHG-CZA-Atenolol-1\plaque 1/@07 EE2 488/F7_02.tif "/>
    <s v=" 57492.2599 "/>
    <s v=" 106.2472 "/>
    <x v="0"/>
    <n v="6108390"/>
    <m/>
    <m/>
  </r>
  <r>
    <x v="7"/>
    <x v="5"/>
    <s v="F:\Données chgh\2020-CHG-CZA-Atenolol-1\plaque 1/@07 EE2 488/F7_03.tif "/>
    <s v=" 51046.5513 "/>
    <s v=" 109.7992 "/>
    <x v="0"/>
    <n v="5604868"/>
    <m/>
    <m/>
  </r>
  <r>
    <x v="7"/>
    <x v="6"/>
    <s v="F:\Données chgh\2020-CHG-CZA-Atenolol-1\plaque 1/@07 EE2 488/G7_01.tif "/>
    <s v=" 55459.0498 "/>
    <s v=" 93.296 "/>
    <x v="0"/>
    <n v="5174109"/>
    <m/>
    <m/>
  </r>
  <r>
    <x v="7"/>
    <x v="6"/>
    <s v="F:\Données chgh\2020-CHG-CZA-Atenolol-1\plaque 1/@07 EE2 488/G7_02.tif "/>
    <s v=" 56129.5766 "/>
    <s v=" 91.9649 "/>
    <x v="0"/>
    <n v="5161953"/>
    <m/>
    <m/>
  </r>
  <r>
    <x v="7"/>
    <x v="6"/>
    <s v="F:\Données chgh\2020-CHG-CZA-Atenolol-1\plaque 1/@07 EE2 488/G7_03.tif "/>
    <s v=" 63462.1108 "/>
    <s v=" 92.833 "/>
    <x v="0"/>
    <n v="5891378"/>
    <m/>
    <m/>
  </r>
  <r>
    <x v="7"/>
    <x v="7"/>
    <s v="F:\Données chgh\2020-CHG-CZA-Atenolol-1\plaque 1/@07 EE2 488/H7_01.tif "/>
    <s v=" 64521.9757 "/>
    <s v=" 105.1934 "/>
    <x v="0"/>
    <n v="6787288"/>
    <m/>
    <m/>
  </r>
  <r>
    <x v="7"/>
    <x v="7"/>
    <s v="F:\Données chgh\2020-CHG-CZA-Atenolol-1\plaque 1/@07 EE2 488/H7_02.tif "/>
    <s v=" 66079.3281 "/>
    <s v=" 105.6013 "/>
    <x v="0"/>
    <n v="6978064"/>
    <m/>
    <m/>
  </r>
  <r>
    <x v="7"/>
    <x v="7"/>
    <s v="F:\Données chgh\2020-CHG-CZA-Atenolol-1\plaque 1/@07 EE2 488/H7_03.tif "/>
    <s v=" 67160.8228 "/>
    <s v=" 104.5771 "/>
    <x v="0"/>
    <n v="7023486"/>
    <m/>
    <m/>
  </r>
  <r>
    <x v="1"/>
    <x v="8"/>
    <s v=" "/>
    <m/>
    <m/>
    <x v="1"/>
    <m/>
    <m/>
    <m/>
  </r>
  <r>
    <x v="1"/>
    <x v="8"/>
    <s v="group "/>
    <s v=" "/>
    <s v=" mean of mean fluo "/>
    <x v="2"/>
    <s v=" mean of total fluo "/>
    <s v=" SD total fluo "/>
    <s v=" n fluorescent "/>
  </r>
  <r>
    <x v="7"/>
    <x v="9"/>
    <s v="F:\Données chgh\2020-CHG-CZA-Atenolol-1\plaque 1/@07 EE2 488/ "/>
    <s v=" "/>
    <s v=" 96.4011 "/>
    <x v="9"/>
    <s v=" 6294963.54 "/>
    <s v=" 1146145.7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Atenolol-1\plaque 1/@08 Atenolol 0.01/A8_01.tif "/>
    <s v=" 1405.9432 "/>
    <s v=" 66.7077 "/>
    <x v="0"/>
    <n v="93787"/>
    <m/>
    <m/>
  </r>
  <r>
    <x v="8"/>
    <x v="0"/>
    <s v="F:\Données chgh\2020-CHG-CZA-Atenolol-1\plaque 1/@08 Atenolol 0.01/A8_02.tif "/>
    <s v=" 1319.4236 "/>
    <s v=" 67.918 "/>
    <x v="0"/>
    <n v="89613"/>
    <m/>
    <m/>
  </r>
  <r>
    <x v="8"/>
    <x v="0"/>
    <s v="F:\Données chgh\2020-CHG-CZA-Atenolol-1\plaque 1/@08 Atenolol 0.01/A8_03.tif "/>
    <s v=" 627.2669 "/>
    <s v=" 63.2414 "/>
    <x v="0"/>
    <n v="39669"/>
    <m/>
    <m/>
  </r>
  <r>
    <x v="8"/>
    <x v="1"/>
    <s v="F:\Données chgh\2020-CHG-CZA-Atenolol-1\plaque 1/@08 Atenolol 0.01/B8_01.tif "/>
    <s v=" 6878.3065 "/>
    <s v=" 79.7799 "/>
    <x v="0"/>
    <n v="548750"/>
    <m/>
    <m/>
  </r>
  <r>
    <x v="8"/>
    <x v="1"/>
    <s v="F:\Données chgh\2020-CHG-CZA-Atenolol-1\plaque 1/@08 Atenolol 0.01/B8_02.tif "/>
    <s v=" 7094.6054 "/>
    <s v=" 83.9543 "/>
    <x v="0"/>
    <n v="595622"/>
    <m/>
    <m/>
  </r>
  <r>
    <x v="8"/>
    <x v="1"/>
    <s v="F:\Données chgh\2020-CHG-CZA-Atenolol-1\plaque 1/@08 Atenolol 0.01/B8_03.tif "/>
    <s v=" 4347.6088 "/>
    <s v=" 66.6766 "/>
    <x v="0"/>
    <n v="289884"/>
    <m/>
    <m/>
  </r>
  <r>
    <x v="8"/>
    <x v="2"/>
    <s v="F:\Données chgh\2020-CHG-CZA-Atenolol-1\plaque 1/@08 Atenolol 0.01/C8_01.tif "/>
    <s v=" 1622.2421 "/>
    <s v=" 63.56 "/>
    <x v="0"/>
    <n v="103110"/>
    <m/>
    <m/>
  </r>
  <r>
    <x v="8"/>
    <x v="2"/>
    <s v="F:\Données chgh\2020-CHG-CZA-Atenolol-1\plaque 1/@08 Atenolol 0.01/C8_02.tif "/>
    <s v=" 1470.8328 "/>
    <s v=" 66.0441 "/>
    <x v="0"/>
    <n v="97140"/>
    <m/>
    <m/>
  </r>
  <r>
    <x v="8"/>
    <x v="2"/>
    <s v="F:\Données chgh\2020-CHG-CZA-Atenolol-1\plaque 1/@08 Atenolol 0.01/C8_03.tif "/>
    <s v=" 1341.0535 "/>
    <s v=" 63.5484 "/>
    <x v="0"/>
    <n v="85222"/>
    <m/>
    <m/>
  </r>
  <r>
    <x v="8"/>
    <x v="3"/>
    <s v="F:\Données chgh\2020-CHG-CZA-Atenolol-1\plaque 1/@08 Atenolol 0.01/D8_01.tif "/>
    <s v=" 8976.4063 "/>
    <s v=" 75.1566 "/>
    <x v="0"/>
    <n v="674636"/>
    <m/>
    <m/>
  </r>
  <r>
    <x v="8"/>
    <x v="3"/>
    <s v="F:\Données chgh\2020-CHG-CZA-Atenolol-1\plaque 1/@08 Atenolol 0.01/D8_02.tif "/>
    <s v=" 605.637 "/>
    <s v=" 63.4643 "/>
    <x v="0"/>
    <n v="38436"/>
    <m/>
    <m/>
  </r>
  <r>
    <x v="8"/>
    <x v="3"/>
    <s v="F:\Données chgh\2020-CHG-CZA-Atenolol-1\plaque 1/@08 Atenolol 0.01/D8_03.tif "/>
    <s v=" 562.3773 "/>
    <s v=" 62.1538 "/>
    <x v="0"/>
    <n v="34954"/>
    <m/>
    <m/>
  </r>
  <r>
    <x v="8"/>
    <x v="4"/>
    <s v="F:\Données chgh\2020-CHG-CZA-Atenolol-1\plaque 1/@08 Atenolol 0.01/E8_01.tif "/>
    <s v=" 10382.3494 "/>
    <s v=" 69.8479 "/>
    <x v="0"/>
    <n v="725185"/>
    <m/>
    <m/>
  </r>
  <r>
    <x v="8"/>
    <x v="4"/>
    <s v="F:\Données chgh\2020-CHG-CZA-Atenolol-1\plaque 1/@08 Atenolol 0.01/E8_02.tif "/>
    <s v=" 9452.264 "/>
    <s v=" 70.1327 "/>
    <x v="0"/>
    <n v="662913"/>
    <m/>
    <m/>
  </r>
  <r>
    <x v="8"/>
    <x v="4"/>
    <s v="F:\Données chgh\2020-CHG-CZA-Atenolol-1\plaque 1/@08 Atenolol 0.01/E8_03.tif "/>
    <s v=" 8046.3208 "/>
    <s v=" 70.7392 "/>
    <x v="0"/>
    <n v="569191"/>
    <m/>
    <m/>
  </r>
  <r>
    <x v="8"/>
    <x v="5"/>
    <s v="F:\Données chgh\2020-CHG-CZA-Atenolol-1\plaque 1/@08 Atenolol 0.01/F8_01.tif "/>
    <s v=" 5775.1819 "/>
    <s v=" 66.3446 "/>
    <x v="0"/>
    <n v="383152"/>
    <m/>
    <m/>
  </r>
  <r>
    <x v="8"/>
    <x v="5"/>
    <s v="F:\Données chgh\2020-CHG-CZA-Atenolol-1\plaque 1/@08 Atenolol 0.01/F8_02.tif "/>
    <s v=" 6726.8972 "/>
    <s v=" 68.0129 "/>
    <x v="0"/>
    <n v="457516"/>
    <m/>
    <m/>
  </r>
  <r>
    <x v="8"/>
    <x v="5"/>
    <s v="F:\Données chgh\2020-CHG-CZA-Atenolol-1\plaque 1/@08 Atenolol 0.01/F8_03.tif "/>
    <s v=" 6575.488 "/>
    <s v=" 67.625 "/>
    <x v="0"/>
    <n v="444667"/>
    <m/>
    <m/>
  </r>
  <r>
    <x v="8"/>
    <x v="6"/>
    <s v="F:\Données chgh\2020-CHG-CZA-Atenolol-1\plaque 1/@08 Atenolol 0.01/G8_01.tif "/>
    <s v=" 3352.6337 "/>
    <s v=" 66.0323 "/>
    <x v="0"/>
    <n v="221382"/>
    <m/>
    <m/>
  </r>
  <r>
    <x v="8"/>
    <x v="6"/>
    <s v="F:\Données chgh\2020-CHG-CZA-Atenolol-1\plaque 1/@08 Atenolol 0.01/G8_02.tif "/>
    <s v=" 3915.0109 "/>
    <s v=" 66.8232 "/>
    <x v="0"/>
    <n v="261614"/>
    <m/>
    <m/>
  </r>
  <r>
    <x v="8"/>
    <x v="6"/>
    <s v="F:\Données chgh\2020-CHG-CZA-Atenolol-1\plaque 1/@08 Atenolol 0.01/G8_03.tif "/>
    <s v=" 6705.2673 "/>
    <s v=" 67.0194 "/>
    <x v="0"/>
    <n v="449383"/>
    <m/>
    <m/>
  </r>
  <r>
    <x v="8"/>
    <x v="7"/>
    <s v="F:\Données chgh\2020-CHG-CZA-Atenolol-1\plaque 1/@08 Atenolol 0.01/H8_01.tif "/>
    <s v=" 8760.1073 "/>
    <s v=" 70.3309 "/>
    <x v="0"/>
    <n v="616106"/>
    <m/>
    <m/>
  </r>
  <r>
    <x v="8"/>
    <x v="7"/>
    <s v="F:\Données chgh\2020-CHG-CZA-Atenolol-1\plaque 1/@08 Atenolol 0.01/H8_02.tif "/>
    <s v=" 11420.5844 "/>
    <s v=" 76.8523 "/>
    <x v="0"/>
    <n v="877698"/>
    <m/>
    <m/>
  </r>
  <r>
    <x v="8"/>
    <x v="7"/>
    <s v="F:\Données chgh\2020-CHG-CZA-Atenolol-1\plaque 1/@08 Atenolol 0.01/H8_03.tif "/>
    <s v=" 4758.5768 "/>
    <s v=" 64.1318 "/>
    <x v="0"/>
    <n v="305176"/>
    <m/>
    <m/>
  </r>
  <r>
    <x v="1"/>
    <x v="8"/>
    <s v=" "/>
    <m/>
    <m/>
    <x v="1"/>
    <m/>
    <m/>
    <m/>
  </r>
  <r>
    <x v="1"/>
    <x v="8"/>
    <s v="group "/>
    <s v=" "/>
    <s v=" mean of mean fluo "/>
    <x v="2"/>
    <s v=" mean of total fluo "/>
    <s v=" SD total fluo "/>
    <s v=" n fluorescent "/>
  </r>
  <r>
    <x v="8"/>
    <x v="9"/>
    <s v="F:\Données chgh\2020-CHG-CZA-Atenolol-1\plaque 1/@08 Atenolol 0.01/ "/>
    <s v=" "/>
    <s v=" 68.5874 "/>
    <x v="10"/>
    <s v=" 361033.583 "/>
    <s v=" 257145.92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Atenolol-1\plaque 1/@09 Atenolol 0.1/A9_01.tif "/>
    <s v=" 800.3061 "/>
    <s v=" 68.5946 "/>
    <x v="0"/>
    <n v="54897"/>
    <m/>
    <m/>
  </r>
  <r>
    <x v="9"/>
    <x v="0"/>
    <s v="F:\Données chgh\2020-CHG-CZA-Atenolol-1\plaque 1/@09 Atenolol 0.1/A9_02.tif "/>
    <s v=" 9214.3351 "/>
    <s v=" 71.1174 "/>
    <x v="0"/>
    <n v="655299"/>
    <m/>
    <m/>
  </r>
  <r>
    <x v="9"/>
    <x v="0"/>
    <s v="F:\Données chgh\2020-CHG-CZA-Atenolol-1\plaque 1/@09 Atenolol 0.1/A9_03.tif "/>
    <s v=" 1319.4236 "/>
    <s v=" 63.8197 "/>
    <x v="0"/>
    <n v="84205"/>
    <m/>
    <m/>
  </r>
  <r>
    <x v="9"/>
    <x v="1"/>
    <s v="F:\Données chgh\2020-CHG-CZA-Atenolol-1\plaque 1/@09 Atenolol 0.1/B9_01.tif "/>
    <s v=" 3525.6728 "/>
    <s v=" 66.1718 "/>
    <x v="0"/>
    <n v="233300"/>
    <m/>
    <m/>
  </r>
  <r>
    <x v="9"/>
    <x v="1"/>
    <s v="F:\Données chgh\2020-CHG-CZA-Atenolol-1\plaque 1/@09 Atenolol 0.1/B9_02.tif "/>
    <s v=" 6575.488 "/>
    <s v=" 67.1382 "/>
    <x v="0"/>
    <n v="441466"/>
    <m/>
    <m/>
  </r>
  <r>
    <x v="9"/>
    <x v="1"/>
    <s v="F:\Données chgh\2020-CHG-CZA-Atenolol-1\plaque 1/@09 Atenolol 0.1/B9_03.tif "/>
    <s v=" 2963.2956 "/>
    <s v=" 63.6934 "/>
    <x v="0"/>
    <n v="188742"/>
    <m/>
    <m/>
  </r>
  <r>
    <x v="9"/>
    <x v="2"/>
    <s v="F:\Données chgh\2020-CHG-CZA-Atenolol-1\plaque 1/@09 Atenolol 0.1/C9_01.tif "/>
    <s v=" 1038.2349 "/>
    <s v=" 65.5833 "/>
    <x v="0"/>
    <n v="68091"/>
    <m/>
    <m/>
  </r>
  <r>
    <x v="9"/>
    <x v="2"/>
    <s v="F:\Données chgh\2020-CHG-CZA-Atenolol-1\plaque 1/@09 Atenolol 0.1/C9_02.tif "/>
    <s v=" 800.3061 "/>
    <s v=" 64.973 "/>
    <x v="0"/>
    <n v="51998"/>
    <m/>
    <m/>
  </r>
  <r>
    <x v="9"/>
    <x v="2"/>
    <s v="F:\Données chgh\2020-CHG-CZA-Atenolol-1\plaque 1/@09 Atenolol 0.1/C9_03.tif "/>
    <s v=" 908.4556 "/>
    <s v=" 63.6667 "/>
    <x v="0"/>
    <n v="57838"/>
    <m/>
    <m/>
  </r>
  <r>
    <x v="9"/>
    <x v="3"/>
    <s v="F:\Données chgh\2020-CHG-CZA-Atenolol-1\plaque 1/@09 Atenolol 0.1/D9_01.tif "/>
    <s v=" 6467.3385 "/>
    <s v=" 73.9699 "/>
    <x v="0"/>
    <n v="478388"/>
    <m/>
    <m/>
  </r>
  <r>
    <x v="9"/>
    <x v="3"/>
    <s v="F:\Données chgh\2020-CHG-CZA-Atenolol-1\plaque 1/@09 Atenolol 0.1/D9_02.tif "/>
    <s v=" 4866.7263 "/>
    <s v=" 70.8044 "/>
    <x v="0"/>
    <n v="344586"/>
    <m/>
    <m/>
  </r>
  <r>
    <x v="9"/>
    <x v="3"/>
    <s v="F:\Données chgh\2020-CHG-CZA-Atenolol-1\plaque 1/@09 Atenolol 0.1/D9_03.tif "/>
    <s v=" 5234.4345 "/>
    <s v=" 68.7934 "/>
    <x v="0"/>
    <n v="360094"/>
    <m/>
    <m/>
  </r>
  <r>
    <x v="9"/>
    <x v="4"/>
    <s v="F:\Données chgh\2020-CHG-CZA-Atenolol-1\plaque 1/@09 Atenolol 0.1/E9_01.tif "/>
    <s v=" 1989.9503 "/>
    <s v=" 68.3804 "/>
    <x v="0"/>
    <n v="136074"/>
    <m/>
    <m/>
  </r>
  <r>
    <x v="9"/>
    <x v="4"/>
    <s v="F:\Données chgh\2020-CHG-CZA-Atenolol-1\plaque 1/@09 Atenolol 0.1/E9_02.tif "/>
    <s v=" 1773.6514 "/>
    <s v=" 64.1585 "/>
    <x v="0"/>
    <n v="113795"/>
    <m/>
    <m/>
  </r>
  <r>
    <x v="9"/>
    <x v="4"/>
    <s v="F:\Données chgh\2020-CHG-CZA-Atenolol-1\plaque 1/@09 Atenolol 0.1/E9_03.tif "/>
    <s v=" 454.2278 "/>
    <s v=" 62.6667 "/>
    <x v="0"/>
    <n v="28465"/>
    <m/>
    <m/>
  </r>
  <r>
    <x v="9"/>
    <x v="5"/>
    <s v="F:\Données chgh\2020-CHG-CZA-Atenolol-1\plaque 1/@09 Atenolol 0.1/F9_01.tif "/>
    <s v=" 8695.2176 "/>
    <s v=" 74.597 "/>
    <x v="0"/>
    <n v="648637"/>
    <m/>
    <m/>
  </r>
  <r>
    <x v="9"/>
    <x v="5"/>
    <s v="F:\Données chgh\2020-CHG-CZA-Atenolol-1\plaque 1/@09 Atenolol 0.1/F9_02.tif "/>
    <s v=" 9214.3351 "/>
    <s v=" 74.5094 "/>
    <x v="0"/>
    <n v="686554"/>
    <m/>
    <m/>
  </r>
  <r>
    <x v="9"/>
    <x v="5"/>
    <s v="F:\Données chgh\2020-CHG-CZA-Atenolol-1\plaque 1/@09 Atenolol 0.1/F9_03.tif "/>
    <s v=" 6575.488 "/>
    <s v=" 75.6875 "/>
    <x v="0"/>
    <n v="497682"/>
    <m/>
    <m/>
  </r>
  <r>
    <x v="9"/>
    <x v="6"/>
    <s v="F:\Données chgh\2020-CHG-CZA-Atenolol-1\plaque 1/@09 Atenolol 0.1/G9_01.tif "/>
    <s v=" 3028.1852 "/>
    <s v=" 64.6 "/>
    <x v="0"/>
    <n v="195621"/>
    <m/>
    <m/>
  </r>
  <r>
    <x v="9"/>
    <x v="6"/>
    <s v="F:\Données chgh\2020-CHG-CZA-Atenolol-1\plaque 1/@09 Atenolol 0.1/G9_02.tif "/>
    <s v=" 1362.6834 "/>
    <s v=" 65.0635 "/>
    <x v="0"/>
    <n v="88661"/>
    <m/>
    <m/>
  </r>
  <r>
    <x v="9"/>
    <x v="6"/>
    <s v="F:\Données chgh\2020-CHG-CZA-Atenolol-1\plaque 1/@09 Atenolol 0.1/G9_03.tif "/>
    <s v=" 3568.9326 "/>
    <s v=" 66.3636 "/>
    <x v="0"/>
    <n v="236847"/>
    <m/>
    <m/>
  </r>
  <r>
    <x v="9"/>
    <x v="7"/>
    <s v="F:\Données chgh\2020-CHG-CZA-Atenolol-1\plaque 1/@09 Atenolol 0.1/H9_01.tif "/>
    <s v=" 800.3061 "/>
    <s v=" 62.8649 "/>
    <x v="0"/>
    <n v="50311"/>
    <m/>
    <m/>
  </r>
  <r>
    <x v="9"/>
    <x v="7"/>
    <s v="F:\Données chgh\2020-CHG-CZA-Atenolol-1\plaque 1/@09 Atenolol 0.1/H9_02.tif "/>
    <s v=" 735.4164 "/>
    <s v=" 64.2941 "/>
    <x v="0"/>
    <n v="47283"/>
    <m/>
    <m/>
  </r>
  <r>
    <x v="9"/>
    <x v="7"/>
    <s v="F:\Données chgh\2020-CHG-CZA-Atenolol-1\plaque 1/@09 Atenolol 0.1/H9_03.tif "/>
    <s v=" 1470.8328 "/>
    <s v=" 64.9559 "/>
    <x v="0"/>
    <n v="95539"/>
    <m/>
    <m/>
  </r>
  <r>
    <x v="1"/>
    <x v="8"/>
    <s v=" "/>
    <m/>
    <m/>
    <x v="1"/>
    <m/>
    <m/>
    <m/>
  </r>
  <r>
    <x v="1"/>
    <x v="8"/>
    <s v="group "/>
    <s v=" "/>
    <s v=" mean of mean fluo "/>
    <x v="2"/>
    <s v=" mean of total fluo "/>
    <s v=" SD total fluo "/>
    <s v=" n fluorescent "/>
  </r>
  <r>
    <x v="9"/>
    <x v="9"/>
    <s v="F:\Données chgh\2020-CHG-CZA-Atenolol-1\plaque 1/@09 Atenolol 0.1/ "/>
    <s v=" "/>
    <s v=" 67.3528 "/>
    <x v="11"/>
    <s v=" 243515.542 "/>
    <s v=" 216432.18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Atenolol-1\plaque 1/@10 Atenolol 1/A10_01.tif "/>
    <s v=" 8781.7372 "/>
    <s v=" 80.6897 "/>
    <x v="0"/>
    <n v="708595"/>
    <m/>
    <m/>
  </r>
  <r>
    <x v="10"/>
    <x v="0"/>
    <s v="F:\Données chgh\2020-CHG-CZA-Atenolol-1\plaque 1/@10 Atenolol 1/A10_02.tif "/>
    <s v=" 7635.3528 "/>
    <s v=" 78.4674 "/>
    <x v="0"/>
    <n v="599126"/>
    <m/>
    <m/>
  </r>
  <r>
    <x v="10"/>
    <x v="0"/>
    <s v="F:\Données chgh\2020-CHG-CZA-Atenolol-1\plaque 1/@10 Atenolol 1/A10_03.tif "/>
    <s v=" 6921.5663 "/>
    <s v=" 73.1656 "/>
    <x v="0"/>
    <n v="506421"/>
    <m/>
    <m/>
  </r>
  <r>
    <x v="10"/>
    <x v="1"/>
    <s v="F:\Données chgh\2020-CHG-CZA-Atenolol-1\plaque 1/@10 Atenolol 1/B10_01.tif "/>
    <s v=" 5342.584 "/>
    <s v=" 69.3522 "/>
    <x v="0"/>
    <n v="370520"/>
    <m/>
    <m/>
  </r>
  <r>
    <x v="10"/>
    <x v="1"/>
    <s v="F:\Données chgh\2020-CHG-CZA-Atenolol-1\plaque 1/@10 Atenolol 1/B10_02.tif "/>
    <s v=" 6337.5591 "/>
    <s v=" 72.4096 "/>
    <x v="0"/>
    <n v="458900"/>
    <m/>
    <m/>
  </r>
  <r>
    <x v="10"/>
    <x v="1"/>
    <s v="F:\Données chgh\2020-CHG-CZA-Atenolol-1\plaque 1/@10 Atenolol 1/B10_03.tif "/>
    <s v=" 6748.5271 "/>
    <s v=" 72.5321 "/>
    <x v="0"/>
    <n v="489485"/>
    <m/>
    <m/>
  </r>
  <r>
    <x v="10"/>
    <x v="2"/>
    <s v="F:\Données chgh\2020-CHG-CZA-Atenolol-1\plaque 1/@10 Atenolol 1/C10_01.tif "/>
    <s v=" 562.3773 "/>
    <n v="64"/>
    <x v="0"/>
    <n v="35992"/>
    <m/>
    <m/>
  </r>
  <r>
    <x v="10"/>
    <x v="2"/>
    <s v="F:\Données chgh\2020-CHG-CZA-Atenolol-1\plaque 1/@10 Atenolol 1/C10_02.tif "/>
    <s v=" 584.0072 "/>
    <s v=" 64.5556 "/>
    <x v="0"/>
    <n v="37701"/>
    <m/>
    <m/>
  </r>
  <r>
    <x v="10"/>
    <x v="2"/>
    <s v="F:\Données chgh\2020-CHG-CZA-Atenolol-1\plaque 1/@10 Atenolol 1/C10_03.tif "/>
    <s v=" 367.7082 "/>
    <s v=" 64.2353 "/>
    <x v="0"/>
    <n v="23620"/>
    <m/>
    <m/>
  </r>
  <r>
    <x v="10"/>
    <x v="3"/>
    <s v="F:\Données chgh\2020-CHG-CZA-Atenolol-1\plaque 1/@10 Atenolol 1/D10_01.tif "/>
    <s v=" 11615.2534 "/>
    <s v=" 77.4637 "/>
    <x v="0"/>
    <n v="899760"/>
    <m/>
    <m/>
  </r>
  <r>
    <x v="10"/>
    <x v="3"/>
    <s v="F:\Données chgh\2020-CHG-CZA-Atenolol-1\plaque 1/@10 Atenolol 1/D10_02- exclu.tif"/>
    <m/>
    <m/>
    <x v="1"/>
    <m/>
    <m/>
    <m/>
  </r>
  <r>
    <x v="10"/>
    <x v="3"/>
    <s v="F:\Données chgh\2020-CHG-CZA-Atenolol-1\plaque 1/@10 Atenolol 1/D10_03.tif "/>
    <s v=" 7700.2425 "/>
    <s v=" 70.236 "/>
    <x v="0"/>
    <n v="540834"/>
    <m/>
    <m/>
  </r>
  <r>
    <x v="10"/>
    <x v="4"/>
    <s v="F:\Données chgh\2020-CHG-CZA-Atenolol-1\plaque 1/@10 Atenolol 1/E10_01.tif "/>
    <s v=" 2314.3987 "/>
    <s v=" 64.8598 "/>
    <x v="0"/>
    <n v="150111"/>
    <m/>
    <m/>
  </r>
  <r>
    <x v="10"/>
    <x v="4"/>
    <s v="F:\Données chgh\2020-CHG-CZA-Atenolol-1\plaque 1/@10 Atenolol 1/E10_02.tif "/>
    <s v=" 1016.605 "/>
    <s v=" 63.6809 "/>
    <x v="0"/>
    <n v="64738"/>
    <m/>
    <m/>
  </r>
  <r>
    <x v="10"/>
    <x v="4"/>
    <s v="F:\Données chgh\2020-CHG-CZA-Atenolol-1\plaque 1/@10 Atenolol 1/E10_03.tif "/>
    <s v=" 1492.4627 "/>
    <s v=" 62.8696 "/>
    <x v="0"/>
    <n v="93830"/>
    <m/>
    <m/>
  </r>
  <r>
    <x v="10"/>
    <x v="5"/>
    <s v="F:\Données chgh\2020-CHG-CZA-Atenolol-1\plaque 1/@10 Atenolol 1/F10_01.tif "/>
    <s v=" 11182.6555 "/>
    <s v=" 75.4971 "/>
    <x v="0"/>
    <n v="844258"/>
    <m/>
    <m/>
  </r>
  <r>
    <x v="10"/>
    <x v="5"/>
    <s v="F:\Données chgh\2020-CHG-CZA-Atenolol-1\plaque 1/@10 Atenolol 1/F10_02.tif "/>
    <s v=" 3763.6017 "/>
    <s v=" 65.5402 "/>
    <x v="0"/>
    <n v="246667"/>
    <m/>
    <m/>
  </r>
  <r>
    <x v="10"/>
    <x v="5"/>
    <s v="F:\Données chgh\2020-CHG-CZA-Atenolol-1\plaque 1/@10 Atenolol 1/F10_03.tif "/>
    <s v=" 1405.9432 "/>
    <s v=" 67.5231 "/>
    <x v="0"/>
    <n v="94934"/>
    <m/>
    <m/>
  </r>
  <r>
    <x v="10"/>
    <x v="6"/>
    <s v="F:\Données chgh\2020-CHG-CZA-Atenolol-1\plaque 1/@10 Atenolol 1/G10_01.tif "/>
    <s v=" 8197.7301 "/>
    <s v=" 69.8602 "/>
    <x v="0"/>
    <n v="572695"/>
    <m/>
    <m/>
  </r>
  <r>
    <x v="10"/>
    <x v="6"/>
    <s v="F:\Données chgh\2020-CHG-CZA-Atenolol-1\plaque 1/@10 Atenolol 1/G10_02.tif "/>
    <s v=" 4369.2387 "/>
    <s v=" 67.9604 "/>
    <x v="0"/>
    <n v="296935"/>
    <m/>
    <m/>
  </r>
  <r>
    <x v="10"/>
    <x v="6"/>
    <s v="F:\Données chgh\2020-CHG-CZA-Atenolol-1\plaque 1/@10 Atenolol 1/G10_03.tif "/>
    <s v=" 5212.8046 "/>
    <s v=" 66.751 "/>
    <x v="0"/>
    <n v="347960"/>
    <m/>
    <m/>
  </r>
  <r>
    <x v="10"/>
    <x v="7"/>
    <s v="F:\Données chgh\2020-CHG-CZA-Atenolol-1\plaque 1/@10 Atenolol 1/H10_01.tif "/>
    <s v=" 7159.4951 "/>
    <s v=" 76.5015 "/>
    <x v="0"/>
    <n v="547712"/>
    <m/>
    <m/>
  </r>
  <r>
    <x v="10"/>
    <x v="7"/>
    <s v="F:\Données chgh\2020-CHG-CZA-Atenolol-1\plaque 1/@10 Atenolol 1/H10_02- exclu.tif"/>
    <m/>
    <m/>
    <x v="1"/>
    <m/>
    <m/>
    <m/>
  </r>
  <r>
    <x v="10"/>
    <x v="7"/>
    <s v="F:\Données chgh\2020-CHG-CZA-Atenolol-1\plaque 1/@10 Atenolol 1/H10_03.tif "/>
    <s v=" 7678.6126 "/>
    <s v=" 80.3408 "/>
    <x v="0"/>
    <n v="616906"/>
    <m/>
    <m/>
  </r>
  <r>
    <x v="1"/>
    <x v="8"/>
    <s v=" "/>
    <m/>
    <m/>
    <x v="1"/>
    <m/>
    <m/>
    <m/>
  </r>
  <r>
    <x v="1"/>
    <x v="8"/>
    <s v="group "/>
    <s v=" "/>
    <s v=" mean of mean fluo "/>
    <x v="2"/>
    <s v=" mean of total fluo "/>
    <s v=" SD total fluo "/>
    <s v=" n fluorescent "/>
  </r>
  <r>
    <x v="10"/>
    <x v="9"/>
    <s v="F:\Données chgh\2020-CHG-CZA-Atenolol-1\plaque 1/@10 Atenolol 1/ "/>
    <s v=" "/>
    <s v=" 70.2539 "/>
    <x v="12"/>
    <s v=" 397814.25 "/>
    <s v=" 274332.38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Atenolol-1\plaque 1/@11 Atenolol 10/A11_01.tif "/>
    <s v=" 6380.8189 "/>
    <s v=" 67.3695 "/>
    <x v="0"/>
    <n v="429873"/>
    <m/>
    <m/>
  </r>
  <r>
    <x v="11"/>
    <x v="0"/>
    <s v="F:\Données chgh\2020-CHG-CZA-Atenolol-1\plaque 1/@11 Atenolol 10/A11_02.tif "/>
    <s v=" 865.1958 "/>
    <s v=" 63.025 "/>
    <x v="0"/>
    <n v="54529"/>
    <m/>
    <m/>
  </r>
  <r>
    <x v="11"/>
    <x v="0"/>
    <s v="F:\Données chgh\2020-CHG-CZA-Atenolol-1\plaque 1/@11 Atenolol 10/A11_03.tif "/>
    <s v=" 281.1886 "/>
    <s v=" 61.8462 "/>
    <x v="0"/>
    <n v="17390"/>
    <m/>
    <m/>
  </r>
  <r>
    <x v="11"/>
    <x v="1"/>
    <s v="F:\Données chgh\2020-CHG-CZA-Atenolol-1\plaque 1/@11 Atenolol 10/B11_01.tif "/>
    <s v=" 6445.7086 "/>
    <s v=" 68.8389 "/>
    <x v="0"/>
    <n v="443716"/>
    <m/>
    <m/>
  </r>
  <r>
    <x v="11"/>
    <x v="1"/>
    <s v="F:\Données chgh\2020-CHG-CZA-Atenolol-1\plaque 1/@11 Atenolol 10/B11_02.tif "/>
    <s v=" 4109.68 "/>
    <s v=" 67.7632 "/>
    <x v="0"/>
    <n v="278485"/>
    <m/>
    <m/>
  </r>
  <r>
    <x v="11"/>
    <x v="1"/>
    <s v="F:\Données chgh\2020-CHG-CZA-Atenolol-1\plaque 1/@11 Atenolol 10/B11_03.tif "/>
    <s v=" 7332.5343 "/>
    <s v=" 72.7965 "/>
    <x v="0"/>
    <n v="533783"/>
    <m/>
    <m/>
  </r>
  <r>
    <x v="11"/>
    <x v="2"/>
    <s v="F:\Données chgh\2020-CHG-CZA-Atenolol-1\plaque 1/@11 Atenolol 10/C11_01.tif "/>
    <s v=" 2725.3667 "/>
    <s v=" 69.3254 "/>
    <x v="0"/>
    <n v="188937"/>
    <m/>
    <m/>
  </r>
  <r>
    <x v="11"/>
    <x v="2"/>
    <s v="F:\Données chgh\2020-CHG-CZA-Atenolol-1\plaque 1/@11 Atenolol 10/C11_02.tif "/>
    <s v=" 4499.0181 "/>
    <s v=" 69.4231 "/>
    <x v="0"/>
    <n v="312336"/>
    <m/>
    <m/>
  </r>
  <r>
    <x v="11"/>
    <x v="2"/>
    <s v="F:\Données chgh\2020-CHG-CZA-Atenolol-1\plaque 1/@11 Atenolol 10/C11_03.tif "/>
    <s v=" 4909.9861 "/>
    <s v=" 69.859 "/>
    <x v="0"/>
    <n v="343007"/>
    <m/>
    <m/>
  </r>
  <r>
    <x v="11"/>
    <x v="3"/>
    <s v="F:\Données chgh\2020-CHG-CZA-Atenolol-1\plaque 1/@11 Atenolol 10/D11_01.tif "/>
    <s v=" 259.5587 "/>
    <s v=" 63.1667 "/>
    <x v="0"/>
    <n v="16395"/>
    <m/>
    <m/>
  </r>
  <r>
    <x v="11"/>
    <x v="3"/>
    <s v="F:\Données chgh\2020-CHG-CZA-Atenolol-1\plaque 1/@11 Atenolol 10/D11_02.tif "/>
    <s v=" 3871.7511 "/>
    <s v=" 65.0056 "/>
    <x v="0"/>
    <n v="251685"/>
    <m/>
    <m/>
  </r>
  <r>
    <x v="11"/>
    <x v="3"/>
    <s v="F:\Données chgh\2020-CHG-CZA-Atenolol-1\plaque 1/@11 Atenolol 10/D11_03- exclu.tif"/>
    <m/>
    <m/>
    <x v="1"/>
    <m/>
    <m/>
    <m/>
  </r>
  <r>
    <x v="11"/>
    <x v="4"/>
    <s v="F:\Données chgh\2020-CHG-CZA-Atenolol-1\plaque 1/@11 Atenolol 10/E11_01.tif "/>
    <s v=" 5753.552 "/>
    <s v=" 67.1165 "/>
    <x v="0"/>
    <n v="386159"/>
    <m/>
    <m/>
  </r>
  <r>
    <x v="11"/>
    <x v="4"/>
    <s v="F:\Données chgh\2020-CHG-CZA-Atenolol-1\plaque 1/@11 Atenolol 10/E11_02.tif "/>
    <s v=" 4088.0501 "/>
    <s v=" 67.5714 "/>
    <x v="0"/>
    <n v="276235"/>
    <m/>
    <m/>
  </r>
  <r>
    <x v="11"/>
    <x v="4"/>
    <s v="F:\Données chgh\2020-CHG-CZA-Atenolol-1\plaque 1/@11 Atenolol 10/E11_03.tif "/>
    <s v=" 2141.3596 "/>
    <s v=" 64.3434 "/>
    <x v="0"/>
    <n v="137782"/>
    <m/>
    <m/>
  </r>
  <r>
    <x v="11"/>
    <x v="5"/>
    <s v="F:\Données chgh\2020-CHG-CZA-Atenolol-1\plaque 1/@11 Atenolol 10/F11_01.tif "/>
    <s v=" 6813.4168 "/>
    <s v=" 70.8508 "/>
    <x v="0"/>
    <n v="482736"/>
    <m/>
    <m/>
  </r>
  <r>
    <x v="11"/>
    <x v="5"/>
    <s v="F:\Données chgh\2020-CHG-CZA-Atenolol-1\plaque 1/@11 Atenolol 10/F11_02.tif "/>
    <s v=" 3201.2244 "/>
    <s v=" 67.4459 "/>
    <x v="0"/>
    <n v="215910"/>
    <m/>
    <m/>
  </r>
  <r>
    <x v="11"/>
    <x v="5"/>
    <s v="F:\Données chgh\2020-CHG-CZA-Atenolol-1\plaque 1/@11 Atenolol 10/F11_03.tif "/>
    <s v=" 5126.285 "/>
    <s v=" 66.5316 "/>
    <x v="0"/>
    <n v="341060"/>
    <m/>
    <m/>
  </r>
  <r>
    <x v="11"/>
    <x v="6"/>
    <s v="F:\Données chgh\2020-CHG-CZA-Atenolol-1\plaque 1/@11 Atenolol 10/G11_01.tif "/>
    <s v=" 973.3453 "/>
    <s v=" 63.1778 "/>
    <x v="0"/>
    <n v="61494"/>
    <m/>
    <m/>
  </r>
  <r>
    <x v="11"/>
    <x v="6"/>
    <s v="F:\Données chgh\2020-CHG-CZA-Atenolol-1\plaque 1/@11 Atenolol 10/G11_02.tif "/>
    <s v=" 951.7154 "/>
    <s v=" 65.3864 "/>
    <x v="0"/>
    <n v="62229"/>
    <m/>
    <m/>
  </r>
  <r>
    <x v="11"/>
    <x v="6"/>
    <s v="F:\Données chgh\2020-CHG-CZA-Atenolol-1\plaque 1/@11 Atenolol 10/G11_03.tif "/>
    <s v=" 2054.84 "/>
    <s v=" 64.2842 "/>
    <x v="0"/>
    <n v="132094"/>
    <m/>
    <m/>
  </r>
  <r>
    <x v="11"/>
    <x v="7"/>
    <s v="F:\Données chgh\2020-CHG-CZA-Atenolol-1\plaque 1/@11 Atenolol 10/H11_01.tif "/>
    <s v=" 908.4556 "/>
    <s v=" 66.0952 "/>
    <x v="0"/>
    <n v="60045"/>
    <m/>
    <m/>
  </r>
  <r>
    <x v="11"/>
    <x v="7"/>
    <s v="F:\Données chgh\2020-CHG-CZA-Atenolol-1\plaque 1/@11 Atenolol 10/H11_02.tif "/>
    <s v=" 627.2669 "/>
    <n v="67"/>
    <x v="0"/>
    <n v="42027"/>
    <m/>
    <m/>
  </r>
  <r>
    <x v="11"/>
    <x v="7"/>
    <s v="F:\Données chgh\2020-CHG-CZA-Atenolol-1\plaque 1/@11 Atenolol 10/H11_03.tif "/>
    <s v=" 973.3453 "/>
    <s v=" 64.5111 "/>
    <x v="0"/>
    <n v="62792"/>
    <m/>
    <m/>
  </r>
  <r>
    <x v="1"/>
    <x v="8"/>
    <s v=" "/>
    <m/>
    <m/>
    <x v="1"/>
    <m/>
    <m/>
    <m/>
  </r>
  <r>
    <x v="1"/>
    <x v="8"/>
    <s v="group "/>
    <s v=" "/>
    <s v=" mean of mean fluo "/>
    <x v="2"/>
    <s v=" mean of total fluo "/>
    <s v=" SD total fluo "/>
    <s v=" n fluorescent "/>
  </r>
  <r>
    <x v="11"/>
    <x v="9"/>
    <s v="F:\Données chgh\2020-CHG-CZA-Atenolol-1\plaque 1/@11 Atenolol 10/ "/>
    <s v=" "/>
    <s v=" 66.5167 "/>
    <x v="13"/>
    <s v=" 214123.417 "/>
    <s v=" 166347.27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Atenolol-1\plaque 1/@12  Atenolol 100/A12_01.tif "/>
    <s v=" 10014.6412 "/>
    <s v=" 69.1404 "/>
    <x v="0"/>
    <n v="692416"/>
    <m/>
    <m/>
  </r>
  <r>
    <x v="12"/>
    <x v="0"/>
    <s v="F:\Données chgh\2020-CHG-CZA-Atenolol-1\plaque 1/@12  Atenolol 100/A12_02.tif "/>
    <s v=" 7051.3456 "/>
    <s v=" 66.2975 "/>
    <x v="0"/>
    <n v="467487"/>
    <m/>
    <m/>
  </r>
  <r>
    <x v="12"/>
    <x v="0"/>
    <s v="F:\Données chgh\2020-CHG-CZA-Atenolol-1\plaque 1/@12  Atenolol 100/A12_03.tif "/>
    <s v=" 7116.2353 "/>
    <s v=" 67.6778 "/>
    <x v="0"/>
    <n v="481611"/>
    <m/>
    <m/>
  </r>
  <r>
    <x v="12"/>
    <x v="1"/>
    <s v="F:\Données chgh\2020-CHG-CZA-Atenolol-1\plaque 1/@12  Atenolol 100/B12_01.tif "/>
    <s v=" 13951.282 "/>
    <s v=" 75.9147 "/>
    <x v="0"/>
    <n v="1059108"/>
    <m/>
    <m/>
  </r>
  <r>
    <x v="12"/>
    <x v="1"/>
    <s v="F:\Données chgh\2020-CHG-CZA-Atenolol-1\plaque 1/@12  Atenolol 100/B12_02.tif "/>
    <s v=" 8392.3991 "/>
    <s v=" 72.1418 "/>
    <x v="0"/>
    <n v="605442"/>
    <m/>
    <m/>
  </r>
  <r>
    <x v="12"/>
    <x v="1"/>
    <s v="F:\Données chgh\2020-CHG-CZA-Atenolol-1\plaque 1/@12  Atenolol 100/B12_03.tif "/>
    <s v=" 13345.645 "/>
    <s v=" 79.1005 "/>
    <x v="0"/>
    <n v="1055647"/>
    <m/>
    <m/>
  </r>
  <r>
    <x v="12"/>
    <x v="2"/>
    <s v="F:\Données chgh\2020-CHG-CZA-Atenolol-1\plaque 1/@12  Atenolol 100/C12_01.tif "/>
    <s v=" 7419.0539 "/>
    <s v=" 70.898 "/>
    <x v="0"/>
    <n v="525996"/>
    <m/>
    <m/>
  </r>
  <r>
    <x v="12"/>
    <x v="2"/>
    <s v="F:\Données chgh\2020-CHG-CZA-Atenolol-1\plaque 1/@12  Atenolol 100/C12_02.tif "/>
    <s v=" 2876.776 "/>
    <s v=" 64.8346 "/>
    <x v="0"/>
    <n v="186515"/>
    <m/>
    <m/>
  </r>
  <r>
    <x v="12"/>
    <x v="2"/>
    <s v="F:\Données chgh\2020-CHG-CZA-Atenolol-1\plaque 1/@12  Atenolol 100/C12_03.tif "/>
    <s v=" 5147.9149 "/>
    <s v=" 67.3025 "/>
    <x v="0"/>
    <n v="346468"/>
    <m/>
    <m/>
  </r>
  <r>
    <x v="12"/>
    <x v="3"/>
    <s v="F:\Données chgh\2020-CHG-CZA-Atenolol-1\plaque 1/@12  Atenolol 100/D12_01.tif "/>
    <s v=" 8565.4383 "/>
    <s v=" 71.1591 "/>
    <x v="0"/>
    <n v="609509"/>
    <m/>
    <m/>
  </r>
  <r>
    <x v="12"/>
    <x v="3"/>
    <s v="F:\Données chgh\2020-CHG-CZA-Atenolol-1\plaque 1/@12  Atenolol 100/D12_02.tif "/>
    <s v=" 5818.4417 "/>
    <s v=" 72.6914 "/>
    <x v="0"/>
    <n v="422951"/>
    <m/>
    <m/>
  </r>
  <r>
    <x v="12"/>
    <x v="3"/>
    <s v="F:\Données chgh\2020-CHG-CZA-Atenolol-1\plaque 1/@12  Atenolol 100/D12_03.tif "/>
    <s v=" 6034.7406 "/>
    <s v=" 70.509 "/>
    <x v="0"/>
    <n v="425503"/>
    <m/>
    <m/>
  </r>
  <r>
    <x v="12"/>
    <x v="4"/>
    <s v="F:\Données chgh\2020-CHG-CZA-Atenolol-1\plaque 1/@12  Atenolol 100/E12_01.tif "/>
    <s v=" 6964.8261 "/>
    <s v=" 64.8292 "/>
    <x v="0"/>
    <n v="451524"/>
    <m/>
    <m/>
  </r>
  <r>
    <x v="12"/>
    <x v="4"/>
    <s v="F:\Données chgh\2020-CHG-CZA-Atenolol-1\plaque 1/@12  Atenolol 100/E12_02.tif "/>
    <s v=" 497.4876 "/>
    <s v=" 63.2174 "/>
    <x v="0"/>
    <n v="31450"/>
    <m/>
    <m/>
  </r>
  <r>
    <x v="12"/>
    <x v="4"/>
    <s v="F:\Données chgh\2020-CHG-CZA-Atenolol-1\plaque 1/@12  Atenolol 100/E12_03.tif "/>
    <s v=" 4174.5697 "/>
    <s v=" 63.7202 "/>
    <x v="0"/>
    <n v="266004"/>
    <m/>
    <m/>
  </r>
  <r>
    <x v="12"/>
    <x v="5"/>
    <s v="F:\Données chgh\2020-CHG-CZA-Atenolol-1\plaque 1/@12  Atenolol 100/F12_01.tif "/>
    <s v=" 8781.7372 "/>
    <s v=" 74.1502 "/>
    <x v="0"/>
    <n v="651168"/>
    <m/>
    <m/>
  </r>
  <r>
    <x v="12"/>
    <x v="5"/>
    <s v="F:\Données chgh\2020-CHG-CZA-Atenolol-1\plaque 1/@12  Atenolol 100/F12_02.tif "/>
    <s v=" 8608.6981 "/>
    <s v=" 73.1683 "/>
    <x v="0"/>
    <n v="629884"/>
    <m/>
    <m/>
  </r>
  <r>
    <x v="12"/>
    <x v="5"/>
    <s v="F:\Données chgh\2020-CHG-CZA-Atenolol-1\plaque 1/@12  Atenolol 100/F12_03.tif "/>
    <s v=" 1665.5019 "/>
    <s v=" 65.4156 "/>
    <x v="0"/>
    <n v="108950"/>
    <m/>
    <m/>
  </r>
  <r>
    <x v="12"/>
    <x v="6"/>
    <s v="F:\Données chgh\2020-CHG-CZA-Atenolol-1\plaque 1/@12  Atenolol 100/G12_01.tif "/>
    <s v=" 5775.1819 "/>
    <s v=" 68.573 "/>
    <x v="0"/>
    <n v="396022"/>
    <m/>
    <m/>
  </r>
  <r>
    <x v="12"/>
    <x v="6"/>
    <s v="F:\Données chgh\2020-CHG-CZA-Atenolol-1\plaque 1/@12  Atenolol 100/G12_02.tif "/>
    <s v=" 800.3061 "/>
    <s v=" 64.9459 "/>
    <x v="0"/>
    <n v="51977"/>
    <m/>
    <m/>
  </r>
  <r>
    <x v="12"/>
    <x v="6"/>
    <s v="F:\Données chgh\2020-CHG-CZA-Atenolol-1\plaque 1/@12  Atenolol 100/G12_03.tif "/>
    <s v=" 1189.6442 "/>
    <s v=" 64.4364 "/>
    <x v="0"/>
    <n v="76656"/>
    <m/>
    <m/>
  </r>
  <r>
    <x v="12"/>
    <x v="7"/>
    <s v="F:\Données chgh\2020-CHG-CZA-Atenolol-1\plaque 1/@12  Atenolol 100/H12_01.tif "/>
    <s v=" 7981.4311 "/>
    <s v=" 73.9024 "/>
    <x v="0"/>
    <n v="589847"/>
    <m/>
    <m/>
  </r>
  <r>
    <x v="12"/>
    <x v="7"/>
    <s v="F:\Données chgh\2020-CHG-CZA-Atenolol-1\plaque 1/@12  Atenolol 100/H12_02.tif "/>
    <s v=" 9928.1216 "/>
    <s v=" 70.9216 "/>
    <x v="0"/>
    <n v="704118"/>
    <m/>
    <m/>
  </r>
  <r>
    <x v="12"/>
    <x v="7"/>
    <s v="F:\Données chgh\2020-CHG-CZA-Atenolol-1\plaque 1/@12  Atenolol 100/H12_03.tif "/>
    <s v=" 6272.6694 "/>
    <s v=" 70.6448 "/>
    <x v="0"/>
    <n v="443132"/>
    <m/>
    <m/>
  </r>
  <r>
    <x v="1"/>
    <x v="8"/>
    <s v=" "/>
    <m/>
    <m/>
    <x v="1"/>
    <m/>
    <m/>
    <m/>
  </r>
  <r>
    <x v="1"/>
    <x v="8"/>
    <s v="group "/>
    <s v=" "/>
    <s v=" mean of mean fluo "/>
    <x v="2"/>
    <s v=" mean of total fluo "/>
    <s v=" SD total fluo "/>
    <s v=" n fluorescent "/>
  </r>
  <r>
    <x v="12"/>
    <x v="9"/>
    <s v="F:\Données chgh\2020-CHG-CZA-Atenolol-1\plaque 1/@12  Atenolol 100/ "/>
    <s v=" "/>
    <s v=" 69.3997 "/>
    <x v="14"/>
    <s v=" 469974.375 "/>
    <s v=" 272528.94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Atenolol-1\plaque 2/@13 Testo 30/A1_01.tif "/>
    <s v=" 40599.3122 "/>
    <s v=" 71.3623 "/>
    <x v="0"/>
    <n v="2897259"/>
    <m/>
    <m/>
  </r>
  <r>
    <x v="13"/>
    <x v="0"/>
    <s v="F:\Données chgh\2020-CHG-CZA-Atenolol-1\plaque 2/@13 Testo 30/A1_02- exclu.tif"/>
    <m/>
    <m/>
    <x v="1"/>
    <m/>
    <m/>
    <m/>
  </r>
  <r>
    <x v="13"/>
    <x v="0"/>
    <s v="F:\Données chgh\2020-CHG-CZA-Atenolol-1\plaque 2/@13 Testo 30/A1_03.tif "/>
    <s v=" 38566.1021 "/>
    <s v=" 72.0376 "/>
    <x v="0"/>
    <n v="2778209"/>
    <m/>
    <m/>
  </r>
  <r>
    <x v="13"/>
    <x v="1"/>
    <s v="F:\Données chgh\2020-CHG-CZA-Atenolol-1\plaque 2/@13 Testo 30/B1_01.tif "/>
    <s v=" 29048.9485 "/>
    <s v=" 67.2241 "/>
    <x v="0"/>
    <n v="1952790"/>
    <m/>
    <m/>
  </r>
  <r>
    <x v="13"/>
    <x v="1"/>
    <s v="F:\Données chgh\2020-CHG-CZA-Atenolol-1\plaque 2/@13 Testo 30/B1_02- exclu.tif"/>
    <m/>
    <m/>
    <x v="1"/>
    <m/>
    <m/>
    <m/>
  </r>
  <r>
    <x v="13"/>
    <x v="1"/>
    <s v="F:\Données chgh\2020-CHG-CZA-Atenolol-1\plaque 2/@13 Testo 30/B1_03.tif "/>
    <s v=" 27967.4538 "/>
    <s v=" 67.9776 "/>
    <x v="0"/>
    <n v="1901160"/>
    <m/>
    <m/>
  </r>
  <r>
    <x v="13"/>
    <x v="2"/>
    <s v="F:\Données chgh\2020-CHG-CZA-Atenolol-1\plaque 2/@13 Testo 30/C1_01.tif "/>
    <s v=" 35408.1375 "/>
    <s v=" 70.8363 "/>
    <x v="0"/>
    <n v="2508181"/>
    <m/>
    <m/>
  </r>
  <r>
    <x v="13"/>
    <x v="2"/>
    <s v="F:\Données chgh\2020-CHG-CZA-Atenolol-1\plaque 2/@13 Testo 30/C1_02.tif "/>
    <s v=" 37484.6074 "/>
    <s v=" 69.6145 "/>
    <x v="0"/>
    <n v="2609474"/>
    <m/>
    <m/>
  </r>
  <r>
    <x v="13"/>
    <x v="2"/>
    <s v="F:\Données chgh\2020-CHG-CZA-Atenolol-1\plaque 2/@13 Testo 30/C1_03.tif "/>
    <s v=" 41161.6895 "/>
    <s v=" 70.2985 "/>
    <x v="0"/>
    <n v="2893604"/>
    <m/>
    <m/>
  </r>
  <r>
    <x v="13"/>
    <x v="3"/>
    <s v="F:\Données chgh\2020-CHG-CZA-Atenolol-1\plaque 2/@13 Testo 30/D1_01.tif "/>
    <s v=" 61126.0822 "/>
    <s v=" 74.6684 "/>
    <x v="0"/>
    <n v="4564189"/>
    <m/>
    <m/>
  </r>
  <r>
    <x v="13"/>
    <x v="3"/>
    <s v="F:\Données chgh\2020-CHG-CZA-Atenolol-1\plaque 2/@13 Testo 30/D1_02.tif "/>
    <s v=" 55350.9004 "/>
    <s v=" 74.5233 "/>
    <x v="0"/>
    <n v="4124929"/>
    <m/>
    <m/>
  </r>
  <r>
    <x v="13"/>
    <x v="3"/>
    <s v="F:\Données chgh\2020-CHG-CZA-Atenolol-1\plaque 2/@13 Testo 30/D1_03.tif "/>
    <s v=" 58184.4166 "/>
    <s v=" 74.9888 "/>
    <x v="0"/>
    <n v="4363182"/>
    <m/>
    <m/>
  </r>
  <r>
    <x v="13"/>
    <x v="4"/>
    <s v="F:\Données chgh\2020-CHG-CZA-Atenolol-1\plaque 2/@13 Testo 30/E1_01.tif "/>
    <s v=" 58941.4629 "/>
    <s v=" 74.4294 "/>
    <x v="0"/>
    <n v="4386975"/>
    <m/>
    <m/>
  </r>
  <r>
    <x v="13"/>
    <x v="4"/>
    <s v="F:\Données chgh\2020-CHG-CZA-Atenolol-1\plaque 2/@13 Testo 30/E1_02.tif "/>
    <s v=" 57795.0784 "/>
    <s v=" 73.6482 "/>
    <x v="0"/>
    <n v="4256504"/>
    <m/>
    <m/>
  </r>
  <r>
    <x v="13"/>
    <x v="4"/>
    <s v="F:\Données chgh\2020-CHG-CZA-Atenolol-1\plaque 2/@13 Testo 30/E1_03.tif "/>
    <s v=" 66295.627 "/>
    <s v=" 74.4427 "/>
    <x v="0"/>
    <n v="4935228"/>
    <m/>
    <m/>
  </r>
  <r>
    <x v="13"/>
    <x v="5"/>
    <s v="F:\Données chgh\2020-CHG-CZA-Atenolol-1\plaque 2/@13 Testo 30/F1_01.tif "/>
    <s v=" 72827.8552 "/>
    <s v=" 82.61 "/>
    <x v="0"/>
    <n v="6016312"/>
    <m/>
    <m/>
  </r>
  <r>
    <x v="13"/>
    <x v="5"/>
    <s v="F:\Données chgh\2020-CHG-CZA-Atenolol-1\plaque 2/@13 Testo 30/F1_02.tif "/>
    <s v=" 62834.8439 "/>
    <s v=" 78.4923 "/>
    <x v="0"/>
    <n v="4932049"/>
    <m/>
    <m/>
  </r>
  <r>
    <x v="13"/>
    <x v="5"/>
    <s v="F:\Données chgh\2020-CHG-CZA-Atenolol-1\plaque 2/@13 Testo 30/F1_03.tif "/>
    <s v=" 59503.8401 "/>
    <s v=" 78.5743 "/>
    <x v="0"/>
    <n v="4675475"/>
    <m/>
    <m/>
  </r>
  <r>
    <x v="13"/>
    <x v="6"/>
    <s v="F:\Données chgh\2020-CHG-CZA-Atenolol-1\plaque 2/@13 Testo 30/G1_01.tif "/>
    <s v=" 39777.3762 "/>
    <s v=" 73.8793 "/>
    <x v="0"/>
    <n v="2938724"/>
    <m/>
    <m/>
  </r>
  <r>
    <x v="13"/>
    <x v="6"/>
    <s v="F:\Données chgh\2020-CHG-CZA-Atenolol-1\plaque 2/@13 Testo 30/G1_02.tif "/>
    <s v=" 37700.9063 "/>
    <s v=" 72.5909 "/>
    <x v="0"/>
    <n v="2736744"/>
    <m/>
    <m/>
  </r>
  <r>
    <x v="13"/>
    <x v="6"/>
    <s v="F:\Données chgh\2020-CHG-CZA-Atenolol-1\plaque 2/@13 Testo 30/G1_03.tif "/>
    <s v=" 35581.1767 "/>
    <s v=" 74.0176 "/>
    <x v="0"/>
    <n v="2633634"/>
    <m/>
    <m/>
  </r>
  <r>
    <x v="13"/>
    <x v="7"/>
    <s v="F:\Données chgh\2020-CHG-CZA-Atenolol-1\plaque 2/@13 Testo 30/H1_01- exclu.tif"/>
    <m/>
    <m/>
    <x v="1"/>
    <m/>
    <m/>
    <m/>
  </r>
  <r>
    <x v="13"/>
    <x v="7"/>
    <s v="F:\Données chgh\2020-CHG-CZA-Atenolol-1\plaque 2/@13 Testo 30/H1_02.tif "/>
    <s v=" 51435.8894 "/>
    <s v=" 72.434 "/>
    <x v="0"/>
    <n v="3725706"/>
    <m/>
    <m/>
  </r>
  <r>
    <x v="13"/>
    <x v="7"/>
    <s v="F:\Données chgh\2020-CHG-CZA-Atenolol-1\plaque 2/@13 Testo 30/H1_03.tif "/>
    <s v=" 40750.7215 "/>
    <s v=" 71.8232 "/>
    <x v="0"/>
    <n v="2926849"/>
    <m/>
    <m/>
  </r>
  <r>
    <x v="1"/>
    <x v="8"/>
    <s v=" "/>
    <m/>
    <m/>
    <x v="1"/>
    <m/>
    <m/>
    <m/>
  </r>
  <r>
    <x v="1"/>
    <x v="8"/>
    <s v="group "/>
    <s v=" "/>
    <s v=" mean of mean fluo "/>
    <x v="2"/>
    <s v=" mean of total fluo "/>
    <s v=" SD total fluo "/>
    <s v=" n fluorescent "/>
  </r>
  <r>
    <x v="13"/>
    <x v="9"/>
    <s v="F:\Données chgh\2020-CHG-CZA-Atenolol-1\plaque 2/@13 Testo 30/ "/>
    <s v=" "/>
    <s v=" 72.8451 "/>
    <x v="15"/>
    <s v=" 3357666.21 "/>
    <s v=" 1219439.2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Atenolol-1\plaque 2/@14 Testo 30/A2_01.tif "/>
    <s v=" 18407.0403 "/>
    <s v=" 67.215 "/>
    <x v="0"/>
    <n v="1237230"/>
    <m/>
    <m/>
  </r>
  <r>
    <x v="14"/>
    <x v="0"/>
    <s v="F:\Données chgh\2020-CHG-CZA-Atenolol-1\plaque 2/@14 Testo 30/A2_02.tif "/>
    <s v=" 25847.7241 "/>
    <s v=" 69.3657 "/>
    <x v="0"/>
    <n v="1792945"/>
    <m/>
    <m/>
  </r>
  <r>
    <x v="14"/>
    <x v="0"/>
    <s v="F:\Données chgh\2020-CHG-CZA-Atenolol-1\plaque 2/@14 Testo 30/A2_03.tif "/>
    <s v=" 14621.8088 "/>
    <s v=" 66.1923 "/>
    <x v="0"/>
    <n v="967851"/>
    <m/>
    <m/>
  </r>
  <r>
    <x v="14"/>
    <x v="1"/>
    <s v="F:\Données chgh\2020-CHG-CZA-Atenolol-1\plaque 2/@14 Testo 30/B2_01.tif "/>
    <s v=" 45552.5581 "/>
    <s v=" 73.3414 "/>
    <x v="0"/>
    <n v="3340889"/>
    <m/>
    <m/>
  </r>
  <r>
    <x v="14"/>
    <x v="1"/>
    <s v="F:\Données chgh\2020-CHG-CZA-Atenolol-1\plaque 2/@14 Testo 30/B2_02.tif "/>
    <s v=" 51522.409 "/>
    <s v=" 73.492 "/>
    <x v="0"/>
    <n v="3786486"/>
    <m/>
    <m/>
  </r>
  <r>
    <x v="14"/>
    <x v="1"/>
    <s v="F:\Données chgh\2020-CHG-CZA-Atenolol-1\plaque 2/@14 Testo 30/B2_03.tif "/>
    <s v=" 46677.3126 "/>
    <s v=" 72.9954 "/>
    <x v="0"/>
    <n v="3407228"/>
    <m/>
    <m/>
  </r>
  <r>
    <x v="14"/>
    <x v="2"/>
    <s v="F:\Données chgh\2020-CHG-CZA-Atenolol-1\plaque 2/@14 Testo 30/C2_01.tif "/>
    <s v=" 30390.002 "/>
    <s v=" 68.3986 "/>
    <x v="0"/>
    <n v="2078633"/>
    <m/>
    <m/>
  </r>
  <r>
    <x v="14"/>
    <x v="2"/>
    <s v="F:\Données chgh\2020-CHG-CZA-Atenolol-1\plaque 2/@14 Testo 30/C2_02.tif "/>
    <s v=" 30779.3401 "/>
    <s v=" 67.922 "/>
    <x v="0"/>
    <n v="2090594"/>
    <m/>
    <m/>
  </r>
  <r>
    <x v="14"/>
    <x v="2"/>
    <s v="F:\Données chgh\2020-CHG-CZA-Atenolol-1\plaque 2/@14 Testo 30/C2_03- exclu.tif"/>
    <m/>
    <m/>
    <x v="1"/>
    <m/>
    <m/>
    <m/>
  </r>
  <r>
    <x v="14"/>
    <x v="3"/>
    <s v="F:\Données chgh\2020-CHG-CZA-Atenolol-1\plaque 2/@14 Testo 30/D2_01.tif "/>
    <s v=" 70383.6771 "/>
    <s v=" 78.6051 "/>
    <x v="0"/>
    <n v="5532516"/>
    <m/>
    <m/>
  </r>
  <r>
    <x v="14"/>
    <x v="3"/>
    <s v="F:\Données chgh\2020-CHG-CZA-Atenolol-1\plaque 2/@14 Testo 30/D2_02.tif "/>
    <s v=" 70383.6771 "/>
    <s v=" 76.9247 "/>
    <x v="0"/>
    <n v="5414244"/>
    <m/>
    <m/>
  </r>
  <r>
    <x v="14"/>
    <x v="3"/>
    <s v="F:\Données chgh\2020-CHG-CZA-Atenolol-1\plaque 2/@14 Testo 30/D2_03.tif "/>
    <s v=" 68285.5773 "/>
    <s v=" 75.8533 "/>
    <x v="0"/>
    <n v="5179689"/>
    <m/>
    <m/>
  </r>
  <r>
    <x v="14"/>
    <x v="4"/>
    <s v="F:\Données chgh\2020-CHG-CZA-Atenolol-1\plaque 2/@14 Testo 30/E2_01.tif "/>
    <s v=" 47542.5084 "/>
    <s v=" 70.955 "/>
    <x v="0"/>
    <n v="3373377"/>
    <m/>
    <m/>
  </r>
  <r>
    <x v="14"/>
    <x v="4"/>
    <s v="F:\Données chgh\2020-CHG-CZA-Atenolol-1\plaque 2/@14 Testo 30/E2_02.tif "/>
    <s v=" 35278.3581 "/>
    <s v=" 69.0343 "/>
    <x v="0"/>
    <n v="2435418"/>
    <m/>
    <m/>
  </r>
  <r>
    <x v="14"/>
    <x v="4"/>
    <s v="F:\Données chgh\2020-CHG-CZA-Atenolol-1\plaque 2/@14 Testo 30/E2_03- exclu.tif"/>
    <m/>
    <m/>
    <x v="1"/>
    <m/>
    <m/>
    <m/>
  </r>
  <r>
    <x v="14"/>
    <x v="5"/>
    <s v="F:\Données chgh\2020-CHG-CZA-Atenolol-1\plaque 2/@14 Testo 30/F2_01.tif "/>
    <s v=" 47326.2094 "/>
    <s v=" 74.0411 "/>
    <x v="0"/>
    <n v="3504086"/>
    <m/>
    <m/>
  </r>
  <r>
    <x v="14"/>
    <x v="5"/>
    <s v="F:\Données chgh\2020-CHG-CZA-Atenolol-1\plaque 2/@14 Testo 30/F2_02.tif "/>
    <s v=" 45163.22 "/>
    <s v=" 71.9861 "/>
    <x v="0"/>
    <n v="3251125"/>
    <m/>
    <m/>
  </r>
  <r>
    <x v="14"/>
    <x v="5"/>
    <s v="F:\Données chgh\2020-CHG-CZA-Atenolol-1\plaque 2/@14 Testo 30/F2_03.tif "/>
    <s v=" 43822.1665 "/>
    <s v=" 72.3697 "/>
    <x v="0"/>
    <n v="3171397"/>
    <m/>
    <m/>
  </r>
  <r>
    <x v="14"/>
    <x v="6"/>
    <s v="F:\Données chgh\2020-CHG-CZA-Atenolol-1\plaque 2/@14 Testo 30/G2_01.tif "/>
    <s v=" 30260.2226 "/>
    <s v=" 71.3388 "/>
    <x v="0"/>
    <n v="2158728"/>
    <m/>
    <m/>
  </r>
  <r>
    <x v="14"/>
    <x v="6"/>
    <s v="F:\Données chgh\2020-CHG-CZA-Atenolol-1\plaque 2/@14 Testo 30/G2_02.tif "/>
    <s v=" 25566.5355 "/>
    <s v=" 68.4492 "/>
    <x v="0"/>
    <n v="1750010"/>
    <m/>
    <m/>
  </r>
  <r>
    <x v="14"/>
    <x v="6"/>
    <s v="F:\Données chgh\2020-CHG-CZA-Atenolol-1\plaque 2/@14 Testo 30/G2_03.tif "/>
    <s v=" 20029.2824 "/>
    <s v=" 68.3013 "/>
    <x v="0"/>
    <n v="1368026"/>
    <m/>
    <m/>
  </r>
  <r>
    <x v="14"/>
    <x v="7"/>
    <s v="F:\Données chgh\2020-CHG-CZA-Atenolol-1\plaque 2/@14 Testo 30/H2_01- exclu.tif"/>
    <m/>
    <m/>
    <x v="1"/>
    <m/>
    <m/>
    <m/>
  </r>
  <r>
    <x v="14"/>
    <x v="7"/>
    <s v="F:\Données chgh\2020-CHG-CZA-Atenolol-1\plaque 2/@14 Testo 30/H2_02.tif "/>
    <s v=" 49532.4587 "/>
    <s v=" 69.793 "/>
    <x v="0"/>
    <n v="3457020"/>
    <m/>
    <m/>
  </r>
  <r>
    <x v="14"/>
    <x v="7"/>
    <s v="F:\Données chgh\2020-CHG-CZA-Atenolol-1\plaque 2/@14 Testo 30/H2_03.tif "/>
    <s v=" 49510.8288 "/>
    <s v=" 70.7938 "/>
    <x v="0"/>
    <n v="3505060"/>
    <m/>
    <m/>
  </r>
  <r>
    <x v="1"/>
    <x v="8"/>
    <s v=" "/>
    <m/>
    <m/>
    <x v="1"/>
    <m/>
    <m/>
    <m/>
  </r>
  <r>
    <x v="1"/>
    <x v="8"/>
    <s v="group "/>
    <s v=" "/>
    <s v=" mean of mean fluo "/>
    <x v="2"/>
    <s v=" mean of total fluo "/>
    <s v=" SD total fluo "/>
    <s v=" n fluorescent "/>
  </r>
  <r>
    <x v="14"/>
    <x v="9"/>
    <s v="F:\Données chgh\2020-CHG-CZA-Atenolol-1\plaque 2/@14 Testo 30/ "/>
    <s v=" "/>
    <s v=" 70.6858 "/>
    <x v="16"/>
    <s v=" 2774793.79 "/>
    <s v=" 1366330.6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Atenolol-1\plaque 2/@15 Testo + EE2/A3_01.tif "/>
    <s v=" 16460.3498 "/>
    <s v=" 70.0302 "/>
    <x v="0"/>
    <n v="1152722"/>
    <m/>
    <m/>
  </r>
  <r>
    <x v="15"/>
    <x v="0"/>
    <s v="F:\Données chgh\2020-CHG-CZA-Atenolol-1\plaque 2/@15 Testo + EE2/A3_02- exclu.tif"/>
    <m/>
    <m/>
    <x v="1"/>
    <m/>
    <m/>
    <m/>
  </r>
  <r>
    <x v="15"/>
    <x v="0"/>
    <s v="F:\Données chgh\2020-CHG-CZA-Atenolol-1\plaque 2/@15 Testo + EE2/A3_03- exclu.tif"/>
    <m/>
    <m/>
    <x v="1"/>
    <m/>
    <m/>
    <m/>
  </r>
  <r>
    <x v="15"/>
    <x v="1"/>
    <s v="F:\Données chgh\2020-CHG-CZA-Atenolol-1\plaque 2/@15 Testo + EE2/B3_01.tif "/>
    <s v=" 61796.609 "/>
    <s v=" 85.5744 "/>
    <x v="0"/>
    <n v="5288206"/>
    <m/>
    <m/>
  </r>
  <r>
    <x v="15"/>
    <x v="1"/>
    <s v="F:\Données chgh\2020-CHG-CZA-Atenolol-1\plaque 2/@15 Testo + EE2/B3_02.tif "/>
    <s v=" 56454.025 "/>
    <s v=" 83.2487 "/>
    <x v="0"/>
    <n v="4699722"/>
    <m/>
    <m/>
  </r>
  <r>
    <x v="15"/>
    <x v="1"/>
    <s v="F:\Données chgh\2020-CHG-CZA-Atenolol-1\plaque 2/@15 Testo + EE2/B3_03.tif "/>
    <s v=" 58552.1248 "/>
    <s v=" 83.7318 "/>
    <x v="0"/>
    <n v="4902675"/>
    <m/>
    <m/>
  </r>
  <r>
    <x v="15"/>
    <x v="2"/>
    <s v="F:\Données chgh\2020-CHG-CZA-Atenolol-1\plaque 2/@15 Testo + EE2/C3_01.tif "/>
    <s v=" 56086.3168 "/>
    <s v=" 86.1751 "/>
    <x v="0"/>
    <n v="4833243"/>
    <m/>
    <m/>
  </r>
  <r>
    <x v="15"/>
    <x v="2"/>
    <s v="F:\Données chgh\2020-CHG-CZA-Atenolol-1\plaque 2/@15 Testo + EE2/C3_02.tif "/>
    <s v=" 54593.854 "/>
    <s v=" 87.6894 "/>
    <x v="0"/>
    <n v="4787301"/>
    <m/>
    <m/>
  </r>
  <r>
    <x v="15"/>
    <x v="2"/>
    <s v="F:\Données chgh\2020-CHG-CZA-Atenolol-1\plaque 2/@15 Testo + EE2/C3_03.tif "/>
    <s v=" 46114.9353 "/>
    <s v=" 84.5324 "/>
    <x v="0"/>
    <n v="3898204"/>
    <m/>
    <m/>
  </r>
  <r>
    <x v="15"/>
    <x v="3"/>
    <s v="F:\Données chgh\2020-CHG-CZA-Atenolol-1\plaque 2/@15 Testo + EE2/D3_01.tif "/>
    <s v=" 63224.182 "/>
    <s v=" 87.5994 "/>
    <x v="0"/>
    <n v="5538399"/>
    <m/>
    <m/>
  </r>
  <r>
    <x v="15"/>
    <x v="3"/>
    <s v="F:\Données chgh\2020-CHG-CZA-Atenolol-1\plaque 2/@15 Testo + EE2/D3_02.tif "/>
    <s v=" 57232.7012 "/>
    <s v=" 87.3201 "/>
    <x v="0"/>
    <n v="4997566"/>
    <m/>
    <m/>
  </r>
  <r>
    <x v="15"/>
    <x v="3"/>
    <s v="F:\Données chgh\2020-CHG-CZA-Atenolol-1\plaque 2/@15 Testo + EE2/D3_03.tif "/>
    <s v=" 57643.6692 "/>
    <s v=" 87.7452 "/>
    <x v="0"/>
    <n v="5057956"/>
    <m/>
    <m/>
  </r>
  <r>
    <x v="15"/>
    <x v="4"/>
    <s v="F:\Données chgh\2020-CHG-CZA-Atenolol-1\plaque 2/@15 Testo + EE2/E3_01.tif "/>
    <s v=" 49337.7896 "/>
    <s v=" 79.4064 "/>
    <x v="0"/>
    <n v="3917736"/>
    <m/>
    <m/>
  </r>
  <r>
    <x v="15"/>
    <x v="4"/>
    <s v="F:\Données chgh\2020-CHG-CZA-Atenolol-1\plaque 2/@15 Testo + EE2/E3_02.tif "/>
    <s v=" 46093.3055 "/>
    <s v=" 81.8625 "/>
    <x v="0"/>
    <n v="3773313"/>
    <m/>
    <m/>
  </r>
  <r>
    <x v="15"/>
    <x v="4"/>
    <s v="F:\Données chgh\2020-CHG-CZA-Atenolol-1\plaque 2/@15 Testo + EE2/E3_03.tif "/>
    <s v=" 49986.6865 "/>
    <s v=" 80.8888 "/>
    <x v="0"/>
    <n v="4043363"/>
    <m/>
    <m/>
  </r>
  <r>
    <x v="15"/>
    <x v="5"/>
    <s v="F:\Données chgh\2020-CHG-CZA-Atenolol-1\plaque 2/@15 Testo + EE2/F3_01- exclu.tif"/>
    <m/>
    <m/>
    <x v="1"/>
    <m/>
    <m/>
    <m/>
  </r>
  <r>
    <x v="15"/>
    <x v="5"/>
    <s v="F:\Données chgh\2020-CHG-CZA-Atenolol-1\plaque 2/@15 Testo + EE2/F3_02- exclu.tif"/>
    <m/>
    <m/>
    <x v="1"/>
    <m/>
    <m/>
    <m/>
  </r>
  <r>
    <x v="15"/>
    <x v="5"/>
    <s v="F:\Données chgh\2020-CHG-CZA-Atenolol-1\plaque 2/@15 Testo + EE2/F3_03- exclu.tif"/>
    <m/>
    <m/>
    <x v="1"/>
    <m/>
    <m/>
    <m/>
  </r>
  <r>
    <x v="15"/>
    <x v="6"/>
    <s v="F:\Données chgh\2020-CHG-CZA-Atenolol-1\plaque 2/@15 Testo + EE2/G3_01.tif "/>
    <s v=" 64846.4241 "/>
    <s v=" 81.1468 "/>
    <x v="0"/>
    <n v="5262078"/>
    <m/>
    <m/>
  </r>
  <r>
    <x v="15"/>
    <x v="6"/>
    <s v="F:\Données chgh\2020-CHG-CZA-Atenolol-1\plaque 2/@15 Testo + EE2/G3_02.tif "/>
    <s v=" 63029.5129 "/>
    <s v=" 84.4485 "/>
    <x v="0"/>
    <n v="5322749"/>
    <m/>
    <m/>
  </r>
  <r>
    <x v="15"/>
    <x v="6"/>
    <s v="F:\Données chgh\2020-CHG-CZA-Atenolol-1\plaque 2/@15 Testo + EE2/G3_03.tif "/>
    <s v=" 62640.1748 "/>
    <s v=" 82.7155 "/>
    <x v="0"/>
    <n v="5181311"/>
    <m/>
    <m/>
  </r>
  <r>
    <x v="15"/>
    <x v="7"/>
    <s v="F:\Données chgh\2020-CHG-CZA-Atenolol-1\plaque 2/@15 Testo + EE2/H3_01.tif "/>
    <s v=" 49229.6402 "/>
    <s v=" 75.6199 "/>
    <x v="0"/>
    <n v="3722743"/>
    <m/>
    <m/>
  </r>
  <r>
    <x v="15"/>
    <x v="7"/>
    <s v="F:\Données chgh\2020-CHG-CZA-Atenolol-1\plaque 2/@15 Testo + EE2/H3_02.tif "/>
    <s v=" 48018.3661 "/>
    <s v=" 75.6536 "/>
    <x v="0"/>
    <n v="3632762"/>
    <m/>
    <m/>
  </r>
  <r>
    <x v="15"/>
    <x v="7"/>
    <s v="F:\Données chgh\2020-CHG-CZA-Atenolol-1\plaque 2/@15 Testo + EE2/H3_03.tif "/>
    <s v=" 41897.1059 "/>
    <s v=" 77.5462 "/>
    <x v="0"/>
    <n v="3248962"/>
    <m/>
    <m/>
  </r>
  <r>
    <x v="1"/>
    <x v="8"/>
    <s v=" "/>
    <m/>
    <m/>
    <x v="1"/>
    <m/>
    <m/>
    <m/>
  </r>
  <r>
    <x v="1"/>
    <x v="8"/>
    <s v="group "/>
    <s v=" "/>
    <s v=" mean of mean fluo "/>
    <x v="2"/>
    <s v=" mean of total fluo "/>
    <s v=" SD total fluo "/>
    <s v=" n fluorescent "/>
  </r>
  <r>
    <x v="15"/>
    <x v="9"/>
    <s v="F:\Données chgh\2020-CHG-CZA-Atenolol-1\plaque 2/@15 Testo + EE2/ "/>
    <s v=" "/>
    <s v=" 79.5449 "/>
    <x v="17"/>
    <s v=" 3564704.79 "/>
    <s v=" 1876211.6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Atenolol-1\plaque 2/@16 Testo + FAD/A4_01.tif "/>
    <s v=" 5558.8829 "/>
    <s v=" 77.4436 "/>
    <x v="0"/>
    <n v="430500"/>
    <m/>
    <m/>
  </r>
  <r>
    <x v="16"/>
    <x v="0"/>
    <s v="F:\Données chgh\2020-CHG-CZA-Atenolol-1\plaque 2/@16 Testo + FAD/A4_02.tif "/>
    <s v=" 778.6762 "/>
    <s v=" 64.1944 "/>
    <x v="0"/>
    <n v="49987"/>
    <m/>
    <m/>
  </r>
  <r>
    <x v="16"/>
    <x v="0"/>
    <s v="F:\Données chgh\2020-CHG-CZA-Atenolol-1\plaque 2/@16 Testo + FAD/A4_03.tif "/>
    <s v=" 5883.3313 "/>
    <s v=" 73.8713 "/>
    <x v="0"/>
    <n v="434609"/>
    <m/>
    <m/>
  </r>
  <r>
    <x v="16"/>
    <x v="1"/>
    <s v="F:\Données chgh\2020-CHG-CZA-Atenolol-1\plaque 2/@16 Testo + FAD/B4_01.tif "/>
    <s v=" 12999.5667 "/>
    <s v=" 76.8552 "/>
    <x v="0"/>
    <n v="999085"/>
    <m/>
    <m/>
  </r>
  <r>
    <x v="16"/>
    <x v="1"/>
    <s v="F:\Données chgh\2020-CHG-CZA-Atenolol-1\plaque 2/@16 Testo + FAD/B4_02.tif "/>
    <s v=" 7397.424 "/>
    <s v=" 73.8246 "/>
    <x v="0"/>
    <n v="546112"/>
    <m/>
    <m/>
  </r>
  <r>
    <x v="16"/>
    <x v="1"/>
    <s v="F:\Données chgh\2020-CHG-CZA-Atenolol-1\plaque 2/@16 Testo + FAD/B4_03.tif "/>
    <s v=" 8738.4774 "/>
    <s v=" 72.9851 "/>
    <x v="0"/>
    <n v="637779"/>
    <m/>
    <m/>
  </r>
  <r>
    <x v="16"/>
    <x v="2"/>
    <s v="F:\Données chgh\2020-CHG-CZA-Atenolol-1\plaque 2/@16 Testo + FAD/C4_01.tif "/>
    <s v=" 8370.7692 "/>
    <s v=" 68.2455 "/>
    <x v="0"/>
    <n v="571267"/>
    <m/>
    <m/>
  </r>
  <r>
    <x v="16"/>
    <x v="2"/>
    <s v="F:\Données chgh\2020-CHG-CZA-Atenolol-1\plaque 2/@16 Testo + FAD/C4_02.tif "/>
    <s v=" 3915.0109 "/>
    <s v=" 65.8343 "/>
    <x v="0"/>
    <n v="257742"/>
    <m/>
    <m/>
  </r>
  <r>
    <x v="16"/>
    <x v="2"/>
    <s v="F:\Données chgh\2020-CHG-CZA-Atenolol-1\plaque 2/@16 Testo + FAD/C4_03.tif "/>
    <s v=" 8716.8475 "/>
    <s v=" 70.3251 "/>
    <x v="0"/>
    <n v="613013"/>
    <m/>
    <m/>
  </r>
  <r>
    <x v="16"/>
    <x v="3"/>
    <s v="F:\Données chgh\2020-CHG-CZA-Atenolol-1\plaque 2/@16 Testo + FAD/D4_01.tif "/>
    <s v=" 4044.7903 "/>
    <s v=" 67.2567 "/>
    <x v="0"/>
    <n v="272039"/>
    <m/>
    <m/>
  </r>
  <r>
    <x v="16"/>
    <x v="3"/>
    <s v="F:\Données chgh\2020-CHG-CZA-Atenolol-1\plaque 2/@16 Testo + FAD/D4_02.tif "/>
    <s v=" 7440.6838 "/>
    <s v=" 81.843 "/>
    <x v="0"/>
    <n v="608968"/>
    <m/>
    <m/>
  </r>
  <r>
    <x v="16"/>
    <x v="3"/>
    <s v="F:\Données chgh\2020-CHG-CZA-Atenolol-1\plaque 2/@16 Testo + FAD/D4_03.tif "/>
    <s v=" 5710.2922 "/>
    <s v=" 69.9053 "/>
    <x v="0"/>
    <n v="399180"/>
    <m/>
    <m/>
  </r>
  <r>
    <x v="16"/>
    <x v="4"/>
    <s v="F:\Données chgh\2020-CHG-CZA-Atenolol-1\plaque 2/@16 Testo + FAD/E4_01.tif "/>
    <s v=" 9776.7124 "/>
    <s v=" 73.9491 "/>
    <x v="0"/>
    <n v="722979"/>
    <m/>
    <m/>
  </r>
  <r>
    <x v="16"/>
    <x v="4"/>
    <s v="F:\Données chgh\2020-CHG-CZA-Atenolol-1\plaque 2/@16 Testo + FAD/E4_02.tif "/>
    <s v=" 6986.456 "/>
    <s v=" 71.4923 "/>
    <x v="0"/>
    <n v="499478"/>
    <m/>
    <m/>
  </r>
  <r>
    <x v="16"/>
    <x v="4"/>
    <s v="F:\Données chgh\2020-CHG-CZA-Atenolol-1\plaque 2/@16 Testo + FAD/E4_03.tif "/>
    <s v=" 8630.328 "/>
    <s v=" 73.3985 "/>
    <x v="0"/>
    <n v="633453"/>
    <m/>
    <m/>
  </r>
  <r>
    <x v="16"/>
    <x v="5"/>
    <s v="F:\Données chgh\2020-CHG-CZA-Atenolol-1\plaque 2/@16 Testo + FAD/F4_01.tif "/>
    <s v=" 8219.36 "/>
    <s v=" 74.5895 "/>
    <x v="0"/>
    <n v="613078"/>
    <m/>
    <m/>
  </r>
  <r>
    <x v="16"/>
    <x v="5"/>
    <s v="F:\Données chgh\2020-CHG-CZA-Atenolol-1\plaque 2/@16 Testo + FAD/F4_02- exclu.tif"/>
    <m/>
    <m/>
    <x v="1"/>
    <m/>
    <m/>
    <m/>
  </r>
  <r>
    <x v="16"/>
    <x v="5"/>
    <s v="F:\Données chgh\2020-CHG-CZA-Atenolol-1\plaque 2/@16 Testo + FAD/F4_03.tif "/>
    <s v=" 2487.4379 "/>
    <s v=" 67.3652 "/>
    <x v="0"/>
    <n v="167567"/>
    <m/>
    <m/>
  </r>
  <r>
    <x v="16"/>
    <x v="6"/>
    <s v="F:\Données chgh\2020-CHG-CZA-Atenolol-1\plaque 2/@16 Testo + FAD/G4_01.tif "/>
    <s v=" 4499.0181 "/>
    <s v=" 68.101 "/>
    <x v="0"/>
    <n v="306387"/>
    <m/>
    <m/>
  </r>
  <r>
    <x v="16"/>
    <x v="6"/>
    <s v="F:\Données chgh\2020-CHG-CZA-Atenolol-1\plaque 2/@16 Testo + FAD/G4_02.tif "/>
    <s v=" 7419.0539 "/>
    <s v=" 70.5685 "/>
    <x v="0"/>
    <n v="523552"/>
    <m/>
    <m/>
  </r>
  <r>
    <x v="16"/>
    <x v="6"/>
    <s v="F:\Données chgh\2020-CHG-CZA-Atenolol-1\plaque 2/@16 Testo + FAD/G4_03.tif "/>
    <s v=" 2314.3987 "/>
    <s v=" 62.9533 "/>
    <x v="0"/>
    <n v="145699"/>
    <m/>
    <m/>
  </r>
  <r>
    <x v="16"/>
    <x v="7"/>
    <s v="F:\Données chgh\2020-CHG-CZA-Atenolol-1\plaque 2/@16 Testo + FAD/H4_01- exclu.tif"/>
    <m/>
    <m/>
    <x v="1"/>
    <m/>
    <m/>
    <m/>
  </r>
  <r>
    <x v="16"/>
    <x v="7"/>
    <s v="F:\Données chgh\2020-CHG-CZA-Atenolol-1\plaque 2/@16 Testo + FAD/H4_02- exclu.tif"/>
    <m/>
    <m/>
    <x v="1"/>
    <m/>
    <m/>
    <m/>
  </r>
  <r>
    <x v="16"/>
    <x v="7"/>
    <s v="F:\Données chgh\2020-CHG-CZA-Atenolol-1\plaque 2/@16 Testo + FAD/H4_03- exclu.tif"/>
    <m/>
    <m/>
    <x v="1"/>
    <m/>
    <m/>
    <m/>
  </r>
  <r>
    <x v="1"/>
    <x v="8"/>
    <s v=" "/>
    <m/>
    <m/>
    <x v="1"/>
    <m/>
    <m/>
    <m/>
  </r>
  <r>
    <x v="1"/>
    <x v="8"/>
    <s v="group "/>
    <s v=" "/>
    <s v=" mean of mean fluo "/>
    <x v="2"/>
    <s v=" mean of total fluo "/>
    <s v=" SD total fluo "/>
    <s v=" n fluorescent "/>
  </r>
  <r>
    <x v="16"/>
    <x v="9"/>
    <s v="F:\Données chgh\2020-CHG-CZA-Atenolol-1\plaque 2/@16 Testo + FAD/ "/>
    <s v=" "/>
    <s v=" 69.9532 "/>
    <x v="18"/>
    <s v=" 395020.542 "/>
    <s v=" 269856.74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Atenolol-1\plaque 2/@17 Testo +  Atenolol 0.01/A5_01- exclu.tif"/>
    <m/>
    <m/>
    <x v="1"/>
    <m/>
    <m/>
    <m/>
  </r>
  <r>
    <x v="17"/>
    <x v="0"/>
    <s v="F:\Données chgh\2020-CHG-CZA-Atenolol-1\plaque 2/@17 Testo +  Atenolol 0.01/A5_02.tif "/>
    <s v=" 53274.4305 "/>
    <s v=" 75.1478 "/>
    <x v="0"/>
    <n v="4003456"/>
    <m/>
    <m/>
  </r>
  <r>
    <x v="17"/>
    <x v="0"/>
    <s v="F:\Données chgh\2020-CHG-CZA-Atenolol-1\plaque 2/@17 Testo +  Atenolol 0.01/A5_03.tif "/>
    <s v=" 53058.1315 "/>
    <s v=" 73.3506 "/>
    <x v="0"/>
    <n v="3891845"/>
    <m/>
    <m/>
  </r>
  <r>
    <x v="17"/>
    <x v="1"/>
    <s v="F:\Données chgh\2020-CHG-CZA-Atenolol-1\plaque 2/@17 Testo +  Atenolol 0.01/B5_01.tif "/>
    <s v=" 43584.2377 "/>
    <s v=" 74.3117 "/>
    <x v="0"/>
    <n v="3238817"/>
    <m/>
    <m/>
  </r>
  <r>
    <x v="17"/>
    <x v="1"/>
    <s v="F:\Données chgh\2020-CHG-CZA-Atenolol-1\plaque 2/@17 Testo +  Atenolol 0.01/B5_02- exclu.tif"/>
    <m/>
    <m/>
    <x v="1"/>
    <m/>
    <m/>
    <m/>
  </r>
  <r>
    <x v="17"/>
    <x v="1"/>
    <s v="F:\Données chgh\2020-CHG-CZA-Atenolol-1\plaque 2/@17 Testo +  Atenolol 0.01/B5_03.tif "/>
    <s v=" 47499.2486 "/>
    <s v=" 75.9385 "/>
    <x v="0"/>
    <n v="3607023"/>
    <m/>
    <m/>
  </r>
  <r>
    <x v="17"/>
    <x v="2"/>
    <s v="F:\Données chgh\2020-CHG-CZA-Atenolol-1\plaque 2/@17 Testo +  Atenolol 0.01/C5_01.tif "/>
    <s v=" 31882.4647 "/>
    <s v=" 79.8575 "/>
    <x v="0"/>
    <n v="2546055"/>
    <m/>
    <m/>
  </r>
  <r>
    <x v="17"/>
    <x v="2"/>
    <s v="F:\Données chgh\2020-CHG-CZA-Atenolol-1\plaque 2/@17 Testo +  Atenolol 0.01/C5_02.tif "/>
    <s v=" 34131.9737 "/>
    <s v=" 75.7091 "/>
    <x v="0"/>
    <n v="2584102"/>
    <m/>
    <m/>
  </r>
  <r>
    <x v="17"/>
    <x v="2"/>
    <s v="F:\Données chgh\2020-CHG-CZA-Atenolol-1\plaque 2/@17 Testo +  Atenolol 0.01/C5_03.tif "/>
    <s v=" 30692.8205 "/>
    <s v=" 78.4172 "/>
    <x v="0"/>
    <n v="2406845"/>
    <m/>
    <m/>
  </r>
  <r>
    <x v="17"/>
    <x v="3"/>
    <s v="F:\Données chgh\2020-CHG-CZA-Atenolol-1\plaque 2/@17 Testo +  Atenolol 0.01/D5_01.tif "/>
    <s v=" 17109.2467 "/>
    <s v=" 68.1719 "/>
    <x v="0"/>
    <n v="1166370"/>
    <m/>
    <m/>
  </r>
  <r>
    <x v="17"/>
    <x v="3"/>
    <s v="F:\Données chgh\2020-CHG-CZA-Atenolol-1\plaque 2/@17 Testo +  Atenolol 0.01/D5_02.tif "/>
    <s v=" 17001.0972 "/>
    <s v=" 68.4491 "/>
    <x v="0"/>
    <n v="1163710"/>
    <m/>
    <m/>
  </r>
  <r>
    <x v="17"/>
    <x v="3"/>
    <s v="F:\Données chgh\2020-CHG-CZA-Atenolol-1\plaque 2/@17 Testo +  Atenolol 0.01/D5_03.tif "/>
    <s v=" 20764.6988 "/>
    <s v=" 69.1708 "/>
    <x v="0"/>
    <n v="1436312"/>
    <m/>
    <m/>
  </r>
  <r>
    <x v="17"/>
    <x v="4"/>
    <s v="F:\Données chgh\2020-CHG-CZA-Atenolol-1\plaque 2/@17 Testo +  Atenolol 0.01/E5_01.tif "/>
    <s v=" 27707.895 "/>
    <s v=" 73.2061 "/>
    <x v="0"/>
    <n v="2028387"/>
    <m/>
    <m/>
  </r>
  <r>
    <x v="17"/>
    <x v="4"/>
    <s v="F:\Données chgh\2020-CHG-CZA-Atenolol-1\plaque 2/@17 Testo +  Atenolol 0.01/E5_02.tif "/>
    <s v=" 25804.4643 "/>
    <s v=" 71.3906 "/>
    <x v="0"/>
    <n v="1842196"/>
    <m/>
    <m/>
  </r>
  <r>
    <x v="17"/>
    <x v="4"/>
    <s v="F:\Données chgh\2020-CHG-CZA-Atenolol-1\plaque 2/@17 Testo +  Atenolol 0.01/E5_03.tif "/>
    <s v=" 25717.9447 "/>
    <s v=" 69.9495 "/>
    <x v="0"/>
    <n v="1798958"/>
    <m/>
    <m/>
  </r>
  <r>
    <x v="17"/>
    <x v="5"/>
    <s v="F:\Données chgh\2020-CHG-CZA-Atenolol-1\plaque 2/@17 Testo +  Atenolol 0.01/F5_01.tif "/>
    <s v=" 50786.9926 "/>
    <s v=" 75.0468 "/>
    <x v="0"/>
    <n v="3811404"/>
    <m/>
    <m/>
  </r>
  <r>
    <x v="17"/>
    <x v="5"/>
    <s v="F:\Données chgh\2020-CHG-CZA-Atenolol-1\plaque 2/@17 Testo +  Atenolol 0.01/F5_02.tif "/>
    <s v=" 49337.7896 "/>
    <s v=" 74.4678 "/>
    <x v="0"/>
    <n v="3674076"/>
    <m/>
    <m/>
  </r>
  <r>
    <x v="17"/>
    <x v="5"/>
    <s v="F:\Données chgh\2020-CHG-CZA-Atenolol-1\plaque 2/@17 Testo +  Atenolol 0.01/F5_03.tif "/>
    <s v=" 44752.252 "/>
    <s v=" 78.7148 "/>
    <x v="0"/>
    <n v="3522666"/>
    <m/>
    <m/>
  </r>
  <r>
    <x v="17"/>
    <x v="6"/>
    <s v="F:\Données chgh\2020-CHG-CZA-Atenolol-1\plaque 2/@17 Testo +  Atenolol 0.01/G5_01.tif "/>
    <s v=" 36835.7106 "/>
    <s v=" 72.044 "/>
    <x v="0"/>
    <n v="2653793"/>
    <m/>
    <m/>
  </r>
  <r>
    <x v="17"/>
    <x v="6"/>
    <s v="F:\Données chgh\2020-CHG-CZA-Atenolol-1\plaque 2/@17 Testo +  Atenolol 0.01/G5_02.tif "/>
    <s v=" 40274.8638 "/>
    <s v=" 71.0209 "/>
    <x v="0"/>
    <n v="2860359"/>
    <m/>
    <m/>
  </r>
  <r>
    <x v="17"/>
    <x v="6"/>
    <s v="F:\Données chgh\2020-CHG-CZA-Atenolol-1\plaque 2/@17 Testo +  Atenolol 0.01/G5_03.tif "/>
    <s v=" 44687.3623 "/>
    <s v=" 71.6713 "/>
    <x v="0"/>
    <n v="3202803"/>
    <m/>
    <m/>
  </r>
  <r>
    <x v="17"/>
    <x v="7"/>
    <s v="F:\Données chgh\2020-CHG-CZA-Atenolol-1\plaque 2/@17 Testo +  Atenolol 0.01/H5_01.tif "/>
    <s v=" 74341.9478 "/>
    <s v=" 75.5159 "/>
    <x v="0"/>
    <n v="5613996"/>
    <m/>
    <m/>
  </r>
  <r>
    <x v="17"/>
    <x v="7"/>
    <s v="F:\Données chgh\2020-CHG-CZA-Atenolol-1\plaque 2/@17 Testo +  Atenolol 0.01/H5_02.tif "/>
    <s v=" 60606.9648 "/>
    <s v=" 74.0125 "/>
    <x v="0"/>
    <n v="4485672"/>
    <m/>
    <m/>
  </r>
  <r>
    <x v="17"/>
    <x v="7"/>
    <s v="F:\Données chgh\2020-CHG-CZA-Atenolol-1\plaque 2/@17 Testo +  Atenolol 0.01/H5_03.tif "/>
    <s v=" 60542.0751 "/>
    <s v=" 75.9614 "/>
    <x v="0"/>
    <n v="4598862"/>
    <m/>
    <m/>
  </r>
  <r>
    <x v="1"/>
    <x v="8"/>
    <s v=" "/>
    <m/>
    <m/>
    <x v="1"/>
    <m/>
    <m/>
    <m/>
  </r>
  <r>
    <x v="1"/>
    <x v="8"/>
    <s v="group "/>
    <s v=" "/>
    <s v=" mean of mean fluo "/>
    <x v="2"/>
    <s v=" mean of total fluo "/>
    <s v=" SD total fluo "/>
    <s v=" n fluorescent "/>
  </r>
  <r>
    <x v="17"/>
    <x v="9"/>
    <s v="F:\Données chgh\2020-CHG-CZA-Atenolol-1\plaque 2/@17 Testo +  Atenolol 0.01/ "/>
    <s v=" "/>
    <s v=" 73.7153 "/>
    <x v="19"/>
    <s v=" 2960493.58 "/>
    <s v=" 1143612.7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Atenolol-1\plaque 2/@18  Testo + Atenolol 0.1/A6_01.tif "/>
    <s v=" 47758.8073 "/>
    <s v=" 76.75 "/>
    <x v="0"/>
    <n v="3665488"/>
    <m/>
    <m/>
  </r>
  <r>
    <x v="18"/>
    <x v="0"/>
    <s v="F:\Données chgh\2020-CHG-CZA-Atenolol-1\plaque 2/@18  Testo + Atenolol 0.1/A6_02.tif "/>
    <s v=" 40166.7143 "/>
    <s v=" 74.8487 "/>
    <x v="0"/>
    <n v="3006426"/>
    <m/>
    <m/>
  </r>
  <r>
    <x v="18"/>
    <x v="0"/>
    <s v="F:\Données chgh\2020-CHG-CZA-Atenolol-1\plaque 2/@18  Testo + Atenolol 0.1/A6_03.tif "/>
    <s v=" 44860.4015 "/>
    <s v=" 76.0714 "/>
    <x v="0"/>
    <n v="3412592"/>
    <m/>
    <m/>
  </r>
  <r>
    <x v="18"/>
    <x v="1"/>
    <s v="F:\Données chgh\2020-CHG-CZA-Atenolol-1\plaque 2/@18  Testo + Atenolol 0.1/B6_01.tif "/>
    <s v=" 42567.6326 "/>
    <s v=" 78.375 "/>
    <x v="0"/>
    <n v="3336238"/>
    <m/>
    <m/>
  </r>
  <r>
    <x v="18"/>
    <x v="1"/>
    <s v="F:\Données chgh\2020-CHG-CZA-Atenolol-1\plaque 2/@18  Testo + Atenolol 0.1/B6_02.tif "/>
    <s v=" 34348.2727 "/>
    <s v=" 75.3766 "/>
    <x v="0"/>
    <n v="2589055"/>
    <m/>
    <m/>
  </r>
  <r>
    <x v="18"/>
    <x v="1"/>
    <s v="F:\Données chgh\2020-CHG-CZA-Atenolol-1\plaque 2/@18  Testo + Atenolol 0.1/B6_03.tif "/>
    <s v=" 31774.3152 "/>
    <s v=" 73.4881 "/>
    <x v="0"/>
    <n v="2335034"/>
    <m/>
    <m/>
  </r>
  <r>
    <x v="18"/>
    <x v="2"/>
    <s v="F:\Données chgh\2020-CHG-CZA-Atenolol-1\plaque 2/@18  Testo + Atenolol 0.1/C6_01.tif "/>
    <s v=" 35364.8777 "/>
    <s v=" 78.6832 "/>
    <x v="0"/>
    <n v="2782621"/>
    <m/>
    <m/>
  </r>
  <r>
    <x v="18"/>
    <x v="2"/>
    <s v="F:\Données chgh\2020-CHG-CZA-Atenolol-1\plaque 2/@18  Testo + Atenolol 0.1/C6_02.tif "/>
    <s v=" 38263.2836 "/>
    <s v=" 80.5133 "/>
    <x v="0"/>
    <n v="3080703"/>
    <m/>
    <m/>
  </r>
  <r>
    <x v="18"/>
    <x v="2"/>
    <s v="F:\Données chgh\2020-CHG-CZA-Atenolol-1\plaque 2/@18  Testo + Atenolol 0.1/C6_03.tif "/>
    <s v=" 40512.7926 "/>
    <s v=" 76.6327 "/>
    <x v="0"/>
    <n v="3104604"/>
    <m/>
    <m/>
  </r>
  <r>
    <x v="18"/>
    <x v="3"/>
    <s v="F:\Données chgh\2020-CHG-CZA-Atenolol-1\plaque 2/@18  Testo + Atenolol 0.1/D6_01.tif "/>
    <s v=" 12372.2997 "/>
    <s v=" 67.458 "/>
    <x v="0"/>
    <n v="834611"/>
    <m/>
    <m/>
  </r>
  <r>
    <x v="18"/>
    <x v="3"/>
    <s v="F:\Données chgh\2020-CHG-CZA-Atenolol-1\plaque 2/@18  Testo + Atenolol 0.1/D6_02.tif "/>
    <s v=" 10360.7195 "/>
    <s v=" 69.0376 "/>
    <x v="0"/>
    <n v="715279"/>
    <m/>
    <m/>
  </r>
  <r>
    <x v="18"/>
    <x v="3"/>
    <s v="F:\Données chgh\2020-CHG-CZA-Atenolol-1\plaque 2/@18  Testo + Atenolol 0.1/D6_03.tif "/>
    <s v=" 12696.7481 "/>
    <s v=" 75.3969 "/>
    <x v="0"/>
    <n v="957296"/>
    <m/>
    <m/>
  </r>
  <r>
    <x v="18"/>
    <x v="4"/>
    <s v="F:\Données chgh\2020-CHG-CZA-Atenolol-1\plaque 2/@18  Testo + Atenolol 0.1/E6_01.tif "/>
    <s v=" 37679.2764 "/>
    <s v=" 84.5809 "/>
    <x v="0"/>
    <n v="3186949"/>
    <m/>
    <m/>
  </r>
  <r>
    <x v="18"/>
    <x v="4"/>
    <s v="F:\Données chgh\2020-CHG-CZA-Atenolol-1\plaque 2/@18  Testo + Atenolol 0.1/E6_02.tif "/>
    <s v=" 38890.5505 "/>
    <s v=" 84.96 "/>
    <x v="0"/>
    <n v="3304139"/>
    <m/>
    <m/>
  </r>
  <r>
    <x v="18"/>
    <x v="4"/>
    <s v="F:\Données chgh\2020-CHG-CZA-Atenolol-1\plaque 2/@18  Testo + Atenolol 0.1/E6_03.tif "/>
    <s v=" 40101.8246 "/>
    <s v=" 90.1505 "/>
    <x v="0"/>
    <n v="3615199"/>
    <m/>
    <m/>
  </r>
  <r>
    <x v="18"/>
    <x v="5"/>
    <s v="F:\Données chgh\2020-CHG-CZA-Atenolol-1\plaque 2/@18  Testo + Atenolol 0.1/F6_01.tif "/>
    <s v=" 24290.3717 "/>
    <s v=" 69.8967 "/>
    <x v="0"/>
    <n v="1697817"/>
    <m/>
    <m/>
  </r>
  <r>
    <x v="18"/>
    <x v="5"/>
    <s v="F:\Données chgh\2020-CHG-CZA-Atenolol-1\plaque 2/@18  Testo + Atenolol 0.1/F6_02.tif "/>
    <s v=" 20613.2896 "/>
    <s v=" 70.4376 "/>
    <x v="0"/>
    <n v="1451950"/>
    <m/>
    <m/>
  </r>
  <r>
    <x v="18"/>
    <x v="5"/>
    <s v="F:\Données chgh\2020-CHG-CZA-Atenolol-1\plaque 2/@18  Testo + Atenolol 0.1/F6_03.tif "/>
    <s v=" 17347.1755 "/>
    <s v=" 70.3416 "/>
    <x v="0"/>
    <n v="1220229"/>
    <m/>
    <m/>
  </r>
  <r>
    <x v="18"/>
    <x v="6"/>
    <s v="F:\Données chgh\2020-CHG-CZA-Atenolol-1\plaque 2/@18  Testo + Atenolol 0.1/G6_01.tif "/>
    <s v=" 27232.0373 "/>
    <s v=" 67.3725 "/>
    <x v="0"/>
    <n v="1834691"/>
    <m/>
    <m/>
  </r>
  <r>
    <x v="18"/>
    <x v="6"/>
    <s v="F:\Données chgh\2020-CHG-CZA-Atenolol-1\plaque 2/@18  Testo + Atenolol 0.1/G6_02.tif "/>
    <s v=" 28270.2723 "/>
    <s v=" 67.5111 "/>
    <x v="0"/>
    <n v="1908557"/>
    <m/>
    <m/>
  </r>
  <r>
    <x v="18"/>
    <x v="6"/>
    <s v="F:\Données chgh\2020-CHG-CZA-Atenolol-1\plaque 2/@18  Testo + Atenolol 0.1/G6_03- exclu.tif"/>
    <m/>
    <m/>
    <x v="1"/>
    <m/>
    <m/>
    <m/>
  </r>
  <r>
    <x v="18"/>
    <x v="7"/>
    <s v="F:\Données chgh\2020-CHG-CZA-Atenolol-1\plaque 2/@18  Testo + Atenolol 0.1/H6_01.tif "/>
    <s v=" 25004.1582 "/>
    <s v=" 69.558 "/>
    <x v="0"/>
    <n v="1739238"/>
    <m/>
    <m/>
  </r>
  <r>
    <x v="18"/>
    <x v="7"/>
    <s v="F:\Données chgh\2020-CHG-CZA-Atenolol-1\plaque 2/@18  Testo + Atenolol 0.1/H6_02.tif "/>
    <s v=" 30152.0731 "/>
    <s v=" 69.8443 "/>
    <x v="0"/>
    <n v="2105951"/>
    <m/>
    <m/>
  </r>
  <r>
    <x v="18"/>
    <x v="7"/>
    <s v="F:\Données chgh\2020-CHG-CZA-Atenolol-1\plaque 2/@18  Testo + Atenolol 0.1/H6_03.tif "/>
    <s v=" 27707.895 "/>
    <s v=" 69.7049 "/>
    <x v="0"/>
    <n v="1931377"/>
    <m/>
    <m/>
  </r>
  <r>
    <x v="1"/>
    <x v="8"/>
    <s v=" "/>
    <m/>
    <m/>
    <x v="1"/>
    <m/>
    <m/>
    <m/>
  </r>
  <r>
    <x v="1"/>
    <x v="8"/>
    <s v="group "/>
    <s v=" "/>
    <s v=" mean of mean fluo "/>
    <x v="2"/>
    <s v=" mean of total fluo "/>
    <s v=" SD total fluo "/>
    <s v=" n fluorescent "/>
  </r>
  <r>
    <x v="18"/>
    <x v="9"/>
    <s v="F:\Données chgh\2020-CHG-CZA-Atenolol-1\plaque 2/@18  Testo + Atenolol 0.1/ "/>
    <s v=" "/>
    <s v=" 74.3341 "/>
    <x v="20"/>
    <n v="2308483"/>
    <s v=" 928941.10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Atenolol-1\plaque 2/@19 Testo + Atenolol 1/A7_01.tif "/>
    <s v=" 24787.8592 "/>
    <s v=" 70.9188 "/>
    <x v="0"/>
    <n v="1757926"/>
    <m/>
    <m/>
  </r>
  <r>
    <x v="19"/>
    <x v="0"/>
    <s v="F:\Données chgh\2020-CHG-CZA-Atenolol-1\plaque 2/@19 Testo + Atenolol 1/A7_02- exclu.tif"/>
    <m/>
    <m/>
    <x v="1"/>
    <m/>
    <m/>
    <m/>
  </r>
  <r>
    <x v="19"/>
    <x v="0"/>
    <s v="F:\Données chgh\2020-CHG-CZA-Atenolol-1\plaque 2/@19 Testo + Atenolol 1/A7_03.tif "/>
    <s v=" 20634.9195 "/>
    <s v=" 68.9843 "/>
    <x v="0"/>
    <n v="1423485"/>
    <m/>
    <m/>
  </r>
  <r>
    <x v="19"/>
    <x v="1"/>
    <s v="F:\Données chgh\2020-CHG-CZA-Atenolol-1\plaque 2/@19 Testo + Atenolol 1/B7_01.tif "/>
    <s v=" 21911.0833 "/>
    <s v=" 66.6446 "/>
    <x v="0"/>
    <n v="1460256"/>
    <m/>
    <m/>
  </r>
  <r>
    <x v="19"/>
    <x v="1"/>
    <s v="F:\Données chgh\2020-CHG-CZA-Atenolol-1\plaque 2/@19 Testo + Atenolol 1/B7_02.tif "/>
    <s v=" 39734.1164 "/>
    <s v=" 70.5308 "/>
    <x v="0"/>
    <n v="2802477"/>
    <m/>
    <m/>
  </r>
  <r>
    <x v="19"/>
    <x v="1"/>
    <s v="F:\Données chgh\2020-CHG-CZA-Atenolol-1\plaque 2/@19 Testo + Atenolol 1/B7_03.tif "/>
    <s v=" 28118.863 "/>
    <s v=" 70.5408 "/>
    <x v="0"/>
    <n v="1983526"/>
    <m/>
    <m/>
  </r>
  <r>
    <x v="19"/>
    <x v="2"/>
    <s v="F:\Données chgh\2020-CHG-CZA-Atenolol-1\plaque 2/@19 Testo + Atenolol 1/C7_01.tif "/>
    <s v=" 5753.552 "/>
    <s v=" 66.609 "/>
    <x v="0"/>
    <n v="383238"/>
    <m/>
    <m/>
  </r>
  <r>
    <x v="19"/>
    <x v="2"/>
    <s v="F:\Données chgh\2020-CHG-CZA-Atenolol-1\plaque 2/@19 Testo + Atenolol 1/C7_02.tif "/>
    <s v=" 1665.5019 "/>
    <s v=" 63.5844 "/>
    <x v="0"/>
    <n v="105900"/>
    <m/>
    <m/>
  </r>
  <r>
    <x v="19"/>
    <x v="2"/>
    <s v="F:\Données chgh\2020-CHG-CZA-Atenolol-1\plaque 2/@19 Testo + Atenolol 1/C7_03.tif "/>
    <s v=" 1773.6514 "/>
    <s v=" 63.9146 "/>
    <x v="0"/>
    <n v="113362"/>
    <m/>
    <m/>
  </r>
  <r>
    <x v="19"/>
    <x v="3"/>
    <s v="F:\Données chgh\2020-CHG-CZA-Atenolol-1\plaque 2/@19 Testo + Atenolol 1/D7_01.tif "/>
    <s v=" 41810.5863 "/>
    <s v=" 69.0776 "/>
    <x v="0"/>
    <n v="2888175"/>
    <m/>
    <m/>
  </r>
  <r>
    <x v="19"/>
    <x v="3"/>
    <s v="F:\Données chgh\2020-CHG-CZA-Atenolol-1\plaque 2/@19 Testo + Atenolol 1/D7_02.tif "/>
    <s v=" 32315.0626 "/>
    <s v=" 69.0669 "/>
    <x v="0"/>
    <n v="2231902"/>
    <m/>
    <m/>
  </r>
  <r>
    <x v="19"/>
    <x v="3"/>
    <s v="F:\Données chgh\2020-CHG-CZA-Atenolol-1\plaque 2/@19 Testo + Atenolol 1/D7_03.tif "/>
    <s v=" 40058.5649 "/>
    <s v=" 68.9725 "/>
    <x v="0"/>
    <n v="2762938"/>
    <m/>
    <m/>
  </r>
  <r>
    <x v="19"/>
    <x v="4"/>
    <s v="F:\Données chgh\2020-CHG-CZA-Atenolol-1\plaque 2/@19 Testo + Atenolol 1/E7_01.tif "/>
    <s v=" 46655.6827 "/>
    <s v=" 73.5841 "/>
    <x v="0"/>
    <n v="3433119"/>
    <m/>
    <m/>
  </r>
  <r>
    <x v="19"/>
    <x v="4"/>
    <s v="F:\Données chgh\2020-CHG-CZA-Atenolol-1\plaque 2/@19 Testo + Atenolol 1/E7_02.tif "/>
    <s v=" 41875.476 "/>
    <s v=" 72.1798 "/>
    <x v="0"/>
    <n v="3022561"/>
    <m/>
    <m/>
  </r>
  <r>
    <x v="19"/>
    <x v="4"/>
    <s v="F:\Données chgh\2020-CHG-CZA-Atenolol-1\plaque 2/@19 Testo + Atenolol 1/E7_03.tif "/>
    <s v=" 35451.3973 "/>
    <s v=" 68.5888 "/>
    <x v="0"/>
    <n v="2431568"/>
    <m/>
    <m/>
  </r>
  <r>
    <x v="19"/>
    <x v="5"/>
    <s v="F:\Données chgh\2020-CHG-CZA-Atenolol-1\plaque 2/@19 Testo + Atenolol 1/F7_01.tif "/>
    <s v=" 38630.9918 "/>
    <s v=" 71.5134 "/>
    <x v="0"/>
    <n v="2762635"/>
    <m/>
    <m/>
  </r>
  <r>
    <x v="19"/>
    <x v="5"/>
    <s v="F:\Données chgh\2020-CHG-CZA-Atenolol-1\plaque 2/@19 Testo + Atenolol 1/F7_02.tif "/>
    <s v=" 38068.6145 "/>
    <s v=" 71.1597 "/>
    <x v="0"/>
    <n v="2708950"/>
    <m/>
    <m/>
  </r>
  <r>
    <x v="19"/>
    <x v="5"/>
    <s v="F:\Données chgh\2020-CHG-CZA-Atenolol-1\plaque 2/@19 Testo + Atenolol 1/F7_03.tif "/>
    <s v=" 27534.8559 "/>
    <s v=" 68.0291 "/>
    <x v="0"/>
    <n v="1873171"/>
    <m/>
    <m/>
  </r>
  <r>
    <x v="19"/>
    <x v="6"/>
    <s v="F:\Données chgh\2020-CHG-CZA-Atenolol-1\plaque 2/@19 Testo + Atenolol 1/G7_01.tif "/>
    <s v=" 33115.3687 "/>
    <s v=" 68.5167 "/>
    <x v="0"/>
    <n v="2268954"/>
    <m/>
    <m/>
  </r>
  <r>
    <x v="19"/>
    <x v="6"/>
    <s v="F:\Données chgh\2020-CHG-CZA-Atenolol-1\plaque 2/@19 Testo + Atenolol 1/G7_02.tif "/>
    <s v=" 31449.8668 "/>
    <s v=" 69.0942 "/>
    <x v="0"/>
    <n v="2173004"/>
    <m/>
    <m/>
  </r>
  <r>
    <x v="19"/>
    <x v="6"/>
    <s v="F:\Données chgh\2020-CHG-CZA-Atenolol-1\plaque 2/@19 Testo + Atenolol 1/G7_03.tif "/>
    <s v=" 32098.7636 "/>
    <s v=" 68.9522 "/>
    <x v="0"/>
    <n v="2213279"/>
    <m/>
    <m/>
  </r>
  <r>
    <x v="19"/>
    <x v="7"/>
    <s v="F:\Données chgh\2020-CHG-CZA-Atenolol-1\plaque 2/@19 Testo + Atenolol 1/H7_01.tif "/>
    <s v=" 41226.5792 "/>
    <s v=" 74.0677 "/>
    <x v="0"/>
    <n v="3053557"/>
    <m/>
    <m/>
  </r>
  <r>
    <x v="19"/>
    <x v="7"/>
    <s v="F:\Données chgh\2020-CHG-CZA-Atenolol-1\plaque 2/@19 Testo + Atenolol 1/H7_02.tif "/>
    <s v=" 41075.1699 "/>
    <s v=" 74.8905 "/>
    <x v="0"/>
    <n v="3076139"/>
    <m/>
    <m/>
  </r>
  <r>
    <x v="19"/>
    <x v="7"/>
    <s v="F:\Données chgh\2020-CHG-CZA-Atenolol-1\plaque 2/@19 Testo + Atenolol 1/H7_03.tif "/>
    <s v=" 38371.4331 "/>
    <s v=" 72.54 "/>
    <x v="0"/>
    <n v="2783465"/>
    <m/>
    <m/>
  </r>
  <r>
    <x v="1"/>
    <x v="8"/>
    <s v=" "/>
    <m/>
    <m/>
    <x v="1"/>
    <m/>
    <m/>
    <m/>
  </r>
  <r>
    <x v="1"/>
    <x v="8"/>
    <s v="group "/>
    <s v=" "/>
    <s v=" mean of mean fluo "/>
    <x v="2"/>
    <s v=" mean of total fluo "/>
    <s v=" SD total fluo "/>
    <s v=" n fluorescent "/>
  </r>
  <r>
    <x v="19"/>
    <x v="9"/>
    <s v="F:\Données chgh\2020-CHG-CZA-Atenolol-1\plaque 2/@19 Testo + Atenolol 1/ "/>
    <s v=" "/>
    <s v=" 69.6286 "/>
    <x v="21"/>
    <s v=" 2144228.21 "/>
    <s v=" 920589.24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Atenolol-1\plaque 2/@20 Testo + Atenolol 10/A8_01.tif "/>
    <s v=" 1492.4627 "/>
    <s v=" 63.913 "/>
    <x v="0"/>
    <n v="95388"/>
    <m/>
    <m/>
  </r>
  <r>
    <x v="20"/>
    <x v="0"/>
    <s v="F:\Données chgh\2020-CHG-CZA-Atenolol-1\plaque 2/@20 Testo + Atenolol 10/A8_02.tif "/>
    <s v=" 8327.5094 "/>
    <s v=" 67.7818 "/>
    <x v="0"/>
    <n v="564454"/>
    <m/>
    <m/>
  </r>
  <r>
    <x v="20"/>
    <x v="0"/>
    <s v="F:\Données chgh\2020-CHG-CZA-Atenolol-1\plaque 2/@20 Testo + Atenolol 10/A8_03.tif "/>
    <s v=" 7440.6838 "/>
    <s v=" 69.0087 "/>
    <x v="0"/>
    <n v="513472"/>
    <m/>
    <m/>
  </r>
  <r>
    <x v="20"/>
    <x v="1"/>
    <s v="F:\Données chgh\2020-CHG-CZA-Atenolol-1\plaque 2/@20 Testo + Atenolol 10/B8_01.tif "/>
    <s v=" 24874.3788 "/>
    <s v=" 68.2817 "/>
    <x v="0"/>
    <n v="1698466"/>
    <m/>
    <m/>
  </r>
  <r>
    <x v="20"/>
    <x v="1"/>
    <s v="F:\Données chgh\2020-CHG-CZA-Atenolol-1\plaque 2/@20 Testo + Atenolol 10/B8_02.tif "/>
    <s v=" 23901.0336 "/>
    <s v=" 67.8887 "/>
    <x v="0"/>
    <n v="1622610"/>
    <m/>
    <m/>
  </r>
  <r>
    <x v="20"/>
    <x v="1"/>
    <s v="F:\Données chgh\2020-CHG-CZA-Atenolol-1\plaque 2/@20 Testo + Atenolol 10/B8_03.tif "/>
    <s v=" 23836.1439 "/>
    <s v=" 68.3439 "/>
    <x v="0"/>
    <n v="1629056"/>
    <m/>
    <m/>
  </r>
  <r>
    <x v="20"/>
    <x v="2"/>
    <s v="F:\Données chgh\2020-CHG-CZA-Atenolol-1\plaque 2/@20 Testo + Atenolol 10/C8_01.tif "/>
    <s v=" 302.8185 "/>
    <s v=" 64.8571 "/>
    <x v="0"/>
    <n v="19640"/>
    <m/>
    <m/>
  </r>
  <r>
    <x v="20"/>
    <x v="2"/>
    <s v="F:\Données chgh\2020-CHG-CZA-Atenolol-1\plaque 2/@20 Testo + Atenolol 10/C8_02.tif "/>
    <s v=" 1600.6122 "/>
    <s v=" 64.2162 "/>
    <x v="0"/>
    <n v="102785"/>
    <m/>
    <m/>
  </r>
  <r>
    <x v="20"/>
    <x v="2"/>
    <s v="F:\Données chgh\2020-CHG-CZA-Atenolol-1\plaque 2/@20 Testo + Atenolol 10/C8_03.tif "/>
    <s v=" 2422.5482 "/>
    <s v=" 65.0982 "/>
    <x v="0"/>
    <n v="157704"/>
    <m/>
    <m/>
  </r>
  <r>
    <x v="20"/>
    <x v="3"/>
    <s v="F:\Données chgh\2020-CHG-CZA-Atenolol-1\plaque 2/@20 Testo + Atenolol 10/D8_01.tif "/>
    <s v=" 47434.3589 "/>
    <s v=" 76.3064 "/>
    <x v="0"/>
    <n v="3619547"/>
    <m/>
    <m/>
  </r>
  <r>
    <x v="20"/>
    <x v="3"/>
    <s v="F:\Données chgh\2020-CHG-CZA-Atenolol-1\plaque 2/@20 Testo + Atenolol 10/D8_02.tif "/>
    <s v=" 45292.9994 "/>
    <s v=" 74.4303 "/>
    <x v="0"/>
    <n v="3371170"/>
    <m/>
    <m/>
  </r>
  <r>
    <x v="20"/>
    <x v="3"/>
    <s v="F:\Données chgh\2020-CHG-CZA-Atenolol-1\plaque 2/@20 Testo + Atenolol 10/D8_03.tif "/>
    <s v=" 50289.505 "/>
    <s v=" 76.7974 "/>
    <x v="0"/>
    <n v="3862104"/>
    <m/>
    <m/>
  </r>
  <r>
    <x v="20"/>
    <x v="4"/>
    <s v="F:\Données chgh\2020-CHG-CZA-Atenolol-1\plaque 2/@20 Testo + Atenolol 10/E8_01.tif "/>
    <s v=" 50851.8823 "/>
    <s v=" 74.2595 "/>
    <x v="0"/>
    <n v="3776234"/>
    <m/>
    <m/>
  </r>
  <r>
    <x v="20"/>
    <x v="4"/>
    <s v="F:\Données chgh\2020-CHG-CZA-Atenolol-1\plaque 2/@20 Testo + Atenolol 10/E8_02.tif "/>
    <s v=" 39928.7855 "/>
    <s v=" 71.9951 "/>
    <x v="0"/>
    <n v="2874678"/>
    <m/>
    <m/>
  </r>
  <r>
    <x v="20"/>
    <x v="4"/>
    <s v="F:\Données chgh\2020-CHG-CZA-Atenolol-1\plaque 2/@20 Testo + Atenolol 10/E8_03.tif "/>
    <s v=" 32250.1729 "/>
    <s v=" 69.7706 "/>
    <x v="0"/>
    <n v="2250115"/>
    <m/>
    <m/>
  </r>
  <r>
    <x v="20"/>
    <x v="5"/>
    <s v="F:\Données chgh\2020-CHG-CZA-Atenolol-1\plaque 2/@20 Testo + Atenolol 10/F8_01.tif "/>
    <s v=" 40534.4225 "/>
    <s v=" 86.9968 "/>
    <x v="0"/>
    <n v="3526365"/>
    <m/>
    <m/>
  </r>
  <r>
    <x v="20"/>
    <x v="5"/>
    <s v="F:\Données chgh\2020-CHG-CZA-Atenolol-1\plaque 2/@20 Testo + Atenolol 10/F8_02.tif "/>
    <s v=" 38933.8103 "/>
    <s v=" 84.2883 "/>
    <x v="0"/>
    <n v="3281666"/>
    <m/>
    <m/>
  </r>
  <r>
    <x v="20"/>
    <x v="5"/>
    <s v="F:\Données chgh\2020-CHG-CZA-Atenolol-1\plaque 2/@20 Testo + Atenolol 10/F8_03.tif "/>
    <s v=" 40383.0133 "/>
    <s v=" 84.9609 "/>
    <x v="0"/>
    <n v="3430977"/>
    <m/>
    <m/>
  </r>
  <r>
    <x v="20"/>
    <x v="6"/>
    <s v="F:\Données chgh\2020-CHG-CZA-Atenolol-1\plaque 2/@20 Testo + Atenolol 10/G8_01.tif "/>
    <s v=" 52409.2347 "/>
    <s v=" 69.0883 "/>
    <x v="0"/>
    <n v="3620866"/>
    <m/>
    <m/>
  </r>
  <r>
    <x v="20"/>
    <x v="6"/>
    <s v="F:\Données chgh\2020-CHG-CZA-Atenolol-1\plaque 2/@20 Testo + Atenolol 10/G8_02.tif "/>
    <s v=" 54680.3736 "/>
    <s v=" 70.445 "/>
    <x v="0"/>
    <n v="3851960"/>
    <m/>
    <m/>
  </r>
  <r>
    <x v="20"/>
    <x v="6"/>
    <s v="F:\Données chgh\2020-CHG-CZA-Atenolol-1\plaque 2/@20 Testo + Atenolol 10/G8_03.tif "/>
    <s v=" 47931.8465 "/>
    <s v=" 68.829 "/>
    <x v="0"/>
    <n v="3299100"/>
    <m/>
    <m/>
  </r>
  <r>
    <x v="20"/>
    <x v="7"/>
    <s v="F:\Données chgh\2020-CHG-CZA-Atenolol-1\plaque 2/@20 Testo + Atenolol 10/H8_01- exclu.tif"/>
    <m/>
    <m/>
    <x v="1"/>
    <m/>
    <m/>
    <m/>
  </r>
  <r>
    <x v="20"/>
    <x v="7"/>
    <s v="F:\Données chgh\2020-CHG-CZA-Atenolol-1\plaque 2/@20 Testo + Atenolol 10/H8_02- exclu.tif"/>
    <m/>
    <m/>
    <x v="1"/>
    <m/>
    <m/>
    <m/>
  </r>
  <r>
    <x v="20"/>
    <x v="7"/>
    <s v="F:\Données chgh\2020-CHG-CZA-Atenolol-1\plaque 2/@20 Testo + Atenolol 10/H8_03- exclu.tif"/>
    <m/>
    <m/>
    <x v="1"/>
    <m/>
    <m/>
    <m/>
  </r>
  <r>
    <x v="1"/>
    <x v="8"/>
    <s v=" "/>
    <m/>
    <m/>
    <x v="1"/>
    <m/>
    <m/>
    <m/>
  </r>
  <r>
    <x v="1"/>
    <x v="8"/>
    <s v="group "/>
    <s v=" "/>
    <s v=" mean of mean fluo "/>
    <x v="2"/>
    <s v=" mean of total fluo "/>
    <s v=" SD total fluo "/>
    <s v=" n fluorescent "/>
  </r>
  <r>
    <x v="20"/>
    <x v="9"/>
    <s v="F:\Données chgh\2020-CHG-CZA-Atenolol-1\plaque 2/@20 Testo + Atenolol 10/ "/>
    <s v=" "/>
    <s v=" 70.9351 "/>
    <x v="22"/>
    <s v=" 1966343.21 "/>
    <s v=" 1571205.6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Atenolol-1\plaque 2/@21 Testo + Atenolol 100/A9_01- exclu.tif"/>
    <m/>
    <m/>
    <x v="1"/>
    <m/>
    <m/>
    <m/>
  </r>
  <r>
    <x v="21"/>
    <x v="0"/>
    <s v="F:\Données chgh\2020-CHG-CZA-Atenolol-1\plaque 2/@21 Testo + Atenolol 100/A9_02.tif "/>
    <s v=" 53880.0675 "/>
    <s v=" 70.9338 "/>
    <x v="0"/>
    <n v="3821916"/>
    <m/>
    <m/>
  </r>
  <r>
    <x v="21"/>
    <x v="0"/>
    <s v="F:\Données chgh\2020-CHG-CZA-Atenolol-1\plaque 2/@21 Testo + Atenolol 100/A9_03.tif "/>
    <s v=" 47088.2806 "/>
    <s v=" 70.7193 "/>
    <x v="0"/>
    <n v="3330052"/>
    <m/>
    <m/>
  </r>
  <r>
    <x v="21"/>
    <x v="1"/>
    <s v="F:\Données chgh\2020-CHG-CZA-Atenolol-1\plaque 2/@21 Testo + Atenolol 100/B9_01.tif "/>
    <s v=" 22473.4605 "/>
    <s v=" 67.0703 "/>
    <x v="0"/>
    <n v="1507301"/>
    <m/>
    <m/>
  </r>
  <r>
    <x v="21"/>
    <x v="1"/>
    <s v="F:\Données chgh\2020-CHG-CZA-Atenolol-1\plaque 2/@21 Testo + Atenolol 100/B9_02- exclu.tif"/>
    <m/>
    <m/>
    <x v="1"/>
    <m/>
    <m/>
    <m/>
  </r>
  <r>
    <x v="21"/>
    <x v="1"/>
    <s v="F:\Données chgh\2020-CHG-CZA-Atenolol-1\plaque 2/@21 Testo + Atenolol 100/B9_03.tif "/>
    <s v=" 31147.0483 "/>
    <s v=" 68.7444 "/>
    <x v="0"/>
    <n v="2141187"/>
    <m/>
    <m/>
  </r>
  <r>
    <x v="21"/>
    <x v="2"/>
    <s v="F:\Données chgh\2020-CHG-CZA-Atenolol-1\plaque 2/@21 Testo + Atenolol 100/C9_01.tif "/>
    <s v=" 39323.1484 "/>
    <s v=" 69.6612 "/>
    <x v="0"/>
    <n v="2739296"/>
    <m/>
    <m/>
  </r>
  <r>
    <x v="21"/>
    <x v="2"/>
    <s v="F:\Données chgh\2020-CHG-CZA-Atenolol-1\plaque 2/@21 Testo + Atenolol 100/C9_02.tif "/>
    <s v=" 33072.1089 "/>
    <s v=" 68.7999 "/>
    <x v="0"/>
    <n v="2275357"/>
    <m/>
    <m/>
  </r>
  <r>
    <x v="21"/>
    <x v="2"/>
    <s v="F:\Données chgh\2020-CHG-CZA-Atenolol-1\plaque 2/@21 Testo + Atenolol 100/C9_03.tif "/>
    <s v=" 46244.7147 "/>
    <s v=" 70.0748 "/>
    <x v="0"/>
    <n v="3240591"/>
    <m/>
    <m/>
  </r>
  <r>
    <x v="21"/>
    <x v="3"/>
    <s v="F:\Données chgh\2020-CHG-CZA-Atenolol-1\plaque 2/@21 Testo + Atenolol 100/D9_01.tif "/>
    <s v=" 53988.217 "/>
    <s v=" 72.986 "/>
    <x v="0"/>
    <n v="3940383"/>
    <m/>
    <m/>
  </r>
  <r>
    <x v="21"/>
    <x v="3"/>
    <s v="F:\Données chgh\2020-CHG-CZA-Atenolol-1\plaque 2/@21 Testo + Atenolol 100/D9_02.tif "/>
    <s v=" 34715.9809 "/>
    <s v=" 67.0231 "/>
    <x v="0"/>
    <n v="2326771"/>
    <m/>
    <m/>
  </r>
  <r>
    <x v="21"/>
    <x v="3"/>
    <s v="F:\Données chgh\2020-CHG-CZA-Atenolol-1\plaque 2/@21 Testo + Atenolol 100/D9_03.tif "/>
    <s v=" 50981.6616 "/>
    <s v=" 73.0696 "/>
    <x v="0"/>
    <n v="3725209"/>
    <m/>
    <m/>
  </r>
  <r>
    <x v="21"/>
    <x v="4"/>
    <s v="F:\Données chgh\2020-CHG-CZA-Atenolol-1\plaque 2/@21 Testo + Atenolol 100/E9_01- exclu.tif"/>
    <m/>
    <m/>
    <x v="1"/>
    <m/>
    <m/>
    <m/>
  </r>
  <r>
    <x v="21"/>
    <x v="4"/>
    <s v="F:\Données chgh\2020-CHG-CZA-Atenolol-1\plaque 2/@21 Testo + Atenolol 100/E9_02.tif "/>
    <s v=" 36792.4508 "/>
    <s v=" 75.1035 "/>
    <x v="0"/>
    <n v="2763241"/>
    <m/>
    <m/>
  </r>
  <r>
    <x v="21"/>
    <x v="4"/>
    <s v="F:\Données chgh\2020-CHG-CZA-Atenolol-1\plaque 2/@21 Testo + Atenolol 100/E9_03.tif "/>
    <s v=" 45184.8499 "/>
    <s v=" 74.0057 "/>
    <x v="0"/>
    <n v="3343938"/>
    <m/>
    <m/>
  </r>
  <r>
    <x v="21"/>
    <x v="5"/>
    <s v="F:\Données chgh\2020-CHG-CZA-Atenolol-1\plaque 2/@21 Testo + Atenolol 100/F9_01- exclu.tif"/>
    <m/>
    <m/>
    <x v="1"/>
    <m/>
    <m/>
    <m/>
  </r>
  <r>
    <x v="21"/>
    <x v="5"/>
    <s v="F:\Données chgh\2020-CHG-CZA-Atenolol-1\plaque 2/@21 Testo + Atenolol 100/F9_02.tif "/>
    <s v=" 45206.4798 "/>
    <s v=" 74.8077 "/>
    <x v="0"/>
    <n v="3381791"/>
    <m/>
    <m/>
  </r>
  <r>
    <x v="21"/>
    <x v="5"/>
    <s v="F:\Données chgh\2020-CHG-CZA-Atenolol-1\plaque 2/@21 Testo + Atenolol 100/F9_03.tif "/>
    <s v=" 37073.6394 "/>
    <s v=" 76.4399 "/>
    <x v="0"/>
    <n v="2833906"/>
    <m/>
    <m/>
  </r>
  <r>
    <x v="21"/>
    <x v="6"/>
    <s v="F:\Données chgh\2020-CHG-CZA-Atenolol-1\plaque 2/@21 Testo + Atenolol 100/G9_01.tif "/>
    <s v=" 24290.3717 "/>
    <s v=" 67.4889 "/>
    <x v="0"/>
    <n v="1639330"/>
    <m/>
    <m/>
  </r>
  <r>
    <x v="21"/>
    <x v="6"/>
    <s v="F:\Données chgh\2020-CHG-CZA-Atenolol-1\plaque 2/@21 Testo + Atenolol 100/G9_02.tif "/>
    <s v=" 16525.2395 "/>
    <s v=" 66.9987 "/>
    <x v="0"/>
    <n v="1107169"/>
    <m/>
    <m/>
  </r>
  <r>
    <x v="21"/>
    <x v="6"/>
    <s v="F:\Données chgh\2020-CHG-CZA-Atenolol-1\plaque 2/@21 Testo + Atenolol 100/G9_03.tif "/>
    <s v=" 14924.6273 "/>
    <s v=" 66.5812 "/>
    <x v="0"/>
    <n v="993699"/>
    <m/>
    <m/>
  </r>
  <r>
    <x v="21"/>
    <x v="7"/>
    <s v="F:\Données chgh\2020-CHG-CZA-Atenolol-1\plaque 2/@21 Testo + Atenolol 100/H9_01.tif "/>
    <s v=" 51760.3378 "/>
    <s v=" 71.3544 "/>
    <x v="0"/>
    <n v="3693326"/>
    <m/>
    <m/>
  </r>
  <r>
    <x v="21"/>
    <x v="7"/>
    <s v="F:\Données chgh\2020-CHG-CZA-Atenolol-1\plaque 2/@21 Testo + Atenolol 100/H9_02.tif "/>
    <s v=" 48645.633 "/>
    <s v=" 70.2428 "/>
    <x v="0"/>
    <n v="3417004"/>
    <m/>
    <m/>
  </r>
  <r>
    <x v="21"/>
    <x v="7"/>
    <s v="F:\Données chgh\2020-CHG-CZA-Atenolol-1\plaque 2/@21 Testo + Atenolol 100/H9_03- exclu.tif"/>
    <m/>
    <m/>
    <x v="1"/>
    <m/>
    <m/>
    <m/>
  </r>
  <r>
    <x v="1"/>
    <x v="8"/>
    <s v=" "/>
    <m/>
    <m/>
    <x v="1"/>
    <m/>
    <m/>
    <m/>
  </r>
  <r>
    <x v="1"/>
    <x v="8"/>
    <s v="group "/>
    <s v=" "/>
    <s v=" mean of mean fluo "/>
    <x v="2"/>
    <s v=" mean of total fluo "/>
    <s v=" SD total fluo "/>
    <s v=" n fluorescent "/>
  </r>
  <r>
    <x v="21"/>
    <x v="9"/>
    <s v="F:\Données chgh\2020-CHG-CZA-Atenolol-1\plaque 2/@21 Testo + Atenolol 100/ "/>
    <s v=" "/>
    <s v=" 70.7958 "/>
    <x v="23"/>
    <s v=" 2620559.12 "/>
    <s v=" 1088535.19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Q:\R&amp;D\2-Test oestrogénique\OECD and AOPs\REACTIV oecd interlaboratory validation\Results WF\Résultats CBA\2021-CHG-CBA-Atenolol 2\plaque 1/@01 TS/A1_01- exclu.tif"/>
    <m/>
    <m/>
    <x v="0"/>
    <m/>
    <m/>
    <m/>
  </r>
  <r>
    <x v="0"/>
    <x v="0"/>
    <s v="Q:\R&amp;D\2-Test oestrogénique\OECD and AOPs\REACTIV oecd interlaboratory validation\Results WF\Résultats CBA\2021-CHG-CBA-Atenolol 2\plaque 1/@01 TS/A1_02- exclu.tif"/>
    <m/>
    <m/>
    <x v="0"/>
    <m/>
    <m/>
    <m/>
  </r>
  <r>
    <x v="0"/>
    <x v="0"/>
    <s v="Q:\R&amp;D\2-Test oestrogénique\OECD and AOPs\REACTIV oecd interlaboratory validation\Results WF\Résultats CBA\2021-CHG-CBA-Atenolol 2\plaque 1/@01 TS/A1_03.tif "/>
    <s v=" 3023.7719 "/>
    <s v=" 65.4245 "/>
    <x v="1"/>
    <n v="197829"/>
    <m/>
    <m/>
  </r>
  <r>
    <x v="0"/>
    <x v="1"/>
    <s v="Q:\R&amp;D\2-Test oestrogénique\OECD and AOPs\REACTIV oecd interlaboratory validation\Results WF\Résultats CBA\2021-CHG-CBA-Atenolol 2\plaque 1/@01 TS/B1_01.tif "/>
    <s v=" 826.6427 "/>
    <s v=" 65.3158 "/>
    <x v="1"/>
    <n v="53993"/>
    <m/>
    <m/>
  </r>
  <r>
    <x v="0"/>
    <x v="1"/>
    <s v="Q:\R&amp;D\2-Test oestrogénique\OECD and AOPs\REACTIV oecd interlaboratory validation\Results WF\Résultats CBA\2021-CHG-CBA-Atenolol 2\plaque 1/@01 TS/B1_02.tif "/>
    <s v=" 6352.0965 "/>
    <s v=" 69.613 "/>
    <x v="1"/>
    <n v="442189"/>
    <m/>
    <m/>
  </r>
  <r>
    <x v="0"/>
    <x v="1"/>
    <s v="Q:\R&amp;D\2-Test oestrogénique\OECD and AOPs\REACTIV oecd interlaboratory validation\Results WF\Résultats CBA\2021-CHG-CBA-Atenolol 2\plaque 1/@01 TS/B1_03.tif "/>
    <s v=" 761.3814 "/>
    <s v=" 63.6 "/>
    <x v="1"/>
    <n v="48424"/>
    <m/>
    <m/>
  </r>
  <r>
    <x v="0"/>
    <x v="2"/>
    <s v="Q:\R&amp;D\2-Test oestrogénique\OECD and AOPs\REACTIV oecd interlaboratory validation\Results WF\Résultats CBA\2021-CHG-CBA-Atenolol 2\plaque 1/@01 TS/C1_01.tif "/>
    <s v=" 1457.5016 "/>
    <s v=" 65.2388 "/>
    <x v="1"/>
    <n v="95086"/>
    <m/>
    <m/>
  </r>
  <r>
    <x v="0"/>
    <x v="2"/>
    <s v="Q:\R&amp;D\2-Test oestrogénique\OECD and AOPs\REACTIV oecd interlaboratory validation\Results WF\Résultats CBA\2021-CHG-CBA-Atenolol 2\plaque 1/@01 TS/C1_02.tif "/>
    <s v=" 8679.7482 "/>
    <s v=" 71.0276 "/>
    <x v="1"/>
    <n v="616501"/>
    <m/>
    <m/>
  </r>
  <r>
    <x v="0"/>
    <x v="2"/>
    <s v="Q:\R&amp;D\2-Test oestrogénique\OECD and AOPs\REACTIV oecd interlaboratory validation\Results WF\Résultats CBA\2021-CHG-CBA-Atenolol 2\plaque 1/@01 TS/C1_03.tif "/>
    <s v=" 6221.5739 "/>
    <s v=" 66.3776 "/>
    <x v="1"/>
    <n v="412973"/>
    <m/>
    <m/>
  </r>
  <r>
    <x v="0"/>
    <x v="3"/>
    <s v="Q:\R&amp;D\2-Test oestrogénique\OECD and AOPs\REACTIV oecd interlaboratory validation\Results WF\Résultats CBA\2021-CHG-CBA-Atenolol 2\plaque 1/@01 TS/D1_01.tif "/>
    <s v=" 1957.838 "/>
    <s v=" 65.7889 "/>
    <x v="1"/>
    <n v="128804"/>
    <m/>
    <m/>
  </r>
  <r>
    <x v="0"/>
    <x v="3"/>
    <s v="Q:\R&amp;D\2-Test oestrogénique\OECD and AOPs\REACTIV oecd interlaboratory validation\Results WF\Résultats CBA\2021-CHG-CBA-Atenolol 2\plaque 1/@01 TS/D1_02.tif "/>
    <s v=" 2849.7419 "/>
    <s v=" 69.7939 "/>
    <x v="1"/>
    <n v="198895"/>
    <m/>
    <m/>
  </r>
  <r>
    <x v="0"/>
    <x v="3"/>
    <s v="Q:\R&amp;D\2-Test oestrogénique\OECD and AOPs\REACTIV oecd interlaboratory validation\Results WF\Résultats CBA\2021-CHG-CBA-Atenolol 2\plaque 1/@01 TS/D1_03.tif "/>
    <s v=" 913.6577 "/>
    <n v="65"/>
    <x v="1"/>
    <n v="59388"/>
    <m/>
    <m/>
  </r>
  <r>
    <x v="0"/>
    <x v="4"/>
    <s v="Q:\R&amp;D\2-Test oestrogénique\OECD and AOPs\REACTIV oecd interlaboratory validation\Results WF\Résultats CBA\2021-CHG-CBA-Atenolol 2\plaque 1/@01 TS/E1_01- exclu.tif"/>
    <m/>
    <m/>
    <x v="0"/>
    <m/>
    <m/>
    <m/>
  </r>
  <r>
    <x v="0"/>
    <x v="4"/>
    <s v="Q:\R&amp;D\2-Test oestrogénique\OECD and AOPs\REACTIV oecd interlaboratory validation\Results WF\Résultats CBA\2021-CHG-CBA-Atenolol 2\plaque 1/@01 TS/E1_02.tif "/>
    <s v=" 2327.6518 "/>
    <s v=" 65.1028 "/>
    <x v="1"/>
    <n v="151537"/>
    <m/>
    <m/>
  </r>
  <r>
    <x v="0"/>
    <x v="4"/>
    <s v="Q:\R&amp;D\2-Test oestrogénique\OECD and AOPs\REACTIV oecd interlaboratory validation\Results WF\Résultats CBA\2021-CHG-CBA-Atenolol 2\plaque 1/@01 TS/E1_03.tif "/>
    <s v=" 348.0601 "/>
    <s v=" 64.5 "/>
    <x v="1"/>
    <n v="22450"/>
    <m/>
    <m/>
  </r>
  <r>
    <x v="0"/>
    <x v="5"/>
    <s v="Q:\R&amp;D\2-Test oestrogénique\OECD and AOPs\REACTIV oecd interlaboratory validation\Results WF\Résultats CBA\2021-CHG-CBA-Atenolol 2\plaque 1/@01 TS/F1_01.tif "/>
    <s v=" 1065.934 "/>
    <s v=" 64.4286 "/>
    <x v="1"/>
    <n v="68677"/>
    <m/>
    <m/>
  </r>
  <r>
    <x v="0"/>
    <x v="5"/>
    <s v="Q:\R&amp;D\2-Test oestrogénique\OECD and AOPs\REACTIV oecd interlaboratory validation\Results WF\Résultats CBA\2021-CHG-CBA-Atenolol 2\plaque 1/@01 TS/F1_02.tif "/>
    <s v=" 348.0601 "/>
    <s v=" 63.9375 "/>
    <x v="1"/>
    <n v="22254"/>
    <m/>
    <m/>
  </r>
  <r>
    <x v="0"/>
    <x v="5"/>
    <s v="Q:\R&amp;D\2-Test oestrogénique\OECD and AOPs\REACTIV oecd interlaboratory validation\Results WF\Résultats CBA\2021-CHG-CBA-Atenolol 2\plaque 1/@01 TS/F1_03.tif "/>
    <s v=" 304.5526 "/>
    <s v=" 64.3571 "/>
    <x v="1"/>
    <n v="19600"/>
    <m/>
    <m/>
  </r>
  <r>
    <x v="0"/>
    <x v="6"/>
    <s v="Q:\R&amp;D\2-Test oestrogénique\OECD and AOPs\REACTIV oecd interlaboratory validation\Results WF\Résultats CBA\2021-CHG-CBA-Atenolol 2\plaque 1/@01 TS/G1_01.tif "/>
    <s v=" 3872.1684 "/>
    <s v=" 68.4382 "/>
    <x v="1"/>
    <n v="265004"/>
    <m/>
    <m/>
  </r>
  <r>
    <x v="0"/>
    <x v="6"/>
    <s v="Q:\R&amp;D\2-Test oestrogénique\OECD and AOPs\REACTIV oecd interlaboratory validation\Results WF\Résultats CBA\2021-CHG-CBA-Atenolol 2\plaque 1/@01 TS/G1_02.tif "/>
    <s v=" 935.4115 "/>
    <s v=" 64.2093 "/>
    <x v="1"/>
    <n v="60062"/>
    <m/>
    <m/>
  </r>
  <r>
    <x v="0"/>
    <x v="6"/>
    <s v="Q:\R&amp;D\2-Test oestrogénique\OECD and AOPs\REACTIV oecd interlaboratory validation\Results WF\Résultats CBA\2021-CHG-CBA-Atenolol 2\plaque 1/@01 TS/G1_03.tif "/>
    <s v=" 717.8739 "/>
    <s v=" 63.8788 "/>
    <x v="1"/>
    <n v="45857"/>
    <m/>
    <m/>
  </r>
  <r>
    <x v="0"/>
    <x v="7"/>
    <s v="Q:\R&amp;D\2-Test oestrogénique\OECD and AOPs\REACTIV oecd interlaboratory validation\Results WF\Résultats CBA\2021-CHG-CBA-Atenolol 2\plaque 1/@01 TS/H1_01.tif "/>
    <s v=" 5525.4538 "/>
    <s v=" 68.3228 "/>
    <x v="1"/>
    <n v="377515"/>
    <m/>
    <m/>
  </r>
  <r>
    <x v="0"/>
    <x v="7"/>
    <s v="Q:\R&amp;D\2-Test oestrogénique\OECD and AOPs\REACTIV oecd interlaboratory validation\Results WF\Résultats CBA\2021-CHG-CBA-Atenolol 2\plaque 1/@01 TS/H1_02.tif "/>
    <s v=" 13313.2981 "/>
    <s v=" 74.335 "/>
    <x v="1"/>
    <n v="989644"/>
    <m/>
    <m/>
  </r>
  <r>
    <x v="0"/>
    <x v="7"/>
    <s v="Q:\R&amp;D\2-Test oestrogénique\OECD and AOPs\REACTIV oecd interlaboratory validation\Results WF\Résultats CBA\2021-CHG-CBA-Atenolol 2\plaque 1/@01 TS/H1_03.tif "/>
    <s v=" 8614.487 "/>
    <s v=" 69.3864 "/>
    <x v="1"/>
    <n v="597728"/>
    <m/>
    <m/>
  </r>
  <r>
    <x v="1"/>
    <x v="8"/>
    <s v=" "/>
    <m/>
    <m/>
    <x v="0"/>
    <m/>
    <m/>
    <m/>
  </r>
  <r>
    <x v="1"/>
    <x v="8"/>
    <s v="group "/>
    <s v=" "/>
    <s v=" mean of mean fluo "/>
    <x v="2"/>
    <s v=" mean of total fluo "/>
    <s v=" SD total fluo "/>
    <s v=" n fluorescent "/>
  </r>
  <r>
    <x v="0"/>
    <x v="9"/>
    <s v="Q:\R&amp;D\2-Test oestrogénique\OECD and AOPs\REACTIV oecd interlaboratory validation\Results WF\Résultats CBA\2021-CHG-CBA-Atenolol 2\plaque 1/@01 TS/ "/>
    <s v=" "/>
    <s v=" 66.1275 "/>
    <x v="3"/>
    <n v="210416"/>
    <s v=" 246108.12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
    <x v="0"/>
    <s v="Q:\R&amp;D\2-Test oestrogénique\OECD and AOPs\REACTIV oecd interlaboratory validation\Results WF\Résultats CBA\2021-CHG-CBA-Atenolol 2\plaque 1/@02 EE2 34/A2_01.tif "/>
    <s v=" 3785.1534 "/>
    <s v=" 65.8621 "/>
    <x v="1"/>
    <n v="249298"/>
    <m/>
    <m/>
  </r>
  <r>
    <x v="2"/>
    <x v="0"/>
    <s v="Q:\R&amp;D\2-Test oestrogénique\OECD and AOPs\REACTIV oecd interlaboratory validation\Results WF\Résultats CBA\2021-CHG-CBA-Atenolol 2\plaque 1/@02 EE2 34/A2_02.tif "/>
    <s v=" 4307.2435 "/>
    <s v=" 67.3939 "/>
    <x v="1"/>
    <n v="290282"/>
    <m/>
    <m/>
  </r>
  <r>
    <x v="2"/>
    <x v="0"/>
    <s v="Q:\R&amp;D\2-Test oestrogénique\OECD and AOPs\REACTIV oecd interlaboratory validation\Results WF\Résultats CBA\2021-CHG-CBA-Atenolol 2\plaque 1/@02 EE2 34/A2_03- exclu.tif"/>
    <m/>
    <m/>
    <x v="0"/>
    <m/>
    <m/>
    <m/>
  </r>
  <r>
    <x v="2"/>
    <x v="1"/>
    <s v="Q:\R&amp;D\2-Test oestrogénique\OECD and AOPs\REACTIV oecd interlaboratory validation\Results WF\Résultats CBA\2021-CHG-CBA-Atenolol 2\plaque 1/@02 EE2 34/B2_01.tif "/>
    <s v=" 8027.1356 "/>
    <s v=" 71.1816 "/>
    <x v="1"/>
    <n v="571384"/>
    <m/>
    <m/>
  </r>
  <r>
    <x v="2"/>
    <x v="1"/>
    <s v="Q:\R&amp;D\2-Test oestrogénique\OECD and AOPs\REACTIV oecd interlaboratory validation\Results WF\Résultats CBA\2021-CHG-CBA-Atenolol 2\plaque 1/@02 EE2 34/B2_02.tif "/>
    <s v=" 6265.0814 "/>
    <s v=" 69.4062 "/>
    <x v="1"/>
    <n v="434836"/>
    <m/>
    <m/>
  </r>
  <r>
    <x v="2"/>
    <x v="1"/>
    <s v="Q:\R&amp;D\2-Test oestrogénique\OECD and AOPs\REACTIV oecd interlaboratory validation\Results WF\Résultats CBA\2021-CHG-CBA-Atenolol 2\plaque 1/@02 EE2 34/B2_03.tif "/>
    <s v=" 7657.3218 "/>
    <s v=" 71.9886 "/>
    <x v="1"/>
    <n v="551240"/>
    <m/>
    <m/>
  </r>
  <r>
    <x v="2"/>
    <x v="2"/>
    <s v="Q:\R&amp;D\2-Test oestrogénique\OECD and AOPs\REACTIV oecd interlaboratory validation\Results WF\Résultats CBA\2021-CHG-CBA-Atenolol 2\plaque 1/@02 EE2 34/C2_01.tif "/>
    <s v=" 1914.3304 "/>
    <s v=" 63.7841 "/>
    <x v="1"/>
    <n v="122104"/>
    <m/>
    <m/>
  </r>
  <r>
    <x v="2"/>
    <x v="2"/>
    <s v="Q:\R&amp;D\2-Test oestrogénique\OECD and AOPs\REACTIV oecd interlaboratory validation\Results WF\Résultats CBA\2021-CHG-CBA-Atenolol 2\plaque 1/@02 EE2 34/C2_02.tif "/>
    <s v=" 2414.6668 "/>
    <s v=" 64.9009 "/>
    <x v="1"/>
    <n v="156714"/>
    <m/>
    <m/>
  </r>
  <r>
    <x v="2"/>
    <x v="2"/>
    <s v="Q:\R&amp;D\2-Test oestrogénique\OECD and AOPs\REACTIV oecd interlaboratory validation\Results WF\Résultats CBA\2021-CHG-CBA-Atenolol 2\plaque 1/@02 EE2 34/C2_03.tif "/>
    <s v=" 696.1202 "/>
    <n v="64"/>
    <x v="1"/>
    <n v="44552"/>
    <m/>
    <m/>
  </r>
  <r>
    <x v="2"/>
    <x v="3"/>
    <s v="Q:\R&amp;D\2-Test oestrogénique\OECD and AOPs\REACTIV oecd interlaboratory validation\Results WF\Résultats CBA\2021-CHG-CBA-Atenolol 2\plaque 1/@02 EE2 34/D2_01.tif "/>
    <s v=" 4067.9522 "/>
    <s v=" 66.4599 "/>
    <x v="1"/>
    <n v="270356"/>
    <m/>
    <m/>
  </r>
  <r>
    <x v="2"/>
    <x v="3"/>
    <s v="Q:\R&amp;D\2-Test oestrogénique\OECD and AOPs\REACTIV oecd interlaboratory validation\Results WF\Résultats CBA\2021-CHG-CBA-Atenolol 2\plaque 1/@02 EE2 34/D2_02.tif "/>
    <s v=" 3763.3996 "/>
    <s v=" 64.7399 "/>
    <x v="1"/>
    <n v="243642"/>
    <m/>
    <m/>
  </r>
  <r>
    <x v="2"/>
    <x v="3"/>
    <s v="Q:\R&amp;D\2-Test oestrogénique\OECD and AOPs\REACTIV oecd interlaboratory validation\Results WF\Résultats CBA\2021-CHG-CBA-Atenolol 2\plaque 1/@02 EE2 34/D2_03.tif "/>
    <s v=" 4002.6909 "/>
    <s v=" 66.3641 "/>
    <x v="1"/>
    <n v="265635"/>
    <m/>
    <m/>
  </r>
  <r>
    <x v="2"/>
    <x v="4"/>
    <s v="Q:\R&amp;D\2-Test oestrogénique\OECD and AOPs\REACTIV oecd interlaboratory validation\Results WF\Résultats CBA\2021-CHG-CBA-Atenolol 2\plaque 1/@02 EE2 34/E2_01.tif "/>
    <s v=" 2023.0992 "/>
    <s v=" 66.1183 "/>
    <x v="1"/>
    <n v="133764"/>
    <m/>
    <m/>
  </r>
  <r>
    <x v="2"/>
    <x v="4"/>
    <s v="Q:\R&amp;D\2-Test oestrogénique\OECD and AOPs\REACTIV oecd interlaboratory validation\Results WF\Résultats CBA\2021-CHG-CBA-Atenolol 2\plaque 1/@02 EE2 34/E2_02.tif "/>
    <s v=" 4720.5648 "/>
    <s v=" 68.7373 "/>
    <x v="1"/>
    <n v="324479"/>
    <m/>
    <m/>
  </r>
  <r>
    <x v="2"/>
    <x v="4"/>
    <s v="Q:\R&amp;D\2-Test oestrogénique\OECD and AOPs\REACTIV oecd interlaboratory validation\Results WF\Résultats CBA\2021-CHG-CBA-Atenolol 2\plaque 1/@02 EE2 34/E2_03.tif "/>
    <s v=" 2588.6968 "/>
    <s v=" 67.1429 "/>
    <x v="1"/>
    <n v="173813"/>
    <m/>
    <m/>
  </r>
  <r>
    <x v="2"/>
    <x v="5"/>
    <s v="Q:\R&amp;D\2-Test oestrogénique\OECD and AOPs\REACTIV oecd interlaboratory validation\Results WF\Résultats CBA\2021-CHG-CBA-Atenolol 2\plaque 1/@02 EE2 34/F2_01.tif "/>
    <s v=" 2827.9882 "/>
    <s v=" 64.4154 "/>
    <x v="1"/>
    <n v="182166"/>
    <m/>
    <m/>
  </r>
  <r>
    <x v="2"/>
    <x v="5"/>
    <s v="Q:\R&amp;D\2-Test oestrogénique\OECD and AOPs\REACTIV oecd interlaboratory validation\Results WF\Résultats CBA\2021-CHG-CBA-Atenolol 2\plaque 1/@02 EE2 34/F2_02.tif "/>
    <s v=" 3741.6459 "/>
    <s v=" 65.5291 "/>
    <x v="1"/>
    <n v="245187"/>
    <m/>
    <m/>
  </r>
  <r>
    <x v="2"/>
    <x v="5"/>
    <s v="Q:\R&amp;D\2-Test oestrogénique\OECD and AOPs\REACTIV oecd interlaboratory validation\Results WF\Résultats CBA\2021-CHG-CBA-Atenolol 2\plaque 1/@02 EE2 34/F2_03.tif "/>
    <s v=" 2740.9731 "/>
    <s v=" 66.3254 "/>
    <x v="1"/>
    <n v="181796"/>
    <m/>
    <m/>
  </r>
  <r>
    <x v="2"/>
    <x v="6"/>
    <s v="Q:\R&amp;D\2-Test oestrogénique\OECD and AOPs\REACTIV oecd interlaboratory validation\Results WF\Résultats CBA\2021-CHG-CBA-Atenolol 2\plaque 1/@02 EE2 34/G2_01.tif "/>
    <s v=" 1544.5166 "/>
    <s v=" 64.0141 "/>
    <x v="1"/>
    <n v="98871"/>
    <m/>
    <m/>
  </r>
  <r>
    <x v="2"/>
    <x v="6"/>
    <s v="Q:\R&amp;D\2-Test oestrogénique\OECD and AOPs\REACTIV oecd interlaboratory validation\Results WF\Résultats CBA\2021-CHG-CBA-Atenolol 2\plaque 1/@02 EE2 34/G2_02- exclu.tif"/>
    <m/>
    <m/>
    <x v="0"/>
    <m/>
    <m/>
    <m/>
  </r>
  <r>
    <x v="2"/>
    <x v="6"/>
    <s v="Q:\R&amp;D\2-Test oestrogénique\OECD and AOPs\REACTIV oecd interlaboratory validation\Results WF\Résultats CBA\2021-CHG-CBA-Atenolol 2\plaque 1/@02 EE2 34/G2_03.tif "/>
    <s v=" 1109.4415 "/>
    <s v=" 65.0392 "/>
    <x v="1"/>
    <n v="72157"/>
    <m/>
    <m/>
  </r>
  <r>
    <x v="2"/>
    <x v="7"/>
    <s v="Q:\R&amp;D\2-Test oestrogénique\OECD and AOPs\REACTIV oecd interlaboratory validation\Results WF\Résultats CBA\2021-CHG-CBA-Atenolol 2\plaque 1/@02 EE2 34/H2_01.tif "/>
    <s v=" 348.0601 "/>
    <s v=" 62.25 "/>
    <x v="1"/>
    <n v="21667"/>
    <m/>
    <m/>
  </r>
  <r>
    <x v="2"/>
    <x v="7"/>
    <s v="Q:\R&amp;D\2-Test oestrogénique\OECD and AOPs\REACTIV oecd interlaboratory validation\Results WF\Résultats CBA\2021-CHG-CBA-Atenolol 2\plaque 1/@02 EE2 34/H2_02.tif "/>
    <s v=" 282.7988 "/>
    <s v=" 68.6154 "/>
    <x v="1"/>
    <n v="19404"/>
    <m/>
    <m/>
  </r>
  <r>
    <x v="2"/>
    <x v="7"/>
    <s v="Q:\R&amp;D\2-Test oestrogénique\OECD and AOPs\REACTIV oecd interlaboratory validation\Results WF\Résultats CBA\2021-CHG-CBA-Atenolol 2\plaque 1/@02 EE2 34/H2_03.tif "/>
    <s v=" 217.5376 "/>
    <s v=" 68.8 "/>
    <x v="1"/>
    <n v="14967"/>
    <m/>
    <m/>
  </r>
  <r>
    <x v="1"/>
    <x v="8"/>
    <s v=" "/>
    <m/>
    <m/>
    <x v="0"/>
    <m/>
    <m/>
    <m/>
  </r>
  <r>
    <x v="1"/>
    <x v="8"/>
    <s v="group "/>
    <s v=" "/>
    <s v=" mean of mean fluo "/>
    <x v="2"/>
    <s v=" mean of total fluo "/>
    <s v=" SD total fluo "/>
    <s v=" n fluorescent "/>
  </r>
  <r>
    <x v="2"/>
    <x v="9"/>
    <s v="Q:\R&amp;D\2-Test oestrogénique\OECD and AOPs\REACTIV oecd interlaboratory validation\Results WF\Résultats CBA\2021-CHG-CBA-Atenolol 2\plaque 1/@02 EE2 34/ "/>
    <s v=" "/>
    <s v=" 66.2012 "/>
    <x v="4"/>
    <s v=" 197203.333 "/>
    <s v=" 158141.885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3"/>
    <x v="0"/>
    <s v="Q:\R&amp;D\2-Test oestrogénique\OECD and AOPs\REACTIV oecd interlaboratory validation\Results WF\Résultats CBA\2021-CHG-CBA-Atenolol 2\plaque 1/@03 EE2 51/A3_01.tif "/>
    <s v=" 14031.172 "/>
    <s v=" 87.1209 "/>
    <x v="1"/>
    <n v="1222409"/>
    <m/>
    <m/>
  </r>
  <r>
    <x v="3"/>
    <x v="0"/>
    <s v="Q:\R&amp;D\2-Test oestrogénique\OECD and AOPs\REACTIV oecd interlaboratory validation\Results WF\Résultats CBA\2021-CHG-CBA-Atenolol 2\plaque 1/@03 EE2 51/A3_02.tif "/>
    <s v=" 7548.553 "/>
    <s v=" 69.0346 "/>
    <x v="1"/>
    <n v="521111"/>
    <m/>
    <m/>
  </r>
  <r>
    <x v="3"/>
    <x v="0"/>
    <s v="Q:\R&amp;D\2-Test oestrogénique\OECD and AOPs\REACTIV oecd interlaboratory validation\Results WF\Résultats CBA\2021-CHG-CBA-Atenolol 2\plaque 1/@03 EE2 51/A3_03.tif "/>
    <s v=" 8070.6431 "/>
    <s v=" 73.2102 "/>
    <x v="1"/>
    <n v="590854"/>
    <m/>
    <m/>
  </r>
  <r>
    <x v="3"/>
    <x v="1"/>
    <s v="Q:\R&amp;D\2-Test oestrogénique\OECD and AOPs\REACTIV oecd interlaboratory validation\Results WF\Résultats CBA\2021-CHG-CBA-Atenolol 2\plaque 1/@03 EE2 51/B3_01.tif "/>
    <s v=" 10485.3099 "/>
    <s v=" 72.9938 "/>
    <x v="1"/>
    <n v="765362"/>
    <m/>
    <m/>
  </r>
  <r>
    <x v="3"/>
    <x v="1"/>
    <s v="Q:\R&amp;D\2-Test oestrogénique\OECD and AOPs\REACTIV oecd interlaboratory validation\Results WF\Résultats CBA\2021-CHG-CBA-Atenolol 2\plaque 1/@03 EE2 51/B3_02.tif "/>
    <s v=" 9680.421 "/>
    <s v=" 72.173 "/>
    <x v="1"/>
    <n v="698665"/>
    <m/>
    <m/>
  </r>
  <r>
    <x v="3"/>
    <x v="1"/>
    <s v="Q:\R&amp;D\2-Test oestrogénique\OECD and AOPs\REACTIV oecd interlaboratory validation\Results WF\Résultats CBA\2021-CHG-CBA-Atenolol 2\plaque 1/@03 EE2 51/B3_03.tif "/>
    <s v=" 10572.3249 "/>
    <s v=" 74.8189 "/>
    <x v="1"/>
    <n v="791010"/>
    <m/>
    <m/>
  </r>
  <r>
    <x v="3"/>
    <x v="2"/>
    <s v="Q:\R&amp;D\2-Test oestrogénique\OECD and AOPs\REACTIV oecd interlaboratory validation\Results WF\Résultats CBA\2021-CHG-CBA-Atenolol 2\plaque 1/@03 EE2 51/C3_01.tif "/>
    <s v=" 1762.0542 "/>
    <s v=" 63.9753 "/>
    <x v="1"/>
    <n v="112728"/>
    <m/>
    <m/>
  </r>
  <r>
    <x v="3"/>
    <x v="2"/>
    <s v="Q:\R&amp;D\2-Test oestrogénique\OECD and AOPs\REACTIV oecd interlaboratory validation\Results WF\Résultats CBA\2021-CHG-CBA-Atenolol 2\plaque 1/@03 EE2 51/C3_02.tif "/>
    <s v=" 2479.9281 "/>
    <s v=" 64.7105 "/>
    <x v="1"/>
    <n v="160477"/>
    <m/>
    <m/>
  </r>
  <r>
    <x v="3"/>
    <x v="2"/>
    <s v="Q:\R&amp;D\2-Test oestrogénique\OECD and AOPs\REACTIV oecd interlaboratory validation\Results WF\Résultats CBA\2021-CHG-CBA-Atenolol 2\plaque 1/@03 EE2 51/C3_03- exclu.tif"/>
    <m/>
    <m/>
    <x v="0"/>
    <m/>
    <m/>
    <m/>
  </r>
  <r>
    <x v="3"/>
    <x v="3"/>
    <s v="Q:\R&amp;D\2-Test oestrogénique\OECD and AOPs\REACTIV oecd interlaboratory validation\Results WF\Résultats CBA\2021-CHG-CBA-Atenolol 2\plaque 1/@03 EE2 51/D3_01.tif "/>
    <s v=" 4046.1984 "/>
    <s v=" 69.1828 "/>
    <x v="1"/>
    <n v="279927"/>
    <m/>
    <m/>
  </r>
  <r>
    <x v="3"/>
    <x v="3"/>
    <s v="Q:\R&amp;D\2-Test oestrogénique\OECD and AOPs\REACTIV oecd interlaboratory validation\Results WF\Résultats CBA\2021-CHG-CBA-Atenolol 2\plaque 1/@03 EE2 51/D3_02.tif "/>
    <s v=" 4611.7961 "/>
    <s v=" 70.5236 "/>
    <x v="1"/>
    <n v="325240"/>
    <m/>
    <m/>
  </r>
  <r>
    <x v="3"/>
    <x v="3"/>
    <s v="Q:\R&amp;D\2-Test oestrogénique\OECD and AOPs\REACTIV oecd interlaboratory validation\Results WF\Résultats CBA\2021-CHG-CBA-Atenolol 2\plaque 1/@03 EE2 51/D3_03.tif "/>
    <s v=" 2392.9131 "/>
    <s v=" 65.3455 "/>
    <x v="1"/>
    <n v="156366"/>
    <m/>
    <m/>
  </r>
  <r>
    <x v="3"/>
    <x v="4"/>
    <s v="Q:\R&amp;D\2-Test oestrogénique\OECD and AOPs\REACTIV oecd interlaboratory validation\Results WF\Résultats CBA\2021-CHG-CBA-Atenolol 2\plaque 1/@03 EE2 51/E3_01.tif "/>
    <s v=" 3872.1684 "/>
    <s v=" 67.0618 "/>
    <x v="1"/>
    <n v="259675"/>
    <m/>
    <m/>
  </r>
  <r>
    <x v="3"/>
    <x v="4"/>
    <s v="Q:\R&amp;D\2-Test oestrogénique\OECD and AOPs\REACTIV oecd interlaboratory validation\Results WF\Résultats CBA\2021-CHG-CBA-Atenolol 2\plaque 1/@03 EE2 51/E3_02.tif "/>
    <s v=" 435.0751 "/>
    <s v=" 62.65 "/>
    <x v="1"/>
    <n v="27257"/>
    <m/>
    <m/>
  </r>
  <r>
    <x v="3"/>
    <x v="4"/>
    <s v="Q:\R&amp;D\2-Test oestrogénique\OECD and AOPs\REACTIV oecd interlaboratory validation\Results WF\Résultats CBA\2021-CHG-CBA-Atenolol 2\plaque 1/@03 EE2 51/E3_03.tif "/>
    <s v=" 348.0601 "/>
    <s v=" 63.0625 "/>
    <x v="1"/>
    <n v="21950"/>
    <m/>
    <m/>
  </r>
  <r>
    <x v="3"/>
    <x v="5"/>
    <s v="Q:\R&amp;D\2-Test oestrogénique\OECD and AOPs\REACTIV oecd interlaboratory validation\Results WF\Résultats CBA\2021-CHG-CBA-Atenolol 2\plaque 1/@03 EE2 51/F3_01.tif "/>
    <s v=" 12182.1028 "/>
    <s v=" 81.4911 "/>
    <x v="1"/>
    <n v="992733"/>
    <m/>
    <m/>
  </r>
  <r>
    <x v="3"/>
    <x v="5"/>
    <s v="Q:\R&amp;D\2-Test oestrogénique\OECD and AOPs\REACTIV oecd interlaboratory validation\Results WF\Résultats CBA\2021-CHG-CBA-Atenolol 2\plaque 1/@03 EE2 51/F3_02.tif "/>
    <s v=" 13269.7906 "/>
    <s v=" 82.0967 "/>
    <x v="1"/>
    <n v="1089406"/>
    <m/>
    <m/>
  </r>
  <r>
    <x v="3"/>
    <x v="5"/>
    <s v="Q:\R&amp;D\2-Test oestrogénique\OECD and AOPs\REACTIV oecd interlaboratory validation\Results WF\Résultats CBA\2021-CHG-CBA-Atenolol 2\plaque 1/@03 EE2 51/F3_03.tif "/>
    <s v=" 12356.1328 "/>
    <s v=" 81.75 "/>
    <x v="1"/>
    <n v="1010114"/>
    <m/>
    <m/>
  </r>
  <r>
    <x v="3"/>
    <x v="6"/>
    <s v="Q:\R&amp;D\2-Test oestrogénique\OECD and AOPs\REACTIV oecd interlaboratory validation\Results WF\Résultats CBA\2021-CHG-CBA-Atenolol 2\plaque 1/@03 EE2 51/G3_01.tif "/>
    <s v=" 6286.8352 "/>
    <s v=" 67.6747 "/>
    <x v="1"/>
    <n v="425460"/>
    <m/>
    <m/>
  </r>
  <r>
    <x v="3"/>
    <x v="6"/>
    <s v="Q:\R&amp;D\2-Test oestrogénique\OECD and AOPs\REACTIV oecd interlaboratory validation\Results WF\Résultats CBA\2021-CHG-CBA-Atenolol 2\plaque 1/@03 EE2 51/G3_02.tif "/>
    <s v=" 1131.1953 "/>
    <s v=" 63.9038 "/>
    <x v="1"/>
    <n v="72288"/>
    <m/>
    <m/>
  </r>
  <r>
    <x v="3"/>
    <x v="6"/>
    <s v="Q:\R&amp;D\2-Test oestrogénique\OECD and AOPs\REACTIV oecd interlaboratory validation\Results WF\Résultats CBA\2021-CHG-CBA-Atenolol 2\plaque 1/@03 EE2 51/G3_03.tif "/>
    <s v=" 2675.7119 "/>
    <s v=" 66.9675 "/>
    <x v="1"/>
    <n v="179186"/>
    <m/>
    <m/>
  </r>
  <r>
    <x v="3"/>
    <x v="7"/>
    <s v="Q:\R&amp;D\2-Test oestrogénique\OECD and AOPs\REACTIV oecd interlaboratory validation\Results WF\Résultats CBA\2021-CHG-CBA-Atenolol 2\plaque 1/@03 EE2 51/H3_01- exclu.tif"/>
    <m/>
    <m/>
    <x v="0"/>
    <m/>
    <m/>
    <m/>
  </r>
  <r>
    <x v="3"/>
    <x v="7"/>
    <s v="Q:\R&amp;D\2-Test oestrogénique\OECD and AOPs\REACTIV oecd interlaboratory validation\Results WF\Résultats CBA\2021-CHG-CBA-Atenolol 2\plaque 1/@03 EE2 51/H3_02- exclu.tif"/>
    <m/>
    <m/>
    <x v="0"/>
    <m/>
    <m/>
    <m/>
  </r>
  <r>
    <x v="3"/>
    <x v="7"/>
    <s v="Q:\R&amp;D\2-Test oestrogénique\OECD and AOPs\REACTIV oecd interlaboratory validation\Results WF\Résultats CBA\2021-CHG-CBA-Atenolol 2\plaque 1/@03 EE2 51/H3_03- exclu.tif"/>
    <m/>
    <m/>
    <x v="0"/>
    <m/>
    <m/>
    <m/>
  </r>
  <r>
    <x v="1"/>
    <x v="8"/>
    <s v=" "/>
    <m/>
    <m/>
    <x v="0"/>
    <m/>
    <m/>
    <m/>
  </r>
  <r>
    <x v="1"/>
    <x v="8"/>
    <s v="group "/>
    <s v=" "/>
    <s v=" mean of mean fluo "/>
    <x v="2"/>
    <s v=" mean of total fluo "/>
    <s v=" SD total fluo "/>
    <s v=" n fluorescent "/>
  </r>
  <r>
    <x v="3"/>
    <x v="9"/>
    <s v="Q:\R&amp;D\2-Test oestrogénique\OECD and AOPs\REACTIV oecd interlaboratory validation\Results WF\Résultats CBA\2021-CHG-CBA-Atenolol 2\plaque 1/@03 EE2 51/ "/>
    <s v=" "/>
    <s v=" 69.7703 "/>
    <x v="5"/>
    <s v=" 411005.458 "/>
    <s v=" 389770.96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4"/>
    <x v="0"/>
    <s v="Q:\R&amp;D\2-Test oestrogénique\OECD and AOPs\REACTIV oecd interlaboratory validation\Results WF\Résultats CBA\2021-CHG-CBA-Atenolol 2\plaque 1/@04 EE2 76/A4_01- exclu.tif"/>
    <m/>
    <m/>
    <x v="0"/>
    <m/>
    <m/>
    <m/>
  </r>
  <r>
    <x v="4"/>
    <x v="0"/>
    <s v="Q:\R&amp;D\2-Test oestrogénique\OECD and AOPs\REACTIV oecd interlaboratory validation\Results WF\Résultats CBA\2021-CHG-CBA-Atenolol 2\plaque 1/@04 EE2 76/A4_02.tif "/>
    <s v=" 14270.4633 "/>
    <s v=" 70.404 "/>
    <x v="1"/>
    <n v="1004697"/>
    <m/>
    <m/>
  </r>
  <r>
    <x v="4"/>
    <x v="0"/>
    <s v="Q:\R&amp;D\2-Test oestrogénique\OECD and AOPs\REACTIV oecd interlaboratory validation\Results WF\Résultats CBA\2021-CHG-CBA-Atenolol 2\plaque 1/@04 EE2 76/A4_03.tif "/>
    <s v=" 15727.9649 "/>
    <s v=" 69.6445 "/>
    <x v="1"/>
    <n v="1095367"/>
    <m/>
    <m/>
  </r>
  <r>
    <x v="4"/>
    <x v="1"/>
    <s v="Q:\R&amp;D\2-Test oestrogénique\OECD and AOPs\REACTIV oecd interlaboratory validation\Results WF\Résultats CBA\2021-CHG-CBA-Atenolol 2\plaque 1/@04 EE2 76/B4_01.tif "/>
    <s v=" 18142.6317 "/>
    <s v=" 64.4269 "/>
    <x v="1"/>
    <n v="1168873"/>
    <m/>
    <m/>
  </r>
  <r>
    <x v="4"/>
    <x v="1"/>
    <s v="Q:\R&amp;D\2-Test oestrogénique\OECD and AOPs\REACTIV oecd interlaboratory validation\Results WF\Résultats CBA\2021-CHG-CBA-Atenolol 2\plaque 1/@04 EE2 76/B4_02.tif "/>
    <s v=" 18512.4455 "/>
    <s v=" 65.1328 "/>
    <x v="1"/>
    <n v="1205767"/>
    <m/>
    <m/>
  </r>
  <r>
    <x v="4"/>
    <x v="1"/>
    <s v="Q:\R&amp;D\2-Test oestrogénique\OECD and AOPs\REACTIV oecd interlaboratory validation\Results WF\Résultats CBA\2021-CHG-CBA-Atenolol 2\plaque 1/@04 EE2 76/B4_03.tif "/>
    <s v=" 23559.3167 "/>
    <s v=" 65.6288 "/>
    <x v="1"/>
    <n v="1546170"/>
    <m/>
    <m/>
  </r>
  <r>
    <x v="4"/>
    <x v="2"/>
    <s v="Q:\R&amp;D\2-Test oestrogénique\OECD and AOPs\REACTIV oecd interlaboratory validation\Results WF\Résultats CBA\2021-CHG-CBA-Atenolol 2\plaque 1/@04 EE2 76/C4_01.tif "/>
    <s v=" 9419.3759 "/>
    <s v=" 67.6859 "/>
    <x v="1"/>
    <n v="637559"/>
    <m/>
    <m/>
  </r>
  <r>
    <x v="4"/>
    <x v="2"/>
    <s v="Q:\R&amp;D\2-Test oestrogénique\OECD and AOPs\REACTIV oecd interlaboratory validation\Results WF\Résultats CBA\2021-CHG-CBA-Atenolol 2\plaque 1/@04 EE2 76/C4_02.tif "/>
    <s v=" 10876.8775 "/>
    <s v=" 65.61 "/>
    <x v="1"/>
    <n v="713632"/>
    <m/>
    <m/>
  </r>
  <r>
    <x v="4"/>
    <x v="2"/>
    <s v="Q:\R&amp;D\2-Test oestrogénique\OECD and AOPs\REACTIV oecd interlaboratory validation\Results WF\Résultats CBA\2021-CHG-CBA-Atenolol 2\plaque 1/@04 EE2 76/C4_03.tif "/>
    <s v=" 8570.9795 "/>
    <s v=" 66.0279 "/>
    <x v="1"/>
    <n v="565924"/>
    <m/>
    <m/>
  </r>
  <r>
    <x v="4"/>
    <x v="3"/>
    <s v="Q:\R&amp;D\2-Test oestrogénique\OECD and AOPs\REACTIV oecd interlaboratory validation\Results WF\Résultats CBA\2021-CHG-CBA-Atenolol 2\plaque 1/@04 EE2 76/D4_01.tif "/>
    <s v=" 1392.2403 "/>
    <s v=" 62.7344 "/>
    <x v="1"/>
    <n v="87341"/>
    <m/>
    <m/>
  </r>
  <r>
    <x v="4"/>
    <x v="3"/>
    <s v="Q:\R&amp;D\2-Test oestrogénique\OECD and AOPs\REACTIV oecd interlaboratory validation\Results WF\Résultats CBA\2021-CHG-CBA-Atenolol 2\plaque 1/@04 EE2 76/D4_02.tif "/>
    <s v=" 2305.898 "/>
    <s v=" 63.3113 "/>
    <x v="1"/>
    <n v="145989"/>
    <m/>
    <m/>
  </r>
  <r>
    <x v="4"/>
    <x v="3"/>
    <s v="Q:\R&amp;D\2-Test oestrogénique\OECD and AOPs\REACTIV oecd interlaboratory validation\Results WF\Résultats CBA\2021-CHG-CBA-Atenolol 2\plaque 1/@04 EE2 76/D4_03.tif "/>
    <s v=" 1348.7328 "/>
    <s v=" 63.5323 "/>
    <x v="1"/>
    <n v="85688"/>
    <m/>
    <m/>
  </r>
  <r>
    <x v="4"/>
    <x v="4"/>
    <s v="Q:\R&amp;D\2-Test oestrogénique\OECD and AOPs\REACTIV oecd interlaboratory validation\Results WF\Résultats CBA\2021-CHG-CBA-Atenolol 2\plaque 1/@04 EE2 76/E4_01.tif "/>
    <s v=" 10507.0637 "/>
    <s v=" 67.4431 "/>
    <x v="1"/>
    <n v="708629"/>
    <m/>
    <m/>
  </r>
  <r>
    <x v="4"/>
    <x v="4"/>
    <s v="Q:\R&amp;D\2-Test oestrogénique\OECD and AOPs\REACTIV oecd interlaboratory validation\Results WF\Résultats CBA\2021-CHG-CBA-Atenolol 2\plaque 1/@04 EE2 76/E4_02.tif "/>
    <s v=" 20100.4696 "/>
    <s v=" 76.8593 "/>
    <x v="1"/>
    <n v="1544908"/>
    <m/>
    <m/>
  </r>
  <r>
    <x v="4"/>
    <x v="4"/>
    <s v="Q:\R&amp;D\2-Test oestrogénique\OECD and AOPs\REACTIV oecd interlaboratory validation\Results WF\Résultats CBA\2021-CHG-CBA-Atenolol 2\plaque 1/@04 EE2 76/E4_03.tif "/>
    <s v=" 7026.4629 "/>
    <s v=" 69.1269 "/>
    <x v="1"/>
    <n v="485718"/>
    <m/>
    <m/>
  </r>
  <r>
    <x v="4"/>
    <x v="5"/>
    <s v="Q:\R&amp;D\2-Test oestrogénique\OECD and AOPs\REACTIV oecd interlaboratory validation\Results WF\Résultats CBA\2021-CHG-CBA-Atenolol 2\plaque 1/@04 EE2 76/F4_01.tif "/>
    <s v=" 2980.2644 "/>
    <s v=" 64.8102 "/>
    <x v="1"/>
    <n v="193152"/>
    <m/>
    <m/>
  </r>
  <r>
    <x v="4"/>
    <x v="5"/>
    <s v="Q:\R&amp;D\2-Test oestrogénique\OECD and AOPs\REACTIV oecd interlaboratory validation\Results WF\Résultats CBA\2021-CHG-CBA-Atenolol 2\plaque 1/@04 EE2 76/F4_02.tif "/>
    <s v=" 5220.9012 "/>
    <s v=" 65.7958 "/>
    <x v="1"/>
    <n v="343514"/>
    <m/>
    <m/>
  </r>
  <r>
    <x v="4"/>
    <x v="5"/>
    <s v="Q:\R&amp;D\2-Test oestrogénique\OECD and AOPs\REACTIV oecd interlaboratory validation\Results WF\Résultats CBA\2021-CHG-CBA-Atenolol 2\plaque 1/@04 EE2 76/F4_03.tif "/>
    <s v=" 4154.9672 "/>
    <s v=" 67.9005 "/>
    <x v="1"/>
    <n v="282124"/>
    <m/>
    <m/>
  </r>
  <r>
    <x v="4"/>
    <x v="6"/>
    <s v="Q:\R&amp;D\2-Test oestrogénique\OECD and AOPs\REACTIV oecd interlaboratory validation\Results WF\Résultats CBA\2021-CHG-CBA-Atenolol 2\plaque 1/@04 EE2 76/G4_01.tif "/>
    <s v=" 4046.1984 "/>
    <s v=" 65.5376 "/>
    <x v="1"/>
    <n v="265178"/>
    <m/>
    <m/>
  </r>
  <r>
    <x v="4"/>
    <x v="6"/>
    <s v="Q:\R&amp;D\2-Test oestrogénique\OECD and AOPs\REACTIV oecd interlaboratory validation\Results WF\Résultats CBA\2021-CHG-CBA-Atenolol 2\plaque 1/@04 EE2 76/G4_02.tif "/>
    <s v=" 1261.7178 "/>
    <s v=" 62.9655 "/>
    <x v="1"/>
    <n v="79445"/>
    <m/>
    <m/>
  </r>
  <r>
    <x v="4"/>
    <x v="6"/>
    <s v="Q:\R&amp;D\2-Test oestrogénique\OECD and AOPs\REACTIV oecd interlaboratory validation\Results WF\Résultats CBA\2021-CHG-CBA-Atenolol 2\plaque 1/@04 EE2 76/G4_03- exclu.tif"/>
    <m/>
    <m/>
    <x v="0"/>
    <m/>
    <m/>
    <m/>
  </r>
  <r>
    <x v="4"/>
    <x v="7"/>
    <s v="Q:\R&amp;D\2-Test oestrogénique\OECD and AOPs\REACTIV oecd interlaboratory validation\Results WF\Résultats CBA\2021-CHG-CBA-Atenolol 2\plaque 1/@04 EE2 76/H4_01.tif "/>
    <s v=" 5895.2676 "/>
    <s v=" 67.0849 "/>
    <x v="1"/>
    <n v="395483"/>
    <m/>
    <m/>
  </r>
  <r>
    <x v="4"/>
    <x v="7"/>
    <s v="Q:\R&amp;D\2-Test oestrogénique\OECD and AOPs\REACTIV oecd interlaboratory validation\Results WF\Résultats CBA\2021-CHG-CBA-Atenolol 2\plaque 1/@04 EE2 76/H4_02.tif "/>
    <s v=" 2392.9131 "/>
    <s v=" 64.5545 "/>
    <x v="1"/>
    <n v="154473"/>
    <m/>
    <m/>
  </r>
  <r>
    <x v="4"/>
    <x v="7"/>
    <s v="Q:\R&amp;D\2-Test oestrogénique\OECD and AOPs\REACTIV oecd interlaboratory validation\Results WF\Résultats CBA\2021-CHG-CBA-Atenolol 2\plaque 1/@04 EE2 76/H4_03.tif "/>
    <s v=" 1609.7779 "/>
    <s v=" 63.9189 "/>
    <x v="1"/>
    <n v="102895"/>
    <m/>
    <m/>
  </r>
  <r>
    <x v="1"/>
    <x v="8"/>
    <s v=" "/>
    <m/>
    <m/>
    <x v="0"/>
    <m/>
    <m/>
    <m/>
  </r>
  <r>
    <x v="1"/>
    <x v="8"/>
    <s v="group "/>
    <s v=" "/>
    <s v=" mean of mean fluo "/>
    <x v="2"/>
    <s v=" mean of total fluo "/>
    <s v=" SD total fluo "/>
    <s v=" n fluorescent "/>
  </r>
  <r>
    <x v="4"/>
    <x v="9"/>
    <s v="Q:\R&amp;D\2-Test oestrogénique\OECD and AOPs\REACTIV oecd interlaboratory validation\Results WF\Résultats CBA\2021-CHG-CBA-Atenolol 2\plaque 1/@04 EE2 76/ "/>
    <s v=" "/>
    <s v=" 66.153 "/>
    <x v="6"/>
    <s v=" 539939.042 "/>
    <s v=" 481630.62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5"/>
    <x v="0"/>
    <s v="Q:\R&amp;D\2-Test oestrogénique\OECD and AOPs\REACTIV oecd interlaboratory validation\Results WF\Résultats CBA\2021-CHG-CBA-Atenolol 2\plaque 1/@05 EE2 114/A5_01.tif "/>
    <s v=" 50468.7116 "/>
    <s v=" 80.5478 "/>
    <x v="1"/>
    <n v="4065146"/>
    <m/>
    <m/>
  </r>
  <r>
    <x v="5"/>
    <x v="0"/>
    <s v="Q:\R&amp;D\2-Test oestrogénique\OECD and AOPs\REACTIV oecd interlaboratory validation\Results WF\Résultats CBA\2021-CHG-CBA-Atenolol 2\plaque 1/@05 EE2 114/A5_02.tif "/>
    <s v=" 50490.4654 "/>
    <s v=" 79.1215 "/>
    <x v="1"/>
    <n v="3994881"/>
    <m/>
    <m/>
  </r>
  <r>
    <x v="5"/>
    <x v="0"/>
    <s v="Q:\R&amp;D\2-Test oestrogénique\OECD and AOPs\REACTIV oecd interlaboratory validation\Results WF\Résultats CBA\2021-CHG-CBA-Atenolol 2\plaque 1/@05 EE2 114/A5_03.tif "/>
    <s v=" 40048.663 "/>
    <s v=" 82.6138 "/>
    <x v="1"/>
    <n v="3308572"/>
    <m/>
    <m/>
  </r>
  <r>
    <x v="5"/>
    <x v="1"/>
    <s v="Q:\R&amp;D\2-Test oestrogénique\OECD and AOPs\REACTIV oecd interlaboratory validation\Results WF\Résultats CBA\2021-CHG-CBA-Atenolol 2\plaque 1/@05 EE2 114/B5_01.tif "/>
    <s v=" 36263.5096 "/>
    <s v=" 69.6893 "/>
    <x v="1"/>
    <n v="2527177"/>
    <m/>
    <m/>
  </r>
  <r>
    <x v="5"/>
    <x v="1"/>
    <s v="Q:\R&amp;D\2-Test oestrogénique\OECD and AOPs\REACTIV oecd interlaboratory validation\Results WF\Résultats CBA\2021-CHG-CBA-Atenolol 2\plaque 1/@05 EE2 114/B5_02.tif "/>
    <s v=" 33522.5365 "/>
    <s v=" 69.7865 "/>
    <x v="1"/>
    <n v="2339421"/>
    <m/>
    <m/>
  </r>
  <r>
    <x v="5"/>
    <x v="1"/>
    <s v="Q:\R&amp;D\2-Test oestrogénique\OECD and AOPs\REACTIV oecd interlaboratory validation\Results WF\Résultats CBA\2021-CHG-CBA-Atenolol 2\plaque 1/@05 EE2 114/B5_03.tif "/>
    <s v=" 39787.6179 "/>
    <s v=" 70.497 "/>
    <x v="1"/>
    <n v="2804907"/>
    <m/>
    <m/>
  </r>
  <r>
    <x v="5"/>
    <x v="2"/>
    <s v="Q:\R&amp;D\2-Test oestrogénique\OECD and AOPs\REACTIV oecd interlaboratory validation\Results WF\Résultats CBA\2021-CHG-CBA-Atenolol 2\plaque 1/@05 EE2 114/C5_01.tif "/>
    <s v=" 1457.5016 "/>
    <s v=" 63.0746 "/>
    <x v="1"/>
    <n v="91931"/>
    <m/>
    <m/>
  </r>
  <r>
    <x v="5"/>
    <x v="2"/>
    <s v="Q:\R&amp;D\2-Test oestrogénique\OECD and AOPs\REACTIV oecd interlaboratory validation\Results WF\Résultats CBA\2021-CHG-CBA-Atenolol 2\plaque 1/@05 EE2 114/C5_02.tif "/>
    <s v=" 1675.0391 "/>
    <s v=" 62.7013 "/>
    <x v="1"/>
    <n v="105027"/>
    <m/>
    <m/>
  </r>
  <r>
    <x v="5"/>
    <x v="2"/>
    <s v="Q:\R&amp;D\2-Test oestrogénique\OECD and AOPs\REACTIV oecd interlaboratory validation\Results WF\Résultats CBA\2021-CHG-CBA-Atenolol 2\plaque 1/@05 EE2 114/C5_03.tif "/>
    <s v=" 2871.4957 "/>
    <s v=" 64.3636 "/>
    <x v="1"/>
    <n v="184820"/>
    <m/>
    <m/>
  </r>
  <r>
    <x v="5"/>
    <x v="3"/>
    <s v="Q:\R&amp;D\2-Test oestrogénique\OECD and AOPs\REACTIV oecd interlaboratory validation\Results WF\Résultats CBA\2021-CHG-CBA-Atenolol 2\plaque 1/@05 EE2 114/D5_01.tif "/>
    <s v=" 28540.9266 "/>
    <s v=" 70.1265 "/>
    <x v="1"/>
    <n v="2001476"/>
    <m/>
    <m/>
  </r>
  <r>
    <x v="5"/>
    <x v="3"/>
    <s v="Q:\R&amp;D\2-Test oestrogénique\OECD and AOPs\REACTIV oecd interlaboratory validation\Results WF\Résultats CBA\2021-CHG-CBA-Atenolol 2\plaque 1/@05 EE2 114/D5_02.tif "/>
    <s v=" 30564.0258 "/>
    <s v=" 70.6313 "/>
    <x v="1"/>
    <n v="2158777"/>
    <m/>
    <m/>
  </r>
  <r>
    <x v="5"/>
    <x v="3"/>
    <s v="Q:\R&amp;D\2-Test oestrogénique\OECD and AOPs\REACTIV oecd interlaboratory validation\Results WF\Résultats CBA\2021-CHG-CBA-Atenolol 2\plaque 1/@05 EE2 114/D5_03.tif "/>
    <s v=" 26126.2598 "/>
    <s v=" 68.4513 "/>
    <x v="1"/>
    <n v="1788376"/>
    <m/>
    <m/>
  </r>
  <r>
    <x v="5"/>
    <x v="4"/>
    <s v="Q:\R&amp;D\2-Test oestrogénique\OECD and AOPs\REACTIV oecd interlaboratory validation\Results WF\Résultats CBA\2021-CHG-CBA-Atenolol 2\plaque 1/@05 EE2 114/E5_01.tif "/>
    <s v=" 8092.3969 "/>
    <s v=" 67.4651 "/>
    <x v="1"/>
    <n v="545954"/>
    <m/>
    <m/>
  </r>
  <r>
    <x v="5"/>
    <x v="4"/>
    <s v="Q:\R&amp;D\2-Test oestrogénique\OECD and AOPs\REACTIV oecd interlaboratory validation\Results WF\Résultats CBA\2021-CHG-CBA-Atenolol 2\plaque 1/@05 EE2 114/E5_02.tif "/>
    <s v=" 4154.9672 "/>
    <s v=" 63.5393 "/>
    <x v="1"/>
    <n v="264004"/>
    <m/>
    <m/>
  </r>
  <r>
    <x v="5"/>
    <x v="4"/>
    <s v="Q:\R&amp;D\2-Test oestrogénique\OECD and AOPs\REACTIV oecd interlaboratory validation\Results WF\Résultats CBA\2021-CHG-CBA-Atenolol 2\plaque 1/@05 EE2 114/E5_03.tif "/>
    <s v=" 5351.4237 "/>
    <s v=" 65.8171 "/>
    <x v="1"/>
    <n v="352215"/>
    <m/>
    <m/>
  </r>
  <r>
    <x v="5"/>
    <x v="5"/>
    <s v="Q:\R&amp;D\2-Test oestrogénique\OECD and AOPs\REACTIV oecd interlaboratory validation\Results WF\Résultats CBA\2021-CHG-CBA-Atenolol 2\plaque 1/@05 EE2 114/F5_01.tif "/>
    <s v=" 13813.6344 "/>
    <s v=" 72.6016 "/>
    <x v="1"/>
    <n v="1002892"/>
    <m/>
    <m/>
  </r>
  <r>
    <x v="5"/>
    <x v="5"/>
    <s v="Q:\R&amp;D\2-Test oestrogénique\OECD and AOPs\REACTIV oecd interlaboratory validation\Results WF\Résultats CBA\2021-CHG-CBA-Atenolol 2\plaque 1/@05 EE2 114/F5_02.tif "/>
    <s v=" 12290.8716 "/>
    <s v=" 69.9186 "/>
    <x v="1"/>
    <n v="859360"/>
    <m/>
    <m/>
  </r>
  <r>
    <x v="5"/>
    <x v="5"/>
    <s v="Q:\R&amp;D\2-Test oestrogénique\OECD and AOPs\REACTIV oecd interlaboratory validation\Results WF\Résultats CBA\2021-CHG-CBA-Atenolol 2\plaque 1/@05 EE2 114/F5_03.tif "/>
    <s v=" 8875.532 "/>
    <s v=" 66.6201 "/>
    <x v="1"/>
    <n v="591289"/>
    <m/>
    <m/>
  </r>
  <r>
    <x v="5"/>
    <x v="6"/>
    <s v="Q:\R&amp;D\2-Test oestrogénique\OECD and AOPs\REACTIV oecd interlaboratory validation\Results WF\Résultats CBA\2021-CHG-CBA-Atenolol 2\plaque 1/@05 EE2 114/G5_01.tif "/>
    <s v=" 20448.5297 "/>
    <s v=" 65.5521 "/>
    <x v="1"/>
    <n v="1340445"/>
    <m/>
    <m/>
  </r>
  <r>
    <x v="5"/>
    <x v="6"/>
    <s v="Q:\R&amp;D\2-Test oestrogénique\OECD and AOPs\REACTIV oecd interlaboratory validation\Results WF\Résultats CBA\2021-CHG-CBA-Atenolol 2\plaque 1/@05 EE2 114/G5_02.tif "/>
    <s v=" 12921.7305 "/>
    <s v=" 64.5505 "/>
    <x v="1"/>
    <n v="834104"/>
    <m/>
    <m/>
  </r>
  <r>
    <x v="5"/>
    <x v="6"/>
    <s v="Q:\R&amp;D\2-Test oestrogénique\OECD and AOPs\REACTIV oecd interlaboratory validation\Results WF\Résultats CBA\2021-CHG-CBA-Atenolol 2\plaque 1/@05 EE2 114/G5_03.tif "/>
    <s v=" 15031.8447 "/>
    <s v=" 65.3459 "/>
    <x v="1"/>
    <n v="982269"/>
    <m/>
    <m/>
  </r>
  <r>
    <x v="5"/>
    <x v="7"/>
    <s v="Q:\R&amp;D\2-Test oestrogénique\OECD and AOPs\REACTIV oecd interlaboratory validation\Results WF\Résultats CBA\2021-CHG-CBA-Atenolol 2\plaque 1/@05 EE2 114/H5_01- exclu.tif"/>
    <m/>
    <m/>
    <x v="0"/>
    <m/>
    <m/>
    <m/>
  </r>
  <r>
    <x v="5"/>
    <x v="7"/>
    <s v="Q:\R&amp;D\2-Test oestrogénique\OECD and AOPs\REACTIV oecd interlaboratory validation\Results WF\Résultats CBA\2021-CHG-CBA-Atenolol 2\plaque 1/@05 EE2 114/H5_02- exclu.tif"/>
    <m/>
    <m/>
    <x v="0"/>
    <m/>
    <m/>
    <m/>
  </r>
  <r>
    <x v="5"/>
    <x v="7"/>
    <s v="Q:\R&amp;D\2-Test oestrogénique\OECD and AOPs\REACTIV oecd interlaboratory validation\Results WF\Résultats CBA\2021-CHG-CBA-Atenolol 2\plaque 1/@05 EE2 114/H5_03- exclu.tif"/>
    <m/>
    <m/>
    <x v="0"/>
    <m/>
    <m/>
    <m/>
  </r>
  <r>
    <x v="1"/>
    <x v="8"/>
    <s v=" "/>
    <m/>
    <m/>
    <x v="0"/>
    <m/>
    <m/>
    <m/>
  </r>
  <r>
    <x v="1"/>
    <x v="8"/>
    <s v="group "/>
    <s v=" "/>
    <s v=" mean of mean fluo "/>
    <x v="2"/>
    <s v=" mean of total fluo "/>
    <s v=" SD total fluo "/>
    <s v=" n fluorescent "/>
  </r>
  <r>
    <x v="5"/>
    <x v="9"/>
    <s v="Q:\R&amp;D\2-Test oestrogénique\OECD and AOPs\REACTIV oecd interlaboratory validation\Results WF\Résultats CBA\2021-CHG-CBA-Atenolol 2\plaque 1/@05 EE2 114/ "/>
    <s v=" "/>
    <s v=" 68.6056 "/>
    <x v="7"/>
    <s v=" 1340344.88 "/>
    <s v=" 1285420.67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6"/>
    <x v="0"/>
    <s v="Q:\R&amp;D\2-Test oestrogénique\OECD and AOPs\REACTIV oecd interlaboratory validation\Results WF\Résultats CBA\2021-CHG-CBA-Atenolol 2\plaque 1/@06 EE2 171/A6_01- exclu.tif"/>
    <m/>
    <m/>
    <x v="0"/>
    <m/>
    <m/>
    <m/>
  </r>
  <r>
    <x v="6"/>
    <x v="0"/>
    <s v="Q:\R&amp;D\2-Test oestrogénique\OECD and AOPs\REACTIV oecd interlaboratory validation\Results WF\Résultats CBA\2021-CHG-CBA-Atenolol 2\plaque 1/@06 EE2 171/A6_02.tif "/>
    <s v=" 75898.8512 "/>
    <s v=" 75.0186 "/>
    <x v="1"/>
    <n v="5693828"/>
    <m/>
    <m/>
  </r>
  <r>
    <x v="6"/>
    <x v="0"/>
    <s v="Q:\R&amp;D\2-Test oestrogénique\OECD and AOPs\REACTIV oecd interlaboratory validation\Results WF\Résultats CBA\2021-CHG-CBA-Atenolol 2\plaque 1/@06 EE2 171/A6_03.tif "/>
    <s v=" 75616.0524 "/>
    <s v=" 78.5972 "/>
    <x v="1"/>
    <n v="5943213"/>
    <m/>
    <m/>
  </r>
  <r>
    <x v="6"/>
    <x v="1"/>
    <s v="Q:\R&amp;D\2-Test oestrogénique\OECD and AOPs\REACTIV oecd interlaboratory validation\Results WF\Résultats CBA\2021-CHG-CBA-Atenolol 2\plaque 1/@06 EE2 171/B6_01.tif "/>
    <s v=" 41353.8883 "/>
    <s v=" 81.9442 "/>
    <x v="1"/>
    <n v="3388713"/>
    <m/>
    <m/>
  </r>
  <r>
    <x v="6"/>
    <x v="1"/>
    <s v="Q:\R&amp;D\2-Test oestrogénique\OECD and AOPs\REACTIV oecd interlaboratory validation\Results WF\Résultats CBA\2021-CHG-CBA-Atenolol 2\plaque 1/@06 EE2 171/B6_02.tif "/>
    <s v=" 37155.4135 "/>
    <s v=" 78.4368 "/>
    <x v="1"/>
    <n v="2914351"/>
    <m/>
    <m/>
  </r>
  <r>
    <x v="6"/>
    <x v="1"/>
    <s v="Q:\R&amp;D\2-Test oestrogénique\OECD and AOPs\REACTIV oecd interlaboratory validation\Results WF\Résultats CBA\2021-CHG-CBA-Atenolol 2\plaque 1/@06 EE2 171/B6_03.tif "/>
    <s v=" 31651.7135 "/>
    <s v=" 78.1237 "/>
    <x v="1"/>
    <n v="2472749"/>
    <m/>
    <m/>
  </r>
  <r>
    <x v="6"/>
    <x v="2"/>
    <s v="Q:\R&amp;D\2-Test oestrogénique\OECD and AOPs\REACTIV oecd interlaboratory validation\Results WF\Résultats CBA\2021-CHG-CBA-Atenolol 2\plaque 1/@06 EE2 171/C6_01.tif "/>
    <s v=" 46117.9606 "/>
    <s v=" 92.9642 "/>
    <x v="1"/>
    <n v="4287317"/>
    <m/>
    <m/>
  </r>
  <r>
    <x v="6"/>
    <x v="2"/>
    <s v="Q:\R&amp;D\2-Test oestrogénique\OECD and AOPs\REACTIV oecd interlaboratory validation\Results WF\Résultats CBA\2021-CHG-CBA-Atenolol 2\plaque 1/@06 EE2 171/C6_02.tif "/>
    <s v=" 47488.4472 "/>
    <s v=" 86.7998 "/>
    <x v="1"/>
    <n v="4121989"/>
    <m/>
    <m/>
  </r>
  <r>
    <x v="6"/>
    <x v="2"/>
    <s v="Q:\R&amp;D\2-Test oestrogénique\OECD and AOPs\REACTIV oecd interlaboratory validation\Results WF\Résultats CBA\2021-CHG-CBA-Atenolol 2\plaque 1/@06 EE2 171/C6_03.tif "/>
    <s v=" 47988.7835 "/>
    <s v=" 87.1936 "/>
    <x v="1"/>
    <n v="4184313"/>
    <m/>
    <m/>
  </r>
  <r>
    <x v="6"/>
    <x v="3"/>
    <s v="Q:\R&amp;D\2-Test oestrogénique\OECD and AOPs\REACTIV oecd interlaboratory validation\Results WF\Résultats CBA\2021-CHG-CBA-Atenolol 2\plaque 1/@06 EE2 171/D6_01.tif "/>
    <s v=" 32695.8938 "/>
    <s v=" 77.0585 "/>
    <x v="1"/>
    <n v="2519498"/>
    <m/>
    <m/>
  </r>
  <r>
    <x v="6"/>
    <x v="3"/>
    <s v="Q:\R&amp;D\2-Test oestrogénique\OECD and AOPs\REACTIV oecd interlaboratory validation\Results WF\Résultats CBA\2021-CHG-CBA-Atenolol 2\plaque 1/@06 EE2 171/D6_02.tif "/>
    <s v=" 27670.7764 "/>
    <s v=" 79.6785 "/>
    <x v="1"/>
    <n v="2204765"/>
    <m/>
    <m/>
  </r>
  <r>
    <x v="6"/>
    <x v="3"/>
    <s v="Q:\R&amp;D\2-Test oestrogénique\OECD and AOPs\REACTIV oecd interlaboratory validation\Results WF\Résultats CBA\2021-CHG-CBA-Atenolol 2\plaque 1/@06 EE2 171/D6_03- exclu.tif"/>
    <m/>
    <m/>
    <x v="0"/>
    <m/>
    <m/>
    <m/>
  </r>
  <r>
    <x v="6"/>
    <x v="4"/>
    <s v="Q:\R&amp;D\2-Test oestrogénique\OECD and AOPs\REACTIV oecd interlaboratory validation\Results WF\Résultats CBA\2021-CHG-CBA-Atenolol 2\plaque 1/@06 EE2 171/E6_01.tif "/>
    <s v=" 30477.0108 "/>
    <s v=" 69.3769 "/>
    <x v="1"/>
    <n v="2114400"/>
    <m/>
    <m/>
  </r>
  <r>
    <x v="6"/>
    <x v="4"/>
    <s v="Q:\R&amp;D\2-Test oestrogénique\OECD and AOPs\REACTIV oecd interlaboratory validation\Results WF\Résultats CBA\2021-CHG-CBA-Atenolol 2\plaque 1/@06 EE2 171/E6_02.tif "/>
    <s v=" 30324.7345 "/>
    <s v=" 69.2489 "/>
    <x v="1"/>
    <n v="2099955"/>
    <m/>
    <m/>
  </r>
  <r>
    <x v="6"/>
    <x v="4"/>
    <s v="Q:\R&amp;D\2-Test oestrogénique\OECD and AOPs\REACTIV oecd interlaboratory validation\Results WF\Résultats CBA\2021-CHG-CBA-Atenolol 2\plaque 1/@06 EE2 171/E6_03.tif "/>
    <s v=" 33348.5064 "/>
    <s v=" 69.8454 "/>
    <x v="1"/>
    <n v="2329240"/>
    <m/>
    <m/>
  </r>
  <r>
    <x v="6"/>
    <x v="5"/>
    <s v="Q:\R&amp;D\2-Test oestrogénique\OECD and AOPs\REACTIV oecd interlaboratory validation\Results WF\Résultats CBA\2021-CHG-CBA-Atenolol 2\plaque 1/@06 EE2 171/F6_01.tif "/>
    <s v=" 47488.4472 "/>
    <s v=" 70.1273 "/>
    <x v="1"/>
    <n v="3330239"/>
    <m/>
    <m/>
  </r>
  <r>
    <x v="6"/>
    <x v="5"/>
    <s v="Q:\R&amp;D\2-Test oestrogénique\OECD and AOPs\REACTIV oecd interlaboratory validation\Results WF\Résultats CBA\2021-CHG-CBA-Atenolol 2\plaque 1/@06 EE2 171/F6_02.tif "/>
    <s v=" 40701.2756 "/>
    <s v=" 68.6569 "/>
    <x v="1"/>
    <n v="2794422"/>
    <m/>
    <m/>
  </r>
  <r>
    <x v="6"/>
    <x v="5"/>
    <s v="Q:\R&amp;D\2-Test oestrogénique\OECD and AOPs\REACTIV oecd interlaboratory validation\Results WF\Résultats CBA\2021-CHG-CBA-Atenolol 2\plaque 1/@06 EE2 171/F6_03.tif "/>
    <s v=" 45878.6693 "/>
    <s v=" 69.8013 "/>
    <x v="1"/>
    <n v="3202392"/>
    <m/>
    <m/>
  </r>
  <r>
    <x v="6"/>
    <x v="6"/>
    <s v="Q:\R&amp;D\2-Test oestrogénique\OECD and AOPs\REACTIV oecd interlaboratory validation\Results WF\Résultats CBA\2021-CHG-CBA-Atenolol 2\plaque 1/@06 EE2 171/G6_01.tif "/>
    <s v=" 29976.6744 "/>
    <s v=" 84.672 "/>
    <x v="1"/>
    <n v="2538185"/>
    <m/>
    <m/>
  </r>
  <r>
    <x v="6"/>
    <x v="6"/>
    <s v="Q:\R&amp;D\2-Test oestrogénique\OECD and AOPs\REACTIV oecd interlaboratory validation\Results WF\Résultats CBA\2021-CHG-CBA-Atenolol 2\plaque 1/@06 EE2 171/G6_02.tif "/>
    <s v=" 25865.2147 "/>
    <s v=" 87.0303 "/>
    <x v="1"/>
    <n v="2251057"/>
    <m/>
    <m/>
  </r>
  <r>
    <x v="6"/>
    <x v="6"/>
    <s v="Q:\R&amp;D\2-Test oestrogénique\OECD and AOPs\REACTIV oecd interlaboratory validation\Results WF\Résultats CBA\2021-CHG-CBA-Atenolol 2\plaque 1/@06 EE2 171/G6_03.tif "/>
    <s v=" 26844.1337 "/>
    <s v=" 86.0859 "/>
    <x v="1"/>
    <n v="2310901"/>
    <m/>
    <m/>
  </r>
  <r>
    <x v="6"/>
    <x v="7"/>
    <s v="Q:\R&amp;D\2-Test oestrogénique\OECD and AOPs\REACTIV oecd interlaboratory validation\Results WF\Résultats CBA\2021-CHG-CBA-Atenolol 2\plaque 1/@06 EE2 171/H6_01.tif "/>
    <s v=" 38373.6238 "/>
    <s v=" 72.1542 "/>
    <x v="1"/>
    <n v="2768818"/>
    <m/>
    <m/>
  </r>
  <r>
    <x v="6"/>
    <x v="7"/>
    <s v="Q:\R&amp;D\2-Test oestrogénique\OECD and AOPs\REACTIV oecd interlaboratory validation\Results WF\Résultats CBA\2021-CHG-CBA-Atenolol 2\plaque 1/@06 EE2 171/H6_02.tif "/>
    <s v=" 46466.0207 "/>
    <s v=" 72.4696 "/>
    <x v="1"/>
    <n v="3367373"/>
    <m/>
    <m/>
  </r>
  <r>
    <x v="6"/>
    <x v="7"/>
    <s v="Q:\R&amp;D\2-Test oestrogénique\OECD and AOPs\REACTIV oecd interlaboratory validation\Results WF\Résultats CBA\2021-CHG-CBA-Atenolol 2\plaque 1/@06 EE2 171/H6_03.tif "/>
    <s v=" 45356.5792 "/>
    <s v=" 72.6705 "/>
    <x v="1"/>
    <n v="3296085"/>
    <m/>
    <m/>
  </r>
  <r>
    <x v="1"/>
    <x v="8"/>
    <s v=" "/>
    <m/>
    <m/>
    <x v="0"/>
    <m/>
    <m/>
    <m/>
  </r>
  <r>
    <x v="1"/>
    <x v="8"/>
    <s v="group "/>
    <s v=" "/>
    <s v=" mean of mean fluo "/>
    <x v="2"/>
    <s v=" mean of total fluo "/>
    <s v=" SD total fluo "/>
    <s v=" n fluorescent "/>
  </r>
  <r>
    <x v="6"/>
    <x v="9"/>
    <s v="Q:\R&amp;D\2-Test oestrogénique\OECD and AOPs\REACTIV oecd interlaboratory validation\Results WF\Résultats CBA\2021-CHG-CBA-Atenolol 2\plaque 1/@06 EE2 171/ "/>
    <s v=" "/>
    <s v=" 77.5019 "/>
    <x v="8"/>
    <s v=" 3224406.88 "/>
    <s v=" 1139124.15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7"/>
    <x v="0"/>
    <s v="Q:\R&amp;D\2-Test oestrogénique\OECD and AOPs\REACTIV oecd interlaboratory validation\Results WF\Résultats CBA\2021-CHG-CBA-Atenolol 2\plaque 1/@07 EE2 488/A7_01.tif "/>
    <s v=" 66849.2891 "/>
    <s v=" 99.3069 "/>
    <x v="1"/>
    <n v="6638593"/>
    <m/>
    <m/>
  </r>
  <r>
    <x v="7"/>
    <x v="0"/>
    <s v="Q:\R&amp;D\2-Test oestrogénique\OECD and AOPs\REACTIV oecd interlaboratory validation\Results WF\Résultats CBA\2021-CHG-CBA-Atenolol 2\plaque 1/@07 EE2 488/A7_02.tif "/>
    <s v=" 68306.7907 "/>
    <s v=" 96.6092 "/>
    <x v="1"/>
    <n v="6599067"/>
    <m/>
    <m/>
  </r>
  <r>
    <x v="7"/>
    <x v="0"/>
    <s v="Q:\R&amp;D\2-Test oestrogénique\OECD and AOPs\REACTIV oecd interlaboratory validation\Results WF\Résultats CBA\2021-CHG-CBA-Atenolol 2\plaque 1/@07 EE2 488/A7_03.tif "/>
    <s v=" 68850.6346 "/>
    <s v=" 98.5915 "/>
    <x v="1"/>
    <n v="6788085"/>
    <m/>
    <m/>
  </r>
  <r>
    <x v="7"/>
    <x v="1"/>
    <s v="Q:\R&amp;D\2-Test oestrogénique\OECD and AOPs\REACTIV oecd interlaboratory validation\Results WF\Résultats CBA\2021-CHG-CBA-Atenolol 2\plaque 1/@07 EE2 488/B7_01.tif "/>
    <s v=" 52100.2432 "/>
    <s v=" 89.2597 "/>
    <x v="1"/>
    <n v="4650452"/>
    <m/>
    <m/>
  </r>
  <r>
    <x v="7"/>
    <x v="1"/>
    <s v="Q:\R&amp;D\2-Test oestrogénique\OECD and AOPs\REACTIV oecd interlaboratory validation\Results WF\Résultats CBA\2021-CHG-CBA-Atenolol 2\plaque 1/@07 EE2 488/B7_02.tif "/>
    <s v=" 53797.0361 "/>
    <s v=" 89.4974 "/>
    <x v="1"/>
    <n v="4814693"/>
    <m/>
    <m/>
  </r>
  <r>
    <x v="7"/>
    <x v="1"/>
    <s v="Q:\R&amp;D\2-Test oestrogénique\OECD and AOPs\REACTIV oecd interlaboratory validation\Results WF\Résultats CBA\2021-CHG-CBA-Atenolol 2\plaque 1/@07 EE2 488/B7_03.tif "/>
    <s v=" 49489.7926 "/>
    <s v=" 91.4488 "/>
    <x v="1"/>
    <n v="4525782"/>
    <m/>
    <m/>
  </r>
  <r>
    <x v="7"/>
    <x v="2"/>
    <s v="Q:\R&amp;D\2-Test oestrogénique\OECD and AOPs\REACTIV oecd interlaboratory validation\Results WF\Résultats CBA\2021-CHG-CBA-Atenolol 2\plaque 1/@07 EE2 488/C7_01.tif "/>
    <s v=" 69699.031 "/>
    <s v=" 116.5534 "/>
    <x v="1"/>
    <n v="8123657"/>
    <m/>
    <m/>
  </r>
  <r>
    <x v="7"/>
    <x v="2"/>
    <s v="Q:\R&amp;D\2-Test oestrogénique\OECD and AOPs\REACTIV oecd interlaboratory validation\Results WF\Résultats CBA\2021-CHG-CBA-Atenolol 2\plaque 1/@07 EE2 488/C7_02.tif "/>
    <s v=" 60083.8713 "/>
    <s v=" 123.1412 "/>
    <x v="1"/>
    <n v="7398800"/>
    <m/>
    <m/>
  </r>
  <r>
    <x v="7"/>
    <x v="2"/>
    <s v="Q:\R&amp;D\2-Test oestrogénique\OECD and AOPs\REACTIV oecd interlaboratory validation\Results WF\Résultats CBA\2021-CHG-CBA-Atenolol 2\plaque 1/@07 EE2 488/C7_03.tif "/>
    <s v=" 71134.7789 "/>
    <s v=" 115.6618 "/>
    <x v="1"/>
    <n v="8227575"/>
    <m/>
    <m/>
  </r>
  <r>
    <x v="7"/>
    <x v="3"/>
    <s v="Q:\R&amp;D\2-Test oestrogénique\OECD and AOPs\REACTIV oecd interlaboratory validation\Results WF\Résultats CBA\2021-CHG-CBA-Atenolol 2\plaque 1/@07 EE2 488/D7_01.tif "/>
    <s v=" 66479.4753 "/>
    <s v=" 84.2022 "/>
    <x v="1"/>
    <n v="5597720"/>
    <m/>
    <m/>
  </r>
  <r>
    <x v="7"/>
    <x v="3"/>
    <s v="Q:\R&amp;D\2-Test oestrogénique\OECD and AOPs\REACTIV oecd interlaboratory validation\Results WF\Résultats CBA\2021-CHG-CBA-Atenolol 2\plaque 1/@07 EE2 488/D7_02.tif "/>
    <s v=" 60388.4239 "/>
    <s v=" 87.705 "/>
    <x v="1"/>
    <n v="5296365"/>
    <m/>
    <m/>
  </r>
  <r>
    <x v="7"/>
    <x v="3"/>
    <s v="Q:\R&amp;D\2-Test oestrogénique\OECD and AOPs\REACTIV oecd interlaboratory validation\Results WF\Résultats CBA\2021-CHG-CBA-Atenolol 2\plaque 1/@07 EE2 488/D7_03.tif "/>
    <s v=" 65826.8626 "/>
    <s v=" 83.1735 "/>
    <x v="1"/>
    <n v="5475050"/>
    <m/>
    <m/>
  </r>
  <r>
    <x v="7"/>
    <x v="4"/>
    <s v="Q:\R&amp;D\2-Test oestrogénique\OECD and AOPs\REACTIV oecd interlaboratory validation\Results WF\Résultats CBA\2021-CHG-CBA-Atenolol 2\plaque 1/@07 EE2 488/E7_01.tif "/>
    <s v=" 89277.4105 "/>
    <s v=" 101.8363 "/>
    <x v="1"/>
    <n v="9091677"/>
    <m/>
    <m/>
  </r>
  <r>
    <x v="7"/>
    <x v="4"/>
    <s v="Q:\R&amp;D\2-Test oestrogénique\OECD and AOPs\REACTIV oecd interlaboratory validation\Results WF\Résultats CBA\2021-CHG-CBA-Atenolol 2\plaque 1/@07 EE2 488/E7_02.tif "/>
    <s v=" 84361.0619 "/>
    <s v=" 102.5933 "/>
    <x v="1"/>
    <n v="8654884"/>
    <m/>
    <m/>
  </r>
  <r>
    <x v="7"/>
    <x v="4"/>
    <s v="Q:\R&amp;D\2-Test oestrogénique\OECD and AOPs\REACTIV oecd interlaboratory validation\Results WF\Résultats CBA\2021-CHG-CBA-Atenolol 2\plaque 1/@07 EE2 488/E7_03.tif "/>
    <s v=" 81402.5512 "/>
    <s v=" 104.0302 "/>
    <x v="1"/>
    <n v="8468324"/>
    <m/>
    <m/>
  </r>
  <r>
    <x v="7"/>
    <x v="5"/>
    <s v="Q:\R&amp;D\2-Test oestrogénique\OECD and AOPs\REACTIV oecd interlaboratory validation\Results WF\Résultats CBA\2021-CHG-CBA-Atenolol 2\plaque 1/@07 EE2 488/F7_01.tif "/>
    <s v=" 81837.6263 "/>
    <s v=" 83.6079 "/>
    <x v="1"/>
    <n v="6842274"/>
    <m/>
    <m/>
  </r>
  <r>
    <x v="7"/>
    <x v="5"/>
    <s v="Q:\R&amp;D\2-Test oestrogénique\OECD and AOPs\REACTIV oecd interlaboratory validation\Results WF\Résultats CBA\2021-CHG-CBA-Atenolol 2\plaque 1/@07 EE2 488/F7_02.tif "/>
    <s v=" 75246.2386 "/>
    <s v=" 88.24 "/>
    <x v="1"/>
    <n v="6639725"/>
    <m/>
    <m/>
  </r>
  <r>
    <x v="7"/>
    <x v="5"/>
    <s v="Q:\R&amp;D\2-Test oestrogénique\OECD and AOPs\REACTIV oecd interlaboratory validation\Results WF\Résultats CBA\2021-CHG-CBA-Atenolol 2\plaque 1/@07 EE2 488/F7_03.tif "/>
    <s v=" 76225.1575 "/>
    <s v=" 89.2626 "/>
    <x v="1"/>
    <n v="6804052"/>
    <m/>
    <m/>
  </r>
  <r>
    <x v="7"/>
    <x v="6"/>
    <s v="Q:\R&amp;D\2-Test oestrogénique\OECD and AOPs\REACTIV oecd interlaboratory validation\Results WF\Résultats CBA\2021-CHG-CBA-Atenolol 2\plaque 1/@07 EE2 488/G7_01.tif "/>
    <s v=" 68263.2832 "/>
    <s v=" 93.492 "/>
    <x v="1"/>
    <n v="6382073"/>
    <m/>
    <m/>
  </r>
  <r>
    <x v="7"/>
    <x v="6"/>
    <s v="Q:\R&amp;D\2-Test oestrogénique\OECD and AOPs\REACTIV oecd interlaboratory validation\Results WF\Résultats CBA\2021-CHG-CBA-Atenolol 2\plaque 1/@07 EE2 488/G7_02.tif "/>
    <s v=" 68480.8208 "/>
    <s v=" 96.1045 "/>
    <x v="1"/>
    <n v="6581316"/>
    <m/>
    <m/>
  </r>
  <r>
    <x v="7"/>
    <x v="6"/>
    <s v="Q:\R&amp;D\2-Test oestrogénique\OECD and AOPs\REACTIV oecd interlaboratory validation\Results WF\Résultats CBA\2021-CHG-CBA-Atenolol 2\plaque 1/@07 EE2 488/G7_03.tif "/>
    <s v=" 61693.6492 "/>
    <s v=" 94.3463 "/>
    <x v="1"/>
    <n v="5820565"/>
    <m/>
    <m/>
  </r>
  <r>
    <x v="7"/>
    <x v="7"/>
    <s v="Q:\R&amp;D\2-Test oestrogénique\OECD and AOPs\REACTIV oecd interlaboratory validation\Results WF\Résultats CBA\2021-CHG-CBA-Atenolol 2\plaque 1/@07 EE2 488/H7_01- exclu.tif"/>
    <m/>
    <m/>
    <x v="0"/>
    <m/>
    <m/>
    <m/>
  </r>
  <r>
    <x v="7"/>
    <x v="7"/>
    <s v="Q:\R&amp;D\2-Test oestrogénique\OECD and AOPs\REACTIV oecd interlaboratory validation\Results WF\Résultats CBA\2021-CHG-CBA-Atenolol 2\plaque 1/@07 EE2 488/H7_02- exclu.tif"/>
    <m/>
    <m/>
    <x v="0"/>
    <m/>
    <m/>
    <m/>
  </r>
  <r>
    <x v="7"/>
    <x v="7"/>
    <s v="Q:\R&amp;D\2-Test oestrogénique\OECD and AOPs\REACTIV oecd interlaboratory validation\Results WF\Résultats CBA\2021-CHG-CBA-Atenolol 2\plaque 1/@07 EE2 488/H7_03- exclu.tif"/>
    <m/>
    <m/>
    <x v="0"/>
    <m/>
    <m/>
    <m/>
  </r>
  <r>
    <x v="1"/>
    <x v="8"/>
    <s v=" "/>
    <m/>
    <m/>
    <x v="0"/>
    <m/>
    <m/>
    <m/>
  </r>
  <r>
    <x v="1"/>
    <x v="8"/>
    <s v="group "/>
    <s v=" "/>
    <s v=" mean of mean fluo "/>
    <x v="2"/>
    <s v=" mean of total fluo "/>
    <s v=" SD total fluo "/>
    <s v=" n fluorescent "/>
  </r>
  <r>
    <x v="7"/>
    <x v="9"/>
    <s v="Q:\R&amp;D\2-Test oestrogénique\OECD and AOPs\REACTIV oecd interlaboratory validation\Results WF\Résultats CBA\2021-CHG-CBA-Atenolol 2\plaque 1/@07 EE2 488/ "/>
    <s v=" "/>
    <s v=" 92.6596 "/>
    <x v="9"/>
    <s v=" 5810130.67 "/>
    <s v=" 2562228.8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8"/>
    <x v="0"/>
    <s v="Q:\R&amp;D\2-Test oestrogénique\OECD and AOPs\REACTIV oecd interlaboratory validation\Results WF\Résultats CBA\2021-CHG-CBA-Atenolol 2\plaque 1/@08 Atenolol 0.01/A8_01.tif "/>
    <s v=" 5786.4988 "/>
    <s v=" 78.2594 "/>
    <x v="1"/>
    <n v="452848"/>
    <m/>
    <m/>
  </r>
  <r>
    <x v="8"/>
    <x v="0"/>
    <s v="Q:\R&amp;D\2-Test oestrogénique\OECD and AOPs\REACTIV oecd interlaboratory validation\Results WF\Résultats CBA\2021-CHG-CBA-Atenolol 2\plaque 1/@08 Atenolol 0.01/A8_02.tif "/>
    <s v=" 6156.3127 "/>
    <s v=" 78.6714 "/>
    <x v="1"/>
    <n v="484326"/>
    <m/>
    <m/>
  </r>
  <r>
    <x v="8"/>
    <x v="0"/>
    <s v="Q:\R&amp;D\2-Test oestrogénique\OECD and AOPs\REACTIV oecd interlaboratory validation\Results WF\Résultats CBA\2021-CHG-CBA-Atenolol 2\plaque 1/@08 Atenolol 0.01/A8_03.tif "/>
    <s v=" 500.3364 "/>
    <s v=" 64.087 "/>
    <x v="1"/>
    <n v="32065"/>
    <m/>
    <m/>
  </r>
  <r>
    <x v="8"/>
    <x v="1"/>
    <s v="Q:\R&amp;D\2-Test oestrogénique\OECD and AOPs\REACTIV oecd interlaboratory validation\Results WF\Résultats CBA\2021-CHG-CBA-Atenolol 2\plaque 1/@08 Atenolol 0.01/B8_01.tif "/>
    <s v=" 630.8589 "/>
    <s v=" 63.3448 "/>
    <x v="1"/>
    <n v="39962"/>
    <m/>
    <m/>
  </r>
  <r>
    <x v="8"/>
    <x v="1"/>
    <s v="Q:\R&amp;D\2-Test oestrogénique\OECD and AOPs\REACTIV oecd interlaboratory validation\Results WF\Résultats CBA\2021-CHG-CBA-Atenolol 2\plaque 1/@08 Atenolol 0.01/B8_02.tif "/>
    <s v=" 1305.2253 "/>
    <s v=" 65.8833 "/>
    <x v="1"/>
    <n v="85993"/>
    <m/>
    <m/>
  </r>
  <r>
    <x v="8"/>
    <x v="1"/>
    <s v="Q:\R&amp;D\2-Test oestrogénique\OECD and AOPs\REACTIV oecd interlaboratory validation\Results WF\Résultats CBA\2021-CHG-CBA-Atenolol 2\plaque 1/@08 Atenolol 0.01/B8_03.tif "/>
    <s v=" 1218.2103 "/>
    <s v=" 67.2321 "/>
    <x v="1"/>
    <n v="81903"/>
    <m/>
    <m/>
  </r>
  <r>
    <x v="8"/>
    <x v="2"/>
    <s v="Q:\R&amp;D\2-Test oestrogénique\OECD and AOPs\REACTIV oecd interlaboratory validation\Results WF\Résultats CBA\2021-CHG-CBA-Atenolol 2\plaque 1/@08 Atenolol 0.01/C8_01.tif "/>
    <s v=" 5786.4988 "/>
    <s v=" 67.5526 "/>
    <x v="1"/>
    <n v="390893"/>
    <m/>
    <m/>
  </r>
  <r>
    <x v="8"/>
    <x v="2"/>
    <s v="Q:\R&amp;D\2-Test oestrogénique\OECD and AOPs\REACTIV oecd interlaboratory validation\Results WF\Résultats CBA\2021-CHG-CBA-Atenolol 2\plaque 1/@08 Atenolol 0.01/C8_02.tif "/>
    <s v=" 8222.9194 "/>
    <s v=" 75.8651 "/>
    <x v="1"/>
    <n v="623832"/>
    <m/>
    <m/>
  </r>
  <r>
    <x v="8"/>
    <x v="2"/>
    <s v="Q:\R&amp;D\2-Test oestrogénique\OECD and AOPs\REACTIV oecd interlaboratory validation\Results WF\Résultats CBA\2021-CHG-CBA-Atenolol 2\plaque 1/@08 Atenolol 0.01/C8_03.tif "/>
    <s v=" 2936.7569 "/>
    <s v=" 64.963 "/>
    <x v="1"/>
    <n v="190780"/>
    <m/>
    <m/>
  </r>
  <r>
    <x v="8"/>
    <x v="3"/>
    <s v="Q:\R&amp;D\2-Test oestrogénique\OECD and AOPs\REACTIV oecd interlaboratory validation\Results WF\Résultats CBA\2021-CHG-CBA-Atenolol 2\plaque 1/@08 Atenolol 0.01/D8_01.tif "/>
    <s v=" 1044.1802 "/>
    <s v=" 63.7083 "/>
    <x v="1"/>
    <n v="66523"/>
    <m/>
    <m/>
  </r>
  <r>
    <x v="8"/>
    <x v="3"/>
    <s v="Q:\R&amp;D\2-Test oestrogénique\OECD and AOPs\REACTIV oecd interlaboratory validation\Results WF\Résultats CBA\2021-CHG-CBA-Atenolol 2\plaque 1/@08 Atenolol 0.01/D8_02- exclu.tif"/>
    <m/>
    <m/>
    <x v="0"/>
    <m/>
    <m/>
    <m/>
  </r>
  <r>
    <x v="8"/>
    <x v="3"/>
    <s v="Q:\R&amp;D\2-Test oestrogénique\OECD and AOPs\REACTIV oecd interlaboratory validation\Results WF\Résultats CBA\2021-CHG-CBA-Atenolol 2\plaque 1/@08 Atenolol 0.01/D8_03.tif "/>
    <s v=" 848.3964 "/>
    <s v=" 64.1026 "/>
    <x v="1"/>
    <n v="54384"/>
    <m/>
    <m/>
  </r>
  <r>
    <x v="8"/>
    <x v="4"/>
    <s v="Q:\R&amp;D\2-Test oestrogénique\OECD and AOPs\REACTIV oecd interlaboratory validation\Results WF\Résultats CBA\2021-CHG-CBA-Atenolol 2\plaque 1/@08 Atenolol 0.01/E8_01.tif "/>
    <s v=" 5568.9613 "/>
    <s v=" 70.2148 "/>
    <x v="1"/>
    <n v="391024"/>
    <m/>
    <m/>
  </r>
  <r>
    <x v="8"/>
    <x v="4"/>
    <s v="Q:\R&amp;D\2-Test oestrogénique\OECD and AOPs\REACTIV oecd interlaboratory validation\Results WF\Résultats CBA\2021-CHG-CBA-Atenolol 2\plaque 1/@08 Atenolol 0.01/E8_02.tif "/>
    <s v=" 913.6577 "/>
    <s v=" 63.9762 "/>
    <x v="1"/>
    <n v="58452"/>
    <m/>
    <m/>
  </r>
  <r>
    <x v="8"/>
    <x v="4"/>
    <s v="Q:\R&amp;D\2-Test oestrogénique\OECD and AOPs\REACTIV oecd interlaboratory validation\Results WF\Résultats CBA\2021-CHG-CBA-Atenolol 2\plaque 1/@08 Atenolol 0.01/E8_03.tif "/>
    <s v=" 1152.949 "/>
    <s v=" 65.5472 "/>
    <x v="1"/>
    <n v="75573"/>
    <m/>
    <m/>
  </r>
  <r>
    <x v="8"/>
    <x v="5"/>
    <s v="Q:\R&amp;D\2-Test oestrogénique\OECD and AOPs\REACTIV oecd interlaboratory validation\Results WF\Résultats CBA\2021-CHG-CBA-Atenolol 2\plaque 1/@08 Atenolol 0.01/F8_01.tif "/>
    <s v=" 2110.1142 "/>
    <s v=" 65.4227 "/>
    <x v="1"/>
    <n v="138049"/>
    <m/>
    <m/>
  </r>
  <r>
    <x v="8"/>
    <x v="5"/>
    <s v="Q:\R&amp;D\2-Test oestrogénique\OECD and AOPs\REACTIV oecd interlaboratory validation\Results WF\Résultats CBA\2021-CHG-CBA-Atenolol 2\plaque 1/@08 Atenolol 0.01/F8_02.tif "/>
    <s v=" 3785.1534 "/>
    <s v=" 68.1092 "/>
    <x v="1"/>
    <n v="257804"/>
    <m/>
    <m/>
  </r>
  <r>
    <x v="8"/>
    <x v="5"/>
    <s v="Q:\R&amp;D\2-Test oestrogénique\OECD and AOPs\REACTIV oecd interlaboratory validation\Results WF\Résultats CBA\2021-CHG-CBA-Atenolol 2\plaque 1/@08 Atenolol 0.01/F8_03.tif "/>
    <s v=" 804.8889 "/>
    <s v=" 63.5405 "/>
    <x v="1"/>
    <n v="51143"/>
    <m/>
    <m/>
  </r>
  <r>
    <x v="8"/>
    <x v="6"/>
    <s v="Q:\R&amp;D\2-Test oestrogénique\OECD and AOPs\REACTIV oecd interlaboratory validation\Results WF\Résultats CBA\2021-CHG-CBA-Atenolol 2\plaque 1/@08 Atenolol 0.01/G8_01.tif "/>
    <s v=" 239.2913 "/>
    <s v=" 63.0909 "/>
    <x v="1"/>
    <n v="15097"/>
    <m/>
    <m/>
  </r>
  <r>
    <x v="8"/>
    <x v="6"/>
    <s v="Q:\R&amp;D\2-Test oestrogénique\OECD and AOPs\REACTIV oecd interlaboratory validation\Results WF\Résultats CBA\2021-CHG-CBA-Atenolol 2\plaque 1/@08 Atenolol 0.01/G8_02.tif "/>
    <s v=" 5155.6399 "/>
    <s v=" 70.27 "/>
    <x v="1"/>
    <n v="362287"/>
    <m/>
    <m/>
  </r>
  <r>
    <x v="8"/>
    <x v="6"/>
    <s v="Q:\R&amp;D\2-Test oestrogénique\OECD and AOPs\REACTIV oecd interlaboratory validation\Results WF\Résultats CBA\2021-CHG-CBA-Atenolol 2\plaque 1/@08 Atenolol 0.01/G8_03.tif "/>
    <s v=" 304.5526 "/>
    <s v=" 63.5 "/>
    <x v="1"/>
    <n v="19339"/>
    <m/>
    <m/>
  </r>
  <r>
    <x v="8"/>
    <x v="7"/>
    <s v="Q:\R&amp;D\2-Test oestrogénique\OECD and AOPs\REACTIV oecd interlaboratory validation\Results WF\Résultats CBA\2021-CHG-CBA-Atenolol 2\plaque 1/@08 Atenolol 0.01/H8_01.tif "/>
    <s v=" 3284.817 "/>
    <s v=" 66.3841 "/>
    <x v="1"/>
    <n v="218060"/>
    <m/>
    <m/>
  </r>
  <r>
    <x v="8"/>
    <x v="7"/>
    <s v="Q:\R&amp;D\2-Test oestrogénique\OECD and AOPs\REACTIV oecd interlaboratory validation\Results WF\Résultats CBA\2021-CHG-CBA-Atenolol 2\plaque 1/@08 Atenolol 0.01/H8_02.tif "/>
    <s v=" 4220.2285 "/>
    <s v=" 64.1753 "/>
    <x v="1"/>
    <n v="270834"/>
    <m/>
    <m/>
  </r>
  <r>
    <x v="8"/>
    <x v="7"/>
    <s v="Q:\R&amp;D\2-Test oestrogénique\OECD and AOPs\REACTIV oecd interlaboratory validation\Results WF\Résultats CBA\2021-CHG-CBA-Atenolol 2\plaque 1/@08 Atenolol 0.01/H8_03.tif "/>
    <s v=" 4959.8561 "/>
    <s v=" 65.8026 "/>
    <x v="1"/>
    <n v="326372"/>
    <m/>
    <m/>
  </r>
  <r>
    <x v="1"/>
    <x v="8"/>
    <s v=" "/>
    <m/>
    <m/>
    <x v="0"/>
    <m/>
    <m/>
    <m/>
  </r>
  <r>
    <x v="1"/>
    <x v="8"/>
    <s v="group "/>
    <s v=" "/>
    <s v=" mean of mean fluo "/>
    <x v="2"/>
    <s v=" mean of total fluo "/>
    <s v=" SD total fluo "/>
    <s v=" n fluorescent "/>
  </r>
  <r>
    <x v="8"/>
    <x v="9"/>
    <s v="Q:\R&amp;D\2-Test oestrogénique\OECD and AOPs\REACTIV oecd interlaboratory validation\Results WF\Résultats CBA\2021-CHG-CBA-Atenolol 2\plaque 1/@08 Atenolol 0.01/ "/>
    <s v=" "/>
    <s v=" 66.9808 "/>
    <x v="10"/>
    <s v=" 200926.75 "/>
    <s v=" 174552.65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9"/>
    <x v="0"/>
    <s v="Q:\R&amp;D\2-Test oestrogénique\OECD and AOPs\REACTIV oecd interlaboratory validation\Results WF\Résultats CBA\2021-CHG-CBA-Atenolol 2\plaque 1/@09 Atenolol 0.1/A9_01.tif "/>
    <s v=" 1435.7478 "/>
    <s v=" 64.1515 "/>
    <x v="1"/>
    <n v="92105"/>
    <m/>
    <m/>
  </r>
  <r>
    <x v="9"/>
    <x v="0"/>
    <s v="Q:\R&amp;D\2-Test oestrogénique\OECD and AOPs\REACTIV oecd interlaboratory validation\Results WF\Résultats CBA\2021-CHG-CBA-Atenolol 2\plaque 1/@09 Atenolol 0.1/A9_02.tif "/>
    <s v=" 1457.5016 "/>
    <s v=" 65.9851 "/>
    <x v="1"/>
    <n v="96173"/>
    <m/>
    <m/>
  </r>
  <r>
    <x v="9"/>
    <x v="0"/>
    <s v="Q:\R&amp;D\2-Test oestrogénique\OECD and AOPs\REACTIV oecd interlaboratory validation\Results WF\Résultats CBA\2021-CHG-CBA-Atenolol 2\plaque 1/@09 Atenolol 0.1/A9_03.tif "/>
    <s v=" 1218.2103 "/>
    <s v=" 66.25 "/>
    <x v="1"/>
    <n v="80706"/>
    <m/>
    <m/>
  </r>
  <r>
    <x v="9"/>
    <x v="1"/>
    <s v="Q:\R&amp;D\2-Test oestrogénique\OECD and AOPs\REACTIV oecd interlaboratory validation\Results WF\Résultats CBA\2021-CHG-CBA-Atenolol 2\plaque 1/@09 Atenolol 0.1/B9_01.tif "/>
    <s v=" 152.2763 "/>
    <n v="63"/>
    <x v="1"/>
    <n v="9593"/>
    <m/>
    <m/>
  </r>
  <r>
    <x v="9"/>
    <x v="1"/>
    <s v="Q:\R&amp;D\2-Test oestrogénique\OECD and AOPs\REACTIV oecd interlaboratory validation\Results WF\Résultats CBA\2021-CHG-CBA-Atenolol 2\plaque 1/@09 Atenolol 0.1/B9_02.tif "/>
    <s v=" 239.2913 "/>
    <s v=" 62.9091 "/>
    <x v="1"/>
    <n v="15054"/>
    <m/>
    <m/>
  </r>
  <r>
    <x v="9"/>
    <x v="1"/>
    <s v="Q:\R&amp;D\2-Test oestrogénique\OECD and AOPs\REACTIV oecd interlaboratory validation\Results WF\Résultats CBA\2021-CHG-CBA-Atenolol 2\plaque 1/@09 Atenolol 0.1/B9_03.tif "/>
    <s v=" 130.5225 "/>
    <s v=" 65.6667 "/>
    <x v="1"/>
    <n v="8571"/>
    <m/>
    <m/>
  </r>
  <r>
    <x v="9"/>
    <x v="2"/>
    <s v="Q:\R&amp;D\2-Test oestrogénique\OECD and AOPs\REACTIV oecd interlaboratory validation\Results WF\Résultats CBA\2021-CHG-CBA-Atenolol 2\plaque 1/@09 Atenolol 0.1/C9_01- exclu.tif"/>
    <m/>
    <m/>
    <x v="0"/>
    <m/>
    <m/>
    <m/>
  </r>
  <r>
    <x v="9"/>
    <x v="2"/>
    <s v="Q:\R&amp;D\2-Test oestrogénique\OECD and AOPs\REACTIV oecd interlaboratory validation\Results WF\Résultats CBA\2021-CHG-CBA-Atenolol 2\plaque 1/@09 Atenolol 0.1/C9_02- exclu.tif"/>
    <m/>
    <m/>
    <x v="0"/>
    <m/>
    <m/>
    <m/>
  </r>
  <r>
    <x v="9"/>
    <x v="2"/>
    <s v="Q:\R&amp;D\2-Test oestrogénique\OECD and AOPs\REACTIV oecd interlaboratory validation\Results WF\Résultats CBA\2021-CHG-CBA-Atenolol 2\plaque 1/@09 Atenolol 0.1/C9_03- exclu.tif"/>
    <m/>
    <m/>
    <x v="0"/>
    <m/>
    <m/>
    <m/>
  </r>
  <r>
    <x v="9"/>
    <x v="3"/>
    <s v="Q:\R&amp;D\2-Test oestrogénique\OECD and AOPs\REACTIV oecd interlaboratory validation\Results WF\Résultats CBA\2021-CHG-CBA-Atenolol 2\plaque 1/@09 Atenolol 0.1/D9_01.tif "/>
    <s v=" 565.5976 "/>
    <s v=" 63.5769 "/>
    <x v="1"/>
    <n v="35959"/>
    <m/>
    <m/>
  </r>
  <r>
    <x v="9"/>
    <x v="3"/>
    <s v="Q:\R&amp;D\2-Test oestrogénique\OECD and AOPs\REACTIV oecd interlaboratory validation\Results WF\Résultats CBA\2021-CHG-CBA-Atenolol 2\plaque 1/@09 Atenolol 0.1/D9_02.tif "/>
    <s v=" 1022.4265 "/>
    <s v=" 65.7234 "/>
    <x v="1"/>
    <n v="67197"/>
    <m/>
    <m/>
  </r>
  <r>
    <x v="9"/>
    <x v="3"/>
    <s v="Q:\R&amp;D\2-Test oestrogénique\OECD and AOPs\REACTIV oecd interlaboratory validation\Results WF\Résultats CBA\2021-CHG-CBA-Atenolol 2\plaque 1/@09 Atenolol 0.1/D9_03.tif "/>
    <s v=" 935.4115 "/>
    <s v=" 65.6744 "/>
    <x v="1"/>
    <n v="61433"/>
    <m/>
    <m/>
  </r>
  <r>
    <x v="9"/>
    <x v="4"/>
    <s v="Q:\R&amp;D\2-Test oestrogénique\OECD and AOPs\REACTIV oecd interlaboratory validation\Results WF\Résultats CBA\2021-CHG-CBA-Atenolol 2\plaque 1/@09 Atenolol 0.1/E9_01.tif "/>
    <s v=" 261.0451 "/>
    <s v=" 63.25 "/>
    <x v="1"/>
    <n v="16511"/>
    <m/>
    <m/>
  </r>
  <r>
    <x v="9"/>
    <x v="4"/>
    <s v="Q:\R&amp;D\2-Test oestrogénique\OECD and AOPs\REACTIV oecd interlaboratory validation\Results WF\Résultats CBA\2021-CHG-CBA-Atenolol 2\plaque 1/@09 Atenolol 0.1/E9_02.tif "/>
    <s v=" 282.7988 "/>
    <s v=" 65.5385 "/>
    <x v="1"/>
    <n v="18534"/>
    <m/>
    <m/>
  </r>
  <r>
    <x v="9"/>
    <x v="4"/>
    <s v="Q:\R&amp;D\2-Test oestrogénique\OECD and AOPs\REACTIV oecd interlaboratory validation\Results WF\Résultats CBA\2021-CHG-CBA-Atenolol 2\plaque 1/@09 Atenolol 0.1/E9_03.tif "/>
    <s v=" 848.3964 "/>
    <n v="63"/>
    <x v="1"/>
    <n v="53449"/>
    <m/>
    <m/>
  </r>
  <r>
    <x v="9"/>
    <x v="5"/>
    <s v="Q:\R&amp;D\2-Test oestrogénique\OECD and AOPs\REACTIV oecd interlaboratory validation\Results WF\Résultats CBA\2021-CHG-CBA-Atenolol 2\plaque 1/@09 Atenolol 0.1/F9_01.tif "/>
    <s v=" 1914.3304 "/>
    <s v=" 64.4432 "/>
    <x v="1"/>
    <n v="123366"/>
    <m/>
    <m/>
  </r>
  <r>
    <x v="9"/>
    <x v="5"/>
    <s v="Q:\R&amp;D\2-Test oestrogénique\OECD and AOPs\REACTIV oecd interlaboratory validation\Results WF\Résultats CBA\2021-CHG-CBA-Atenolol 2\plaque 1/@09 Atenolol 0.1/F9_02.tif "/>
    <s v=" 565.5976 "/>
    <s v=" 63.1154 "/>
    <x v="1"/>
    <n v="35698"/>
    <m/>
    <m/>
  </r>
  <r>
    <x v="9"/>
    <x v="5"/>
    <s v="Q:\R&amp;D\2-Test oestrogénique\OECD and AOPs\REACTIV oecd interlaboratory validation\Results WF\Résultats CBA\2021-CHG-CBA-Atenolol 2\plaque 1/@09 Atenolol 0.1/F9_03.tif "/>
    <s v=" 783.1352 "/>
    <s v=" 65.75 "/>
    <x v="1"/>
    <n v="51491"/>
    <m/>
    <m/>
  </r>
  <r>
    <x v="9"/>
    <x v="6"/>
    <s v="Q:\R&amp;D\2-Test oestrogénique\OECD and AOPs\REACTIV oecd interlaboratory validation\Results WF\Résultats CBA\2021-CHG-CBA-Atenolol 2\plaque 1/@09 Atenolol 0.1/G9_01.tif "/>
    <s v=" 1218.2103 "/>
    <s v=" 65.0357 "/>
    <x v="1"/>
    <n v="79227"/>
    <m/>
    <m/>
  </r>
  <r>
    <x v="9"/>
    <x v="6"/>
    <s v="Q:\R&amp;D\2-Test oestrogénique\OECD and AOPs\REACTIV oecd interlaboratory validation\Results WF\Résultats CBA\2021-CHG-CBA-Atenolol 2\plaque 1/@09 Atenolol 0.1/G9_02.tif "/>
    <s v=" 3045.5257 "/>
    <s v=" 64.1786 "/>
    <x v="1"/>
    <n v="195457"/>
    <m/>
    <m/>
  </r>
  <r>
    <x v="9"/>
    <x v="6"/>
    <s v="Q:\R&amp;D\2-Test oestrogénique\OECD and AOPs\REACTIV oecd interlaboratory validation\Results WF\Résultats CBA\2021-CHG-CBA-Atenolol 2\plaque 1/@09 Atenolol 0.1/G9_03.tif "/>
    <s v=" 2958.5107 "/>
    <s v=" 67.0809 "/>
    <x v="1"/>
    <n v="198460"/>
    <m/>
    <m/>
  </r>
  <r>
    <x v="9"/>
    <x v="7"/>
    <s v="Q:\R&amp;D\2-Test oestrogénique\OECD and AOPs\REACTIV oecd interlaboratory validation\Results WF\Résultats CBA\2021-CHG-CBA-Atenolol 2\plaque 1/@09 Atenolol 0.1/H9_01.tif "/>
    <s v=" 739.6277 "/>
    <s v=" 63.8235 "/>
    <x v="1"/>
    <n v="47206"/>
    <m/>
    <m/>
  </r>
  <r>
    <x v="9"/>
    <x v="7"/>
    <s v="Q:\R&amp;D\2-Test oestrogénique\OECD and AOPs\REACTIV oecd interlaboratory validation\Results WF\Résultats CBA\2021-CHG-CBA-Atenolol 2\plaque 1/@09 Atenolol 0.1/H9_02.tif "/>
    <s v=" 1131.1953 "/>
    <s v=" 65.9038 "/>
    <x v="1"/>
    <n v="74550"/>
    <m/>
    <m/>
  </r>
  <r>
    <x v="9"/>
    <x v="7"/>
    <s v="Q:\R&amp;D\2-Test oestrogénique\OECD and AOPs\REACTIV oecd interlaboratory validation\Results WF\Résultats CBA\2021-CHG-CBA-Atenolol 2\plaque 1/@09 Atenolol 0.1/H9_03.tif "/>
    <s v=" 1152.949 "/>
    <n v="66"/>
    <x v="1"/>
    <n v="76095"/>
    <m/>
    <m/>
  </r>
  <r>
    <x v="1"/>
    <x v="8"/>
    <s v=" "/>
    <m/>
    <m/>
    <x v="0"/>
    <m/>
    <m/>
    <m/>
  </r>
  <r>
    <x v="1"/>
    <x v="8"/>
    <s v="group "/>
    <s v=" "/>
    <s v=" mean of mean fluo "/>
    <x v="2"/>
    <s v=" mean of total fluo "/>
    <s v=" SD total fluo "/>
    <s v=" n fluorescent "/>
  </r>
  <r>
    <x v="9"/>
    <x v="9"/>
    <s v="Q:\R&amp;D\2-Test oestrogénique\OECD and AOPs\REACTIV oecd interlaboratory validation\Results WF\Résultats CBA\2021-CHG-CBA-Atenolol 2\plaque 1/@09 Atenolol 0.1/ "/>
    <s v=" "/>
    <s v=" 66.3088 "/>
    <x v="11"/>
    <s v=" 152990.5 "/>
    <s v=" 300391.635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0"/>
    <x v="0"/>
    <s v="Q:\R&amp;D\2-Test oestrogénique\OECD and AOPs\REACTIV oecd interlaboratory validation\Results WF\Résultats CBA\2021-CHG-CBA-Atenolol 2\plaque 1/@10 Atenolol 1/A10_01.tif "/>
    <s v=" 13422.0668 "/>
    <s v=" 75.6094 "/>
    <x v="1"/>
    <n v="1014834"/>
    <m/>
    <m/>
  </r>
  <r>
    <x v="10"/>
    <x v="0"/>
    <s v="Q:\R&amp;D\2-Test oestrogénique\OECD and AOPs\REACTIV oecd interlaboratory validation\Results WF\Résultats CBA\2021-CHG-CBA-Atenolol 2\plaque 1/@10 Atenolol 1/A10_02.tif "/>
    <s v=" 7396.2767 "/>
    <s v=" 67.9118 "/>
    <x v="1"/>
    <n v="502294"/>
    <m/>
    <m/>
  </r>
  <r>
    <x v="10"/>
    <x v="0"/>
    <s v="Q:\R&amp;D\2-Test oestrogénique\OECD and AOPs\REACTIV oecd interlaboratory validation\Results WF\Résultats CBA\2021-CHG-CBA-Atenolol 2\plaque 1/@10 Atenolol 1/A10_03.tif "/>
    <s v=" 6243.3277 "/>
    <s v=" 68.2544 "/>
    <x v="1"/>
    <n v="426134"/>
    <m/>
    <m/>
  </r>
  <r>
    <x v="10"/>
    <x v="1"/>
    <s v="Q:\R&amp;D\2-Test oestrogénique\OECD and AOPs\REACTIV oecd interlaboratory validation\Results WF\Résultats CBA\2021-CHG-CBA-Atenolol 2\plaque 1/@10 Atenolol 1/B10_01.tif "/>
    <s v=" 2632.2044 "/>
    <s v=" 64.8926 "/>
    <x v="1"/>
    <n v="170810"/>
    <m/>
    <m/>
  </r>
  <r>
    <x v="10"/>
    <x v="1"/>
    <s v="Q:\R&amp;D\2-Test oestrogénique\OECD and AOPs\REACTIV oecd interlaboratory validation\Results WF\Résultats CBA\2021-CHG-CBA-Atenolol 2\plaque 1/@10 Atenolol 1/B10_02.tif "/>
    <s v=" 5307.9162 "/>
    <s v=" 69.1393 "/>
    <x v="1"/>
    <n v="366986"/>
    <m/>
    <m/>
  </r>
  <r>
    <x v="10"/>
    <x v="1"/>
    <s v="Q:\R&amp;D\2-Test oestrogénique\OECD and AOPs\REACTIV oecd interlaboratory validation\Results WF\Résultats CBA\2021-CHG-CBA-Atenolol 2\plaque 1/@10 Atenolol 1/B10_03.tif "/>
    <s v=" 5808.2526 "/>
    <s v=" 66.7865 "/>
    <x v="1"/>
    <n v="387913"/>
    <m/>
    <m/>
  </r>
  <r>
    <x v="10"/>
    <x v="2"/>
    <s v="Q:\R&amp;D\2-Test oestrogénique\OECD and AOPs\REACTIV oecd interlaboratory validation\Results WF\Résultats CBA\2021-CHG-CBA-Atenolol 2\plaque 1/@10 Atenolol 1/C10_01.tif "/>
    <s v=" 4807.5799 "/>
    <s v=" 67.1222 "/>
    <x v="1"/>
    <n v="322695"/>
    <m/>
    <m/>
  </r>
  <r>
    <x v="10"/>
    <x v="2"/>
    <s v="Q:\R&amp;D\2-Test oestrogénique\OECD and AOPs\REACTIV oecd interlaboratory validation\Results WF\Résultats CBA\2021-CHG-CBA-Atenolol 2\plaque 1/@10 Atenolol 1/C10_02.tif "/>
    <s v=" 826.6427 "/>
    <s v=" 66.1316 "/>
    <x v="1"/>
    <n v="54667"/>
    <m/>
    <m/>
  </r>
  <r>
    <x v="10"/>
    <x v="2"/>
    <s v="Q:\R&amp;D\2-Test oestrogénique\OECD and AOPs\REACTIV oecd interlaboratory validation\Results WF\Résultats CBA\2021-CHG-CBA-Atenolol 2\plaque 1/@10 Atenolol 1/C10_03.tif "/>
    <s v=" 1914.3304 "/>
    <s v=" 67.4091 "/>
    <x v="1"/>
    <n v="129043"/>
    <m/>
    <m/>
  </r>
  <r>
    <x v="10"/>
    <x v="3"/>
    <s v="Q:\R&amp;D\2-Test oestrogénique\OECD and AOPs\REACTIV oecd interlaboratory validation\Results WF\Résultats CBA\2021-CHG-CBA-Atenolol 2\plaque 1/@10 Atenolol 1/D10_01.tif "/>
    <s v=" 2023.0992 "/>
    <s v=" 64.0538 "/>
    <x v="1"/>
    <n v="129587"/>
    <m/>
    <m/>
  </r>
  <r>
    <x v="10"/>
    <x v="3"/>
    <s v="Q:\R&amp;D\2-Test oestrogénique\OECD and AOPs\REACTIV oecd interlaboratory validation\Results WF\Résultats CBA\2021-CHG-CBA-Atenolol 2\plaque 1/@10 Atenolol 1/D10_02.tif "/>
    <s v=" 1152.949 "/>
    <s v=" 64.3208 "/>
    <x v="1"/>
    <n v="74159"/>
    <m/>
    <m/>
  </r>
  <r>
    <x v="10"/>
    <x v="3"/>
    <s v="Q:\R&amp;D\2-Test oestrogénique\OECD and AOPs\REACTIV oecd interlaboratory validation\Results WF\Résultats CBA\2021-CHG-CBA-Atenolol 2\plaque 1/@10 Atenolol 1/D10_03.tif "/>
    <s v=" 913.6577 "/>
    <s v=" 62.1905 "/>
    <x v="1"/>
    <n v="56821"/>
    <m/>
    <m/>
  </r>
  <r>
    <x v="10"/>
    <x v="4"/>
    <s v="Q:\R&amp;D\2-Test oestrogénique\OECD and AOPs\REACTIV oecd interlaboratory validation\Results WF\Résultats CBA\2021-CHG-CBA-Atenolol 2\plaque 1/@10 Atenolol 1/E10_01- exclu.tif"/>
    <m/>
    <m/>
    <x v="0"/>
    <m/>
    <m/>
    <m/>
  </r>
  <r>
    <x v="10"/>
    <x v="4"/>
    <s v="Q:\R&amp;D\2-Test oestrogénique\OECD and AOPs\REACTIV oecd interlaboratory validation\Results WF\Résultats CBA\2021-CHG-CBA-Atenolol 2\plaque 1/@10 Atenolol 1/E10_02.tif "/>
    <s v=" 4481.2735 "/>
    <s v=" 68.4612 "/>
    <x v="1"/>
    <n v="306793"/>
    <m/>
    <m/>
  </r>
  <r>
    <x v="10"/>
    <x v="4"/>
    <s v="Q:\R&amp;D\2-Test oestrogénique\OECD and AOPs\REACTIV oecd interlaboratory validation\Results WF\Résultats CBA\2021-CHG-CBA-Atenolol 2\plaque 1/@10 Atenolol 1/E10_03.tif "/>
    <s v=" 5112.1324 "/>
    <s v=" 69.766 "/>
    <x v="1"/>
    <n v="356653"/>
    <m/>
    <m/>
  </r>
  <r>
    <x v="10"/>
    <x v="5"/>
    <s v="Q:\R&amp;D\2-Test oestrogénique\OECD and AOPs\REACTIV oecd interlaboratory validation\Results WF\Résultats CBA\2021-CHG-CBA-Atenolol 2\plaque 1/@10 Atenolol 1/F10_01.tif "/>
    <s v=" 4764.0723 "/>
    <s v=" 67.6621 "/>
    <x v="1"/>
    <n v="322347"/>
    <m/>
    <m/>
  </r>
  <r>
    <x v="10"/>
    <x v="5"/>
    <s v="Q:\R&amp;D\2-Test oestrogénique\OECD and AOPs\REACTIV oecd interlaboratory validation\Results WF\Résultats CBA\2021-CHG-CBA-Atenolol 2\plaque 1/@10 Atenolol 1/F10_02.tif "/>
    <s v=" 4285.4897 "/>
    <s v=" 67.066 "/>
    <x v="1"/>
    <n v="287411"/>
    <m/>
    <m/>
  </r>
  <r>
    <x v="10"/>
    <x v="5"/>
    <s v="Q:\R&amp;D\2-Test oestrogénique\OECD and AOPs\REACTIV oecd interlaboratory validation\Results WF\Résultats CBA\2021-CHG-CBA-Atenolol 2\plaque 1/@10 Atenolol 1/F10_03.tif "/>
    <s v=" 3589.3696 "/>
    <s v=" 67.2424 "/>
    <x v="1"/>
    <n v="241358"/>
    <m/>
    <m/>
  </r>
  <r>
    <x v="10"/>
    <x v="6"/>
    <s v="Q:\R&amp;D\2-Test oestrogénique\OECD and AOPs\REACTIV oecd interlaboratory validation\Results WF\Résultats CBA\2021-CHG-CBA-Atenolol 2\plaque 1/@10 Atenolol 1/G10_01.tif "/>
    <s v=" 9680.421 "/>
    <s v=" 81.0067 "/>
    <x v="1"/>
    <n v="784179"/>
    <m/>
    <m/>
  </r>
  <r>
    <x v="10"/>
    <x v="6"/>
    <s v="Q:\R&amp;D\2-Test oestrogénique\OECD and AOPs\REACTIV oecd interlaboratory validation\Results WF\Résultats CBA\2021-CHG-CBA-Atenolol 2\plaque 1/@10 Atenolol 1/G10_02.tif "/>
    <s v=" 9006.0546 "/>
    <s v=" 75.0048 "/>
    <x v="1"/>
    <n v="675498"/>
    <m/>
    <m/>
  </r>
  <r>
    <x v="10"/>
    <x v="6"/>
    <s v="Q:\R&amp;D\2-Test oestrogénique\OECD and AOPs\REACTIV oecd interlaboratory validation\Results WF\Résultats CBA\2021-CHG-CBA-Atenolol 2\plaque 1/@10 Atenolol 1/G10_03.tif "/>
    <s v=" 9810.9435 "/>
    <s v=" 72.0111 "/>
    <x v="1"/>
    <n v="706497"/>
    <m/>
    <m/>
  </r>
  <r>
    <x v="10"/>
    <x v="7"/>
    <s v="Q:\R&amp;D\2-Test oestrogénique\OECD and AOPs\REACTIV oecd interlaboratory validation\Results WF\Résultats CBA\2021-CHG-CBA-Atenolol 2\plaque 1/@10 Atenolol 1/H10_01.tif "/>
    <s v=" 326.3063 "/>
    <s v=" 62.6 "/>
    <x v="1"/>
    <n v="20427"/>
    <m/>
    <m/>
  </r>
  <r>
    <x v="10"/>
    <x v="7"/>
    <s v="Q:\R&amp;D\2-Test oestrogénique\OECD and AOPs\REACTIV oecd interlaboratory validation\Results WF\Résultats CBA\2021-CHG-CBA-Atenolol 2\plaque 1/@10 Atenolol 1/H10_02.tif "/>
    <s v=" 1370.4866 "/>
    <s v=" 66.746 "/>
    <x v="1"/>
    <n v="91475"/>
    <m/>
    <m/>
  </r>
  <r>
    <x v="10"/>
    <x v="7"/>
    <s v="Q:\R&amp;D\2-Test oestrogénique\OECD and AOPs\REACTIV oecd interlaboratory validation\Results WF\Résultats CBA\2021-CHG-CBA-Atenolol 2\plaque 1/@10 Atenolol 1/H10_03.tif "/>
    <s v=" 369.8138 "/>
    <s v=" 64.0588 "/>
    <x v="1"/>
    <n v="23690"/>
    <m/>
    <m/>
  </r>
  <r>
    <x v="1"/>
    <x v="8"/>
    <s v=" "/>
    <m/>
    <m/>
    <x v="0"/>
    <m/>
    <m/>
    <m/>
  </r>
  <r>
    <x v="1"/>
    <x v="8"/>
    <s v="group "/>
    <s v=" "/>
    <s v=" mean of mean fluo "/>
    <x v="2"/>
    <s v=" mean of total fluo "/>
    <s v=" SD total fluo "/>
    <s v=" n fluorescent "/>
  </r>
  <r>
    <x v="10"/>
    <x v="9"/>
    <s v="Q:\R&amp;D\2-Test oestrogénique\OECD and AOPs\REACTIV oecd interlaboratory validation\Results WF\Résultats CBA\2021-CHG-CBA-Atenolol 2\plaque 1/@10 Atenolol 1/ "/>
    <s v=" "/>
    <s v=" 67.8761 "/>
    <x v="12"/>
    <s v=" 313392.75 "/>
    <s v=" 265463.704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1"/>
    <x v="0"/>
    <s v="Q:\R&amp;D\2-Test oestrogénique\OECD and AOPs\REACTIV oecd interlaboratory validation\Results WF\Résultats CBA\2021-CHG-CBA-Atenolol 2\plaque 1/@11 Atenolol 10/A11_01.tif "/>
    <s v=" 1936.0842 "/>
    <s v=" 65.5169 "/>
    <x v="1"/>
    <n v="126846"/>
    <m/>
    <m/>
  </r>
  <r>
    <x v="11"/>
    <x v="0"/>
    <s v="Q:\R&amp;D\2-Test oestrogénique\OECD and AOPs\REACTIV oecd interlaboratory validation\Results WF\Résultats CBA\2021-CHG-CBA-Atenolol 2\plaque 1/@11 Atenolol 10/A11_02.tif "/>
    <s v=" 6504.3727 "/>
    <s v=" 69.7592 "/>
    <x v="1"/>
    <n v="453740"/>
    <m/>
    <m/>
  </r>
  <r>
    <x v="11"/>
    <x v="0"/>
    <s v="Q:\R&amp;D\2-Test oestrogénique\OECD and AOPs\REACTIV oecd interlaboratory validation\Results WF\Résultats CBA\2021-CHG-CBA-Atenolol 2\plaque 1/@11 Atenolol 10/A11_03.tif "/>
    <s v=" 739.6277 "/>
    <s v=" 64.5 "/>
    <x v="1"/>
    <n v="47706"/>
    <m/>
    <m/>
  </r>
  <r>
    <x v="11"/>
    <x v="1"/>
    <s v="Q:\R&amp;D\2-Test oestrogénique\OECD and AOPs\REACTIV oecd interlaboratory validation\Results WF\Résultats CBA\2021-CHG-CBA-Atenolol 2\plaque 1/@11 Atenolol 10/B11_01.tif "/>
    <s v=" 1283.4715 "/>
    <s v=" 64.0678 "/>
    <x v="1"/>
    <n v="82229"/>
    <m/>
    <m/>
  </r>
  <r>
    <x v="11"/>
    <x v="1"/>
    <s v="Q:\R&amp;D\2-Test oestrogénique\OECD and AOPs\REACTIV oecd interlaboratory validation\Results WF\Résultats CBA\2021-CHG-CBA-Atenolol 2\plaque 1/@11 Atenolol 10/B11_02.tif "/>
    <s v=" 11790.5352 "/>
    <s v=" 79.9483 "/>
    <x v="1"/>
    <n v="942634"/>
    <m/>
    <m/>
  </r>
  <r>
    <x v="11"/>
    <x v="1"/>
    <s v="Q:\R&amp;D\2-Test oestrogénique\OECD and AOPs\REACTIV oecd interlaboratory validation\Results WF\Résultats CBA\2021-CHG-CBA-Atenolol 2\plaque 1/@11 Atenolol 10/B11_03.tif "/>
    <s v=" 4916.3486 "/>
    <s v=" 65.2257 "/>
    <x v="1"/>
    <n v="320672"/>
    <m/>
    <m/>
  </r>
  <r>
    <x v="11"/>
    <x v="2"/>
    <s v="Q:\R&amp;D\2-Test oestrogénique\OECD and AOPs\REACTIV oecd interlaboratory validation\Results WF\Résultats CBA\2021-CHG-CBA-Atenolol 2\plaque 1/@11 Atenolol 10/C11_01.tif "/>
    <s v=" 7244.0004 "/>
    <s v=" 72.8258 "/>
    <x v="1"/>
    <n v="527550"/>
    <m/>
    <m/>
  </r>
  <r>
    <x v="11"/>
    <x v="2"/>
    <s v="Q:\R&amp;D\2-Test oestrogénique\OECD and AOPs\REACTIV oecd interlaboratory validation\Results WF\Résultats CBA\2021-CHG-CBA-Atenolol 2\plaque 1/@11 Atenolol 10/C11_02.tif "/>
    <s v=" 1087.6878 "/>
    <s v=" 63.68 "/>
    <x v="1"/>
    <n v="69264"/>
    <m/>
    <m/>
  </r>
  <r>
    <x v="11"/>
    <x v="2"/>
    <s v="Q:\R&amp;D\2-Test oestrogénique\OECD and AOPs\REACTIV oecd interlaboratory validation\Results WF\Résultats CBA\2021-CHG-CBA-Atenolol 2\plaque 1/@11 Atenolol 10/C11_03.tif "/>
    <s v=" 1087.6878 "/>
    <s v=" 64.14 "/>
    <x v="1"/>
    <n v="69764"/>
    <m/>
    <m/>
  </r>
  <r>
    <x v="11"/>
    <x v="3"/>
    <s v="Q:\R&amp;D\2-Test oestrogénique\OECD and AOPs\REACTIV oecd interlaboratory validation\Results WF\Résultats CBA\2021-CHG-CBA-Atenolol 2\plaque 1/@11 Atenolol 10/D11_01.tif "/>
    <s v=" 4829.3336 "/>
    <s v=" 70.2207 "/>
    <x v="1"/>
    <n v="339119"/>
    <m/>
    <m/>
  </r>
  <r>
    <x v="11"/>
    <x v="3"/>
    <s v="Q:\R&amp;D\2-Test oestrogénique\OECD and AOPs\REACTIV oecd interlaboratory validation\Results WF\Résultats CBA\2021-CHG-CBA-Atenolol 2\plaque 1/@11 Atenolol 10/D11_02.tif "/>
    <s v=" 4154.9672 "/>
    <s v=" 69.6649 "/>
    <x v="1"/>
    <n v="289455"/>
    <m/>
    <m/>
  </r>
  <r>
    <x v="11"/>
    <x v="3"/>
    <s v="Q:\R&amp;D\2-Test oestrogénique\OECD and AOPs\REACTIV oecd interlaboratory validation\Results WF\Résultats CBA\2021-CHG-CBA-Atenolol 2\plaque 1/@11 Atenolol 10/D11_03.tif "/>
    <s v=" 3676.3846 "/>
    <s v=" 68.8047 "/>
    <x v="1"/>
    <n v="252953"/>
    <m/>
    <m/>
  </r>
  <r>
    <x v="11"/>
    <x v="4"/>
    <s v="Q:\R&amp;D\2-Test oestrogénique\OECD and AOPs\REACTIV oecd interlaboratory validation\Results WF\Résultats CBA\2021-CHG-CBA-Atenolol 2\plaque 1/@11 Atenolol 10/E11_01.tif "/>
    <s v=" 2501.6818 "/>
    <s v=" 65.2696 "/>
    <x v="1"/>
    <n v="163284"/>
    <m/>
    <m/>
  </r>
  <r>
    <x v="11"/>
    <x v="4"/>
    <s v="Q:\R&amp;D\2-Test oestrogénique\OECD and AOPs\REACTIV oecd interlaboratory validation\Results WF\Résultats CBA\2021-CHG-CBA-Atenolol 2\plaque 1/@11 Atenolol 10/E11_02.tif "/>
    <s v=" 2740.9731 "/>
    <s v=" 64.8413 "/>
    <x v="1"/>
    <n v="177728"/>
    <m/>
    <m/>
  </r>
  <r>
    <x v="11"/>
    <x v="4"/>
    <s v="Q:\R&amp;D\2-Test oestrogénique\OECD and AOPs\REACTIV oecd interlaboratory validation\Results WF\Résultats CBA\2021-CHG-CBA-Atenolol 2\plaque 1/@11 Atenolol 10/E11_03.tif "/>
    <s v=" 804.8889 "/>
    <s v=" 62.5405 "/>
    <x v="1"/>
    <n v="50338"/>
    <m/>
    <m/>
  </r>
  <r>
    <x v="11"/>
    <x v="5"/>
    <s v="Q:\R&amp;D\2-Test oestrogénique\OECD and AOPs\REACTIV oecd interlaboratory validation\Results WF\Résultats CBA\2021-CHG-CBA-Atenolol 2\plaque 1/@11 Atenolol 10/F11_01.tif "/>
    <s v=" 7483.2917 "/>
    <s v=" 67.9448 "/>
    <x v="1"/>
    <n v="508451"/>
    <m/>
    <m/>
  </r>
  <r>
    <x v="11"/>
    <x v="5"/>
    <s v="Q:\R&amp;D\2-Test oestrogénique\OECD and AOPs\REACTIV oecd interlaboratory validation\Results WF\Résultats CBA\2021-CHG-CBA-Atenolol 2\plaque 1/@11 Atenolol 10/F11_02.tif "/>
    <s v=" 9680.421 "/>
    <s v=" 71.4292 "/>
    <x v="1"/>
    <n v="691465"/>
    <m/>
    <m/>
  </r>
  <r>
    <x v="11"/>
    <x v="5"/>
    <s v="Q:\R&amp;D\2-Test oestrogénique\OECD and AOPs\REACTIV oecd interlaboratory validation\Results WF\Résultats CBA\2021-CHG-CBA-Atenolol 2\plaque 1/@11 Atenolol 10/F11_03- exclu.tif"/>
    <m/>
    <m/>
    <x v="0"/>
    <m/>
    <m/>
    <m/>
  </r>
  <r>
    <x v="11"/>
    <x v="6"/>
    <s v="Q:\R&amp;D\2-Test oestrogénique\OECD and AOPs\REACTIV oecd interlaboratory validation\Results WF\Résultats CBA\2021-CHG-CBA-Atenolol 2\plaque 1/@11 Atenolol 10/G11_01- exclu.tif"/>
    <m/>
    <m/>
    <x v="0"/>
    <m/>
    <m/>
    <m/>
  </r>
  <r>
    <x v="11"/>
    <x v="6"/>
    <s v="Q:\R&amp;D\2-Test oestrogénique\OECD and AOPs\REACTIV oecd interlaboratory validation\Results WF\Résultats CBA\2021-CHG-CBA-Atenolol 2\plaque 1/@11 Atenolol 10/G11_02- exclu.tif"/>
    <m/>
    <m/>
    <x v="0"/>
    <m/>
    <m/>
    <m/>
  </r>
  <r>
    <x v="11"/>
    <x v="6"/>
    <s v="Q:\R&amp;D\2-Test oestrogénique\OECD and AOPs\REACTIV oecd interlaboratory validation\Results WF\Résultats CBA\2021-CHG-CBA-Atenolol 2\plaque 1/@11 Atenolol 10/G11_03.tif "/>
    <s v=" 9027.8083 "/>
    <s v=" 73.5036 "/>
    <x v="1"/>
    <n v="663577"/>
    <m/>
    <m/>
  </r>
  <r>
    <x v="11"/>
    <x v="7"/>
    <s v="Q:\R&amp;D\2-Test oestrogénique\OECD and AOPs\REACTIV oecd interlaboratory validation\Results WF\Résultats CBA\2021-CHG-CBA-Atenolol 2\plaque 1/@11 Atenolol 10/H11_01.tif "/>
    <s v=" 7831.3518 "/>
    <s v=" 66.3 "/>
    <x v="1"/>
    <n v="519219"/>
    <m/>
    <m/>
  </r>
  <r>
    <x v="11"/>
    <x v="7"/>
    <s v="Q:\R&amp;D\2-Test oestrogénique\OECD and AOPs\REACTIV oecd interlaboratory validation\Results WF\Résultats CBA\2021-CHG-CBA-Atenolol 2\plaque 1/@11 Atenolol 10/H11_02.tif "/>
    <s v=" 5242.655 "/>
    <s v=" 67.7635 "/>
    <x v="1"/>
    <n v="355261"/>
    <m/>
    <m/>
  </r>
  <r>
    <x v="11"/>
    <x v="7"/>
    <s v="Q:\R&amp;D\2-Test oestrogénique\OECD and AOPs\REACTIV oecd interlaboratory validation\Results WF\Résultats CBA\2021-CHG-CBA-Atenolol 2\plaque 1/@11 Atenolol 10/H11_03.tif "/>
    <s v=" 6852.4328 "/>
    <s v=" 67.873 "/>
    <x v="1"/>
    <n v="465095"/>
    <m/>
    <m/>
  </r>
  <r>
    <x v="1"/>
    <x v="8"/>
    <s v=" "/>
    <m/>
    <m/>
    <x v="0"/>
    <m/>
    <m/>
    <m/>
  </r>
  <r>
    <x v="1"/>
    <x v="8"/>
    <s v="group "/>
    <s v=" "/>
    <s v=" mean of mean fluo "/>
    <x v="2"/>
    <s v=" mean of total fluo "/>
    <s v=" SD total fluo "/>
    <s v=" n fluorescent "/>
  </r>
  <r>
    <x v="11"/>
    <x v="9"/>
    <s v="Q:\R&amp;D\2-Test oestrogénique\OECD and AOPs\REACTIV oecd interlaboratory validation\Results WF\Résultats CBA\2021-CHG-CBA-Atenolol 2\plaque 1/@11 Atenolol 10/ "/>
    <s v=" "/>
    <s v=" 69.7503 "/>
    <x v="13"/>
    <s v=" 377027.042 "/>
    <s v=" 344506.984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2"/>
    <x v="0"/>
    <s v="Q:\R&amp;D\2-Test oestrogénique\OECD and AOPs\REACTIV oecd interlaboratory validation\Results WF\Résultats CBA\2021-CHG-CBA-Atenolol 2\plaque 1/@12 Atenolol 100/A12_01.tif "/>
    <s v=" 12116.8415 "/>
    <s v=" 72.219 "/>
    <x v="1"/>
    <n v="875067"/>
    <m/>
    <m/>
  </r>
  <r>
    <x v="12"/>
    <x v="0"/>
    <s v="Q:\R&amp;D\2-Test oestrogénique\OECD and AOPs\REACTIV oecd interlaboratory validation\Results WF\Résultats CBA\2021-CHG-CBA-Atenolol 2\plaque 1/@12 Atenolol 100/A12_02.tif "/>
    <s v=" 9832.6973 "/>
    <s v=" 67.8916 "/>
    <x v="1"/>
    <n v="667557"/>
    <m/>
    <m/>
  </r>
  <r>
    <x v="12"/>
    <x v="0"/>
    <s v="Q:\R&amp;D\2-Test oestrogénique\OECD and AOPs\REACTIV oecd interlaboratory validation\Results WF\Résultats CBA\2021-CHG-CBA-Atenolol 2\plaque 1/@12 Atenolol 100/A12_03.tif "/>
    <s v=" 11116.1688 "/>
    <s v=" 69.1448 "/>
    <x v="1"/>
    <n v="768625"/>
    <m/>
    <m/>
  </r>
  <r>
    <x v="12"/>
    <x v="1"/>
    <s v="Q:\R&amp;D\2-Test oestrogénique\OECD and AOPs\REACTIV oecd interlaboratory validation\Results WF\Résultats CBA\2021-CHG-CBA-Atenolol 2\plaque 1/@12 Atenolol 100/B12_01.tif "/>
    <s v=" 4154.9672 "/>
    <s v=" 67.6702 "/>
    <x v="1"/>
    <n v="281167"/>
    <m/>
    <m/>
  </r>
  <r>
    <x v="12"/>
    <x v="1"/>
    <s v="Q:\R&amp;D\2-Test oestrogénique\OECD and AOPs\REACTIV oecd interlaboratory validation\Results WF\Résultats CBA\2021-CHG-CBA-Atenolol 2\plaque 1/@12 Atenolol 100/B12_02.tif "/>
    <s v=" 1522.7629 "/>
    <s v=" 65.7429 "/>
    <x v="1"/>
    <n v="100111"/>
    <m/>
    <m/>
  </r>
  <r>
    <x v="12"/>
    <x v="1"/>
    <s v="Q:\R&amp;D\2-Test oestrogénique\OECD and AOPs\REACTIV oecd interlaboratory validation\Results WF\Résultats CBA\2021-CHG-CBA-Atenolol 2\plaque 1/@12 Atenolol 100/B12_03.tif "/>
    <s v=" 4503.0273 "/>
    <s v=" 67.3188 "/>
    <x v="1"/>
    <n v="303139"/>
    <m/>
    <m/>
  </r>
  <r>
    <x v="12"/>
    <x v="2"/>
    <s v="Q:\R&amp;D\2-Test oestrogénique\OECD and AOPs\REACTIV oecd interlaboratory validation\Results WF\Résultats CBA\2021-CHG-CBA-Atenolol 2\plaque 1/@12 Atenolol 100/C12_01.tif "/>
    <s v=" 4981.6099 "/>
    <s v=" 67.1921 "/>
    <x v="1"/>
    <n v="334725"/>
    <m/>
    <m/>
  </r>
  <r>
    <x v="12"/>
    <x v="2"/>
    <s v="Q:\R&amp;D\2-Test oestrogénique\OECD and AOPs\REACTIV oecd interlaboratory validation\Results WF\Résultats CBA\2021-CHG-CBA-Atenolol 2\plaque 1/@12 Atenolol 100/C12_02.tif "/>
    <s v=" 6830.6791 "/>
    <s v=" 71.5764 "/>
    <x v="1"/>
    <n v="488916"/>
    <m/>
    <m/>
  </r>
  <r>
    <x v="12"/>
    <x v="2"/>
    <s v="Q:\R&amp;D\2-Test oestrogénique\OECD and AOPs\REACTIV oecd interlaboratory validation\Results WF\Résultats CBA\2021-CHG-CBA-Atenolol 2\plaque 1/@12 Atenolol 100/C12_03.tif "/>
    <s v=" 1326.9791 "/>
    <s v=" 62.4918 "/>
    <x v="1"/>
    <n v="82925"/>
    <m/>
    <m/>
  </r>
  <r>
    <x v="12"/>
    <x v="3"/>
    <s v="Q:\R&amp;D\2-Test oestrogénique\OECD and AOPs\REACTIV oecd interlaboratory validation\Results WF\Résultats CBA\2021-CHG-CBA-Atenolol 2\plaque 1/@12 Atenolol 100/D12_01.tif "/>
    <s v=" 804.8889 "/>
    <s v=" 65.1351 "/>
    <x v="1"/>
    <n v="52427"/>
    <m/>
    <m/>
  </r>
  <r>
    <x v="12"/>
    <x v="3"/>
    <s v="Q:\R&amp;D\2-Test oestrogénique\OECD and AOPs\REACTIV oecd interlaboratory validation\Results WF\Résultats CBA\2021-CHG-CBA-Atenolol 2\plaque 1/@12 Atenolol 100/D12_02.tif "/>
    <s v=" 478.5826 "/>
    <s v=" 62.8636 "/>
    <x v="1"/>
    <n v="30085"/>
    <m/>
    <m/>
  </r>
  <r>
    <x v="12"/>
    <x v="3"/>
    <s v="Q:\R&amp;D\2-Test oestrogénique\OECD and AOPs\REACTIV oecd interlaboratory validation\Results WF\Résultats CBA\2021-CHG-CBA-Atenolol 2\plaque 1/@12 Atenolol 100/D12_03.tif "/>
    <s v=" 630.8589 "/>
    <s v=" 62.6897 "/>
    <x v="1"/>
    <n v="39548"/>
    <m/>
    <m/>
  </r>
  <r>
    <x v="12"/>
    <x v="4"/>
    <s v="Q:\R&amp;D\2-Test oestrogénique\OECD and AOPs\REACTIV oecd interlaboratory validation\Results WF\Résultats CBA\2021-CHG-CBA-Atenolol 2\plaque 1/@12 Atenolol 100/E12_01.tif "/>
    <s v=" 1849.0692 "/>
    <s v=" 66.2471 "/>
    <x v="1"/>
    <n v="122495"/>
    <m/>
    <m/>
  </r>
  <r>
    <x v="12"/>
    <x v="4"/>
    <s v="Q:\R&amp;D\2-Test oestrogénique\OECD and AOPs\REACTIV oecd interlaboratory validation\Results WF\Résultats CBA\2021-CHG-CBA-Atenolol 2\plaque 1/@12 Atenolol 100/E12_02.tif "/>
    <s v=" 2697.4656 "/>
    <s v=" 68.0081 "/>
    <x v="1"/>
    <n v="183449"/>
    <m/>
    <m/>
  </r>
  <r>
    <x v="12"/>
    <x v="4"/>
    <s v="Q:\R&amp;D\2-Test oestrogénique\OECD and AOPs\REACTIV oecd interlaboratory validation\Results WF\Résultats CBA\2021-CHG-CBA-Atenolol 2\plaque 1/@12 Atenolol 100/E12_03.tif "/>
    <s v=" 848.3964 "/>
    <s v=" 64.8974 "/>
    <x v="1"/>
    <n v="55059"/>
    <m/>
    <m/>
  </r>
  <r>
    <x v="12"/>
    <x v="5"/>
    <s v="Q:\R&amp;D\2-Test oestrogénique\OECD and AOPs\REACTIV oecd interlaboratory validation\Results WF\Résultats CBA\2021-CHG-CBA-Atenolol 2\plaque 1/@12 Atenolol 100/F12_01.tif "/>
    <s v=" 12029.8265 "/>
    <s v=" 86.6546 "/>
    <x v="1"/>
    <n v="1042440"/>
    <m/>
    <m/>
  </r>
  <r>
    <x v="12"/>
    <x v="5"/>
    <s v="Q:\R&amp;D\2-Test oestrogénique\OECD and AOPs\REACTIV oecd interlaboratory validation\Results WF\Résultats CBA\2021-CHG-CBA-Atenolol 2\plaque 1/@12 Atenolol 100/F12_02.tif "/>
    <s v=" 6895.9403 "/>
    <s v=" 74.1577 "/>
    <x v="1"/>
    <n v="511387"/>
    <m/>
    <m/>
  </r>
  <r>
    <x v="12"/>
    <x v="5"/>
    <s v="Q:\R&amp;D\2-Test oestrogénique\OECD and AOPs\REACTIV oecd interlaboratory validation\Results WF\Résultats CBA\2021-CHG-CBA-Atenolol 2\plaque 1/@12 Atenolol 100/F12_03.tif "/>
    <s v=" 8309.9344 "/>
    <s v=" 73.5864 "/>
    <x v="1"/>
    <n v="611498"/>
    <m/>
    <m/>
  </r>
  <r>
    <x v="12"/>
    <x v="6"/>
    <s v="Q:\R&amp;D\2-Test oestrogénique\OECD and AOPs\REACTIV oecd interlaboratory validation\Results WF\Résultats CBA\2021-CHG-CBA-Atenolol 2\plaque 1/@12 Atenolol 100/G12_01.tif "/>
    <s v=" 239.2913 "/>
    <s v=" 61.6364 "/>
    <x v="1"/>
    <n v="14749"/>
    <m/>
    <m/>
  </r>
  <r>
    <x v="12"/>
    <x v="6"/>
    <s v="Q:\R&amp;D\2-Test oestrogénique\OECD and AOPs\REACTIV oecd interlaboratory validation\Results WF\Résultats CBA\2021-CHG-CBA-Atenolol 2\plaque 1/@12 Atenolol 100/G12_02.tif "/>
    <s v=" 565.5976 "/>
    <n v="63"/>
    <x v="1"/>
    <n v="35633"/>
    <m/>
    <m/>
  </r>
  <r>
    <x v="12"/>
    <x v="6"/>
    <s v="Q:\R&amp;D\2-Test oestrogénique\OECD and AOPs\REACTIV oecd interlaboratory validation\Results WF\Résultats CBA\2021-CHG-CBA-Atenolol 2\plaque 1/@12 Atenolol 100/G12_03.tif "/>
    <s v=" 500.3364 "/>
    <s v=" 67.1304 "/>
    <x v="1"/>
    <n v="33588"/>
    <m/>
    <m/>
  </r>
  <r>
    <x v="12"/>
    <x v="7"/>
    <s v="Q:\R&amp;D\2-Test oestrogénique\OECD and AOPs\REACTIV oecd interlaboratory validation\Results WF\Résultats CBA\2021-CHG-CBA-Atenolol 2\plaque 1/@12 Atenolol 100/H12_01.tif "/>
    <s v=" 1675.0391 "/>
    <s v=" 65.4545 "/>
    <x v="1"/>
    <n v="109639"/>
    <m/>
    <m/>
  </r>
  <r>
    <x v="12"/>
    <x v="7"/>
    <s v="Q:\R&amp;D\2-Test oestrogénique\OECD and AOPs\REACTIV oecd interlaboratory validation\Results WF\Résultats CBA\2021-CHG-CBA-Atenolol 2\plaque 1/@12 Atenolol 100/H12_02.tif "/>
    <s v=" 1000.6727 "/>
    <s v=" 64.0217 "/>
    <x v="1"/>
    <n v="64065"/>
    <m/>
    <m/>
  </r>
  <r>
    <x v="12"/>
    <x v="7"/>
    <s v="Q:\R&amp;D\2-Test oestrogénique\OECD and AOPs\REACTIV oecd interlaboratory validation\Results WF\Résultats CBA\2021-CHG-CBA-Atenolol 2\plaque 1/@12 Atenolol 100/H12_03.tif "/>
    <s v=" 1174.7028 "/>
    <s v=" 64.5 "/>
    <x v="1"/>
    <n v="75768"/>
    <m/>
    <m/>
  </r>
  <r>
    <x v="1"/>
    <x v="8"/>
    <s v=" "/>
    <m/>
    <m/>
    <x v="0"/>
    <m/>
    <m/>
    <m/>
  </r>
  <r>
    <x v="1"/>
    <x v="8"/>
    <s v="group "/>
    <s v=" "/>
    <s v=" mean of mean fluo "/>
    <x v="2"/>
    <s v=" mean of total fluo "/>
    <s v=" SD total fluo "/>
    <s v=" n fluorescent "/>
  </r>
  <r>
    <x v="12"/>
    <x v="9"/>
    <s v="Q:\R&amp;D\2-Test oestrogénique\OECD and AOPs\REACTIV oecd interlaboratory validation\Results WF\Résultats CBA\2021-CHG-CBA-Atenolol 2\plaque 1/@12 Atenolol 100/ "/>
    <s v=" "/>
    <s v=" 67.5513 "/>
    <x v="14"/>
    <s v=" 286835.917 "/>
    <s v=" 307161.336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3"/>
    <x v="0"/>
    <s v="Q:\R&amp;D\2-Test oestrogénique\OECD and AOPs\REACTIV oecd interlaboratory validation\Results WF\Résultats CBA\2021-CHG-CBA-Atenolol 2\plaque 2/@13 TESTO/A1_01.tif "/>
    <s v=" 46727.0657 "/>
    <s v=" 78.061 "/>
    <x v="1"/>
    <n v="3647561"/>
    <m/>
    <m/>
  </r>
  <r>
    <x v="13"/>
    <x v="0"/>
    <s v="Q:\R&amp;D\2-Test oestrogénique\OECD and AOPs\REACTIV oecd interlaboratory validation\Results WF\Résultats CBA\2021-CHG-CBA-Atenolol 2\plaque 2/@13 TESTO/A1_02.tif "/>
    <s v=" 43899.0776 "/>
    <s v=" 77.3637 "/>
    <x v="1"/>
    <n v="3396196"/>
    <m/>
    <m/>
  </r>
  <r>
    <x v="13"/>
    <x v="0"/>
    <s v="Q:\R&amp;D\2-Test oestrogénique\OECD and AOPs\REACTIV oecd interlaboratory validation\Results WF\Résultats CBA\2021-CHG-CBA-Atenolol 2\plaque 2/@13 TESTO/A1_03.tif "/>
    <s v=" 43812.0626 "/>
    <s v=" 76.507 "/>
    <x v="1"/>
    <n v="3351927"/>
    <m/>
    <m/>
  </r>
  <r>
    <x v="13"/>
    <x v="1"/>
    <s v="Q:\R&amp;D\2-Test oestrogénique\OECD and AOPs\REACTIV oecd interlaboratory validation\Results WF\Résultats CBA\2021-CHG-CBA-Atenolol 2\plaque 2/@13 TESTO/B1_01.tif "/>
    <s v=" 15510.4273 "/>
    <s v=" 67.5316 "/>
    <x v="1"/>
    <n v="1047443"/>
    <m/>
    <m/>
  </r>
  <r>
    <x v="13"/>
    <x v="1"/>
    <s v="Q:\R&amp;D\2-Test oestrogénique\OECD and AOPs\REACTIV oecd interlaboratory validation\Results WF\Résultats CBA\2021-CHG-CBA-Atenolol 2\plaque 2/@13 TESTO/B1_02.tif "/>
    <s v=" 11877.5502 "/>
    <s v=" 68.0201 "/>
    <x v="1"/>
    <n v="807913"/>
    <m/>
    <m/>
  </r>
  <r>
    <x v="13"/>
    <x v="1"/>
    <s v="Q:\R&amp;D\2-Test oestrogénique\OECD and AOPs\REACTIV oecd interlaboratory validation\Results WF\Résultats CBA\2021-CHG-CBA-Atenolol 2\plaque 2/@13 TESTO/B1_03.tif "/>
    <s v=" 14292.217 "/>
    <s v=" 67.5053 "/>
    <x v="1"/>
    <n v="964801"/>
    <m/>
    <m/>
  </r>
  <r>
    <x v="13"/>
    <x v="2"/>
    <s v="Q:\R&amp;D\2-Test oestrogénique\OECD and AOPs\REACTIV oecd interlaboratory validation\Results WF\Résultats CBA\2021-CHG-CBA-Atenolol 2\plaque 2/@13 TESTO/C1_01.tif "/>
    <s v=" 27474.9926 "/>
    <s v=" 69.6112 "/>
    <x v="1"/>
    <n v="1912568"/>
    <m/>
    <m/>
  </r>
  <r>
    <x v="13"/>
    <x v="2"/>
    <s v="Q:\R&amp;D\2-Test oestrogénique\OECD and AOPs\REACTIV oecd interlaboratory validation\Results WF\Résultats CBA\2021-CHG-CBA-Atenolol 2\plaque 2/@13 TESTO/C1_02.tif "/>
    <s v=" 24647.0044 "/>
    <s v=" 69.0406 "/>
    <x v="1"/>
    <n v="1701644"/>
    <m/>
    <m/>
  </r>
  <r>
    <x v="13"/>
    <x v="2"/>
    <s v="Q:\R&amp;D\2-Test oestrogénique\OECD and AOPs\REACTIV oecd interlaboratory validation\Results WF\Résultats CBA\2021-CHG-CBA-Atenolol 2\plaque 2/@13 TESTO/C1_03.tif "/>
    <s v=" 24516.4819 "/>
    <s v=" 68.0204 "/>
    <x v="1"/>
    <n v="1667621"/>
    <m/>
    <m/>
  </r>
  <r>
    <x v="13"/>
    <x v="3"/>
    <s v="Q:\R&amp;D\2-Test oestrogénique\OECD and AOPs\REACTIV oecd interlaboratory validation\Results WF\Résultats CBA\2021-CHG-CBA-Atenolol 2\plaque 2/@13 TESTO/D1_01.tif "/>
    <s v=" 24668.7582 "/>
    <s v=" 66.336 "/>
    <x v="1"/>
    <n v="1636426"/>
    <m/>
    <m/>
  </r>
  <r>
    <x v="13"/>
    <x v="3"/>
    <s v="Q:\R&amp;D\2-Test oestrogénique\OECD and AOPs\REACTIV oecd interlaboratory validation\Results WF\Résultats CBA\2021-CHG-CBA-Atenolol 2\plaque 2/@13 TESTO/D1_02.tif "/>
    <s v=" 22145.3226 "/>
    <s v=" 66.334 "/>
    <x v="1"/>
    <n v="1468988"/>
    <m/>
    <m/>
  </r>
  <r>
    <x v="13"/>
    <x v="3"/>
    <s v="Q:\R&amp;D\2-Test oestrogénique\OECD and AOPs\REACTIV oecd interlaboratory validation\Results WF\Résultats CBA\2021-CHG-CBA-Atenolol 2\plaque 2/@13 TESTO/D1_03- exclu.tif"/>
    <m/>
    <m/>
    <x v="0"/>
    <m/>
    <m/>
    <m/>
  </r>
  <r>
    <x v="13"/>
    <x v="4"/>
    <s v="Q:\R&amp;D\2-Test oestrogénique\OECD and AOPs\REACTIV oecd interlaboratory validation\Results WF\Résultats CBA\2021-CHG-CBA-Atenolol 2\plaque 2/@13 TESTO/E1_01- exclu.tif"/>
    <m/>
    <m/>
    <x v="0"/>
    <m/>
    <m/>
    <m/>
  </r>
  <r>
    <x v="13"/>
    <x v="4"/>
    <s v="Q:\R&amp;D\2-Test oestrogénique\OECD and AOPs\REACTIV oecd interlaboratory validation\Results WF\Résultats CBA\2021-CHG-CBA-Atenolol 2\plaque 2/@13 TESTO/E1_02.tif "/>
    <s v=" 8701.502 "/>
    <s v=" 64.31 "/>
    <x v="1"/>
    <n v="559594"/>
    <m/>
    <m/>
  </r>
  <r>
    <x v="13"/>
    <x v="4"/>
    <s v="Q:\R&amp;D\2-Test oestrogénique\OECD and AOPs\REACTIV oecd interlaboratory validation\Results WF\Résultats CBA\2021-CHG-CBA-Atenolol 2\plaque 2/@13 TESTO/E1_03.tif "/>
    <s v=" 11159.6763 "/>
    <s v=" 64.3041 "/>
    <x v="1"/>
    <n v="717613"/>
    <m/>
    <m/>
  </r>
  <r>
    <x v="13"/>
    <x v="5"/>
    <s v="Q:\R&amp;D\2-Test oestrogénique\OECD and AOPs\REACTIV oecd interlaboratory validation\Results WF\Résultats CBA\2021-CHG-CBA-Atenolol 2\plaque 2/@13 TESTO/F1_01.tif "/>
    <s v=" 25408.3858 "/>
    <s v=" 68.2509 "/>
    <x v="1"/>
    <n v="1734144"/>
    <m/>
    <m/>
  </r>
  <r>
    <x v="13"/>
    <x v="5"/>
    <s v="Q:\R&amp;D\2-Test oestrogénique\OECD and AOPs\REACTIV oecd interlaboratory validation\Results WF\Résultats CBA\2021-CHG-CBA-Atenolol 2\plaque 2/@13 TESTO/F1_02.tif "/>
    <s v=" 24364.2056 "/>
    <s v=" 67.5446 "/>
    <x v="1"/>
    <n v="1645672"/>
    <m/>
    <m/>
  </r>
  <r>
    <x v="13"/>
    <x v="5"/>
    <s v="Q:\R&amp;D\2-Test oestrogénique\OECD and AOPs\REACTIV oecd interlaboratory validation\Results WF\Résultats CBA\2021-CHG-CBA-Atenolol 2\plaque 2/@13 TESTO/F1_03.tif "/>
    <s v=" 23950.8843 "/>
    <s v=" 66.7057 "/>
    <x v="1"/>
    <n v="1597661"/>
    <m/>
    <m/>
  </r>
  <r>
    <x v="13"/>
    <x v="6"/>
    <s v="Q:\R&amp;D\2-Test oestrogénique\OECD and AOPs\REACTIV oecd interlaboratory validation\Results WF\Résultats CBA\2021-CHG-CBA-Atenolol 2\plaque 2/@13 TESTO/G1_01.tif "/>
    <s v=" 46117.9606 "/>
    <s v=" 72.7368 "/>
    <x v="1"/>
    <n v="3354473"/>
    <m/>
    <m/>
  </r>
  <r>
    <x v="13"/>
    <x v="6"/>
    <s v="Q:\R&amp;D\2-Test oestrogénique\OECD and AOPs\REACTIV oecd interlaboratory validation\Results WF\Résultats CBA\2021-CHG-CBA-Atenolol 2\plaque 2/@13 TESTO/G1_02.tif "/>
    <s v=" 45835.1618 "/>
    <s v=" 74.9729 "/>
    <x v="1"/>
    <n v="3436397"/>
    <m/>
    <m/>
  </r>
  <r>
    <x v="13"/>
    <x v="6"/>
    <s v="Q:\R&amp;D\2-Test oestrogénique\OECD and AOPs\REACTIV oecd interlaboratory validation\Results WF\Résultats CBA\2021-CHG-CBA-Atenolol 2\plaque 2/@13 TESTO/G1_03.tif "/>
    <s v=" 47705.9847 "/>
    <s v=" 73.404 "/>
    <x v="1"/>
    <n v="3501811"/>
    <m/>
    <m/>
  </r>
  <r>
    <x v="13"/>
    <x v="7"/>
    <s v="Q:\R&amp;D\2-Test oestrogénique\OECD and AOPs\REACTIV oecd interlaboratory validation\Results WF\Résultats CBA\2021-CHG-CBA-Atenolol 2\plaque 2/@13 TESTO/H1_01- exclu.tif"/>
    <m/>
    <m/>
    <x v="0"/>
    <m/>
    <m/>
    <m/>
  </r>
  <r>
    <x v="13"/>
    <x v="7"/>
    <s v="Q:\R&amp;D\2-Test oestrogénique\OECD and AOPs\REACTIV oecd interlaboratory validation\Results WF\Résultats CBA\2021-CHG-CBA-Atenolol 2\plaque 2/@13 TESTO/H1_02- exclu.tif"/>
    <m/>
    <m/>
    <x v="0"/>
    <m/>
    <m/>
    <m/>
  </r>
  <r>
    <x v="13"/>
    <x v="7"/>
    <s v="Q:\R&amp;D\2-Test oestrogénique\OECD and AOPs\REACTIV oecd interlaboratory validation\Results WF\Résultats CBA\2021-CHG-CBA-Atenolol 2\plaque 2/@13 TESTO/H1_03- exclu.tif"/>
    <m/>
    <m/>
    <x v="0"/>
    <m/>
    <m/>
    <m/>
  </r>
  <r>
    <x v="1"/>
    <x v="8"/>
    <s v=" "/>
    <m/>
    <m/>
    <x v="0"/>
    <m/>
    <m/>
    <m/>
  </r>
  <r>
    <x v="1"/>
    <x v="8"/>
    <s v="group "/>
    <s v=" "/>
    <s v=" mean of mean fluo "/>
    <x v="2"/>
    <s v=" mean of total fluo "/>
    <s v=" SD total fluo "/>
    <s v=" n fluorescent "/>
  </r>
  <r>
    <x v="13"/>
    <x v="9"/>
    <s v="Q:\R&amp;D\2-Test oestrogénique\OECD and AOPs\REACTIV oecd interlaboratory validation\Results WF\Résultats CBA\2021-CHG-CBA-Atenolol 2\plaque 2/@13 TESTO/ "/>
    <s v=" "/>
    <s v=" 68.8404 "/>
    <x v="15"/>
    <s v=" 1717615.79 "/>
    <s v=" 1136102.1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4"/>
    <x v="0"/>
    <s v="Q:\R&amp;D\2-Test oestrogénique\OECD and AOPs\REACTIV oecd interlaboratory validation\Results WF\Résultats CBA\2021-CHG-CBA-Atenolol 2\plaque 2/@14 TESTO/A2_01.tif "/>
    <s v=" 18077.3704 "/>
    <s v=" 67.1986 "/>
    <x v="1"/>
    <n v="1214773"/>
    <m/>
    <m/>
  </r>
  <r>
    <x v="14"/>
    <x v="0"/>
    <s v="Q:\R&amp;D\2-Test oestrogénique\OECD and AOPs\REACTIV oecd interlaboratory validation\Results WF\Résultats CBA\2021-CHG-CBA-Atenolol 2\plaque 2/@14 TESTO/A2_02.tif "/>
    <s v=" 14705.5384 "/>
    <s v=" 66.5858 "/>
    <x v="1"/>
    <n v="979180"/>
    <m/>
    <m/>
  </r>
  <r>
    <x v="14"/>
    <x v="0"/>
    <s v="Q:\R&amp;D\2-Test oestrogénique\OECD and AOPs\REACTIV oecd interlaboratory validation\Results WF\Résultats CBA\2021-CHG-CBA-Atenolol 2\plaque 2/@14 TESTO/A2_03.tif "/>
    <s v=" 13596.0969 "/>
    <s v=" 66.176 "/>
    <x v="1"/>
    <n v="899735"/>
    <m/>
    <m/>
  </r>
  <r>
    <x v="14"/>
    <x v="1"/>
    <s v="Q:\R&amp;D\2-Test oestrogénique\OECD and AOPs\REACTIV oecd interlaboratory validation\Results WF\Résultats CBA\2021-CHG-CBA-Atenolol 2\plaque 2/@14 TESTO/B2_01.tif "/>
    <s v=" 1544.5166 "/>
    <s v=" 63.9296 "/>
    <x v="1"/>
    <n v="98740"/>
    <m/>
    <m/>
  </r>
  <r>
    <x v="14"/>
    <x v="1"/>
    <s v="Q:\R&amp;D\2-Test oestrogénique\OECD and AOPs\REACTIV oecd interlaboratory validation\Results WF\Résultats CBA\2021-CHG-CBA-Atenolol 2\plaque 2/@14 TESTO/B2_02.tif "/>
    <s v=" 1392.2403 "/>
    <s v=" 63.5938 "/>
    <x v="1"/>
    <n v="88538"/>
    <m/>
    <m/>
  </r>
  <r>
    <x v="14"/>
    <x v="1"/>
    <s v="Q:\R&amp;D\2-Test oestrogénique\OECD and AOPs\REACTIV oecd interlaboratory validation\Results WF\Résultats CBA\2021-CHG-CBA-Atenolol 2\plaque 2/@14 TESTO/B2_03.tif "/>
    <s v=" 1588.0241 "/>
    <s v=" 62.7534 "/>
    <x v="1"/>
    <n v="99654"/>
    <m/>
    <m/>
  </r>
  <r>
    <x v="14"/>
    <x v="2"/>
    <s v="Q:\R&amp;D\2-Test oestrogénique\OECD and AOPs\REACTIV oecd interlaboratory validation\Results WF\Résultats CBA\2021-CHG-CBA-Atenolol 2\plaque 2/@14 TESTO/C2_01.tif "/>
    <s v=" 11812.289 "/>
    <s v=" 65.2523 "/>
    <x v="1"/>
    <n v="770779"/>
    <m/>
    <m/>
  </r>
  <r>
    <x v="14"/>
    <x v="2"/>
    <s v="Q:\R&amp;D\2-Test oestrogénique\OECD and AOPs\REACTIV oecd interlaboratory validation\Results WF\Résultats CBA\2021-CHG-CBA-Atenolol 2\plaque 2/@14 TESTO/C2_02.tif "/>
    <s v=" 16337.07 "/>
    <s v=" 65.6272 "/>
    <x v="1"/>
    <n v="1072156"/>
    <m/>
    <m/>
  </r>
  <r>
    <x v="14"/>
    <x v="2"/>
    <s v="Q:\R&amp;D\2-Test oestrogénique\OECD and AOPs\REACTIV oecd interlaboratory validation\Results WF\Résultats CBA\2021-CHG-CBA-Atenolol 2\plaque 2/@14 TESTO/C2_03.tif "/>
    <s v=" 14161.6945 "/>
    <s v=" 65.2949 "/>
    <x v="1"/>
    <n v="924687"/>
    <m/>
    <m/>
  </r>
  <r>
    <x v="14"/>
    <x v="3"/>
    <s v="Q:\R&amp;D\2-Test oestrogénique\OECD and AOPs\REACTIV oecd interlaboratory validation\Results WF\Résultats CBA\2021-CHG-CBA-Atenolol 2\plaque 2/@14 TESTO/D2_01.tif "/>
    <s v=" 43268.2187 "/>
    <s v=" 71.9231 "/>
    <x v="1"/>
    <n v="3111983"/>
    <m/>
    <m/>
  </r>
  <r>
    <x v="14"/>
    <x v="3"/>
    <s v="Q:\R&amp;D\2-Test oestrogénique\OECD and AOPs\REACTIV oecd interlaboratory validation\Results WF\Résultats CBA\2021-CHG-CBA-Atenolol 2\plaque 2/@14 TESTO/D2_02.tif "/>
    <s v=" 46379.0057 "/>
    <s v=" 72.9958 "/>
    <x v="1"/>
    <n v="3385472"/>
    <m/>
    <m/>
  </r>
  <r>
    <x v="14"/>
    <x v="3"/>
    <s v="Q:\R&amp;D\2-Test oestrogénique\OECD and AOPs\REACTIV oecd interlaboratory validation\Results WF\Résultats CBA\2021-CHG-CBA-Atenolol 2\plaque 2/@14 TESTO/D2_03.tif "/>
    <s v=" 41462.657 "/>
    <s v=" 72.9003 "/>
    <x v="1"/>
    <n v="3022641"/>
    <m/>
    <m/>
  </r>
  <r>
    <x v="14"/>
    <x v="4"/>
    <s v="Q:\R&amp;D\2-Test oestrogénique\OECD and AOPs\REACTIV oecd interlaboratory validation\Results WF\Résultats CBA\2021-CHG-CBA-Atenolol 2\plaque 2/@14 TESTO/E2_01.tif "/>
    <s v=" 40614.2606 "/>
    <s v=" 74.879 "/>
    <x v="1"/>
    <n v="3041153"/>
    <m/>
    <m/>
  </r>
  <r>
    <x v="14"/>
    <x v="4"/>
    <s v="Q:\R&amp;D\2-Test oestrogénique\OECD and AOPs\REACTIV oecd interlaboratory validation\Results WF\Résultats CBA\2021-CHG-CBA-Atenolol 2\plaque 2/@14 TESTO/E2_02.tif "/>
    <s v=" 38591.1614 "/>
    <s v=" 75.3884 "/>
    <x v="1"/>
    <n v="2909325"/>
    <m/>
    <m/>
  </r>
  <r>
    <x v="14"/>
    <x v="4"/>
    <s v="Q:\R&amp;D\2-Test oestrogénique\OECD and AOPs\REACTIV oecd interlaboratory validation\Results WF\Résultats CBA\2021-CHG-CBA-Atenolol 2\plaque 2/@14 TESTO/E2_03.tif "/>
    <s v=" 43594.525 "/>
    <s v=" 77.8179 "/>
    <x v="1"/>
    <n v="3392433"/>
    <m/>
    <m/>
  </r>
  <r>
    <x v="14"/>
    <x v="5"/>
    <s v="Q:\R&amp;D\2-Test oestrogénique\OECD and AOPs\REACTIV oecd interlaboratory validation\Results WF\Résultats CBA\2021-CHG-CBA-Atenolol 2\plaque 2/@14 TESTO/F2_01.tif "/>
    <s v=" 84143.5244 "/>
    <s v=" 80.6231 "/>
    <x v="1"/>
    <n v="6783908"/>
    <m/>
    <m/>
  </r>
  <r>
    <x v="14"/>
    <x v="5"/>
    <s v="Q:\R&amp;D\2-Test oestrogénique\OECD and AOPs\REACTIV oecd interlaboratory validation\Results WF\Résultats CBA\2021-CHG-CBA-Atenolol 2\plaque 2/@14 TESTO/F2_02- exclu.tif"/>
    <m/>
    <m/>
    <x v="0"/>
    <m/>
    <m/>
    <m/>
  </r>
  <r>
    <x v="14"/>
    <x v="5"/>
    <s v="Q:\R&amp;D\2-Test oestrogénique\OECD and AOPs\REACTIV oecd interlaboratory validation\Results WF\Résultats CBA\2021-CHG-CBA-Atenolol 2\plaque 2/@14 TESTO/F2_03.tif "/>
    <s v=" 74811.1635 "/>
    <s v=" 78.3446 "/>
    <x v="1"/>
    <n v="5861049"/>
    <m/>
    <m/>
  </r>
  <r>
    <x v="14"/>
    <x v="6"/>
    <s v="Q:\R&amp;D\2-Test oestrogénique\OECD and AOPs\REACTIV oecd interlaboratory validation\Results WF\Résultats CBA\2021-CHG-CBA-Atenolol 2\plaque 2/@14 TESTO/G2_01.tif "/>
    <s v=" 27692.5301 "/>
    <s v=" 67.4902 "/>
    <x v="1"/>
    <n v="1868974"/>
    <m/>
    <m/>
  </r>
  <r>
    <x v="14"/>
    <x v="6"/>
    <s v="Q:\R&amp;D\2-Test oestrogénique\OECD and AOPs\REACTIV oecd interlaboratory validation\Results WF\Résultats CBA\2021-CHG-CBA-Atenolol 2\plaque 2/@14 TESTO/G2_02.tif "/>
    <s v=" 24712.2657 "/>
    <s v=" 66.9331 "/>
    <x v="1"/>
    <n v="1654069"/>
    <m/>
    <m/>
  </r>
  <r>
    <x v="14"/>
    <x v="6"/>
    <s v="Q:\R&amp;D\2-Test oestrogénique\OECD and AOPs\REACTIV oecd interlaboratory validation\Results WF\Résultats CBA\2021-CHG-CBA-Atenolol 2\plaque 2/@14 TESTO/G2_03.tif "/>
    <s v=" 28149.359 "/>
    <s v=" 67.5317 "/>
    <x v="1"/>
    <n v="1900974"/>
    <m/>
    <m/>
  </r>
  <r>
    <x v="14"/>
    <x v="7"/>
    <s v="Q:\R&amp;D\2-Test oestrogénique\OECD and AOPs\REACTIV oecd interlaboratory validation\Results WF\Résultats CBA\2021-CHG-CBA-Atenolol 2\plaque 2/@14 TESTO/H2_01- exclu.tif"/>
    <m/>
    <m/>
    <x v="0"/>
    <m/>
    <m/>
    <m/>
  </r>
  <r>
    <x v="14"/>
    <x v="7"/>
    <s v="Q:\R&amp;D\2-Test oestrogénique\OECD and AOPs\REACTIV oecd interlaboratory validation\Results WF\Résultats CBA\2021-CHG-CBA-Atenolol 2\plaque 2/@14 TESTO/H2_02.tif "/>
    <s v=" 21470.9562 "/>
    <s v=" 66.4164 "/>
    <x v="1"/>
    <n v="1426024"/>
    <m/>
    <m/>
  </r>
  <r>
    <x v="14"/>
    <x v="7"/>
    <s v="Q:\R&amp;D\2-Test oestrogénique\OECD and AOPs\REACTIV oecd interlaboratory validation\Results WF\Résultats CBA\2021-CHG-CBA-Atenolol 2\plaque 2/@14 TESTO/H2_03.tif "/>
    <s v=" 18425.4305 "/>
    <s v=" 65.8406 "/>
    <x v="1"/>
    <n v="1213142"/>
    <m/>
    <m/>
  </r>
  <r>
    <x v="1"/>
    <x v="8"/>
    <s v=" "/>
    <m/>
    <m/>
    <x v="0"/>
    <m/>
    <m/>
    <m/>
  </r>
  <r>
    <x v="1"/>
    <x v="8"/>
    <s v="group "/>
    <s v=" "/>
    <s v=" mean of mean fluo "/>
    <x v="2"/>
    <s v=" mean of total fluo "/>
    <s v=" SD total fluo "/>
    <s v=" n fluorescent "/>
  </r>
  <r>
    <x v="14"/>
    <x v="9"/>
    <s v="Q:\R&amp;D\2-Test oestrogénique\OECD and AOPs\REACTIV oecd interlaboratory validation\Results WF\Résultats CBA\2021-CHG-CBA-Atenolol 2\plaque 2/@14 TESTO/ "/>
    <s v=" "/>
    <s v=" 69.0246 "/>
    <x v="16"/>
    <s v=" 1988700.25 "/>
    <s v=" 1696547.87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5"/>
    <x v="0"/>
    <s v="Q:\R&amp;D\2-Test oestrogénique\OECD and AOPs\REACTIV oecd interlaboratory validation\Results WF\Résultats CBA\2021-CHG-CBA-Atenolol 2\plaque 2/@15 TESTO + EE2/A3_01.tif "/>
    <s v=" 50969.048 "/>
    <s v=" 77.405 "/>
    <x v="1"/>
    <n v="3945261"/>
    <m/>
    <m/>
  </r>
  <r>
    <x v="15"/>
    <x v="0"/>
    <s v="Q:\R&amp;D\2-Test oestrogénique\OECD and AOPs\REACTIV oecd interlaboratory validation\Results WF\Résultats CBA\2021-CHG-CBA-Atenolol 2\plaque 2/@15 TESTO + EE2/A3_02.tif "/>
    <s v=" 46509.5282 "/>
    <s v=" 77.652 "/>
    <x v="1"/>
    <n v="3611558"/>
    <m/>
    <m/>
  </r>
  <r>
    <x v="15"/>
    <x v="0"/>
    <s v="Q:\R&amp;D\2-Test oestrogénique\OECD and AOPs\REACTIV oecd interlaboratory validation\Results WF\Résultats CBA\2021-CHG-CBA-Atenolol 2\plaque 2/@15 TESTO + EE2/A3_03.tif "/>
    <s v=" 48097.5523 "/>
    <s v=" 79.0222 "/>
    <x v="1"/>
    <n v="3800773"/>
    <m/>
    <m/>
  </r>
  <r>
    <x v="15"/>
    <x v="1"/>
    <s v="Q:\R&amp;D\2-Test oestrogénique\OECD and AOPs\REACTIV oecd interlaboratory validation\Results WF\Résultats CBA\2021-CHG-CBA-Atenolol 2\plaque 2/@15 TESTO + EE2/B3_01.tif "/>
    <s v=" 64108.316 "/>
    <s v=" 78.7798 "/>
    <x v="1"/>
    <n v="5050439"/>
    <m/>
    <m/>
  </r>
  <r>
    <x v="15"/>
    <x v="1"/>
    <s v="Q:\R&amp;D\2-Test oestrogénique\OECD and AOPs\REACTIV oecd interlaboratory validation\Results WF\Résultats CBA\2021-CHG-CBA-Atenolol 2\plaque 2/@15 TESTO + EE2/B3_02.tif "/>
    <s v=" 60627.7152 "/>
    <s v=" 78.7513 "/>
    <x v="1"/>
    <n v="4774514"/>
    <m/>
    <m/>
  </r>
  <r>
    <x v="15"/>
    <x v="1"/>
    <s v="Q:\R&amp;D\2-Test oestrogénique\OECD and AOPs\REACTIV oecd interlaboratory validation\Results WF\Résultats CBA\2021-CHG-CBA-Atenolol 2\plaque 2/@15 TESTO + EE2/B3_03.tif "/>
    <s v=" 61323.8354 "/>
    <s v=" 78.4565 "/>
    <x v="1"/>
    <n v="4811256"/>
    <m/>
    <m/>
  </r>
  <r>
    <x v="15"/>
    <x v="2"/>
    <s v="Q:\R&amp;D\2-Test oestrogénique\OECD and AOPs\REACTIV oecd interlaboratory validation\Results WF\Résultats CBA\2021-CHG-CBA-Atenolol 2\plaque 2/@15 TESTO + EE2/C3_01.tif "/>
    <s v=" 54145.0962 "/>
    <s v=" 74.5946 "/>
    <x v="1"/>
    <n v="4038933"/>
    <m/>
    <m/>
  </r>
  <r>
    <x v="15"/>
    <x v="2"/>
    <s v="Q:\R&amp;D\2-Test oestrogénique\OECD and AOPs\REACTIV oecd interlaboratory validation\Results WF\Résultats CBA\2021-CHG-CBA-Atenolol 2\plaque 2/@15 TESTO + EE2/C3_02.tif "/>
    <s v=" 47292.6634 "/>
    <s v=" 72.5616 "/>
    <x v="1"/>
    <n v="3431633"/>
    <m/>
    <m/>
  </r>
  <r>
    <x v="15"/>
    <x v="2"/>
    <s v="Q:\R&amp;D\2-Test oestrogénique\OECD and AOPs\REACTIV oecd interlaboratory validation\Results WF\Résultats CBA\2021-CHG-CBA-Atenolol 2\plaque 2/@15 TESTO + EE2/C3_03.tif "/>
    <s v=" 43485.7563 "/>
    <s v=" 73.7159 "/>
    <x v="1"/>
    <n v="3205590"/>
    <m/>
    <m/>
  </r>
  <r>
    <x v="15"/>
    <x v="3"/>
    <s v="Q:\R&amp;D\2-Test oestrogénique\OECD and AOPs\REACTIV oecd interlaboratory validation\Results WF\Résultats CBA\2021-CHG-CBA-Atenolol 2\plaque 2/@15 TESTO + EE2/D3_01.tif "/>
    <s v=" 57777.9733 "/>
    <s v=" 76.9556 "/>
    <x v="1"/>
    <n v="4446337"/>
    <m/>
    <m/>
  </r>
  <r>
    <x v="15"/>
    <x v="3"/>
    <s v="Q:\R&amp;D\2-Test oestrogénique\OECD and AOPs\REACTIV oecd interlaboratory validation\Results WF\Résultats CBA\2021-CHG-CBA-Atenolol 2\plaque 2/@15 TESTO + EE2/D3_02.tif "/>
    <s v=" 52796.3634 "/>
    <s v=" 77.9967 "/>
    <x v="1"/>
    <n v="4117942"/>
    <m/>
    <m/>
  </r>
  <r>
    <x v="15"/>
    <x v="3"/>
    <s v="Q:\R&amp;D\2-Test oestrogénique\OECD and AOPs\REACTIV oecd interlaboratory validation\Results WF\Résultats CBA\2021-CHG-CBA-Atenolol 2\plaque 2/@15 TESTO + EE2/D3_03.tif "/>
    <s v=" 51077.8167 "/>
    <s v=" 74.5128 "/>
    <x v="1"/>
    <n v="3805950"/>
    <m/>
    <m/>
  </r>
  <r>
    <x v="15"/>
    <x v="4"/>
    <s v="Q:\R&amp;D\2-Test oestrogénique\OECD and AOPs\REACTIV oecd interlaboratory validation\Results WF\Résultats CBA\2021-CHG-CBA-Atenolol 2\plaque 2/@15 TESTO + EE2/E3_01.tif "/>
    <s v=" 60127.3788 "/>
    <s v=" 80.1512 "/>
    <x v="1"/>
    <n v="4819283"/>
    <m/>
    <m/>
  </r>
  <r>
    <x v="15"/>
    <x v="4"/>
    <s v="Q:\R&amp;D\2-Test oestrogénique\OECD and AOPs\REACTIV oecd interlaboratory validation\Results WF\Résultats CBA\2021-CHG-CBA-Atenolol 2\plaque 2/@15 TESTO + EE2/E3_02.tif "/>
    <s v=" 68263.2832 "/>
    <s v=" 81.7476 "/>
    <x v="1"/>
    <n v="5580360"/>
    <m/>
    <m/>
  </r>
  <r>
    <x v="15"/>
    <x v="4"/>
    <s v="Q:\R&amp;D\2-Test oestrogénique\OECD and AOPs\REACTIV oecd interlaboratory validation\Results WF\Résultats CBA\2021-CHG-CBA-Atenolol 2\plaque 2/@15 TESTO + EE2/E3_03.tif "/>
    <s v=" 63564.4721 "/>
    <s v=" 79.7635 "/>
    <x v="1"/>
    <n v="5070126"/>
    <m/>
    <m/>
  </r>
  <r>
    <x v="15"/>
    <x v="5"/>
    <s v="Q:\R&amp;D\2-Test oestrogénique\OECD and AOPs\REACTIV oecd interlaboratory validation\Results WF\Résultats CBA\2021-CHG-CBA-Atenolol 2\plaque 2/@15 TESTO + EE2/F3_01.tif "/>
    <s v=" 43855.5701 "/>
    <s v=" 75.9028 "/>
    <x v="1"/>
    <n v="3328760"/>
    <m/>
    <m/>
  </r>
  <r>
    <x v="15"/>
    <x v="5"/>
    <s v="Q:\R&amp;D\2-Test oestrogénique\OECD and AOPs\REACTIV oecd interlaboratory validation\Results WF\Résultats CBA\2021-CHG-CBA-Atenolol 2\plaque 2/@15 TESTO + EE2/F3_02.tif "/>
    <s v=" 41245.1195 "/>
    <s v=" 76.8592 "/>
    <x v="1"/>
    <n v="3170066"/>
    <m/>
    <m/>
  </r>
  <r>
    <x v="15"/>
    <x v="5"/>
    <s v="Q:\R&amp;D\2-Test oestrogénique\OECD and AOPs\REACTIV oecd interlaboratory validation\Results WF\Résultats CBA\2021-CHG-CBA-Atenolol 2\plaque 2/@15 TESTO + EE2/F3_03.tif "/>
    <s v=" 38960.9752 "/>
    <s v=" 80.321 "/>
    <x v="1"/>
    <n v="3129386"/>
    <m/>
    <m/>
  </r>
  <r>
    <x v="15"/>
    <x v="6"/>
    <s v="Q:\R&amp;D\2-Test oestrogénique\OECD and AOPs\REACTIV oecd interlaboratory validation\Results WF\Résultats CBA\2021-CHG-CBA-Atenolol 2\plaque 2/@15 TESTO + EE2/G3_01.tif "/>
    <s v=" 45704.6393 "/>
    <s v=" 77.2285 "/>
    <x v="1"/>
    <n v="3529699"/>
    <m/>
    <m/>
  </r>
  <r>
    <x v="15"/>
    <x v="6"/>
    <s v="Q:\R&amp;D\2-Test oestrogénique\OECD and AOPs\REACTIV oecd interlaboratory validation\Results WF\Résultats CBA\2021-CHG-CBA-Atenolol 2\plaque 2/@15 TESTO + EE2/G3_02.tif "/>
    <s v=" 48075.7986 "/>
    <s v=" 75.6538 "/>
    <x v="1"/>
    <n v="3637119"/>
    <m/>
    <m/>
  </r>
  <r>
    <x v="15"/>
    <x v="6"/>
    <s v="Q:\R&amp;D\2-Test oestrogénique\OECD and AOPs\REACTIV oecd interlaboratory validation\Results WF\Résultats CBA\2021-CHG-CBA-Atenolol 2\plaque 2/@15 TESTO + EE2/G3_03- exclu.tif"/>
    <m/>
    <m/>
    <x v="0"/>
    <m/>
    <m/>
    <m/>
  </r>
  <r>
    <x v="15"/>
    <x v="7"/>
    <s v="Q:\R&amp;D\2-Test oestrogénique\OECD and AOPs\REACTIV oecd interlaboratory validation\Results WF\Résultats CBA\2021-CHG-CBA-Atenolol 2\plaque 2/@15 TESTO + EE2/H3_01- exclu.tif"/>
    <m/>
    <m/>
    <x v="0"/>
    <m/>
    <m/>
    <m/>
  </r>
  <r>
    <x v="15"/>
    <x v="7"/>
    <s v="Q:\R&amp;D\2-Test oestrogénique\OECD and AOPs\REACTIV oecd interlaboratory validation\Results WF\Résultats CBA\2021-CHG-CBA-Atenolol 2\plaque 2/@15 TESTO + EE2/H3_02- exclu.tif"/>
    <m/>
    <m/>
    <x v="0"/>
    <m/>
    <m/>
    <m/>
  </r>
  <r>
    <x v="15"/>
    <x v="7"/>
    <s v="Q:\R&amp;D\2-Test oestrogénique\OECD and AOPs\REACTIV oecd interlaboratory validation\Results WF\Résultats CBA\2021-CHG-CBA-Atenolol 2\plaque 2/@15 TESTO + EE2/H3_03- exclu.tif"/>
    <m/>
    <m/>
    <x v="0"/>
    <m/>
    <m/>
    <m/>
  </r>
  <r>
    <x v="1"/>
    <x v="8"/>
    <s v=" "/>
    <m/>
    <m/>
    <x v="0"/>
    <m/>
    <m/>
    <m/>
  </r>
  <r>
    <x v="1"/>
    <x v="8"/>
    <s v="group "/>
    <s v=" "/>
    <s v=" mean of mean fluo "/>
    <x v="2"/>
    <s v=" mean of total fluo "/>
    <s v=" SD total fluo "/>
    <s v=" n fluorescent "/>
  </r>
  <r>
    <x v="15"/>
    <x v="9"/>
    <s v="Q:\R&amp;D\2-Test oestrogénique\OECD and AOPs\REACTIV oecd interlaboratory validation\Results WF\Résultats CBA\2021-CHG-CBA-Atenolol 2\plaque 2/@15 TESTO + EE2/ "/>
    <s v=" "/>
    <s v=" 75.4815 "/>
    <x v="17"/>
    <s v=" 3485277.79 "/>
    <s v=" 1540559.8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6"/>
    <x v="0"/>
    <s v="Q:\R&amp;D\2-Test oestrogénique\OECD and AOPs\REACTIV oecd interlaboratory validation\Results WF\Résultats CBA\2021-CHG-CBA-Atenolol 2\plaque 2/@16 TESTO + FAD/A4_01.tif "/>
    <s v=" 565.5976 "/>
    <s v=" 62.7308 "/>
    <x v="1"/>
    <n v="35480"/>
    <m/>
    <m/>
  </r>
  <r>
    <x v="16"/>
    <x v="0"/>
    <s v="Q:\R&amp;D\2-Test oestrogénique\OECD and AOPs\REACTIV oecd interlaboratory validation\Results WF\Résultats CBA\2021-CHG-CBA-Atenolol 2\plaque 2/@16 TESTO + FAD/A4_02.tif "/>
    <s v=" 522.0901 "/>
    <s v=" 62.3333 "/>
    <x v="1"/>
    <n v="32544"/>
    <m/>
    <m/>
  </r>
  <r>
    <x v="16"/>
    <x v="0"/>
    <s v="Q:\R&amp;D\2-Test oestrogénique\OECD and AOPs\REACTIV oecd interlaboratory validation\Results WF\Résultats CBA\2021-CHG-CBA-Atenolol 2\plaque 2/@16 TESTO + FAD/A4_03.tif "/>
    <s v=" 630.8589 "/>
    <s v=" 62.3793 "/>
    <x v="1"/>
    <n v="39353"/>
    <m/>
    <m/>
  </r>
  <r>
    <x v="16"/>
    <x v="1"/>
    <s v="Q:\R&amp;D\2-Test oestrogénique\OECD and AOPs\REACTIV oecd interlaboratory validation\Results WF\Résultats CBA\2021-CHG-CBA-Atenolol 2\plaque 2/@16 TESTO + FAD/B4_01- exclu.tif"/>
    <m/>
    <m/>
    <x v="0"/>
    <m/>
    <m/>
    <m/>
  </r>
  <r>
    <x v="16"/>
    <x v="1"/>
    <s v="Q:\R&amp;D\2-Test oestrogénique\OECD and AOPs\REACTIV oecd interlaboratory validation\Results WF\Résultats CBA\2021-CHG-CBA-Atenolol 2\plaque 2/@16 TESTO + FAD/B4_02.tif "/>
    <s v=" 565.5976 "/>
    <s v=" 64.0769 "/>
    <x v="1"/>
    <n v="36242"/>
    <m/>
    <m/>
  </r>
  <r>
    <x v="16"/>
    <x v="1"/>
    <s v="Q:\R&amp;D\2-Test oestrogénique\OECD and AOPs\REACTIV oecd interlaboratory validation\Results WF\Résultats CBA\2021-CHG-CBA-Atenolol 2\plaque 2/@16 TESTO + FAD/B4_03.tif "/>
    <s v=" 913.6577 "/>
    <s v=" 63.381 "/>
    <x v="1"/>
    <n v="57908"/>
    <m/>
    <m/>
  </r>
  <r>
    <x v="16"/>
    <x v="2"/>
    <s v="Q:\R&amp;D\2-Test oestrogénique\OECD and AOPs\REACTIV oecd interlaboratory validation\Results WF\Résultats CBA\2021-CHG-CBA-Atenolol 2\plaque 2/@16 TESTO + FAD/C4_01.tif "/>
    <s v=" 1370.4866 "/>
    <s v=" 64.2222 "/>
    <x v="1"/>
    <n v="88016"/>
    <m/>
    <m/>
  </r>
  <r>
    <x v="16"/>
    <x v="2"/>
    <s v="Q:\R&amp;D\2-Test oestrogénique\OECD and AOPs\REACTIV oecd interlaboratory validation\Results WF\Résultats CBA\2021-CHG-CBA-Atenolol 2\plaque 2/@16 TESTO + FAD/C4_02.tif "/>
    <s v=" 1762.0542 "/>
    <s v=" 65.0123 "/>
    <x v="1"/>
    <n v="114555"/>
    <m/>
    <m/>
  </r>
  <r>
    <x v="16"/>
    <x v="2"/>
    <s v="Q:\R&amp;D\2-Test oestrogénique\OECD and AOPs\REACTIV oecd interlaboratory validation\Results WF\Résultats CBA\2021-CHG-CBA-Atenolol 2\plaque 2/@16 TESTO + FAD/C4_03.tif "/>
    <s v=" 2588.6968 "/>
    <s v=" 66.042 "/>
    <x v="1"/>
    <n v="170963"/>
    <m/>
    <m/>
  </r>
  <r>
    <x v="16"/>
    <x v="3"/>
    <s v="Q:\R&amp;D\2-Test oestrogénique\OECD and AOPs\REACTIV oecd interlaboratory validation\Results WF\Résultats CBA\2021-CHG-CBA-Atenolol 2\plaque 2/@16 TESTO + FAD/D4_01.tif "/>
    <s v=" 565.5976 "/>
    <s v=" 64.7308 "/>
    <x v="1"/>
    <n v="36612"/>
    <m/>
    <m/>
  </r>
  <r>
    <x v="16"/>
    <x v="3"/>
    <s v="Q:\R&amp;D\2-Test oestrogénique\OECD and AOPs\REACTIV oecd interlaboratory validation\Results WF\Résultats CBA\2021-CHG-CBA-Atenolol 2\plaque 2/@16 TESTO + FAD/D4_02- exclu.tif"/>
    <m/>
    <m/>
    <x v="0"/>
    <m/>
    <m/>
    <m/>
  </r>
  <r>
    <x v="16"/>
    <x v="3"/>
    <s v="Q:\R&amp;D\2-Test oestrogénique\OECD and AOPs\REACTIV oecd interlaboratory validation\Results WF\Résultats CBA\2021-CHG-CBA-Atenolol 2\plaque 2/@16 TESTO + FAD/D4_03.tif "/>
    <s v=" 304.5526 "/>
    <s v=" 63.5714 "/>
    <x v="1"/>
    <n v="19361"/>
    <m/>
    <m/>
  </r>
  <r>
    <x v="16"/>
    <x v="4"/>
    <s v="Q:\R&amp;D\2-Test oestrogénique\OECD and AOPs\REACTIV oecd interlaboratory validation\Results WF\Résultats CBA\2021-CHG-CBA-Atenolol 2\plaque 2/@16 TESTO + FAD/E4_01.tif "/>
    <s v=" 369.8138 "/>
    <s v=" 62.4706 "/>
    <x v="1"/>
    <n v="23102"/>
    <m/>
    <m/>
  </r>
  <r>
    <x v="16"/>
    <x v="4"/>
    <s v="Q:\R&amp;D\2-Test oestrogénique\OECD and AOPs\REACTIV oecd interlaboratory validation\Results WF\Résultats CBA\2021-CHG-CBA-Atenolol 2\plaque 2/@16 TESTO + FAD/E4_02.tif "/>
    <s v=" 717.8739 "/>
    <s v=" 61.8182 "/>
    <x v="1"/>
    <n v="44378"/>
    <m/>
    <m/>
  </r>
  <r>
    <x v="16"/>
    <x v="4"/>
    <s v="Q:\R&amp;D\2-Test oestrogénique\OECD and AOPs\REACTIV oecd interlaboratory validation\Results WF\Résultats CBA\2021-CHG-CBA-Atenolol 2\plaque 2/@16 TESTO + FAD/E4_03.tif "/>
    <s v=" 587.3514 "/>
    <s v=" 63.5185 "/>
    <x v="1"/>
    <n v="37308"/>
    <m/>
    <m/>
  </r>
  <r>
    <x v="16"/>
    <x v="5"/>
    <s v="Q:\R&amp;D\2-Test oestrogénique\OECD and AOPs\REACTIV oecd interlaboratory validation\Results WF\Résultats CBA\2021-CHG-CBA-Atenolol 2\plaque 2/@16 TESTO + FAD/F4_01.tif "/>
    <s v=" 783.1352 "/>
    <s v=" 63.2222 "/>
    <x v="1"/>
    <n v="49512"/>
    <m/>
    <m/>
  </r>
  <r>
    <x v="16"/>
    <x v="5"/>
    <s v="Q:\R&amp;D\2-Test oestrogénique\OECD and AOPs\REACTIV oecd interlaboratory validation\Results WF\Résultats CBA\2021-CHG-CBA-Atenolol 2\plaque 2/@16 TESTO + FAD/F4_02.tif "/>
    <s v=" 348.0601 "/>
    <s v=" 62.1875 "/>
    <x v="1"/>
    <n v="21645"/>
    <m/>
    <m/>
  </r>
  <r>
    <x v="16"/>
    <x v="5"/>
    <s v="Q:\R&amp;D\2-Test oestrogénique\OECD and AOPs\REACTIV oecd interlaboratory validation\Results WF\Résultats CBA\2021-CHG-CBA-Atenolol 2\plaque 2/@16 TESTO + FAD/F4_03- exclu.tif"/>
    <m/>
    <m/>
    <x v="0"/>
    <m/>
    <m/>
    <m/>
  </r>
  <r>
    <x v="16"/>
    <x v="6"/>
    <s v="Q:\R&amp;D\2-Test oestrogénique\OECD and AOPs\REACTIV oecd interlaboratory validation\Results WF\Résultats CBA\2021-CHG-CBA-Atenolol 2\plaque 2/@16 TESTO + FAD/G4_01.tif "/>
    <s v=" 6091.0514 "/>
    <s v=" 69.6821 "/>
    <x v="1"/>
    <n v="424438"/>
    <m/>
    <m/>
  </r>
  <r>
    <x v="16"/>
    <x v="6"/>
    <s v="Q:\R&amp;D\2-Test oestrogénique\OECD and AOPs\REACTIV oecd interlaboratory validation\Results WF\Résultats CBA\2021-CHG-CBA-Atenolol 2\plaque 2/@16 TESTO + FAD/G4_02.tif "/>
    <s v=" 4742.3186 "/>
    <s v=" 66.3624 "/>
    <x v="1"/>
    <n v="314712"/>
    <m/>
    <m/>
  </r>
  <r>
    <x v="16"/>
    <x v="6"/>
    <s v="Q:\R&amp;D\2-Test oestrogénique\OECD and AOPs\REACTIV oecd interlaboratory validation\Results WF\Résultats CBA\2021-CHG-CBA-Atenolol 2\plaque 2/@16 TESTO + FAD/G4_03.tif "/>
    <s v=" 4894.5949 "/>
    <s v=" 66.4756 "/>
    <x v="1"/>
    <n v="325371"/>
    <m/>
    <m/>
  </r>
  <r>
    <x v="16"/>
    <x v="7"/>
    <s v="Q:\R&amp;D\2-Test oestrogénique\OECD and AOPs\REACTIV oecd interlaboratory validation\Results WF\Résultats CBA\2021-CHG-CBA-Atenolol 2\plaque 2/@16 TESTO + FAD/H4_01.tif "/>
    <s v=" 435.0751 "/>
    <s v=" 63.15 "/>
    <x v="1"/>
    <n v="27475"/>
    <m/>
    <m/>
  </r>
  <r>
    <x v="16"/>
    <x v="7"/>
    <s v="Q:\R&amp;D\2-Test oestrogénique\OECD and AOPs\REACTIV oecd interlaboratory validation\Results WF\Résultats CBA\2021-CHG-CBA-Atenolol 2\plaque 2/@16 TESTO + FAD/H4_02.tif "/>
    <s v=" 761.3814 "/>
    <s v=" 63.7143 "/>
    <x v="1"/>
    <n v="48511"/>
    <m/>
    <m/>
  </r>
  <r>
    <x v="16"/>
    <x v="7"/>
    <s v="Q:\R&amp;D\2-Test oestrogénique\OECD and AOPs\REACTIV oecd interlaboratory validation\Results WF\Résultats CBA\2021-CHG-CBA-Atenolol 2\plaque 2/@16 TESTO + FAD/H4_03.tif "/>
    <s v=" 826.6427 "/>
    <s v=" 63.7105 "/>
    <x v="1"/>
    <n v="52666"/>
    <m/>
    <m/>
  </r>
  <r>
    <x v="1"/>
    <x v="8"/>
    <s v=" "/>
    <m/>
    <m/>
    <x v="0"/>
    <m/>
    <m/>
    <m/>
  </r>
  <r>
    <x v="1"/>
    <x v="8"/>
    <s v="group "/>
    <s v=" "/>
    <s v=" mean of mean fluo "/>
    <x v="2"/>
    <s v=" mean of total fluo "/>
    <s v=" SD total fluo "/>
    <s v=" n fluorescent "/>
  </r>
  <r>
    <x v="16"/>
    <x v="9"/>
    <s v="Q:\R&amp;D\2-Test oestrogénique\OECD and AOPs\REACTIV oecd interlaboratory validation\Results WF\Résultats CBA\2021-CHG-CBA-Atenolol 2\plaque 2/@16 TESTO + FAD/ "/>
    <s v=" "/>
    <s v=" 63.8859 "/>
    <x v="18"/>
    <s v=" 87852.6667 "/>
    <s v=" 109892.984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7"/>
    <x v="0"/>
    <s v="Q:\R&amp;D\2-Test oestrogénique\OECD and AOPs\REACTIV oecd interlaboratory validation\Results WF\Résultats CBA\2021-CHG-CBA-Atenolol 2\plaque 2/@17 Atenolol 0.01/A5_01- exclu.tif"/>
    <m/>
    <m/>
    <x v="0"/>
    <m/>
    <m/>
    <m/>
  </r>
  <r>
    <x v="17"/>
    <x v="0"/>
    <s v="Q:\R&amp;D\2-Test oestrogénique\OECD and AOPs\REACTIV oecd interlaboratory validation\Results WF\Résultats CBA\2021-CHG-CBA-Atenolol 2\plaque 2/@17 Atenolol 0.01/A5_02.tif "/>
    <s v=" 15880.2412 "/>
    <s v=" 66.5479 "/>
    <x v="1"/>
    <n v="1056797"/>
    <m/>
    <m/>
  </r>
  <r>
    <x v="17"/>
    <x v="0"/>
    <s v="Q:\R&amp;D\2-Test oestrogénique\OECD and AOPs\REACTIV oecd interlaboratory validation\Results WF\Résultats CBA\2021-CHG-CBA-Atenolol 2\plaque 2/@17 Atenolol 0.01/A5_03.tif "/>
    <s v=" 13095.7605 "/>
    <s v=" 65.5714 "/>
    <x v="1"/>
    <n v="858708"/>
    <m/>
    <m/>
  </r>
  <r>
    <x v="17"/>
    <x v="1"/>
    <s v="Q:\R&amp;D\2-Test oestrogénique\OECD and AOPs\REACTIV oecd interlaboratory validation\Results WF\Résultats CBA\2021-CHG-CBA-Atenolol 2\plaque 2/@17 Atenolol 0.01/B5_01.tif "/>
    <s v=" 26604.8424 "/>
    <s v=" 80.4252 "/>
    <x v="1"/>
    <n v="2139699"/>
    <m/>
    <m/>
  </r>
  <r>
    <x v="17"/>
    <x v="1"/>
    <s v="Q:\R&amp;D\2-Test oestrogénique\OECD and AOPs\REACTIV oecd interlaboratory validation\Results WF\Résultats CBA\2021-CHG-CBA-Atenolol 2\plaque 2/@17 Atenolol 0.01/B5_02.tif "/>
    <s v=" 26713.6111 "/>
    <s v=" 79.2036 "/>
    <x v="1"/>
    <n v="2115814"/>
    <m/>
    <m/>
  </r>
  <r>
    <x v="17"/>
    <x v="1"/>
    <s v="Q:\R&amp;D\2-Test oestrogénique\OECD and AOPs\REACTIV oecd interlaboratory validation\Results WF\Résultats CBA\2021-CHG-CBA-Atenolol 2\plaque 2/@17 Atenolol 0.01/B5_03.tif "/>
    <s v=" 24886.2957 "/>
    <s v=" 76.0437 "/>
    <x v="1"/>
    <n v="1892446"/>
    <m/>
    <m/>
  </r>
  <r>
    <x v="17"/>
    <x v="2"/>
    <s v="Q:\R&amp;D\2-Test oestrogénique\OECD and AOPs\REACTIV oecd interlaboratory validation\Results WF\Résultats CBA\2021-CHG-CBA-Atenolol 2\plaque 2/@17 Atenolol 0.01/C5_01.tif "/>
    <s v=" 53862.2974 "/>
    <s v=" 81.5929 "/>
    <x v="1"/>
    <n v="4394781"/>
    <m/>
    <m/>
  </r>
  <r>
    <x v="17"/>
    <x v="2"/>
    <s v="Q:\R&amp;D\2-Test oestrogénique\OECD and AOPs\REACTIV oecd interlaboratory validation\Results WF\Résultats CBA\2021-CHG-CBA-Atenolol 2\plaque 2/@17 Atenolol 0.01/C5_02.tif "/>
    <s v=" 50816.7717 "/>
    <s v=" 78.8947 "/>
    <x v="1"/>
    <n v="4009174"/>
    <m/>
    <m/>
  </r>
  <r>
    <x v="17"/>
    <x v="2"/>
    <s v="Q:\R&amp;D\2-Test oestrogénique\OECD and AOPs\REACTIV oecd interlaboratory validation\Results WF\Résultats CBA\2021-CHG-CBA-Atenolol 2\plaque 2/@17 Atenolol 0.01/C5_03.tif "/>
    <s v=" 54732.4476 "/>
    <s v=" 79.4293 "/>
    <x v="1"/>
    <n v="4347357"/>
    <m/>
    <m/>
  </r>
  <r>
    <x v="17"/>
    <x v="3"/>
    <s v="Q:\R&amp;D\2-Test oestrogénique\OECD and AOPs\REACTIV oecd interlaboratory validation\Results WF\Résultats CBA\2021-CHG-CBA-Atenolol 2\plaque 2/@17 Atenolol 0.01/D5_01.tif "/>
    <s v=" 27409.7313 "/>
    <s v=" 68.7921 "/>
    <x v="1"/>
    <n v="1885572"/>
    <m/>
    <m/>
  </r>
  <r>
    <x v="17"/>
    <x v="3"/>
    <s v="Q:\R&amp;D\2-Test oestrogénique\OECD and AOPs\REACTIV oecd interlaboratory validation\Results WF\Résultats CBA\2021-CHG-CBA-Atenolol 2\plaque 2/@17 Atenolol 0.01/D5_02.tif "/>
    <s v=" 25038.572 "/>
    <s v=" 67.3632 "/>
    <x v="1"/>
    <n v="1686677"/>
    <m/>
    <m/>
  </r>
  <r>
    <x v="17"/>
    <x v="3"/>
    <s v="Q:\R&amp;D\2-Test oestrogénique\OECD and AOPs\REACTIV oecd interlaboratory validation\Results WF\Résultats CBA\2021-CHG-CBA-Atenolol 2\plaque 2/@17 Atenolol 0.01/D5_03.tif "/>
    <s v=" 28040.5902 "/>
    <s v=" 68.5407 "/>
    <x v="1"/>
    <n v="1921923"/>
    <m/>
    <m/>
  </r>
  <r>
    <x v="17"/>
    <x v="4"/>
    <s v="Q:\R&amp;D\2-Test oestrogénique\OECD and AOPs\REACTIV oecd interlaboratory validation\Results WF\Résultats CBA\2021-CHG-CBA-Atenolol 2\plaque 2/@17 Atenolol 0.01/E5_01.tif "/>
    <s v=" 20796.5898 "/>
    <s v=" 66.6015 "/>
    <x v="1"/>
    <n v="1385083"/>
    <m/>
    <m/>
  </r>
  <r>
    <x v="17"/>
    <x v="4"/>
    <s v="Q:\R&amp;D\2-Test oestrogénique\OECD and AOPs\REACTIV oecd interlaboratory validation\Results WF\Résultats CBA\2021-CHG-CBA-Atenolol 2\plaque 2/@17 Atenolol 0.01/E5_02.tif "/>
    <s v=" 21644.9862 "/>
    <s v=" 67.2241 "/>
    <x v="1"/>
    <n v="1455065"/>
    <m/>
    <m/>
  </r>
  <r>
    <x v="17"/>
    <x v="4"/>
    <s v="Q:\R&amp;D\2-Test oestrogénique\OECD and AOPs\REACTIV oecd interlaboratory validation\Results WF\Résultats CBA\2021-CHG-CBA-Atenolol 2\plaque 2/@17 Atenolol 0.01/E5_03.tif "/>
    <s v=" 16141.2862 "/>
    <s v=" 66.3571 "/>
    <x v="1"/>
    <n v="1071090"/>
    <m/>
    <m/>
  </r>
  <r>
    <x v="17"/>
    <x v="5"/>
    <s v="Q:\R&amp;D\2-Test oestrogénique\OECD and AOPs\REACTIV oecd interlaboratory validation\Results WF\Résultats CBA\2021-CHG-CBA-Atenolol 2\plaque 2/@17 Atenolol 0.01/F5_01.tif "/>
    <s v=" 25343.1246 "/>
    <s v=" 67.9399 "/>
    <x v="1"/>
    <n v="1721810"/>
    <m/>
    <m/>
  </r>
  <r>
    <x v="17"/>
    <x v="5"/>
    <s v="Q:\R&amp;D\2-Test oestrogénique\OECD and AOPs\REACTIV oecd interlaboratory validation\Results WF\Résultats CBA\2021-CHG-CBA-Atenolol 2\plaque 2/@17 Atenolol 0.01/F5_02.tif "/>
    <s v=" 22906.704 "/>
    <s v=" 69.7208 "/>
    <x v="1"/>
    <n v="1597074"/>
    <m/>
    <m/>
  </r>
  <r>
    <x v="17"/>
    <x v="5"/>
    <s v="Q:\R&amp;D\2-Test oestrogénique\OECD and AOPs\REACTIV oecd interlaboratory validation\Results WF\Résultats CBA\2021-CHG-CBA-Atenolol 2\plaque 2/@17 Atenolol 0.01/F5_03.tif "/>
    <s v=" 24647.0044 "/>
    <s v=" 68.9347 "/>
    <x v="1"/>
    <n v="1699034"/>
    <m/>
    <m/>
  </r>
  <r>
    <x v="17"/>
    <x v="6"/>
    <s v="Q:\R&amp;D\2-Test oestrogénique\OECD and AOPs\REACTIV oecd interlaboratory validation\Results WF\Résultats CBA\2021-CHG-CBA-Atenolol 2\plaque 2/@17 Atenolol 0.01/G5_01.tif "/>
    <s v=" 47727.7385 "/>
    <s v=" 71.6112 "/>
    <x v="1"/>
    <n v="3417841"/>
    <m/>
    <m/>
  </r>
  <r>
    <x v="17"/>
    <x v="6"/>
    <s v="Q:\R&amp;D\2-Test oestrogénique\OECD and AOPs\REACTIV oecd interlaboratory validation\Results WF\Résultats CBA\2021-CHG-CBA-Atenolol 2\plaque 2/@17 Atenolol 0.01/G5_02.tif "/>
    <s v=" 42115.2697 "/>
    <s v=" 70.8042 "/>
    <x v="1"/>
    <n v="2981939"/>
    <m/>
    <m/>
  </r>
  <r>
    <x v="17"/>
    <x v="6"/>
    <s v="Q:\R&amp;D\2-Test oestrogénique\OECD and AOPs\REACTIV oecd interlaboratory validation\Results WF\Résultats CBA\2021-CHG-CBA-Atenolol 2\plaque 2/@17 Atenolol 0.01/G5_03.tif "/>
    <s v=" 38852.2064 "/>
    <s v=" 71.5857 "/>
    <x v="1"/>
    <n v="2781261"/>
    <m/>
    <m/>
  </r>
  <r>
    <x v="17"/>
    <x v="7"/>
    <s v="Q:\R&amp;D\2-Test oestrogénique\OECD and AOPs\REACTIV oecd interlaboratory validation\Results WF\Résultats CBA\2021-CHG-CBA-Atenolol 2\plaque 2/@17 Atenolol 0.01/H5_01.tif "/>
    <s v=" 40962.3207 "/>
    <s v=" 72.7631 "/>
    <x v="1"/>
    <n v="2980547"/>
    <m/>
    <m/>
  </r>
  <r>
    <x v="17"/>
    <x v="7"/>
    <s v="Q:\R&amp;D\2-Test oestrogénique\OECD and AOPs\REACTIV oecd interlaboratory validation\Results WF\Résultats CBA\2021-CHG-CBA-Atenolol 2\plaque 2/@17 Atenolol 0.01/H5_02.tif "/>
    <s v=" 40135.678 "/>
    <s v=" 71.1154 "/>
    <x v="1"/>
    <n v="2854267"/>
    <m/>
    <m/>
  </r>
  <r>
    <x v="17"/>
    <x v="7"/>
    <s v="Q:\R&amp;D\2-Test oestrogénique\OECD and AOPs\REACTIV oecd interlaboratory validation\Results WF\Résultats CBA\2021-CHG-CBA-Atenolol 2\plaque 2/@17 Atenolol 0.01/H5_03.tif "/>
    <s v=" 42376.3147 "/>
    <s v=" 70.2444 "/>
    <x v="1"/>
    <n v="2976697"/>
    <m/>
    <m/>
  </r>
  <r>
    <x v="1"/>
    <x v="8"/>
    <s v=" "/>
    <m/>
    <m/>
    <x v="0"/>
    <m/>
    <m/>
    <m/>
  </r>
  <r>
    <x v="1"/>
    <x v="8"/>
    <s v="group "/>
    <s v=" "/>
    <s v=" mean of mean fluo "/>
    <x v="2"/>
    <s v=" mean of total fluo "/>
    <s v=" SD total fluo "/>
    <s v=" n fluorescent "/>
  </r>
  <r>
    <x v="17"/>
    <x v="9"/>
    <s v="Q:\R&amp;D\2-Test oestrogénique\OECD and AOPs\REACTIV oecd interlaboratory validation\Results WF\Résultats CBA\2021-CHG-CBA-Atenolol 2\plaque 2/@17 Atenolol 0.01/ "/>
    <s v=" "/>
    <s v=" 71.3865 "/>
    <x v="19"/>
    <s v=" 2253941.04 "/>
    <s v=" 1052474.69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8"/>
    <x v="0"/>
    <s v="Q:\R&amp;D\2-Test oestrogénique\OECD and AOPs\REACTIV oecd interlaboratory validation\Results WF\Résultats CBA\2021-CHG-CBA-Atenolol 2\plaque 2/@18 Atenolol 0.1/A6_01.tif "/>
    <s v=" 13400.3131 "/>
    <s v=" 67.5601 "/>
    <x v="1"/>
    <n v="905326"/>
    <m/>
    <m/>
  </r>
  <r>
    <x v="18"/>
    <x v="0"/>
    <s v="Q:\R&amp;D\2-Test oestrogénique\OECD and AOPs\REACTIV oecd interlaboratory validation\Results WF\Résultats CBA\2021-CHG-CBA-Atenolol 2\plaque 2/@18 Atenolol 0.1/A6_02.tif "/>
    <s v=" 10006.7273 "/>
    <s v=" 66.6957 "/>
    <x v="1"/>
    <n v="667405"/>
    <m/>
    <m/>
  </r>
  <r>
    <x v="18"/>
    <x v="0"/>
    <s v="Q:\R&amp;D\2-Test oestrogénique\OECD and AOPs\REACTIV oecd interlaboratory validation\Results WF\Résultats CBA\2021-CHG-CBA-Atenolol 2\plaque 2/@18 Atenolol 0.1/A6_03.tif "/>
    <s v=" 14662.0309 "/>
    <s v=" 66.5875 "/>
    <x v="1"/>
    <n v="976309"/>
    <m/>
    <m/>
  </r>
  <r>
    <x v="18"/>
    <x v="1"/>
    <s v="Q:\R&amp;D\2-Test oestrogénique\OECD and AOPs\REACTIV oecd interlaboratory validation\Results WF\Résultats CBA\2021-CHG-CBA-Atenolol 2\plaque 2/@18 Atenolol 0.1/B6_01.tif "/>
    <s v=" 45291.3179 "/>
    <s v=" 80.0932 "/>
    <x v="1"/>
    <n v="3627526"/>
    <m/>
    <m/>
  </r>
  <r>
    <x v="18"/>
    <x v="1"/>
    <s v="Q:\R&amp;D\2-Test oestrogénique\OECD and AOPs\REACTIV oecd interlaboratory validation\Results WF\Résultats CBA\2021-CHG-CBA-Atenolol 2\plaque 2/@18 Atenolol 0.1/B6_02.tif "/>
    <s v=" 46422.5132 "/>
    <s v=" 82.0698 "/>
    <x v="1"/>
    <n v="3809887"/>
    <m/>
    <m/>
  </r>
  <r>
    <x v="18"/>
    <x v="1"/>
    <s v="Q:\R&amp;D\2-Test oestrogénique\OECD and AOPs\REACTIV oecd interlaboratory validation\Results WF\Résultats CBA\2021-CHG-CBA-Atenolol 2\plaque 2/@18 Atenolol 0.1/B6_03.tif "/>
    <s v=" 45987.4381 "/>
    <s v=" 77.3926 "/>
    <x v="1"/>
    <n v="3559088"/>
    <m/>
    <m/>
  </r>
  <r>
    <x v="18"/>
    <x v="2"/>
    <s v="Q:\R&amp;D\2-Test oestrogénique\OECD and AOPs\REACTIV oecd interlaboratory validation\Results WF\Résultats CBA\2021-CHG-CBA-Atenolol 2\plaque 2/@18 Atenolol 0.1/C6_01.tif "/>
    <s v=" 24625.2507 "/>
    <s v=" 71.5477 "/>
    <x v="1"/>
    <n v="1761880"/>
    <m/>
    <m/>
  </r>
  <r>
    <x v="18"/>
    <x v="2"/>
    <s v="Q:\R&amp;D\2-Test oestrogénique\OECD and AOPs\REACTIV oecd interlaboratory validation\Results WF\Résultats CBA\2021-CHG-CBA-Atenolol 2\plaque 2/@18 Atenolol 0.1/C6_02.tif "/>
    <s v=" 25495.4009 "/>
    <s v=" 71.523 "/>
    <x v="1"/>
    <n v="1823509"/>
    <m/>
    <m/>
  </r>
  <r>
    <x v="18"/>
    <x v="2"/>
    <s v="Q:\R&amp;D\2-Test oestrogénique\OECD and AOPs\REACTIV oecd interlaboratory validation\Results WF\Résultats CBA\2021-CHG-CBA-Atenolol 2\plaque 2/@18 Atenolol 0.1/C6_03- exclu.tif"/>
    <m/>
    <m/>
    <x v="0"/>
    <m/>
    <m/>
    <m/>
  </r>
  <r>
    <x v="18"/>
    <x v="3"/>
    <s v="Q:\R&amp;D\2-Test oestrogénique\OECD and AOPs\REACTIV oecd interlaboratory validation\Results WF\Résultats CBA\2021-CHG-CBA-Atenolol 2\plaque 2/@18 Atenolol 0.1/D6_01.tif "/>
    <s v=" 42811.3898 "/>
    <s v=" 68.998 "/>
    <x v="1"/>
    <n v="2953899"/>
    <m/>
    <m/>
  </r>
  <r>
    <x v="18"/>
    <x v="3"/>
    <s v="Q:\R&amp;D\2-Test oestrogénique\OECD and AOPs\REACTIV oecd interlaboratory validation\Results WF\Résultats CBA\2021-CHG-CBA-Atenolol 2\plaque 2/@18 Atenolol 0.1/D6_02.tif "/>
    <s v=" 40353.2155 "/>
    <s v=" 69.8922 "/>
    <x v="1"/>
    <n v="2820374"/>
    <m/>
    <m/>
  </r>
  <r>
    <x v="18"/>
    <x v="3"/>
    <s v="Q:\R&amp;D\2-Test oestrogénique\OECD and AOPs\REACTIV oecd interlaboratory validation\Results WF\Résultats CBA\2021-CHG-CBA-Atenolol 2\plaque 2/@18 Atenolol 0.1/D6_03.tif "/>
    <s v=" 35850.1882 "/>
    <s v=" 68.6317 "/>
    <x v="1"/>
    <n v="2460458"/>
    <m/>
    <m/>
  </r>
  <r>
    <x v="18"/>
    <x v="4"/>
    <s v="Q:\R&amp;D\2-Test oestrogénique\OECD and AOPs\REACTIV oecd interlaboratory validation\Results WF\Résultats CBA\2021-CHG-CBA-Atenolol 2\plaque 2/@18 Atenolol 0.1/E6_01.tif "/>
    <s v=" 36002.4645 "/>
    <s v=" 75.4405 "/>
    <x v="1"/>
    <n v="2716043"/>
    <m/>
    <m/>
  </r>
  <r>
    <x v="18"/>
    <x v="4"/>
    <s v="Q:\R&amp;D\2-Test oestrogénique\OECD and AOPs\REACTIV oecd interlaboratory validation\Results WF\Résultats CBA\2021-CHG-CBA-Atenolol 2\plaque 2/@18 Atenolol 0.1/E6_02.tif "/>
    <s v=" 38656.4226 "/>
    <s v=" 73.121 "/>
    <x v="1"/>
    <n v="2826596"/>
    <m/>
    <m/>
  </r>
  <r>
    <x v="18"/>
    <x v="4"/>
    <s v="Q:\R&amp;D\2-Test oestrogénique\OECD and AOPs\REACTIV oecd interlaboratory validation\Results WF\Résultats CBA\2021-CHG-CBA-Atenolol 2\plaque 2/@18 Atenolol 0.1/E6_03.tif "/>
    <s v=" 34806.008 "/>
    <s v=" 71.065 "/>
    <x v="1"/>
    <n v="2473489"/>
    <m/>
    <m/>
  </r>
  <r>
    <x v="18"/>
    <x v="5"/>
    <s v="Q:\R&amp;D\2-Test oestrogénique\OECD and AOPs\REACTIV oecd interlaboratory validation\Results WF\Résultats CBA\2021-CHG-CBA-Atenolol 2\plaque 2/@18 Atenolol 0.1/F6_01.tif "/>
    <s v=" 3915.6759 "/>
    <s v=" 63.4889 "/>
    <x v="1"/>
    <n v="248602"/>
    <m/>
    <m/>
  </r>
  <r>
    <x v="18"/>
    <x v="5"/>
    <s v="Q:\R&amp;D\2-Test oestrogénique\OECD and AOPs\REACTIV oecd interlaboratory validation\Results WF\Résultats CBA\2021-CHG-CBA-Atenolol 2\plaque 2/@18 Atenolol 0.1/F6_02.tif "/>
    <s v=" 3524.1083 "/>
    <s v=" 64.0185 "/>
    <x v="1"/>
    <n v="225608"/>
    <m/>
    <m/>
  </r>
  <r>
    <x v="18"/>
    <x v="5"/>
    <s v="Q:\R&amp;D\2-Test oestrogénique\OECD and AOPs\REACTIV oecd interlaboratory validation\Results WF\Résultats CBA\2021-CHG-CBA-Atenolol 2\plaque 2/@18 Atenolol 0.1/F6_03.tif "/>
    <s v=" 7222.2467 "/>
    <s v=" 66.0663 "/>
    <x v="1"/>
    <n v="477147"/>
    <m/>
    <m/>
  </r>
  <r>
    <x v="18"/>
    <x v="6"/>
    <s v="Q:\R&amp;D\2-Test oestrogénique\OECD and AOPs\REACTIV oecd interlaboratory validation\Results WF\Résultats CBA\2021-CHG-CBA-Atenolol 2\plaque 2/@18 Atenolol 0.1/G6_01.tif "/>
    <s v=" 64217.0848 "/>
    <s v=" 78.3584 "/>
    <x v="1"/>
    <n v="5031948"/>
    <m/>
    <m/>
  </r>
  <r>
    <x v="18"/>
    <x v="6"/>
    <s v="Q:\R&amp;D\2-Test oestrogénique\OECD and AOPs\REACTIV oecd interlaboratory validation\Results WF\Résultats CBA\2021-CHG-CBA-Atenolol 2\plaque 2/@18 Atenolol 0.1/G6_02- exclu.tif"/>
    <m/>
    <m/>
    <x v="0"/>
    <m/>
    <m/>
    <m/>
  </r>
  <r>
    <x v="18"/>
    <x v="6"/>
    <s v="Q:\R&amp;D\2-Test oestrogénique\OECD and AOPs\REACTIV oecd interlaboratory validation\Results WF\Résultats CBA\2021-CHG-CBA-Atenolol 2\plaque 2/@18 Atenolol 0.1/G6_03.tif "/>
    <s v=" 60779.9915 "/>
    <s v=" 77.3125 "/>
    <x v="1"/>
    <n v="4699050"/>
    <m/>
    <m/>
  </r>
  <r>
    <x v="18"/>
    <x v="7"/>
    <s v="Q:\R&amp;D\2-Test oestrogénique\OECD and AOPs\REACTIV oecd interlaboratory validation\Results WF\Résultats CBA\2021-CHG-CBA-Atenolol 2\plaque 2/@18 Atenolol 0.1/H6_01.tif "/>
    <s v=" 32217.3112 "/>
    <s v=" 68.6016 "/>
    <x v="1"/>
    <n v="2210160"/>
    <m/>
    <m/>
  </r>
  <r>
    <x v="18"/>
    <x v="7"/>
    <s v="Q:\R&amp;D\2-Test oestrogénique\OECD and AOPs\REACTIV oecd interlaboratory validation\Results WF\Résultats CBA\2021-CHG-CBA-Atenolol 2\plaque 2/@18 Atenolol 0.1/H6_02.tif "/>
    <s v=" 24929.8032 "/>
    <s v=" 69.6667 "/>
    <x v="1"/>
    <n v="1736776"/>
    <m/>
    <m/>
  </r>
  <r>
    <x v="18"/>
    <x v="7"/>
    <s v="Q:\R&amp;D\2-Test oestrogénique\OECD and AOPs\REACTIV oecd interlaboratory validation\Results WF\Résultats CBA\2021-CHG-CBA-Atenolol 2\plaque 2/@18 Atenolol 0.1/H6_03.tif "/>
    <s v=" 26844.1337 "/>
    <s v=" 68.2618 "/>
    <x v="1"/>
    <n v="1832428"/>
    <m/>
    <m/>
  </r>
  <r>
    <x v="1"/>
    <x v="8"/>
    <s v=" "/>
    <m/>
    <m/>
    <x v="0"/>
    <m/>
    <m/>
    <m/>
  </r>
  <r>
    <x v="1"/>
    <x v="8"/>
    <s v="group "/>
    <s v=" "/>
    <s v=" mean of mean fluo "/>
    <x v="2"/>
    <s v=" mean of total fluo "/>
    <s v=" SD total fluo "/>
    <s v=" n fluorescent "/>
  </r>
  <r>
    <x v="18"/>
    <x v="9"/>
    <s v="Q:\R&amp;D\2-Test oestrogénique\OECD and AOPs\REACTIV oecd interlaboratory validation\Results WF\Résultats CBA\2021-CHG-CBA-Atenolol 2\plaque 2/@18 Atenolol 0.1/ "/>
    <s v=" "/>
    <s v=" 71.2272 "/>
    <x v="20"/>
    <s v=" 2319227.58 "/>
    <s v=" 1406939.0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9"/>
    <x v="0"/>
    <s v="Q:\R&amp;D\2-Test oestrogénique\OECD and AOPs\REACTIV oecd interlaboratory validation\Results WF\Résultats CBA\2021-CHG-CBA-Atenolol 2\plaque 2/@19 Atenolol 1/A7_01.tif "/>
    <s v=" 22384.6139 "/>
    <s v=" 71.2954 "/>
    <x v="1"/>
    <n v="1595921"/>
    <m/>
    <m/>
  </r>
  <r>
    <x v="19"/>
    <x v="0"/>
    <s v="Q:\R&amp;D\2-Test oestrogénique\OECD and AOPs\REACTIV oecd interlaboratory validation\Results WF\Résultats CBA\2021-CHG-CBA-Atenolol 2\plaque 2/@19 Atenolol 1/A7_02.tif "/>
    <s v=" 18273.1542 "/>
    <s v=" 70.7619 "/>
    <x v="1"/>
    <n v="1293043"/>
    <m/>
    <m/>
  </r>
  <r>
    <x v="19"/>
    <x v="0"/>
    <s v="Q:\R&amp;D\2-Test oestrogénique\OECD and AOPs\REACTIV oecd interlaboratory validation\Results WF\Résultats CBA\2021-CHG-CBA-Atenolol 2\plaque 2/@19 Atenolol 1/A7_03.tif "/>
    <s v=" 21710.2475 "/>
    <s v=" 71.977 "/>
    <x v="1"/>
    <n v="1562637"/>
    <m/>
    <m/>
  </r>
  <r>
    <x v="19"/>
    <x v="1"/>
    <s v="Q:\R&amp;D\2-Test oestrogénique\OECD and AOPs\REACTIV oecd interlaboratory validation\Results WF\Résultats CBA\2021-CHG-CBA-Atenolol 2\plaque 2/@19 Atenolol 1/B7_01.tif "/>
    <s v=" 59779.3188 "/>
    <s v=" 72.2067 "/>
    <x v="1"/>
    <n v="4316467"/>
    <m/>
    <m/>
  </r>
  <r>
    <x v="19"/>
    <x v="1"/>
    <s v="Q:\R&amp;D\2-Test oestrogénique\OECD and AOPs\REACTIV oecd interlaboratory validation\Results WF\Résultats CBA\2021-CHG-CBA-Atenolol 2\plaque 2/@19 Atenolol 1/B7_02.tif "/>
    <s v=" 49011.21 "/>
    <s v=" 70.9095 "/>
    <x v="1"/>
    <n v="3475358"/>
    <m/>
    <m/>
  </r>
  <r>
    <x v="19"/>
    <x v="1"/>
    <s v="Q:\R&amp;D\2-Test oestrogénique\OECD and AOPs\REACTIV oecd interlaboratory validation\Results WF\Résultats CBA\2021-CHG-CBA-Atenolol 2\plaque 2/@19 Atenolol 1/B7_03.tif "/>
    <s v=" 46792.327 "/>
    <s v=" 71.1213 "/>
    <x v="1"/>
    <n v="3327933"/>
    <m/>
    <m/>
  </r>
  <r>
    <x v="19"/>
    <x v="2"/>
    <s v="Q:\R&amp;D\2-Test oestrogénique\OECD and AOPs\REACTIV oecd interlaboratory validation\Results WF\Résultats CBA\2021-CHG-CBA-Atenolol 2\plaque 2/@19 Atenolol 1/C7_01.tif "/>
    <s v=" 47488.4472 "/>
    <s v=" 75.8168 "/>
    <x v="1"/>
    <n v="3600420"/>
    <m/>
    <m/>
  </r>
  <r>
    <x v="19"/>
    <x v="2"/>
    <s v="Q:\R&amp;D\2-Test oestrogénique\OECD and AOPs\REACTIV oecd interlaboratory validation\Results WF\Résultats CBA\2021-CHG-CBA-Atenolol 2\plaque 2/@19 Atenolol 1/C7_02.tif "/>
    <s v=" 48967.7025 "/>
    <s v=" 75.2403 "/>
    <x v="1"/>
    <n v="3684346"/>
    <m/>
    <m/>
  </r>
  <r>
    <x v="19"/>
    <x v="2"/>
    <s v="Q:\R&amp;D\2-Test oestrogénique\OECD and AOPs\REACTIV oecd interlaboratory validation\Results WF\Résultats CBA\2021-CHG-CBA-Atenolol 2\plaque 2/@19 Atenolol 1/C7_03.tif "/>
    <s v=" 48619.6424 "/>
    <s v=" 76.8309 "/>
    <x v="1"/>
    <n v="3735490"/>
    <m/>
    <m/>
  </r>
  <r>
    <x v="19"/>
    <x v="3"/>
    <s v="Q:\R&amp;D\2-Test oestrogénique\OECD and AOPs\REACTIV oecd interlaboratory validation\Results WF\Résultats CBA\2021-CHG-CBA-Atenolol 2\plaque 2/@19 Atenolol 1/D7_01.tif "/>
    <s v=" 42811.3898 "/>
    <s v=" 77.1712 "/>
    <x v="1"/>
    <n v="3303808"/>
    <m/>
    <m/>
  </r>
  <r>
    <x v="19"/>
    <x v="3"/>
    <s v="Q:\R&amp;D\2-Test oestrogénique\OECD and AOPs\REACTIV oecd interlaboratory validation\Results WF\Résultats CBA\2021-CHG-CBA-Atenolol 2\plaque 2/@19 Atenolol 1/D7_02.tif "/>
    <s v=" 39526.5728 "/>
    <s v=" 77.7254 "/>
    <x v="1"/>
    <n v="3072218"/>
    <m/>
    <m/>
  </r>
  <r>
    <x v="19"/>
    <x v="3"/>
    <s v="Q:\R&amp;D\2-Test oestrogénique\OECD and AOPs\REACTIV oecd interlaboratory validation\Results WF\Résultats CBA\2021-CHG-CBA-Atenolol 2\plaque 2/@19 Atenolol 1/D7_03.tif "/>
    <s v=" 42245.7922 "/>
    <s v=" 74.8708 "/>
    <x v="1"/>
    <n v="3162974"/>
    <m/>
    <m/>
  </r>
  <r>
    <x v="19"/>
    <x v="4"/>
    <s v="Q:\R&amp;D\2-Test oestrogénique\OECD and AOPs\REACTIV oecd interlaboratory validation\Results WF\Résultats CBA\2021-CHG-CBA-Atenolol 2\plaque 2/@19 Atenolol 1/E7_01.tif "/>
    <s v=" 49511.5464 "/>
    <s v=" 67.5242 "/>
    <x v="1"/>
    <n v="3343226"/>
    <m/>
    <m/>
  </r>
  <r>
    <x v="19"/>
    <x v="4"/>
    <s v="Q:\R&amp;D\2-Test oestrogénique\OECD and AOPs\REACTIV oecd interlaboratory validation\Results WF\Résultats CBA\2021-CHG-CBA-Atenolol 2\plaque 2/@19 Atenolol 1/E7_02.tif "/>
    <s v=" 42680.8673 "/>
    <s v=" 68.1081 "/>
    <x v="1"/>
    <n v="2906911"/>
    <m/>
    <m/>
  </r>
  <r>
    <x v="19"/>
    <x v="4"/>
    <s v="Q:\R&amp;D\2-Test oestrogénique\OECD and AOPs\REACTIV oecd interlaboratory validation\Results WF\Résultats CBA\2021-CHG-CBA-Atenolol 2\plaque 2/@19 Atenolol 1/E7_03.tif "/>
    <s v=" 39983.4017 "/>
    <s v=" 66.7029 "/>
    <x v="1"/>
    <n v="2667010"/>
    <m/>
    <m/>
  </r>
  <r>
    <x v="19"/>
    <x v="5"/>
    <s v="Q:\R&amp;D\2-Test oestrogénique\OECD and AOPs\REACTIV oecd interlaboratory validation\Results WF\Résultats CBA\2021-CHG-CBA-Atenolol 2\plaque 2/@19 Atenolol 1/F7_01.tif "/>
    <s v=" 13944.157 "/>
    <s v=" 64.4197 "/>
    <x v="1"/>
    <n v="898278"/>
    <m/>
    <m/>
  </r>
  <r>
    <x v="19"/>
    <x v="5"/>
    <s v="Q:\R&amp;D\2-Test oestrogénique\OECD and AOPs\REACTIV oecd interlaboratory validation\Results WF\Résultats CBA\2021-CHG-CBA-Atenolol 2\plaque 2/@19 Atenolol 1/F7_02.tif "/>
    <s v=" 19012.7819 "/>
    <s v=" 65.2357 "/>
    <x v="1"/>
    <n v="1240312"/>
    <m/>
    <m/>
  </r>
  <r>
    <x v="19"/>
    <x v="5"/>
    <s v="Q:\R&amp;D\2-Test oestrogénique\OECD and AOPs\REACTIV oecd interlaboratory validation\Results WF\Résultats CBA\2021-CHG-CBA-Atenolol 2\plaque 2/@19 Atenolol 1/F7_03.tif "/>
    <s v=" 15575.6886 "/>
    <s v=" 65.1676 "/>
    <x v="1"/>
    <n v="1015030"/>
    <m/>
    <m/>
  </r>
  <r>
    <x v="19"/>
    <x v="6"/>
    <s v="Q:\R&amp;D\2-Test oestrogénique\OECD and AOPs\REACTIV oecd interlaboratory validation\Results WF\Résultats CBA\2021-CHG-CBA-Atenolol 2\plaque 2/@19 Atenolol 1/G7_01.tif "/>
    <s v=" 61258.5741 "/>
    <s v=" 73.8672 "/>
    <x v="1"/>
    <n v="4524999"/>
    <m/>
    <m/>
  </r>
  <r>
    <x v="19"/>
    <x v="6"/>
    <s v="Q:\R&amp;D\2-Test oestrogénique\OECD and AOPs\REACTIV oecd interlaboratory validation\Results WF\Résultats CBA\2021-CHG-CBA-Atenolol 2\plaque 2/@19 Atenolol 1/G7_02.tif "/>
    <s v=" 59540.0274 "/>
    <s v=" 73.0698 "/>
    <x v="1"/>
    <n v="4350577"/>
    <m/>
    <m/>
  </r>
  <r>
    <x v="19"/>
    <x v="6"/>
    <s v="Q:\R&amp;D\2-Test oestrogénique\OECD and AOPs\REACTIV oecd interlaboratory validation\Results WF\Résultats CBA\2021-CHG-CBA-Atenolol 2\plaque 2/@19 Atenolol 1/G7_03.tif "/>
    <s v=" 61171.5591 "/>
    <s v=" 75.4605 "/>
    <x v="1"/>
    <n v="4616038"/>
    <m/>
    <m/>
  </r>
  <r>
    <x v="19"/>
    <x v="7"/>
    <s v="Q:\R&amp;D\2-Test oestrogénique\OECD and AOPs\REACTIV oecd interlaboratory validation\Results WF\Résultats CBA\2021-CHG-CBA-Atenolol 2\plaque 2/@19 Atenolol 1/H7_01.tif "/>
    <s v=" 49642.0689 "/>
    <s v=" 73.5942 "/>
    <x v="1"/>
    <n v="3653369"/>
    <m/>
    <m/>
  </r>
  <r>
    <x v="19"/>
    <x v="7"/>
    <s v="Q:\R&amp;D\2-Test oestrogénique\OECD and AOPs\REACTIV oecd interlaboratory validation\Results WF\Résultats CBA\2021-CHG-CBA-Atenolol 2\plaque 2/@19 Atenolol 1/H7_02.tif "/>
    <s v=" 47553.7084 "/>
    <s v=" 75.3861 "/>
    <x v="1"/>
    <n v="3584888"/>
    <m/>
    <m/>
  </r>
  <r>
    <x v="19"/>
    <x v="7"/>
    <s v="Q:\R&amp;D\2-Test oestrogénique\OECD and AOPs\REACTIV oecd interlaboratory validation\Results WF\Résultats CBA\2021-CHG-CBA-Atenolol 2\plaque 2/@19 Atenolol 1/H7_03.tif "/>
    <s v=" 53318.4535 "/>
    <s v=" 76.6397 "/>
    <x v="1"/>
    <n v="4086312"/>
    <m/>
    <m/>
  </r>
  <r>
    <x v="1"/>
    <x v="8"/>
    <s v=" "/>
    <m/>
    <m/>
    <x v="0"/>
    <m/>
    <m/>
    <m/>
  </r>
  <r>
    <x v="1"/>
    <x v="8"/>
    <s v="group "/>
    <s v=" "/>
    <s v=" mean of mean fluo "/>
    <x v="2"/>
    <s v=" mean of total fluo "/>
    <s v=" SD total fluo "/>
    <s v=" n fluorescent "/>
  </r>
  <r>
    <x v="19"/>
    <x v="9"/>
    <s v="Q:\R&amp;D\2-Test oestrogénique\OECD and AOPs\REACTIV oecd interlaboratory validation\Results WF\Résultats CBA\2021-CHG-CBA-Atenolol 2\plaque 2/@19 Atenolol 1/ "/>
    <s v=" "/>
    <s v=" 72.1293 "/>
    <x v="21"/>
    <s v=" 3042398.54 "/>
    <s v=" 1158521.6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0"/>
    <x v="0"/>
    <s v="Q:\R&amp;D\2-Test oestrogénique\OECD and AOPs\REACTIV oecd interlaboratory validation\Results WF\Résultats CBA\2021-CHG-CBA-Atenolol 2\plaque 2/@20 Atenolol 10/A8_01.tif "/>
    <s v=" 21209.9111 "/>
    <s v=" 84.8462 "/>
    <x v="1"/>
    <n v="1799579"/>
    <m/>
    <m/>
  </r>
  <r>
    <x v="20"/>
    <x v="0"/>
    <s v="Q:\R&amp;D\2-Test oestrogénique\OECD and AOPs\REACTIV oecd interlaboratory validation\Results WF\Résultats CBA\2021-CHG-CBA-Atenolol 2\plaque 2/@20 Atenolol 10/A8_02.tif "/>
    <s v=" 10702.8475 "/>
    <s v=" 76.4654 "/>
    <x v="1"/>
    <n v="818398"/>
    <m/>
    <m/>
  </r>
  <r>
    <x v="20"/>
    <x v="0"/>
    <s v="Q:\R&amp;D\2-Test oestrogénique\OECD and AOPs\REACTIV oecd interlaboratory validation\Results WF\Résultats CBA\2021-CHG-CBA-Atenolol 2\plaque 2/@20 Atenolol 10/A8_03- exclu.tif"/>
    <m/>
    <m/>
    <x v="0"/>
    <m/>
    <m/>
    <m/>
  </r>
  <r>
    <x v="20"/>
    <x v="1"/>
    <s v="Q:\R&amp;D\2-Test oestrogénique\OECD and AOPs\REACTIV oecd interlaboratory validation\Results WF\Résultats CBA\2021-CHG-CBA-Atenolol 2\plaque 2/@20 Atenolol 10/B8_01.tif "/>
    <s v=" 45095.5341 "/>
    <s v=" 71.5818 "/>
    <x v="1"/>
    <n v="3228018"/>
    <m/>
    <m/>
  </r>
  <r>
    <x v="20"/>
    <x v="1"/>
    <s v="Q:\R&amp;D\2-Test oestrogénique\OECD and AOPs\REACTIV oecd interlaboratory validation\Results WF\Résultats CBA\2021-CHG-CBA-Atenolol 2\plaque 2/@20 Atenolol 10/B8_02.tif "/>
    <s v=" 44595.1978 "/>
    <s v=" 71.2141 "/>
    <x v="1"/>
    <n v="3175809"/>
    <m/>
    <m/>
  </r>
  <r>
    <x v="20"/>
    <x v="1"/>
    <s v="Q:\R&amp;D\2-Test oestrogénique\OECD and AOPs\REACTIV oecd interlaboratory validation\Results WF\Résultats CBA\2021-CHG-CBA-Atenolol 2\plaque 2/@20 Atenolol 10/B8_03- exclu.tif"/>
    <m/>
    <m/>
    <x v="0"/>
    <m/>
    <m/>
    <m/>
  </r>
  <r>
    <x v="20"/>
    <x v="2"/>
    <s v="Q:\R&amp;D\2-Test oestrogénique\OECD and AOPs\REACTIV oecd interlaboratory validation\Results WF\Résultats CBA\2021-CHG-CBA-Atenolol 2\plaque 2/@20 Atenolol 10/C8_01.tif "/>
    <s v=" 39504.8191 "/>
    <s v=" 72.7627 "/>
    <x v="1"/>
    <n v="2874476"/>
    <m/>
    <m/>
  </r>
  <r>
    <x v="20"/>
    <x v="2"/>
    <s v="Q:\R&amp;D\2-Test oestrogénique\OECD and AOPs\REACTIV oecd interlaboratory validation\Results WF\Résultats CBA\2021-CHG-CBA-Atenolol 2\plaque 2/@20 Atenolol 10/C8_02.tif "/>
    <s v=" 41397.3958 "/>
    <s v=" 73.0252 "/>
    <x v="1"/>
    <n v="3023054"/>
    <m/>
    <m/>
  </r>
  <r>
    <x v="20"/>
    <x v="2"/>
    <s v="Q:\R&amp;D\2-Test oestrogénique\OECD and AOPs\REACTIV oecd interlaboratory validation\Results WF\Résultats CBA\2021-CHG-CBA-Atenolol 2\plaque 2/@20 Atenolol 10/C8_03.tif "/>
    <s v=" 38438.8851 "/>
    <s v=" 72.6938 "/>
    <x v="1"/>
    <n v="2794270"/>
    <m/>
    <m/>
  </r>
  <r>
    <x v="20"/>
    <x v="3"/>
    <s v="Q:\R&amp;D\2-Test oestrogénique\OECD and AOPs\REACTIV oecd interlaboratory validation\Results WF\Résultats CBA\2021-CHG-CBA-Atenolol 2\plaque 2/@20 Atenolol 10/D8_01.tif "/>
    <s v=" 46400.7594 "/>
    <s v=" 71.5391 "/>
    <x v="1"/>
    <n v="3319471"/>
    <m/>
    <m/>
  </r>
  <r>
    <x v="20"/>
    <x v="3"/>
    <s v="Q:\R&amp;D\2-Test oestrogénique\OECD and AOPs\REACTIV oecd interlaboratory validation\Results WF\Résultats CBA\2021-CHG-CBA-Atenolol 2\plaque 2/@20 Atenolol 10/D8_02.tif "/>
    <s v=" 47314.4171 "/>
    <s v=" 71.8184 "/>
    <x v="1"/>
    <n v="3398045"/>
    <m/>
    <m/>
  </r>
  <r>
    <x v="20"/>
    <x v="3"/>
    <s v="Q:\R&amp;D\2-Test oestrogénique\OECD and AOPs\REACTIV oecd interlaboratory validation\Results WF\Résultats CBA\2021-CHG-CBA-Atenolol 2\plaque 2/@20 Atenolol 10/D8_03.tif "/>
    <s v=" 47249.1559 "/>
    <s v=" 70.7965 "/>
    <x v="1"/>
    <n v="3345075"/>
    <m/>
    <m/>
  </r>
  <r>
    <x v="20"/>
    <x v="4"/>
    <s v="Q:\R&amp;D\2-Test oestrogénique\OECD and AOPs\REACTIV oecd interlaboratory validation\Results WF\Résultats CBA\2021-CHG-CBA-Atenolol 2\plaque 2/@20 Atenolol 10/E8_01.tif "/>
    <s v=" 25386.6321 "/>
    <s v=" 68.3539 "/>
    <x v="1"/>
    <n v="1735275"/>
    <m/>
    <m/>
  </r>
  <r>
    <x v="20"/>
    <x v="4"/>
    <s v="Q:\R&amp;D\2-Test oestrogénique\OECD and AOPs\REACTIV oecd interlaboratory validation\Results WF\Résultats CBA\2021-CHG-CBA-Atenolol 2\plaque 2/@20 Atenolol 10/E8_02.tif "/>
    <s v=" 16467.5925 "/>
    <s v=" 66.4914 "/>
    <x v="1"/>
    <n v="1094954"/>
    <m/>
    <m/>
  </r>
  <r>
    <x v="20"/>
    <x v="4"/>
    <s v="Q:\R&amp;D\2-Test oestrogénique\OECD and AOPs\REACTIV oecd interlaboratory validation\Results WF\Résultats CBA\2021-CHG-CBA-Atenolol 2\plaque 2/@20 Atenolol 10/E8_03.tif "/>
    <s v=" 24777.5269 "/>
    <s v=" 67.7937 "/>
    <x v="1"/>
    <n v="1679760"/>
    <m/>
    <m/>
  </r>
  <r>
    <x v="20"/>
    <x v="5"/>
    <s v="Q:\R&amp;D\2-Test oestrogénique\OECD and AOPs\REACTIV oecd interlaboratory validation\Results WF\Résultats CBA\2021-CHG-CBA-Atenolol 2\plaque 2/@20 Atenolol 10/F8_01.tif "/>
    <s v=" 32326.0799 "/>
    <s v=" 71.245 "/>
    <x v="1"/>
    <n v="2303070"/>
    <m/>
    <m/>
  </r>
  <r>
    <x v="20"/>
    <x v="5"/>
    <s v="Q:\R&amp;D\2-Test oestrogénique\OECD and AOPs\REACTIV oecd interlaboratory validation\Results WF\Résultats CBA\2021-CHG-CBA-Atenolol 2\plaque 2/@20 Atenolol 10/F8_02.tif "/>
    <s v=" 28519.1728 "/>
    <s v=" 71.1686 "/>
    <x v="1"/>
    <n v="2029669"/>
    <m/>
    <m/>
  </r>
  <r>
    <x v="20"/>
    <x v="5"/>
    <s v="Q:\R&amp;D\2-Test oestrogénique\OECD and AOPs\REACTIV oecd interlaboratory validation\Results WF\Résultats CBA\2021-CHG-CBA-Atenolol 2\plaque 2/@20 Atenolol 10/F8_03.tif "/>
    <s v=" 33457.2752 "/>
    <s v=" 71.4876 "/>
    <x v="1"/>
    <n v="2391782"/>
    <m/>
    <m/>
  </r>
  <r>
    <x v="20"/>
    <x v="6"/>
    <s v="Q:\R&amp;D\2-Test oestrogénique\OECD and AOPs\REACTIV oecd interlaboratory validation\Results WF\Résultats CBA\2021-CHG-CBA-Atenolol 2\plaque 2/@20 Atenolol 10/G8_01- exclu.tif"/>
    <m/>
    <m/>
    <x v="0"/>
    <m/>
    <m/>
    <m/>
  </r>
  <r>
    <x v="20"/>
    <x v="6"/>
    <s v="Q:\R&amp;D\2-Test oestrogénique\OECD and AOPs\REACTIV oecd interlaboratory validation\Results WF\Résultats CBA\2021-CHG-CBA-Atenolol 2\plaque 2/@20 Atenolol 10/G8_02- exclu.tif"/>
    <m/>
    <m/>
    <x v="0"/>
    <m/>
    <m/>
    <m/>
  </r>
  <r>
    <x v="20"/>
    <x v="6"/>
    <s v="Q:\R&amp;D\2-Test oestrogénique\OECD and AOPs\REACTIV oecd interlaboratory validation\Results WF\Résultats CBA\2021-CHG-CBA-Atenolol 2\plaque 2/@20 Atenolol 10/G8_03.tif "/>
    <s v=" 55232.784 "/>
    <s v=" 68.7664 "/>
    <x v="1"/>
    <n v="3798162"/>
    <m/>
    <m/>
  </r>
  <r>
    <x v="20"/>
    <x v="7"/>
    <s v="Q:\R&amp;D\2-Test oestrogénique\OECD and AOPs\REACTIV oecd interlaboratory validation\Results WF\Résultats CBA\2021-CHG-CBA-Atenolol 2\plaque 2/@20 Atenolol 10/H8_01.tif "/>
    <s v=" 16859.1601 "/>
    <s v=" 64.9948 "/>
    <x v="1"/>
    <n v="1095758"/>
    <m/>
    <m/>
  </r>
  <r>
    <x v="20"/>
    <x v="7"/>
    <s v="Q:\R&amp;D\2-Test oestrogénique\OECD and AOPs\REACTIV oecd interlaboratory validation\Results WF\Résultats CBA\2021-CHG-CBA-Atenolol 2\plaque 2/@20 Atenolol 10/H8_02.tif "/>
    <s v=" 22014.8001 "/>
    <s v=" 65.7955 "/>
    <x v="1"/>
    <n v="1448474"/>
    <m/>
    <m/>
  </r>
  <r>
    <x v="20"/>
    <x v="7"/>
    <s v="Q:\R&amp;D\2-Test oestrogénique\OECD and AOPs\REACTIV oecd interlaboratory validation\Results WF\Résultats CBA\2021-CHG-CBA-Atenolol 2\plaque 2/@20 Atenolol 10/H8_03.tif "/>
    <s v=" 15358.151 "/>
    <s v=" 65.6218 "/>
    <x v="1"/>
    <n v="1007830"/>
    <m/>
    <m/>
  </r>
  <r>
    <x v="1"/>
    <x v="8"/>
    <s v=" "/>
    <m/>
    <m/>
    <x v="0"/>
    <m/>
    <m/>
    <m/>
  </r>
  <r>
    <x v="1"/>
    <x v="8"/>
    <s v="group "/>
    <s v=" "/>
    <s v=" mean of mean fluo "/>
    <x v="2"/>
    <s v=" mean of total fluo "/>
    <s v=" SD total fluo "/>
    <s v=" n fluorescent "/>
  </r>
  <r>
    <x v="20"/>
    <x v="9"/>
    <s v="Q:\R&amp;D\2-Test oestrogénique\OECD and AOPs\REACTIV oecd interlaboratory validation\Results WF\Résultats CBA\2021-CHG-CBA-Atenolol 2\plaque 2/@20 Atenolol 10/ "/>
    <s v=" "/>
    <s v=" 70.8555 "/>
    <x v="22"/>
    <s v=" 2259636.92 "/>
    <s v=" 913320.48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1"/>
    <x v="0"/>
    <s v="Q:\R&amp;D\2-Test oestrogénique\OECD and AOPs\REACTIV oecd interlaboratory validation\Results WF\Résultats CBA\2021-CHG-CBA-Atenolol 2\plaque 2/@21Atenolol 100/A9_01- exclu.tif"/>
    <m/>
    <m/>
    <x v="0"/>
    <m/>
    <m/>
    <m/>
  </r>
  <r>
    <x v="21"/>
    <x v="0"/>
    <s v="Q:\R&amp;D\2-Test oestrogénique\OECD and AOPs\REACTIV oecd interlaboratory validation\Results WF\Résultats CBA\2021-CHG-CBA-Atenolol 2\plaque 2/@21Atenolol 100/A9_02.tif "/>
    <s v=" 43725.0476 "/>
    <s v=" 73.2249 "/>
    <x v="1"/>
    <n v="3201761"/>
    <m/>
    <m/>
  </r>
  <r>
    <x v="21"/>
    <x v="0"/>
    <s v="Q:\R&amp;D\2-Test oestrogénique\OECD and AOPs\REACTIV oecd interlaboratory validation\Results WF\Résultats CBA\2021-CHG-CBA-Atenolol 2\plaque 2/@21Atenolol 100/A9_03.tif "/>
    <s v=" 54623.6788 "/>
    <s v=" 70.949 "/>
    <x v="1"/>
    <n v="3875497"/>
    <m/>
    <m/>
  </r>
  <r>
    <x v="21"/>
    <x v="1"/>
    <s v="Q:\R&amp;D\2-Test oestrogénique\OECD and AOPs\REACTIV oecd interlaboratory validation\Results WF\Résultats CBA\2021-CHG-CBA-Atenolol 2\plaque 2/@21Atenolol 100/B9_01.tif "/>
    <s v=" 25169.0945 "/>
    <s v=" 66.7174 "/>
    <x v="1"/>
    <n v="1679216"/>
    <m/>
    <m/>
  </r>
  <r>
    <x v="21"/>
    <x v="1"/>
    <s v="Q:\R&amp;D\2-Test oestrogénique\OECD and AOPs\REACTIV oecd interlaboratory validation\Results WF\Résultats CBA\2021-CHG-CBA-Atenolol 2\plaque 2/@21Atenolol 100/B9_02.tif "/>
    <s v=" 27257.455 "/>
    <s v=" 67.3743 "/>
    <x v="1"/>
    <n v="1836452"/>
    <m/>
    <m/>
  </r>
  <r>
    <x v="21"/>
    <x v="1"/>
    <s v="Q:\R&amp;D\2-Test oestrogénique\OECD and AOPs\REACTIV oecd interlaboratory validation\Results WF\Résultats CBA\2021-CHG-CBA-Atenolol 2\plaque 2/@21Atenolol 100/B9_03.tif "/>
    <s v=" 27975.3289 "/>
    <s v=" 66.6485 "/>
    <x v="1"/>
    <n v="1864514"/>
    <m/>
    <m/>
  </r>
  <r>
    <x v="21"/>
    <x v="2"/>
    <s v="Q:\R&amp;D\2-Test oestrogénique\OECD and AOPs\REACTIV oecd interlaboratory validation\Results WF\Résultats CBA\2021-CHG-CBA-Atenolol 2\plaque 2/@21Atenolol 100/C9_01.tif "/>
    <s v=" 49011.21 "/>
    <s v=" 70.9356 "/>
    <x v="1"/>
    <n v="3476642"/>
    <m/>
    <m/>
  </r>
  <r>
    <x v="21"/>
    <x v="2"/>
    <s v="Q:\R&amp;D\2-Test oestrogénique\OECD and AOPs\REACTIV oecd interlaboratory validation\Results WF\Résultats CBA\2021-CHG-CBA-Atenolol 2\plaque 2/@21Atenolol 100/C9_02.tif "/>
    <s v=" 52013.2282 "/>
    <s v=" 72.3559 "/>
    <x v="1"/>
    <n v="3763465"/>
    <m/>
    <m/>
  </r>
  <r>
    <x v="21"/>
    <x v="2"/>
    <s v="Q:\R&amp;D\2-Test oestrogénique\OECD and AOPs\REACTIV oecd interlaboratory validation\Results WF\Résultats CBA\2021-CHG-CBA-Atenolol 2\plaque 2/@21Atenolol 100/C9_03.tif "/>
    <s v=" 49707.3302 "/>
    <s v=" 71.7125 "/>
    <x v="1"/>
    <n v="3564636"/>
    <m/>
    <m/>
  </r>
  <r>
    <x v="21"/>
    <x v="3"/>
    <s v="Q:\R&amp;D\2-Test oestrogénique\OECD and AOPs\REACTIV oecd interlaboratory validation\Results WF\Résultats CBA\2021-CHG-CBA-Atenolol 2\plaque 2/@21Atenolol 100/D9_01- exclu.tif"/>
    <m/>
    <m/>
    <x v="0"/>
    <m/>
    <m/>
    <m/>
  </r>
  <r>
    <x v="21"/>
    <x v="3"/>
    <s v="Q:\R&amp;D\2-Test oestrogénique\OECD and AOPs\REACTIV oecd interlaboratory validation\Results WF\Résultats CBA\2021-CHG-CBA-Atenolol 2\plaque 2/@21Atenolol 100/D9_02- exclu.tif"/>
    <m/>
    <m/>
    <x v="0"/>
    <m/>
    <m/>
    <m/>
  </r>
  <r>
    <x v="21"/>
    <x v="3"/>
    <s v="Q:\R&amp;D\2-Test oestrogénique\OECD and AOPs\REACTIV oecd interlaboratory validation\Results WF\Résultats CBA\2021-CHG-CBA-Atenolol 2\plaque 2/@21Atenolol 100/D9_03- exclu.tif"/>
    <m/>
    <m/>
    <x v="0"/>
    <m/>
    <m/>
    <m/>
  </r>
  <r>
    <x v="21"/>
    <x v="4"/>
    <s v="Q:\R&amp;D\2-Test oestrogénique\OECD and AOPs\REACTIV oecd interlaboratory validation\Results WF\Résultats CBA\2021-CHG-CBA-Atenolol 2\plaque 2/@21Atenolol 100/E9_01.tif "/>
    <s v=" 68154.5144 "/>
    <s v=" 78.4309 "/>
    <x v="1"/>
    <n v="5345420"/>
    <m/>
    <m/>
  </r>
  <r>
    <x v="21"/>
    <x v="4"/>
    <s v="Q:\R&amp;D\2-Test oestrogénique\OECD and AOPs\REACTIV oecd interlaboratory validation\Results WF\Résultats CBA\2021-CHG-CBA-Atenolol 2\plaque 2/@21Atenolol 100/E9_02.tif "/>
    <s v=" 60192.6401 "/>
    <s v=" 75.2743 "/>
    <x v="1"/>
    <n v="4530959"/>
    <m/>
    <m/>
  </r>
  <r>
    <x v="21"/>
    <x v="4"/>
    <s v="Q:\R&amp;D\2-Test oestrogénique\OECD and AOPs\REACTIV oecd interlaboratory validation\Results WF\Résultats CBA\2021-CHG-CBA-Atenolol 2\plaque 2/@21Atenolol 100/E9_03.tif "/>
    <s v=" 63999.5472 "/>
    <s v=" 76.3372 "/>
    <x v="1"/>
    <n v="4885545"/>
    <m/>
    <m/>
  </r>
  <r>
    <x v="21"/>
    <x v="5"/>
    <s v="Q:\R&amp;D\2-Test oestrogénique\OECD and AOPs\REACTIV oecd interlaboratory validation\Results WF\Résultats CBA\2021-CHG-CBA-Atenolol 2\plaque 2/@21Atenolol 100/F9_01.tif "/>
    <s v=" 21819.0163 "/>
    <s v=" 69.9043 "/>
    <x v="1"/>
    <n v="1525243"/>
    <m/>
    <m/>
  </r>
  <r>
    <x v="21"/>
    <x v="5"/>
    <s v="Q:\R&amp;D\2-Test oestrogénique\OECD and AOPs\REACTIV oecd interlaboratory validation\Results WF\Résultats CBA\2021-CHG-CBA-Atenolol 2\plaque 2/@21Atenolol 100/F9_02.tif "/>
    <s v=" 17120.2052 "/>
    <s v=" 68.845 "/>
    <x v="1"/>
    <n v="1178640"/>
    <m/>
    <m/>
  </r>
  <r>
    <x v="21"/>
    <x v="5"/>
    <s v="Q:\R&amp;D\2-Test oestrogénique\OECD and AOPs\REACTIV oecd interlaboratory validation\Results WF\Résultats CBA\2021-CHG-CBA-Atenolol 2\plaque 2/@21Atenolol 100/F9_03.tif "/>
    <s v=" 20774.836 "/>
    <s v=" 68.5246 "/>
    <x v="1"/>
    <n v="1423587"/>
    <m/>
    <m/>
  </r>
  <r>
    <x v="21"/>
    <x v="6"/>
    <s v="Q:\R&amp;D\2-Test oestrogénique\OECD and AOPs\REACTIV oecd interlaboratory validation\Results WF\Résultats CBA\2021-CHG-CBA-Atenolol 2\plaque 2/@21Atenolol 100/G9_01- exclu.tif"/>
    <m/>
    <m/>
    <x v="0"/>
    <m/>
    <m/>
    <m/>
  </r>
  <r>
    <x v="21"/>
    <x v="6"/>
    <s v="Q:\R&amp;D\2-Test oestrogénique\OECD and AOPs\REACTIV oecd interlaboratory validation\Results WF\Résultats CBA\2021-CHG-CBA-Atenolol 2\plaque 2/@21Atenolol 100/G9_02.tif "/>
    <s v=" 42137.0234 "/>
    <s v=" 72.0015 "/>
    <x v="1"/>
    <n v="3033931"/>
    <m/>
    <m/>
  </r>
  <r>
    <x v="21"/>
    <x v="6"/>
    <s v="Q:\R&amp;D\2-Test oestrogénique\OECD and AOPs\REACTIV oecd interlaboratory validation\Results WF\Résultats CBA\2021-CHG-CBA-Atenolol 2\plaque 2/@21Atenolol 100/G9_03.tif "/>
    <s v=" 38873.9602 "/>
    <s v=" 70.8025 "/>
    <x v="1"/>
    <n v="2752372"/>
    <m/>
    <m/>
  </r>
  <r>
    <x v="21"/>
    <x v="7"/>
    <s v="Q:\R&amp;D\2-Test oestrogénique\OECD and AOPs\REACTIV oecd interlaboratory validation\Results WF\Résultats CBA\2021-CHG-CBA-Atenolol 2\plaque 2/@21Atenolol 100/H9_01.tif "/>
    <s v=" 61954.6943 "/>
    <s v=" 80.2623 "/>
    <x v="1"/>
    <n v="4972626"/>
    <m/>
    <m/>
  </r>
  <r>
    <x v="21"/>
    <x v="7"/>
    <s v="Q:\R&amp;D\2-Test oestrogénique\OECD and AOPs\REACTIV oecd interlaboratory validation\Results WF\Résultats CBA\2021-CHG-CBA-Atenolol 2\plaque 2/@21Atenolol 100/H9_02.tif "/>
    <s v=" 56255.2104 "/>
    <s v=" 78.6241 "/>
    <x v="1"/>
    <n v="4423017"/>
    <m/>
    <m/>
  </r>
  <r>
    <x v="21"/>
    <x v="7"/>
    <s v="Q:\R&amp;D\2-Test oestrogénique\OECD and AOPs\REACTIV oecd interlaboratory validation\Results WF\Résultats CBA\2021-CHG-CBA-Atenolol 2\plaque 2/@21Atenolol 100/H9_03.tif "/>
    <s v=" 59431.2587 "/>
    <s v=" 80.1398 "/>
    <x v="1"/>
    <n v="4762811"/>
    <m/>
    <m/>
  </r>
  <r>
    <x v="1"/>
    <x v="8"/>
    <s v=" "/>
    <m/>
    <m/>
    <x v="0"/>
    <m/>
    <m/>
    <m/>
  </r>
  <r>
    <x v="1"/>
    <x v="8"/>
    <s v="group "/>
    <s v=" "/>
    <s v=" mean of mean fluo "/>
    <x v="2"/>
    <s v=" mean of total fluo "/>
    <s v=" SD total fluo "/>
    <s v=" n fluorescent "/>
  </r>
  <r>
    <x v="21"/>
    <x v="9"/>
    <s v="Q:\R&amp;D\2-Test oestrogénique\OECD and AOPs\REACTIV oecd interlaboratory validation\Results WF\Résultats CBA\2021-CHG-CBA-Atenolol 2\plaque 2/@21Atenolol 100/ "/>
    <s v=" "/>
    <s v=" 71.6349 "/>
    <x v="23"/>
    <s v=" 2804134.29 "/>
    <s v=" 1625336.57 "/>
    <n v="24"/>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4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46"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6">
        <item x="1"/>
        <item x="0"/>
        <item x="2"/>
        <item x="3"/>
        <item x="4"/>
        <item x="5"/>
        <item x="6"/>
        <item x="7"/>
        <item x="8"/>
        <item x="9"/>
        <item x="10"/>
        <item x="11"/>
        <item x="12"/>
        <item m="1" x="24"/>
        <item m="1" x="22"/>
        <item x="15"/>
        <item x="16"/>
        <item x="17"/>
        <item x="18"/>
        <item x="19"/>
        <item x="20"/>
        <item m="1" x="23"/>
        <item x="13"/>
        <item x="14"/>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46">
        <item x="0"/>
        <item x="1"/>
        <item x="2"/>
        <item m="1" x="26"/>
        <item m="1" x="32"/>
        <item m="1" x="27"/>
        <item m="1" x="31"/>
        <item m="1" x="40"/>
        <item m="1" x="39"/>
        <item m="1" x="35"/>
        <item m="1" x="38"/>
        <item m="1" x="37"/>
        <item m="1" x="43"/>
        <item m="1" x="36"/>
        <item m="1" x="28"/>
        <item m="1" x="33"/>
        <item m="1" x="42"/>
        <item m="1" x="44"/>
        <item m="1" x="29"/>
        <item m="1" x="34"/>
        <item m="1" x="41"/>
        <item m="1" x="25"/>
        <item m="1" x="30"/>
        <item m="1" x="24"/>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5"/>
    </i>
    <i>
      <x v="16"/>
    </i>
    <i>
      <x v="17"/>
    </i>
    <i>
      <x v="18"/>
    </i>
    <i>
      <x v="19"/>
    </i>
    <i>
      <x v="20"/>
    </i>
    <i>
      <x v="22"/>
    </i>
    <i>
      <x v="23"/>
    </i>
    <i>
      <x v="24"/>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3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6"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7" firstHeaderRow="1" firstDataRow="1" firstDataCol="1" rowPageCount="2" colPageCount="1"/>
  <pivotFields count="6">
    <pivotField axis="axisRow" showAll="0" defaultSubtotal="0">
      <items count="24">
        <item m="1" x="22"/>
        <item x="12"/>
        <item m="1" x="23"/>
        <item x="1"/>
        <item x="2"/>
        <item x="3"/>
        <item x="4"/>
        <item x="5"/>
        <item x="6"/>
        <item x="14"/>
        <item x="15"/>
        <item x="13"/>
        <item x="0"/>
        <item x="7"/>
        <item x="8"/>
        <item x="9"/>
        <item x="10"/>
        <item x="11"/>
        <item x="16"/>
        <item x="17"/>
        <item x="18"/>
        <item x="19"/>
        <item x="20"/>
        <item x="21"/>
      </items>
    </pivotField>
    <pivotField axis="axisPage" multipleItemSelectionAllowed="1" showAll="0" defaultSubtotal="0">
      <items count="4">
        <item m="1" x="3"/>
        <item x="2"/>
        <item h="1" x="0"/>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2">
    <i>
      <x v="1"/>
    </i>
    <i>
      <x v="23"/>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6"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 firstHeaderRow="1" firstDataRow="1" firstDataCol="1" rowPageCount="2" colPageCount="1"/>
  <pivotFields count="6">
    <pivotField axis="axisRow" showAll="0" defaultSubtotal="0">
      <items count="24">
        <item m="1" x="22"/>
        <item x="12"/>
        <item m="1" x="23"/>
        <item x="1"/>
        <item x="2"/>
        <item x="3"/>
        <item x="4"/>
        <item x="5"/>
        <item x="6"/>
        <item x="14"/>
        <item x="15"/>
        <item x="13"/>
        <item x="0"/>
        <item x="7"/>
        <item x="8"/>
        <item x="9"/>
        <item x="10"/>
        <item x="11"/>
        <item x="16"/>
        <item x="17"/>
        <item x="18"/>
        <item x="19"/>
        <item x="20"/>
        <item x="21"/>
      </items>
    </pivotField>
    <pivotField axis="axisPage" multipleItemSelectionAllowed="1" showAll="0" defaultSubtotal="0">
      <items count="4">
        <item m="1" x="3"/>
        <item h="1" x="0"/>
        <item x="2"/>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41" dataDxfId="40" tableBorderDxfId="39">
  <autoFilter ref="A6:F57"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33" zoomScale="55" zoomScaleNormal="55" workbookViewId="0">
      <selection activeCell="A43" sqref="A43:F59"/>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60"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8" t="s">
        <v>36</v>
      </c>
      <c r="B1" s="199"/>
      <c r="C1" s="199"/>
      <c r="D1" s="199"/>
      <c r="E1" s="199"/>
      <c r="F1" s="199"/>
      <c r="G1" s="199"/>
      <c r="H1" s="199"/>
      <c r="I1" s="200"/>
    </row>
    <row r="2" spans="1:9" ht="21" x14ac:dyDescent="0.35">
      <c r="A2" s="189" t="s">
        <v>17</v>
      </c>
      <c r="B2" s="42" t="s">
        <v>114</v>
      </c>
      <c r="C2" s="201" t="s">
        <v>1635</v>
      </c>
      <c r="D2" s="202"/>
      <c r="E2" s="42" t="s">
        <v>21</v>
      </c>
      <c r="F2" s="213"/>
      <c r="G2" s="214"/>
      <c r="H2" s="214"/>
      <c r="I2" s="215"/>
    </row>
    <row r="3" spans="1:9" ht="21" x14ac:dyDescent="0.35">
      <c r="A3" s="190" t="s">
        <v>18</v>
      </c>
      <c r="B3" s="43" t="s">
        <v>114</v>
      </c>
      <c r="C3" s="203"/>
      <c r="D3" s="204"/>
      <c r="E3" s="43" t="s">
        <v>21</v>
      </c>
      <c r="F3" s="210"/>
      <c r="G3" s="211"/>
      <c r="H3" s="211"/>
      <c r="I3" s="212"/>
    </row>
    <row r="4" spans="1:9" ht="21.75" thickBot="1" x14ac:dyDescent="0.4">
      <c r="A4" s="191" t="s">
        <v>22</v>
      </c>
      <c r="B4" s="179" t="s">
        <v>114</v>
      </c>
      <c r="C4" s="205"/>
      <c r="D4" s="206"/>
      <c r="E4" s="179" t="s">
        <v>21</v>
      </c>
      <c r="F4" s="207"/>
      <c r="G4" s="208"/>
      <c r="H4" s="208"/>
      <c r="I4" s="209"/>
    </row>
    <row r="5" spans="1:9" s="1" customFormat="1" ht="65.25" customHeight="1" thickBot="1" x14ac:dyDescent="0.3">
      <c r="A5" s="198" t="s">
        <v>37</v>
      </c>
      <c r="B5" s="199"/>
      <c r="C5" s="199"/>
      <c r="D5" s="199"/>
      <c r="E5" s="199"/>
      <c r="F5" s="199"/>
      <c r="G5" s="199"/>
      <c r="H5" s="199"/>
      <c r="I5" s="200"/>
    </row>
    <row r="6" spans="1:9" s="110" customFormat="1" ht="39" customHeight="1" x14ac:dyDescent="0.35">
      <c r="A6" s="76" t="s">
        <v>35</v>
      </c>
      <c r="B6" s="101" t="s">
        <v>7</v>
      </c>
      <c r="C6" s="64" t="s">
        <v>19</v>
      </c>
      <c r="D6" s="64" t="s">
        <v>75</v>
      </c>
      <c r="E6" s="157" t="s">
        <v>51</v>
      </c>
      <c r="F6" s="109" t="s">
        <v>78</v>
      </c>
    </row>
    <row r="7" spans="1:9" s="166" customFormat="1" ht="39" customHeight="1" x14ac:dyDescent="0.3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122</v>
      </c>
      <c r="C7" s="163"/>
      <c r="D7" s="164"/>
      <c r="E7" s="165" t="s">
        <v>124</v>
      </c>
      <c r="F7" s="111"/>
    </row>
    <row r="8" spans="1:9" s="166" customFormat="1" ht="39" customHeight="1" x14ac:dyDescent="0.3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8" s="162" t="s">
        <v>122</v>
      </c>
      <c r="C8" s="163">
        <v>33.799999999999997</v>
      </c>
      <c r="D8" s="164" t="s">
        <v>123</v>
      </c>
      <c r="E8" s="165" t="s">
        <v>125</v>
      </c>
      <c r="F8" s="111"/>
    </row>
    <row r="9" spans="1:9" s="166" customFormat="1" ht="39" customHeight="1" x14ac:dyDescent="0.3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9" s="162" t="s">
        <v>122</v>
      </c>
      <c r="C9" s="163">
        <v>50.6</v>
      </c>
      <c r="D9" s="164" t="s">
        <v>123</v>
      </c>
      <c r="E9" s="165" t="s">
        <v>125</v>
      </c>
      <c r="F9" s="111"/>
    </row>
    <row r="10" spans="1:9" s="166" customFormat="1" ht="39" customHeight="1" x14ac:dyDescent="0.3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0" s="162" t="s">
        <v>122</v>
      </c>
      <c r="C10" s="163">
        <v>76</v>
      </c>
      <c r="D10" s="164" t="s">
        <v>123</v>
      </c>
      <c r="E10" s="165" t="s">
        <v>125</v>
      </c>
      <c r="F10" s="111"/>
    </row>
    <row r="11" spans="1:9" s="166" customFormat="1" ht="39" customHeight="1" x14ac:dyDescent="0.3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1" s="162" t="s">
        <v>122</v>
      </c>
      <c r="C11" s="163">
        <v>114</v>
      </c>
      <c r="D11" s="164" t="s">
        <v>123</v>
      </c>
      <c r="E11" s="165" t="s">
        <v>125</v>
      </c>
      <c r="F11" s="111"/>
    </row>
    <row r="12" spans="1:9" s="166" customFormat="1" ht="39" customHeight="1" x14ac:dyDescent="0.3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2" s="162" t="s">
        <v>122</v>
      </c>
      <c r="C12" s="163">
        <v>170.9</v>
      </c>
      <c r="D12" s="164" t="s">
        <v>123</v>
      </c>
      <c r="E12" s="165" t="s">
        <v>125</v>
      </c>
      <c r="F12" s="111"/>
    </row>
    <row r="13" spans="1:9" s="166" customFormat="1" ht="39" customHeight="1" x14ac:dyDescent="0.3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3" s="162" t="s">
        <v>122</v>
      </c>
      <c r="C13" s="163">
        <v>488</v>
      </c>
      <c r="D13" s="164" t="s">
        <v>123</v>
      </c>
      <c r="E13" s="165" t="s">
        <v>125</v>
      </c>
      <c r="F13" s="111"/>
    </row>
    <row r="14" spans="1:9" s="166" customFormat="1" ht="39" customHeight="1" x14ac:dyDescent="0.3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Atenolol-0,01mg/L</v>
      </c>
      <c r="B14" s="162" t="s">
        <v>1636</v>
      </c>
      <c r="C14" s="163">
        <v>0.01</v>
      </c>
      <c r="D14" s="164" t="s">
        <v>128</v>
      </c>
      <c r="E14" s="165" t="s">
        <v>1637</v>
      </c>
      <c r="F14" s="111"/>
    </row>
    <row r="15" spans="1:9" s="112" customFormat="1" ht="39" customHeight="1" x14ac:dyDescent="0.25">
      <c r="A1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Atenolol-0,1mg/L</v>
      </c>
      <c r="B15" s="162" t="s">
        <v>1636</v>
      </c>
      <c r="C15" s="106">
        <v>0.1</v>
      </c>
      <c r="D15" s="164" t="s">
        <v>128</v>
      </c>
      <c r="E15" s="165" t="s">
        <v>1637</v>
      </c>
      <c r="F15" s="111"/>
    </row>
    <row r="16" spans="1:9" s="112" customFormat="1" ht="39" customHeight="1" x14ac:dyDescent="0.2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Atenolol-1mg/L</v>
      </c>
      <c r="B16" s="162" t="s">
        <v>1636</v>
      </c>
      <c r="C16" s="106">
        <v>1</v>
      </c>
      <c r="D16" s="164" t="s">
        <v>128</v>
      </c>
      <c r="E16" s="165" t="s">
        <v>1637</v>
      </c>
      <c r="F16" s="111"/>
    </row>
    <row r="17" spans="1:6" s="112" customFormat="1" ht="39" customHeight="1" x14ac:dyDescent="0.2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Atenolol-10mg/L</v>
      </c>
      <c r="B17" s="162" t="s">
        <v>1636</v>
      </c>
      <c r="C17" s="106">
        <v>10</v>
      </c>
      <c r="D17" s="164" t="s">
        <v>128</v>
      </c>
      <c r="E17" s="165" t="s">
        <v>1637</v>
      </c>
      <c r="F17" s="111"/>
    </row>
    <row r="18" spans="1:6" s="112" customFormat="1" ht="39" customHeight="1" x14ac:dyDescent="0.2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Atenolol-100mg/L</v>
      </c>
      <c r="B18" s="162" t="s">
        <v>1636</v>
      </c>
      <c r="C18" s="106">
        <v>100</v>
      </c>
      <c r="D18" s="164" t="s">
        <v>128</v>
      </c>
      <c r="E18" s="165" t="s">
        <v>1637</v>
      </c>
      <c r="F18" s="111"/>
    </row>
    <row r="19" spans="1:6" s="112" customFormat="1" ht="39" customHeight="1" x14ac:dyDescent="0.2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40"/>
      <c r="C19" s="106"/>
      <c r="D19" s="106"/>
      <c r="E19" s="40"/>
      <c r="F19" s="111"/>
    </row>
    <row r="20" spans="1:6" s="112"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102"/>
      <c r="C20" s="106"/>
      <c r="D20" s="106"/>
      <c r="E20" s="102"/>
      <c r="F20" s="111"/>
    </row>
    <row r="21" spans="1:6" s="112"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40"/>
      <c r="C21" s="106"/>
      <c r="D21" s="106"/>
      <c r="E21" s="40"/>
      <c r="F21" s="111"/>
    </row>
    <row r="22" spans="1:6" s="112"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102"/>
      <c r="C22" s="106"/>
      <c r="D22" s="106"/>
      <c r="E22" s="102"/>
      <c r="F22" s="111"/>
    </row>
    <row r="23" spans="1:6" s="112"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40"/>
      <c r="C23" s="106"/>
      <c r="D23" s="106"/>
      <c r="E23" s="40"/>
      <c r="F23" s="111"/>
    </row>
    <row r="24" spans="1:6" s="112"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102"/>
      <c r="C24" s="106"/>
      <c r="D24" s="106"/>
      <c r="E24" s="102"/>
      <c r="F24" s="111"/>
    </row>
    <row r="25" spans="1:6" s="112"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40"/>
      <c r="C25" s="106"/>
      <c r="D25" s="106"/>
      <c r="E25" s="40"/>
      <c r="F25" s="111"/>
    </row>
    <row r="26" spans="1:6" s="112"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102"/>
      <c r="C26" s="106"/>
      <c r="D26" s="106"/>
      <c r="E26" s="102"/>
      <c r="F26" s="111"/>
    </row>
    <row r="27" spans="1:6" s="112"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40"/>
      <c r="C27" s="106"/>
      <c r="D27" s="106"/>
      <c r="E27" s="40"/>
      <c r="F27" s="111"/>
    </row>
    <row r="28" spans="1:6" s="112"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102"/>
      <c r="C28" s="106"/>
      <c r="D28" s="106"/>
      <c r="E28" s="102"/>
      <c r="F28" s="111"/>
    </row>
    <row r="29" spans="1:6" s="112"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40"/>
      <c r="C29" s="106"/>
      <c r="D29" s="115"/>
      <c r="E29" s="40"/>
      <c r="F29" s="111"/>
    </row>
    <row r="30" spans="1:6" s="112"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102"/>
      <c r="C30" s="106"/>
      <c r="D30" s="115"/>
      <c r="E30" s="102"/>
      <c r="F30" s="111"/>
    </row>
    <row r="31" spans="1:6" s="112"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40"/>
      <c r="C31" s="106"/>
      <c r="D31" s="115"/>
      <c r="E31" s="40"/>
      <c r="F31" s="111"/>
    </row>
    <row r="32" spans="1:6" s="112"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102"/>
      <c r="C32" s="106"/>
      <c r="D32" s="115"/>
      <c r="E32" s="102"/>
      <c r="F32" s="111"/>
    </row>
    <row r="33" spans="1:6" s="112"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40"/>
      <c r="C33" s="106"/>
      <c r="D33" s="115"/>
      <c r="E33" s="40"/>
      <c r="F33" s="111"/>
    </row>
    <row r="34" spans="1:6" s="112" customFormat="1" ht="39" customHeight="1" thickBot="1" x14ac:dyDescent="0.3">
      <c r="A3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167"/>
      <c r="C34" s="168"/>
      <c r="D34" s="116"/>
      <c r="E34" s="167"/>
      <c r="F34" s="111"/>
    </row>
    <row r="35" spans="1:6" s="112" customFormat="1" ht="39" customHeight="1" x14ac:dyDescent="0.25">
      <c r="A35"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5" s="103" t="s">
        <v>122</v>
      </c>
      <c r="C35" s="107">
        <v>30</v>
      </c>
      <c r="D35" s="117" t="s">
        <v>126</v>
      </c>
      <c r="E35" s="158" t="s">
        <v>20</v>
      </c>
      <c r="F35" s="170"/>
    </row>
    <row r="36" spans="1:6" s="112" customFormat="1" ht="39" customHeight="1" x14ac:dyDescent="0.25">
      <c r="A36"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6" s="104" t="s">
        <v>122</v>
      </c>
      <c r="C36" s="108">
        <v>64</v>
      </c>
      <c r="D36" s="118" t="s">
        <v>123</v>
      </c>
      <c r="E36" s="159" t="s">
        <v>127</v>
      </c>
      <c r="F36" s="172"/>
    </row>
    <row r="37" spans="1:6" s="112" customFormat="1" ht="39" customHeight="1" thickBot="1" x14ac:dyDescent="0.3">
      <c r="A37"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7" s="174" t="s">
        <v>122</v>
      </c>
      <c r="C37" s="175">
        <v>10</v>
      </c>
      <c r="D37" s="176" t="s">
        <v>128</v>
      </c>
      <c r="E37" s="177" t="s">
        <v>129</v>
      </c>
      <c r="F37" s="178"/>
    </row>
    <row r="38" spans="1:6" s="112" customFormat="1" ht="39" customHeight="1" x14ac:dyDescent="0.25">
      <c r="A38"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Atenolol-0,01mg/L + Testostérone</v>
      </c>
      <c r="B38" s="192" t="str">
        <f>B14</f>
        <v>189-20</v>
      </c>
      <c r="C38" s="192">
        <f t="shared" ref="C38:E38" si="0">C14</f>
        <v>0.01</v>
      </c>
      <c r="D38" s="192" t="str">
        <f t="shared" si="0"/>
        <v>mg/L</v>
      </c>
      <c r="E38" s="192" t="str">
        <f t="shared" si="0"/>
        <v>Atenolol</v>
      </c>
      <c r="F38" s="113" t="s">
        <v>50</v>
      </c>
    </row>
    <row r="39" spans="1:6" s="112" customFormat="1" ht="39" customHeight="1" x14ac:dyDescent="0.25">
      <c r="A3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Atenolol-0,1mg/L + Testostérone</v>
      </c>
      <c r="B39" s="194" t="str">
        <f t="shared" ref="B39:E39" si="1">B15</f>
        <v>189-20</v>
      </c>
      <c r="C39" s="194">
        <f t="shared" si="1"/>
        <v>0.1</v>
      </c>
      <c r="D39" s="194" t="str">
        <f t="shared" si="1"/>
        <v>mg/L</v>
      </c>
      <c r="E39" s="194" t="str">
        <f t="shared" si="1"/>
        <v>Atenolol</v>
      </c>
      <c r="F39" s="114" t="s">
        <v>50</v>
      </c>
    </row>
    <row r="40" spans="1:6" s="112" customFormat="1" ht="39" customHeight="1" x14ac:dyDescent="0.2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Atenolol-1mg/L + Testostérone</v>
      </c>
      <c r="B40" s="194" t="str">
        <f t="shared" ref="B40:E40" si="2">B16</f>
        <v>189-20</v>
      </c>
      <c r="C40" s="194">
        <f t="shared" si="2"/>
        <v>1</v>
      </c>
      <c r="D40" s="194" t="str">
        <f t="shared" si="2"/>
        <v>mg/L</v>
      </c>
      <c r="E40" s="194" t="str">
        <f t="shared" si="2"/>
        <v>Atenolol</v>
      </c>
      <c r="F40" s="114" t="s">
        <v>50</v>
      </c>
    </row>
    <row r="41" spans="1:6" s="112" customFormat="1" ht="39" customHeight="1" x14ac:dyDescent="0.2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Atenolol-10mg/L + Testostérone</v>
      </c>
      <c r="B41" s="194" t="str">
        <f t="shared" ref="B41:E41" si="3">B17</f>
        <v>189-20</v>
      </c>
      <c r="C41" s="194">
        <f t="shared" si="3"/>
        <v>10</v>
      </c>
      <c r="D41" s="194" t="str">
        <f t="shared" si="3"/>
        <v>mg/L</v>
      </c>
      <c r="E41" s="194" t="str">
        <f t="shared" si="3"/>
        <v>Atenolol</v>
      </c>
      <c r="F41" s="114" t="s">
        <v>50</v>
      </c>
    </row>
    <row r="42" spans="1:6" s="112" customFormat="1" ht="39" customHeight="1" x14ac:dyDescent="0.2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Atenolol-100mg/L + Testostérone</v>
      </c>
      <c r="B42" s="194" t="str">
        <f t="shared" ref="B42:E42" si="4">B18</f>
        <v>189-20</v>
      </c>
      <c r="C42" s="194">
        <f t="shared" si="4"/>
        <v>100</v>
      </c>
      <c r="D42" s="194" t="str">
        <f t="shared" si="4"/>
        <v>mg/L</v>
      </c>
      <c r="E42" s="194" t="str">
        <f t="shared" si="4"/>
        <v>Atenolol</v>
      </c>
      <c r="F42" s="114" t="s">
        <v>50</v>
      </c>
    </row>
    <row r="43" spans="1:6" s="112" customFormat="1" ht="39" customHeight="1" x14ac:dyDescent="0.25">
      <c r="A43" s="75"/>
      <c r="B43" s="194"/>
      <c r="C43" s="194"/>
      <c r="D43" s="194"/>
      <c r="E43" s="194"/>
      <c r="F43" s="114"/>
    </row>
    <row r="44" spans="1:6" s="112" customFormat="1" ht="39" customHeight="1" x14ac:dyDescent="0.25">
      <c r="A44" s="75"/>
      <c r="B44" s="194"/>
      <c r="C44" s="194"/>
      <c r="D44" s="194"/>
      <c r="E44" s="194"/>
      <c r="F44" s="114"/>
    </row>
    <row r="45" spans="1:6" s="112" customFormat="1" ht="39" customHeight="1" x14ac:dyDescent="0.25">
      <c r="A45" s="75"/>
      <c r="B45" s="194"/>
      <c r="C45" s="194"/>
      <c r="D45" s="194"/>
      <c r="E45" s="194"/>
      <c r="F45" s="114"/>
    </row>
    <row r="46" spans="1:6" s="112" customFormat="1" ht="39" customHeight="1" x14ac:dyDescent="0.25">
      <c r="A46" s="75"/>
      <c r="B46" s="194"/>
      <c r="C46" s="194"/>
      <c r="D46" s="194"/>
      <c r="E46" s="194"/>
      <c r="F46" s="114"/>
    </row>
    <row r="47" spans="1:6" s="112" customFormat="1" ht="39" customHeight="1" x14ac:dyDescent="0.25">
      <c r="A47" s="75"/>
      <c r="B47" s="194"/>
      <c r="C47" s="194"/>
      <c r="D47" s="194"/>
      <c r="E47" s="194"/>
      <c r="F47" s="114"/>
    </row>
    <row r="48" spans="1:6" s="112" customFormat="1" ht="39" customHeight="1" x14ac:dyDescent="0.25">
      <c r="A48" s="75"/>
      <c r="B48" s="194"/>
      <c r="C48" s="194"/>
      <c r="D48" s="194"/>
      <c r="E48" s="194"/>
      <c r="F48" s="114"/>
    </row>
    <row r="49" spans="1:6" s="112" customFormat="1" ht="39" customHeight="1" x14ac:dyDescent="0.25">
      <c r="A49" s="75"/>
      <c r="B49" s="194"/>
      <c r="C49" s="194"/>
      <c r="D49" s="194"/>
      <c r="E49" s="194"/>
      <c r="F49" s="114"/>
    </row>
    <row r="50" spans="1:6" s="112" customFormat="1" ht="39" customHeight="1" x14ac:dyDescent="0.25">
      <c r="A50" s="75"/>
      <c r="B50" s="194"/>
      <c r="C50" s="194"/>
      <c r="D50" s="194"/>
      <c r="E50" s="194"/>
      <c r="F50" s="114"/>
    </row>
    <row r="51" spans="1:6" s="112" customFormat="1" ht="39" customHeight="1" x14ac:dyDescent="0.25">
      <c r="A51" s="75"/>
      <c r="B51" s="194"/>
      <c r="C51" s="194"/>
      <c r="D51" s="194"/>
      <c r="E51" s="194"/>
      <c r="F51" s="114"/>
    </row>
    <row r="52" spans="1:6" s="112" customFormat="1" ht="39" customHeight="1" x14ac:dyDescent="0.25">
      <c r="A52" s="75"/>
      <c r="B52" s="194"/>
      <c r="C52" s="194"/>
      <c r="D52" s="194"/>
      <c r="E52" s="194"/>
      <c r="F52" s="114"/>
    </row>
    <row r="53" spans="1:6" s="112" customFormat="1" ht="39" customHeight="1" x14ac:dyDescent="0.25">
      <c r="A53" s="75"/>
      <c r="B53" s="194"/>
      <c r="C53" s="194"/>
      <c r="D53" s="194"/>
      <c r="E53" s="194"/>
      <c r="F53" s="114"/>
    </row>
    <row r="54" spans="1:6" s="112" customFormat="1" ht="39" customHeight="1" x14ac:dyDescent="0.25">
      <c r="A54" s="75"/>
      <c r="B54" s="194"/>
      <c r="C54" s="194"/>
      <c r="D54" s="194"/>
      <c r="E54" s="194"/>
      <c r="F54" s="114"/>
    </row>
    <row r="55" spans="1:6" s="112" customFormat="1" ht="39" customHeight="1" x14ac:dyDescent="0.25">
      <c r="A55" s="75"/>
      <c r="B55" s="194"/>
      <c r="C55" s="194"/>
      <c r="D55" s="194"/>
      <c r="E55" s="194"/>
      <c r="F55" s="114"/>
    </row>
    <row r="56" spans="1:6" s="112" customFormat="1" ht="39" customHeight="1" x14ac:dyDescent="0.25">
      <c r="A56" s="75"/>
      <c r="B56" s="194"/>
      <c r="C56" s="194"/>
      <c r="D56" s="194"/>
      <c r="E56" s="194"/>
      <c r="F56" s="114"/>
    </row>
    <row r="57" spans="1:6" s="112" customFormat="1" ht="39" customHeight="1" x14ac:dyDescent="0.25">
      <c r="A57" s="105"/>
      <c r="B57" s="193"/>
      <c r="C57" s="193"/>
      <c r="D57" s="193"/>
      <c r="E57" s="193"/>
      <c r="F57" s="114"/>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9" type="noConversion"/>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106</v>
      </c>
      <c r="B1" t="s">
        <v>107</v>
      </c>
      <c r="C1" t="s">
        <v>108</v>
      </c>
      <c r="D1" t="s">
        <v>109</v>
      </c>
      <c r="E1" t="s">
        <v>110</v>
      </c>
      <c r="F1" t="s">
        <v>111</v>
      </c>
      <c r="G1" t="s">
        <v>112</v>
      </c>
      <c r="H1" t="s">
        <v>116</v>
      </c>
      <c r="I1" t="s">
        <v>117</v>
      </c>
    </row>
    <row r="2" spans="1:9" x14ac:dyDescent="0.25">
      <c r="A2" t="s">
        <v>151</v>
      </c>
      <c r="B2" t="s">
        <v>162</v>
      </c>
      <c r="C2" t="s">
        <v>142</v>
      </c>
      <c r="D2" t="s">
        <v>145</v>
      </c>
      <c r="E2" t="s">
        <v>146</v>
      </c>
      <c r="F2" t="s">
        <v>111</v>
      </c>
      <c r="G2">
        <v>360268</v>
      </c>
    </row>
    <row r="3" spans="1:9" x14ac:dyDescent="0.25">
      <c r="A3" t="s">
        <v>151</v>
      </c>
      <c r="B3" t="s">
        <v>162</v>
      </c>
      <c r="C3" t="s">
        <v>143</v>
      </c>
      <c r="D3" t="s">
        <v>147</v>
      </c>
      <c r="E3" t="s">
        <v>148</v>
      </c>
      <c r="F3" t="s">
        <v>111</v>
      </c>
      <c r="G3">
        <v>372315</v>
      </c>
    </row>
    <row r="4" spans="1:9" x14ac:dyDescent="0.25">
      <c r="A4" t="s">
        <v>151</v>
      </c>
      <c r="B4" t="s">
        <v>162</v>
      </c>
      <c r="C4" t="s">
        <v>144</v>
      </c>
      <c r="D4" t="s">
        <v>149</v>
      </c>
      <c r="E4" t="s">
        <v>150</v>
      </c>
      <c r="F4" t="s">
        <v>111</v>
      </c>
      <c r="G4">
        <v>237626</v>
      </c>
    </row>
    <row r="5" spans="1:9" x14ac:dyDescent="0.25">
      <c r="A5" t="s">
        <v>151</v>
      </c>
      <c r="B5" t="s">
        <v>162</v>
      </c>
      <c r="C5" t="s">
        <v>159</v>
      </c>
      <c r="D5" t="s">
        <v>160</v>
      </c>
      <c r="E5" t="s">
        <v>161</v>
      </c>
      <c r="F5" t="s">
        <v>111</v>
      </c>
      <c r="G5">
        <v>1439015</v>
      </c>
    </row>
    <row r="6" spans="1:9" x14ac:dyDescent="0.25">
      <c r="A6" t="s">
        <v>151</v>
      </c>
      <c r="B6" t="s">
        <v>162</v>
      </c>
      <c r="C6" t="s">
        <v>156</v>
      </c>
      <c r="D6" t="s">
        <v>157</v>
      </c>
      <c r="E6" t="s">
        <v>158</v>
      </c>
      <c r="F6" t="s">
        <v>111</v>
      </c>
      <c r="G6">
        <v>1433586</v>
      </c>
    </row>
    <row r="7" spans="1:9" x14ac:dyDescent="0.25">
      <c r="A7" t="s">
        <v>151</v>
      </c>
      <c r="B7" t="s">
        <v>162</v>
      </c>
      <c r="C7" t="s">
        <v>153</v>
      </c>
      <c r="D7" t="s">
        <v>154</v>
      </c>
      <c r="E7" t="s">
        <v>155</v>
      </c>
      <c r="F7" t="s">
        <v>111</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H1" zoomScale="70" zoomScaleNormal="70" workbookViewId="0">
      <selection activeCell="Z5" sqref="Z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44.8554687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106</v>
      </c>
      <c r="B1" s="1" t="s">
        <v>107</v>
      </c>
      <c r="C1" s="1" t="s">
        <v>108</v>
      </c>
      <c r="D1" s="1" t="s">
        <v>109</v>
      </c>
      <c r="E1" s="1" t="s">
        <v>110</v>
      </c>
      <c r="F1" s="1" t="s">
        <v>111</v>
      </c>
      <c r="G1" s="1" t="s">
        <v>112</v>
      </c>
      <c r="H1" s="1" t="s">
        <v>116</v>
      </c>
      <c r="I1" s="1" t="s">
        <v>117</v>
      </c>
      <c r="K1" s="119" t="s">
        <v>111</v>
      </c>
      <c r="L1" s="1" t="s">
        <v>118</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164</v>
      </c>
      <c r="D2" s="1" t="s">
        <v>165</v>
      </c>
      <c r="E2" s="1" t="s">
        <v>166</v>
      </c>
      <c r="F2" s="1" t="s">
        <v>111</v>
      </c>
      <c r="G2" s="1">
        <v>875016</v>
      </c>
      <c r="K2" s="156" t="s">
        <v>119</v>
      </c>
      <c r="L2" s="156" t="s">
        <v>120</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167</v>
      </c>
      <c r="D3" s="1" t="s">
        <v>168</v>
      </c>
      <c r="E3" s="1" t="s">
        <v>169</v>
      </c>
      <c r="F3" s="1" t="s">
        <v>111</v>
      </c>
      <c r="G3" s="1">
        <v>447652</v>
      </c>
      <c r="K3" s="119" t="s">
        <v>152</v>
      </c>
      <c r="L3" s="119" t="s">
        <v>113</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170</v>
      </c>
      <c r="D4" s="1" t="s">
        <v>171</v>
      </c>
      <c r="E4" s="1" t="s">
        <v>172</v>
      </c>
      <c r="F4" s="1" t="s">
        <v>111</v>
      </c>
      <c r="G4" s="1">
        <v>177603</v>
      </c>
      <c r="K4" s="119" t="s">
        <v>100</v>
      </c>
      <c r="L4" s="1" t="s">
        <v>1638</v>
      </c>
      <c r="M4" s="1" t="s">
        <v>1639</v>
      </c>
      <c r="N4" s="1" t="s">
        <v>1640</v>
      </c>
      <c r="O4" s="1" t="s">
        <v>1641</v>
      </c>
      <c r="P4" s="1" t="s">
        <v>1642</v>
      </c>
      <c r="Q4" s="1" t="s">
        <v>1643</v>
      </c>
      <c r="R4" s="1" t="s">
        <v>1644</v>
      </c>
      <c r="S4" s="1" t="s">
        <v>1645</v>
      </c>
      <c r="T4" s="1" t="s">
        <v>1646</v>
      </c>
      <c r="U4" s="1" t="s">
        <v>1647</v>
      </c>
      <c r="V4" s="1" t="s">
        <v>1648</v>
      </c>
      <c r="W4" s="1" t="s">
        <v>1649</v>
      </c>
      <c r="X4" s="1" t="s">
        <v>1650</v>
      </c>
      <c r="Y4" s="1" t="s">
        <v>1651</v>
      </c>
      <c r="Z4" s="1" t="s">
        <v>1652</v>
      </c>
      <c r="AA4" s="1" t="s">
        <v>1653</v>
      </c>
      <c r="AB4" s="1" t="s">
        <v>1654</v>
      </c>
      <c r="AC4" s="1" t="s">
        <v>1655</v>
      </c>
      <c r="AD4" s="1" t="s">
        <v>1656</v>
      </c>
      <c r="AE4" s="1" t="s">
        <v>1657</v>
      </c>
      <c r="AF4" s="1" t="s">
        <v>1658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173</v>
      </c>
      <c r="K5" s="146" t="s">
        <v>162</v>
      </c>
      <c r="L5" s="44">
        <v>500090.33333333331</v>
      </c>
      <c r="M5" s="44">
        <v>342185</v>
      </c>
      <c r="N5" s="44">
        <v>30476.5</v>
      </c>
      <c r="O5" s="44">
        <v>409324</v>
      </c>
      <c r="P5" s="44">
        <v>1809633</v>
      </c>
      <c r="Q5" s="44">
        <v>2329719.6666666665</v>
      </c>
      <c r="R5" s="44">
        <v>7381454</v>
      </c>
      <c r="S5" s="44">
        <v>74356.333333333328</v>
      </c>
      <c r="T5" s="44">
        <v>264800.33333333331</v>
      </c>
      <c r="U5" s="44">
        <v>604714</v>
      </c>
      <c r="V5" s="44">
        <v>167264</v>
      </c>
      <c r="W5" s="44">
        <v>547171.33333333337</v>
      </c>
      <c r="X5" s="44">
        <v>2837734</v>
      </c>
      <c r="Y5" s="44">
        <v>1332675.3333333333</v>
      </c>
      <c r="Z5" s="44">
        <v>1152722</v>
      </c>
      <c r="AA5" s="44">
        <v>305032</v>
      </c>
      <c r="AB5" s="44">
        <v>3947650.5</v>
      </c>
      <c r="AC5" s="44">
        <v>3361502</v>
      </c>
      <c r="AD5" s="44">
        <v>1590705.5</v>
      </c>
      <c r="AE5" s="44">
        <v>391104.66666666669</v>
      </c>
      <c r="AF5" s="44">
        <v>3575984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174</v>
      </c>
      <c r="D6" s="1" t="s">
        <v>175</v>
      </c>
      <c r="E6" s="1" t="s">
        <v>176</v>
      </c>
      <c r="F6" s="1" t="s">
        <v>111</v>
      </c>
      <c r="G6" s="1">
        <v>848108</v>
      </c>
      <c r="K6" s="146" t="s">
        <v>1659</v>
      </c>
      <c r="L6" s="44">
        <v>439087</v>
      </c>
      <c r="M6" s="44">
        <v>657339.66666666663</v>
      </c>
      <c r="N6" s="44">
        <v>157347</v>
      </c>
      <c r="O6" s="44">
        <v>461762</v>
      </c>
      <c r="P6" s="44">
        <v>2158415</v>
      </c>
      <c r="Q6" s="44">
        <v>4448173.666666667</v>
      </c>
      <c r="R6" s="44">
        <v>4850763.333333333</v>
      </c>
      <c r="S6" s="44">
        <v>478085.33333333331</v>
      </c>
      <c r="T6" s="44">
        <v>287836</v>
      </c>
      <c r="U6" s="44">
        <v>439635</v>
      </c>
      <c r="V6" s="44">
        <v>418661.33333333331</v>
      </c>
      <c r="W6" s="44">
        <v>906732.33333333337</v>
      </c>
      <c r="X6" s="44">
        <v>1926975</v>
      </c>
      <c r="Y6" s="44">
        <v>3511534.3333333335</v>
      </c>
      <c r="Z6" s="44">
        <v>4963534.333333333</v>
      </c>
      <c r="AA6" s="44">
        <v>727658.66666666663</v>
      </c>
      <c r="AB6" s="44">
        <v>3422920</v>
      </c>
      <c r="AC6" s="44">
        <v>2753442.3333333335</v>
      </c>
      <c r="AD6" s="44">
        <v>2082086.3333333333</v>
      </c>
      <c r="AE6" s="44">
        <v>1650044</v>
      </c>
      <c r="AF6" s="44">
        <v>1824244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177</v>
      </c>
      <c r="D7" s="1" t="s">
        <v>178</v>
      </c>
      <c r="E7" s="1" t="s">
        <v>179</v>
      </c>
      <c r="F7" s="1" t="s">
        <v>111</v>
      </c>
      <c r="G7" s="1">
        <v>30066</v>
      </c>
      <c r="K7" s="146" t="s">
        <v>1660</v>
      </c>
      <c r="L7" s="44">
        <v>792468.66666666663</v>
      </c>
      <c r="M7" s="44">
        <v>397168</v>
      </c>
      <c r="N7" s="44">
        <v>277735</v>
      </c>
      <c r="O7" s="44">
        <v>807977.66666666663</v>
      </c>
      <c r="P7" s="44">
        <v>7212856</v>
      </c>
      <c r="Q7" s="44">
        <v>158057</v>
      </c>
      <c r="R7" s="44">
        <v>6364589.333333333</v>
      </c>
      <c r="S7" s="44">
        <v>95157.333333333328</v>
      </c>
      <c r="T7" s="44">
        <v>59309</v>
      </c>
      <c r="U7" s="44">
        <v>32437.666666666668</v>
      </c>
      <c r="V7" s="44">
        <v>281426.66666666669</v>
      </c>
      <c r="W7" s="44">
        <v>352993</v>
      </c>
      <c r="X7" s="44">
        <v>2670419.6666666665</v>
      </c>
      <c r="Y7" s="44">
        <v>2084613.5</v>
      </c>
      <c r="Z7" s="44">
        <v>4506249.333333333</v>
      </c>
      <c r="AA7" s="44">
        <v>480674</v>
      </c>
      <c r="AB7" s="44">
        <v>2512334</v>
      </c>
      <c r="AC7" s="44">
        <v>2989309.3333333335</v>
      </c>
      <c r="AD7" s="44">
        <v>200833.33333333334</v>
      </c>
      <c r="AE7" s="44">
        <v>93376.333333333328</v>
      </c>
      <c r="AF7" s="44">
        <v>2751748</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180</v>
      </c>
      <c r="D8" s="1" t="s">
        <v>181</v>
      </c>
      <c r="E8" s="1" t="s">
        <v>182</v>
      </c>
      <c r="F8" s="1" t="s">
        <v>111</v>
      </c>
      <c r="G8" s="1">
        <v>526385</v>
      </c>
      <c r="K8" s="146" t="s">
        <v>1661</v>
      </c>
      <c r="L8" s="44">
        <v>88617.5</v>
      </c>
      <c r="M8" s="44">
        <v>157783</v>
      </c>
      <c r="N8" s="44">
        <v>468078</v>
      </c>
      <c r="O8" s="44">
        <v>1761041.3333333333</v>
      </c>
      <c r="P8" s="44">
        <v>756311</v>
      </c>
      <c r="Q8" s="44">
        <v>4216845</v>
      </c>
      <c r="R8" s="44">
        <v>8275612</v>
      </c>
      <c r="S8" s="44">
        <v>249342</v>
      </c>
      <c r="T8" s="44">
        <v>394356</v>
      </c>
      <c r="U8" s="44">
        <v>720297</v>
      </c>
      <c r="V8" s="44">
        <v>134040</v>
      </c>
      <c r="W8" s="44">
        <v>485987.66666666669</v>
      </c>
      <c r="X8" s="44">
        <v>4350766.666666667</v>
      </c>
      <c r="Y8" s="44">
        <v>5375483</v>
      </c>
      <c r="Z8" s="44">
        <v>5197973.666666667</v>
      </c>
      <c r="AA8" s="44">
        <v>426729</v>
      </c>
      <c r="AB8" s="44">
        <v>1255464</v>
      </c>
      <c r="AC8" s="44">
        <v>835728.66666666663</v>
      </c>
      <c r="AD8" s="44">
        <v>2627671.6666666665</v>
      </c>
      <c r="AE8" s="44">
        <v>3617607</v>
      </c>
      <c r="AF8" s="44">
        <v>3330787.6666666665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183</v>
      </c>
      <c r="D9" s="1" t="s">
        <v>184</v>
      </c>
      <c r="E9" s="1" t="s">
        <v>185</v>
      </c>
      <c r="F9" s="1" t="s">
        <v>111</v>
      </c>
      <c r="G9" s="1">
        <v>1015177</v>
      </c>
      <c r="K9" s="146" t="s">
        <v>1662</v>
      </c>
      <c r="L9" s="44">
        <v>487588</v>
      </c>
      <c r="M9" s="44">
        <v>25199</v>
      </c>
      <c r="N9" s="44">
        <v>105554</v>
      </c>
      <c r="O9" s="44">
        <v>773499</v>
      </c>
      <c r="P9" s="44">
        <v>1089836.6666666667</v>
      </c>
      <c r="Q9" s="44">
        <v>5604471.333333333</v>
      </c>
      <c r="R9" s="44">
        <v>5290499</v>
      </c>
      <c r="S9" s="44">
        <v>652429.66666666663</v>
      </c>
      <c r="T9" s="44">
        <v>92778</v>
      </c>
      <c r="U9" s="44">
        <v>102893</v>
      </c>
      <c r="V9" s="44">
        <v>266725.33333333331</v>
      </c>
      <c r="W9" s="44">
        <v>249659.33333333334</v>
      </c>
      <c r="X9" s="44">
        <v>4526235.666666667</v>
      </c>
      <c r="Y9" s="44">
        <v>2904397.5</v>
      </c>
      <c r="Z9" s="44">
        <v>3911470.6666666665</v>
      </c>
      <c r="AA9" s="44">
        <v>618636.66666666663</v>
      </c>
      <c r="AB9" s="44">
        <v>1889847</v>
      </c>
      <c r="AC9" s="44">
        <v>3368762.3333333335</v>
      </c>
      <c r="AD9" s="44">
        <v>2962416</v>
      </c>
      <c r="AE9" s="44">
        <v>2967009</v>
      </c>
      <c r="AF9" s="44">
        <v>3053589.5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186</v>
      </c>
      <c r="D10" s="1" t="s">
        <v>187</v>
      </c>
      <c r="E10" s="1" t="s">
        <v>188</v>
      </c>
      <c r="F10" s="1" t="s">
        <v>111</v>
      </c>
      <c r="G10" s="1">
        <v>835844</v>
      </c>
      <c r="K10" s="146" t="s">
        <v>1663</v>
      </c>
      <c r="L10" s="44">
        <v>467011</v>
      </c>
      <c r="M10" s="44">
        <v>142569.66666666666</v>
      </c>
      <c r="N10" s="44">
        <v>315883</v>
      </c>
      <c r="O10" s="44">
        <v>561158.66666666663</v>
      </c>
      <c r="P10" s="44">
        <v>534071</v>
      </c>
      <c r="Q10" s="44">
        <v>3944730.6666666665</v>
      </c>
      <c r="R10" s="44">
        <v>5858031.333333333</v>
      </c>
      <c r="S10" s="44">
        <v>428445</v>
      </c>
      <c r="T10" s="44">
        <v>610957.66666666663</v>
      </c>
      <c r="U10" s="44">
        <v>395286.33333333331</v>
      </c>
      <c r="V10" s="44">
        <v>346568.66666666669</v>
      </c>
      <c r="W10" s="44">
        <v>463334</v>
      </c>
      <c r="X10" s="44">
        <v>5207945.333333333</v>
      </c>
      <c r="Y10" s="44">
        <v>3308869.3333333335</v>
      </c>
      <c r="Z10" s="44"/>
      <c r="AA10" s="44">
        <v>390322.5</v>
      </c>
      <c r="AB10" s="44">
        <v>3669382</v>
      </c>
      <c r="AC10" s="44">
        <v>1456665.3333333333</v>
      </c>
      <c r="AD10" s="44">
        <v>2448252</v>
      </c>
      <c r="AE10" s="44">
        <v>3413002.6666666665</v>
      </c>
      <c r="AF10" s="44">
        <v>3107848.5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189</v>
      </c>
      <c r="D11" s="1" t="s">
        <v>190</v>
      </c>
      <c r="E11" s="1" t="s">
        <v>191</v>
      </c>
      <c r="F11" s="1" t="s">
        <v>111</v>
      </c>
      <c r="G11" s="1">
        <v>128611</v>
      </c>
      <c r="K11" s="146" t="s">
        <v>1664</v>
      </c>
      <c r="L11" s="44">
        <v>195174</v>
      </c>
      <c r="M11" s="44">
        <v>273798.66666666669</v>
      </c>
      <c r="N11" s="44">
        <v>235701</v>
      </c>
      <c r="O11" s="44">
        <v>516641</v>
      </c>
      <c r="P11" s="44">
        <v>2361220.3333333335</v>
      </c>
      <c r="Q11" s="44">
        <v>4626533.666666667</v>
      </c>
      <c r="R11" s="44">
        <v>5409146.666666667</v>
      </c>
      <c r="S11" s="44">
        <v>310793</v>
      </c>
      <c r="T11" s="44">
        <v>173709.66666666666</v>
      </c>
      <c r="U11" s="44">
        <v>405863.33333333331</v>
      </c>
      <c r="V11" s="44">
        <v>85272.333333333328</v>
      </c>
      <c r="W11" s="44">
        <v>174885</v>
      </c>
      <c r="X11" s="44">
        <v>2769700.6666666665</v>
      </c>
      <c r="Y11" s="44">
        <v>1758921.3333333333</v>
      </c>
      <c r="Z11" s="44">
        <v>5255379.333333333</v>
      </c>
      <c r="AA11" s="44">
        <v>325212.66666666669</v>
      </c>
      <c r="AB11" s="44">
        <v>2905651.6666666665</v>
      </c>
      <c r="AC11" s="44">
        <v>1871624</v>
      </c>
      <c r="AD11" s="44">
        <v>2218412.3333333335</v>
      </c>
      <c r="AE11" s="44">
        <v>3590642</v>
      </c>
      <c r="AF11" s="44">
        <v>1246732.6666666667</v>
      </c>
      <c r="AG11"/>
    </row>
    <row r="12" spans="1:144" x14ac:dyDescent="0.25">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192</v>
      </c>
      <c r="K12" s="146" t="s">
        <v>1665</v>
      </c>
      <c r="L12" s="44">
        <v>733657.33333333337</v>
      </c>
      <c r="M12" s="44">
        <v>477840.66666666669</v>
      </c>
      <c r="N12" s="44">
        <v>253668</v>
      </c>
      <c r="O12" s="44">
        <v>341118</v>
      </c>
      <c r="P12" s="44">
        <v>2292170.3333333335</v>
      </c>
      <c r="Q12" s="44">
        <v>4547437</v>
      </c>
      <c r="R12" s="44">
        <v>6929612.666666667</v>
      </c>
      <c r="S12" s="44">
        <v>599660</v>
      </c>
      <c r="T12" s="44">
        <v>64377.666666666664</v>
      </c>
      <c r="U12" s="44">
        <v>582309</v>
      </c>
      <c r="V12" s="44">
        <v>54954.666666666664</v>
      </c>
      <c r="W12" s="44">
        <v>579032.33333333337</v>
      </c>
      <c r="X12" s="44">
        <v>3326277.5</v>
      </c>
      <c r="Y12" s="44">
        <v>3481040</v>
      </c>
      <c r="Z12" s="44">
        <v>3534822.3333333335</v>
      </c>
      <c r="AA12" s="44"/>
      <c r="AB12" s="44">
        <v>4899510</v>
      </c>
      <c r="AC12" s="44">
        <v>1925522</v>
      </c>
      <c r="AD12" s="44">
        <v>2971053.6666666665</v>
      </c>
      <c r="AE12" s="44"/>
      <c r="AF12" s="44">
        <v>3555165</v>
      </c>
      <c r="AG12"/>
    </row>
    <row r="13" spans="1:144" x14ac:dyDescent="0.25">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193</v>
      </c>
      <c r="D13" s="1" t="s">
        <v>194</v>
      </c>
      <c r="E13" s="1" t="s">
        <v>195</v>
      </c>
      <c r="F13" s="1" t="s">
        <v>111</v>
      </c>
      <c r="G13" s="1">
        <v>48624</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196</v>
      </c>
      <c r="D14" s="1" t="s">
        <v>197</v>
      </c>
      <c r="E14" s="1" t="s">
        <v>198</v>
      </c>
      <c r="F14" s="1" t="s">
        <v>111</v>
      </c>
      <c r="G14" s="1">
        <v>785684</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199</v>
      </c>
      <c r="D15" s="1" t="s">
        <v>200</v>
      </c>
      <c r="E15" s="1" t="s">
        <v>201</v>
      </c>
      <c r="F15" s="1" t="s">
        <v>111</v>
      </c>
      <c r="G15" s="1">
        <v>131250</v>
      </c>
    </row>
    <row r="16" spans="1:144" x14ac:dyDescent="0.25">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202</v>
      </c>
      <c r="D16" s="1" t="s">
        <v>203</v>
      </c>
      <c r="E16" s="1" t="s">
        <v>204</v>
      </c>
      <c r="F16" s="1" t="s">
        <v>111</v>
      </c>
      <c r="G16" s="1">
        <v>545830</v>
      </c>
      <c r="M16"/>
      <c r="N16"/>
      <c r="O16"/>
      <c r="P16"/>
      <c r="Q16"/>
      <c r="R16"/>
      <c r="S16"/>
      <c r="T16"/>
      <c r="U16"/>
      <c r="V16"/>
      <c r="W16"/>
      <c r="X16"/>
      <c r="Y16"/>
      <c r="Z16"/>
      <c r="AA16"/>
      <c r="AB16"/>
      <c r="AC16"/>
      <c r="AD16"/>
      <c r="AE16"/>
      <c r="AF16"/>
      <c r="AG16"/>
      <c r="AH16"/>
    </row>
    <row r="17" spans="1:34" x14ac:dyDescent="0.25">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205</v>
      </c>
      <c r="M17"/>
      <c r="N17"/>
      <c r="O17"/>
      <c r="P17"/>
      <c r="Q17"/>
      <c r="R17"/>
      <c r="S17"/>
      <c r="T17"/>
      <c r="U17"/>
      <c r="V17"/>
      <c r="W17"/>
      <c r="X17"/>
      <c r="Y17"/>
      <c r="Z17"/>
      <c r="AA17"/>
      <c r="AB17"/>
      <c r="AC17"/>
      <c r="AD17"/>
      <c r="AE17"/>
      <c r="AF17"/>
      <c r="AG17"/>
      <c r="AH17"/>
    </row>
    <row r="18" spans="1:34" x14ac:dyDescent="0.25">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206</v>
      </c>
      <c r="D18" s="1" t="s">
        <v>207</v>
      </c>
      <c r="E18" s="1" t="s">
        <v>208</v>
      </c>
      <c r="F18" s="1" t="s">
        <v>111</v>
      </c>
      <c r="G18" s="1">
        <v>619783</v>
      </c>
      <c r="M18"/>
      <c r="N18"/>
      <c r="O18"/>
      <c r="P18"/>
      <c r="Q18"/>
      <c r="R18"/>
      <c r="S18"/>
      <c r="T18"/>
      <c r="U18"/>
      <c r="V18"/>
      <c r="W18"/>
      <c r="X18"/>
      <c r="Y18"/>
      <c r="Z18"/>
      <c r="AA18"/>
      <c r="AB18"/>
      <c r="AC18"/>
      <c r="AD18"/>
      <c r="AE18"/>
      <c r="AF18"/>
      <c r="AG18"/>
      <c r="AH18"/>
    </row>
    <row r="19" spans="1:34" x14ac:dyDescent="0.25">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209</v>
      </c>
      <c r="D19" s="1" t="s">
        <v>210</v>
      </c>
      <c r="E19" s="1" t="s">
        <v>211</v>
      </c>
      <c r="F19" s="1" t="s">
        <v>111</v>
      </c>
      <c r="G19" s="1">
        <v>314239</v>
      </c>
      <c r="K19"/>
      <c r="L19"/>
      <c r="M19"/>
      <c r="N19"/>
      <c r="O19"/>
      <c r="P19"/>
      <c r="Q19"/>
      <c r="R19"/>
      <c r="S19"/>
      <c r="T19"/>
      <c r="U19"/>
      <c r="V19"/>
      <c r="W19"/>
      <c r="X19"/>
      <c r="Y19"/>
      <c r="Z19"/>
      <c r="AA19"/>
      <c r="AB19"/>
      <c r="AC19"/>
      <c r="AD19"/>
      <c r="AE19"/>
      <c r="AF19"/>
      <c r="AG19"/>
      <c r="AH19"/>
    </row>
    <row r="20" spans="1:34" x14ac:dyDescent="0.25">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212</v>
      </c>
      <c r="D20" s="1" t="s">
        <v>213</v>
      </c>
      <c r="E20" s="1" t="s">
        <v>214</v>
      </c>
      <c r="F20" s="1" t="s">
        <v>111</v>
      </c>
      <c r="G20" s="1">
        <v>95972</v>
      </c>
      <c r="K20"/>
      <c r="L20"/>
      <c r="M20"/>
      <c r="N20"/>
      <c r="O20"/>
      <c r="P20"/>
      <c r="Q20"/>
      <c r="R20"/>
      <c r="S20"/>
      <c r="T20"/>
      <c r="U20"/>
      <c r="V20"/>
      <c r="W20"/>
      <c r="X20"/>
      <c r="Y20"/>
      <c r="Z20"/>
      <c r="AA20"/>
      <c r="AB20"/>
      <c r="AC20"/>
      <c r="AD20"/>
      <c r="AE20"/>
      <c r="AF20"/>
      <c r="AG20"/>
      <c r="AH20"/>
    </row>
    <row r="21" spans="1:34" x14ac:dyDescent="0.25">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215</v>
      </c>
      <c r="D21" s="1" t="s">
        <v>216</v>
      </c>
      <c r="E21" s="1" t="s">
        <v>217</v>
      </c>
      <c r="F21" s="1" t="s">
        <v>111</v>
      </c>
      <c r="G21" s="1">
        <v>71552</v>
      </c>
      <c r="K21"/>
      <c r="L21"/>
      <c r="M21"/>
      <c r="N21"/>
      <c r="O21"/>
      <c r="P21"/>
      <c r="Q21"/>
      <c r="R21"/>
      <c r="S21"/>
      <c r="T21"/>
      <c r="U21"/>
      <c r="V21"/>
      <c r="W21"/>
      <c r="X21"/>
      <c r="Y21"/>
      <c r="Z21"/>
      <c r="AA21"/>
      <c r="AB21"/>
      <c r="AC21"/>
      <c r="AD21"/>
      <c r="AE21"/>
      <c r="AF21"/>
      <c r="AG21"/>
      <c r="AH21"/>
    </row>
    <row r="22" spans="1:34" x14ac:dyDescent="0.25">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218</v>
      </c>
      <c r="D22" s="1" t="s">
        <v>219</v>
      </c>
      <c r="E22" s="1" t="s">
        <v>220</v>
      </c>
      <c r="F22" s="1" t="s">
        <v>111</v>
      </c>
      <c r="G22" s="1">
        <v>417998</v>
      </c>
      <c r="K22"/>
      <c r="L22"/>
      <c r="M22"/>
      <c r="N22"/>
      <c r="O22"/>
      <c r="P22"/>
      <c r="Q22"/>
      <c r="R22"/>
      <c r="S22"/>
      <c r="T22"/>
      <c r="U22"/>
      <c r="V22"/>
      <c r="W22"/>
      <c r="X22"/>
      <c r="Y22"/>
      <c r="Z22"/>
      <c r="AA22"/>
      <c r="AB22"/>
      <c r="AC22"/>
      <c r="AD22"/>
      <c r="AE22"/>
      <c r="AF22"/>
      <c r="AG22"/>
      <c r="AH22"/>
    </row>
    <row r="23" spans="1:34" x14ac:dyDescent="0.25">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221</v>
      </c>
      <c r="D23" s="1" t="s">
        <v>222</v>
      </c>
      <c r="E23" s="1" t="s">
        <v>223</v>
      </c>
      <c r="F23" s="1" t="s">
        <v>111</v>
      </c>
      <c r="G23" s="1">
        <v>650952</v>
      </c>
      <c r="K23"/>
      <c r="L23"/>
      <c r="M23"/>
      <c r="N23"/>
      <c r="O23"/>
      <c r="P23"/>
      <c r="Q23"/>
      <c r="R23"/>
      <c r="S23"/>
      <c r="T23"/>
      <c r="U23"/>
      <c r="V23"/>
      <c r="W23"/>
      <c r="X23"/>
      <c r="Y23"/>
      <c r="Z23"/>
      <c r="AA23"/>
      <c r="AB23"/>
      <c r="AC23"/>
      <c r="AD23"/>
      <c r="AE23"/>
      <c r="AF23"/>
      <c r="AG23"/>
      <c r="AH23"/>
    </row>
    <row r="24" spans="1:34" x14ac:dyDescent="0.25">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224</v>
      </c>
      <c r="D24" s="1" t="s">
        <v>225</v>
      </c>
      <c r="E24" s="1" t="s">
        <v>226</v>
      </c>
      <c r="F24" s="1" t="s">
        <v>111</v>
      </c>
      <c r="G24" s="1">
        <v>923488</v>
      </c>
      <c r="K24"/>
      <c r="L24"/>
      <c r="M24"/>
      <c r="N24"/>
      <c r="O24"/>
      <c r="P24"/>
      <c r="Q24"/>
      <c r="R24"/>
      <c r="S24"/>
      <c r="T24"/>
      <c r="U24"/>
      <c r="V24"/>
      <c r="W24"/>
      <c r="X24"/>
      <c r="Y24"/>
      <c r="Z24"/>
      <c r="AA24"/>
      <c r="AB24"/>
      <c r="AC24"/>
      <c r="AD24"/>
      <c r="AE24"/>
      <c r="AF24"/>
      <c r="AG24"/>
      <c r="AH24"/>
    </row>
    <row r="25" spans="1:34" x14ac:dyDescent="0.25">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227</v>
      </c>
      <c r="D25" s="1" t="s">
        <v>228</v>
      </c>
      <c r="E25" s="1" t="s">
        <v>229</v>
      </c>
      <c r="F25" s="1" t="s">
        <v>111</v>
      </c>
      <c r="G25" s="1">
        <v>626532</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111</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230</v>
      </c>
      <c r="D27" s="1" t="s">
        <v>111</v>
      </c>
      <c r="E27" s="1" t="s">
        <v>231</v>
      </c>
      <c r="F27" s="1" t="s">
        <v>232</v>
      </c>
      <c r="G27" s="1" t="s">
        <v>233</v>
      </c>
      <c r="H27" s="1" t="s">
        <v>234</v>
      </c>
      <c r="I27" s="1" t="s">
        <v>235</v>
      </c>
      <c r="K27"/>
      <c r="L27"/>
      <c r="M27"/>
      <c r="N27"/>
      <c r="O27"/>
      <c r="P27"/>
      <c r="Q27"/>
      <c r="R27"/>
      <c r="S27"/>
      <c r="T27"/>
      <c r="U27"/>
      <c r="V27"/>
      <c r="W27"/>
      <c r="X27"/>
      <c r="Y27"/>
      <c r="Z27"/>
      <c r="AA27"/>
      <c r="AB27"/>
      <c r="AC27"/>
      <c r="AD27"/>
      <c r="AE27"/>
      <c r="AF27"/>
      <c r="AG27"/>
      <c r="AH27"/>
    </row>
    <row r="28" spans="1:34" x14ac:dyDescent="0.25">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236</v>
      </c>
      <c r="D28" s="1" t="s">
        <v>111</v>
      </c>
      <c r="E28" s="1" t="s">
        <v>237</v>
      </c>
      <c r="F28" s="1" t="s">
        <v>238</v>
      </c>
      <c r="G28" s="1">
        <v>482754</v>
      </c>
      <c r="H28" s="1" t="s">
        <v>239</v>
      </c>
      <c r="I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111</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111</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111</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111</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111</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240</v>
      </c>
      <c r="D34" s="1" t="s">
        <v>109</v>
      </c>
      <c r="E34" s="1" t="s">
        <v>110</v>
      </c>
      <c r="F34" s="1" t="s">
        <v>111</v>
      </c>
      <c r="G34" s="1" t="s">
        <v>112</v>
      </c>
      <c r="K34"/>
      <c r="L34"/>
      <c r="M34"/>
      <c r="N34"/>
      <c r="O34"/>
      <c r="P34"/>
      <c r="Q34"/>
      <c r="R34"/>
      <c r="S34"/>
      <c r="T34"/>
      <c r="U34"/>
      <c r="V34"/>
      <c r="W34"/>
      <c r="X34"/>
      <c r="Y34"/>
      <c r="Z34"/>
      <c r="AA34"/>
      <c r="AB34"/>
      <c r="AC34"/>
      <c r="AD34"/>
      <c r="AE34"/>
      <c r="AF34"/>
      <c r="AG34"/>
      <c r="AH34"/>
    </row>
    <row r="35" spans="1:34" x14ac:dyDescent="0.25">
      <c r="A35" s="1" t="str">
        <f t="shared" si="0"/>
        <v>02 EE2 34</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241</v>
      </c>
      <c r="D35" s="1" t="s">
        <v>242</v>
      </c>
      <c r="E35" s="1" t="s">
        <v>243</v>
      </c>
      <c r="F35" s="1" t="s">
        <v>111</v>
      </c>
      <c r="G35" s="1">
        <v>368660</v>
      </c>
      <c r="K35"/>
      <c r="L35"/>
      <c r="M35"/>
      <c r="N35"/>
      <c r="O35"/>
      <c r="P35"/>
      <c r="Q35"/>
      <c r="R35"/>
      <c r="S35"/>
      <c r="T35"/>
      <c r="U35"/>
      <c r="V35"/>
      <c r="W35"/>
      <c r="X35"/>
      <c r="Y35"/>
      <c r="Z35"/>
      <c r="AA35"/>
      <c r="AB35"/>
      <c r="AC35"/>
      <c r="AD35"/>
      <c r="AE35"/>
      <c r="AF35"/>
      <c r="AG35"/>
      <c r="AH35"/>
    </row>
    <row r="36" spans="1:34" x14ac:dyDescent="0.25">
      <c r="A36" s="1" t="str">
        <f t="shared" si="0"/>
        <v>02 EE2 34</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244</v>
      </c>
      <c r="D36" s="1" t="s">
        <v>245</v>
      </c>
      <c r="E36" s="1" t="s">
        <v>246</v>
      </c>
      <c r="F36" s="1" t="s">
        <v>111</v>
      </c>
      <c r="G36" s="1">
        <v>315710</v>
      </c>
      <c r="K36"/>
      <c r="L36"/>
      <c r="M36"/>
      <c r="N36"/>
      <c r="O36"/>
      <c r="P36"/>
      <c r="Q36"/>
      <c r="R36"/>
      <c r="S36"/>
      <c r="T36"/>
      <c r="U36"/>
      <c r="V36"/>
      <c r="W36"/>
      <c r="X36"/>
      <c r="Y36"/>
      <c r="Z36"/>
      <c r="AA36"/>
      <c r="AB36"/>
      <c r="AC36"/>
      <c r="AD36"/>
      <c r="AE36"/>
      <c r="AF36"/>
      <c r="AG36"/>
      <c r="AH36"/>
    </row>
    <row r="37" spans="1:34" x14ac:dyDescent="0.25">
      <c r="A37" s="1" t="str">
        <f t="shared" si="0"/>
        <v>02 EE2 34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247</v>
      </c>
      <c r="K37"/>
      <c r="L37"/>
      <c r="M37"/>
      <c r="N37"/>
      <c r="O37"/>
      <c r="P37"/>
      <c r="Q37"/>
      <c r="R37"/>
      <c r="S37"/>
      <c r="T37"/>
      <c r="U37"/>
      <c r="V37"/>
      <c r="W37"/>
      <c r="X37"/>
      <c r="Y37"/>
      <c r="Z37"/>
      <c r="AA37"/>
      <c r="AB37"/>
      <c r="AC37"/>
      <c r="AD37"/>
      <c r="AE37"/>
      <c r="AF37"/>
      <c r="AG37"/>
      <c r="AH37"/>
    </row>
    <row r="38" spans="1:34" x14ac:dyDescent="0.25">
      <c r="A38" s="1" t="str">
        <f t="shared" si="0"/>
        <v>02 EE2 34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248</v>
      </c>
      <c r="D38" s="1" t="s">
        <v>249</v>
      </c>
      <c r="E38" s="1" t="s">
        <v>250</v>
      </c>
      <c r="F38" s="1" t="s">
        <v>111</v>
      </c>
      <c r="G38" s="1">
        <v>688177</v>
      </c>
      <c r="K38"/>
      <c r="L38"/>
      <c r="M38"/>
      <c r="N38"/>
      <c r="O38"/>
      <c r="P38"/>
      <c r="Q38"/>
      <c r="R38"/>
      <c r="S38"/>
      <c r="T38"/>
      <c r="U38"/>
      <c r="V38"/>
      <c r="W38"/>
      <c r="X38"/>
      <c r="Y38"/>
      <c r="Z38"/>
      <c r="AA38"/>
      <c r="AB38"/>
      <c r="AC38"/>
      <c r="AD38"/>
      <c r="AE38"/>
      <c r="AF38"/>
      <c r="AG38"/>
      <c r="AH38"/>
    </row>
    <row r="39" spans="1:34" x14ac:dyDescent="0.25">
      <c r="A39" s="1" t="str">
        <f t="shared" si="0"/>
        <v>02 EE2 34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251</v>
      </c>
      <c r="D39" s="1" t="s">
        <v>252</v>
      </c>
      <c r="E39" s="1" t="s">
        <v>253</v>
      </c>
      <c r="F39" s="1" t="s">
        <v>111</v>
      </c>
      <c r="G39" s="1">
        <v>663151</v>
      </c>
    </row>
    <row r="40" spans="1:34" x14ac:dyDescent="0.25">
      <c r="A40" s="1" t="str">
        <f t="shared" si="0"/>
        <v>02 EE2 34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254</v>
      </c>
      <c r="D40" s="1" t="s">
        <v>255</v>
      </c>
      <c r="E40" s="1" t="s">
        <v>256</v>
      </c>
      <c r="F40" s="1" t="s">
        <v>111</v>
      </c>
      <c r="G40" s="1">
        <v>620691</v>
      </c>
    </row>
    <row r="41" spans="1:34" x14ac:dyDescent="0.25">
      <c r="A41" s="1" t="str">
        <f t="shared" si="0"/>
        <v>02 EE2 34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257</v>
      </c>
      <c r="D41" s="1" t="s">
        <v>258</v>
      </c>
      <c r="E41" s="1" t="s">
        <v>259</v>
      </c>
      <c r="F41" s="1" t="s">
        <v>111</v>
      </c>
      <c r="G41" s="1">
        <v>661896</v>
      </c>
    </row>
    <row r="42" spans="1:34" x14ac:dyDescent="0.25">
      <c r="A42" s="1" t="str">
        <f t="shared" si="0"/>
        <v>02 EE2 34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260</v>
      </c>
      <c r="D42" s="1" t="s">
        <v>261</v>
      </c>
      <c r="E42" s="1" t="s">
        <v>262</v>
      </c>
      <c r="F42" s="1" t="s">
        <v>111</v>
      </c>
      <c r="G42" s="1">
        <v>408199</v>
      </c>
    </row>
    <row r="43" spans="1:34" x14ac:dyDescent="0.25">
      <c r="A43" s="1" t="str">
        <f t="shared" si="0"/>
        <v>02 EE2 34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263</v>
      </c>
      <c r="D43" s="1" t="s">
        <v>264</v>
      </c>
      <c r="E43" s="1" t="s">
        <v>265</v>
      </c>
      <c r="F43" s="1" t="s">
        <v>111</v>
      </c>
      <c r="G43" s="1">
        <v>121409</v>
      </c>
    </row>
    <row r="44" spans="1:34" x14ac:dyDescent="0.25">
      <c r="A44" s="1" t="str">
        <f t="shared" si="0"/>
        <v>02 EE2 34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266</v>
      </c>
      <c r="D44" s="1" t="s">
        <v>267</v>
      </c>
      <c r="E44" s="1" t="s">
        <v>268</v>
      </c>
      <c r="F44" s="1" t="s">
        <v>111</v>
      </c>
      <c r="G44" s="1">
        <v>86282</v>
      </c>
    </row>
    <row r="45" spans="1:34" x14ac:dyDescent="0.25">
      <c r="A45" s="1" t="str">
        <f t="shared" si="0"/>
        <v>02 EE2 34</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269</v>
      </c>
      <c r="D45" s="1" t="s">
        <v>270</v>
      </c>
      <c r="E45" s="1" t="s">
        <v>271</v>
      </c>
      <c r="F45" s="1" t="s">
        <v>111</v>
      </c>
      <c r="G45" s="1">
        <v>226011</v>
      </c>
    </row>
    <row r="46" spans="1:34" x14ac:dyDescent="0.25">
      <c r="A46" s="1" t="str">
        <f t="shared" si="0"/>
        <v>02 EE2 34</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272</v>
      </c>
      <c r="D46" s="1" t="s">
        <v>273</v>
      </c>
      <c r="E46" s="1" t="s">
        <v>274</v>
      </c>
      <c r="F46" s="1" t="s">
        <v>111</v>
      </c>
      <c r="G46" s="1">
        <v>161056</v>
      </c>
    </row>
    <row r="47" spans="1:34" x14ac:dyDescent="0.25">
      <c r="A47" s="1" t="str">
        <f t="shared" si="0"/>
        <v>02 EE2 34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275</v>
      </c>
      <c r="D47" s="1" t="s">
        <v>276</v>
      </c>
      <c r="E47" s="1" t="s">
        <v>277</v>
      </c>
      <c r="F47" s="1" t="s">
        <v>111</v>
      </c>
      <c r="G47" s="1">
        <v>32553</v>
      </c>
    </row>
    <row r="48" spans="1:34" x14ac:dyDescent="0.25">
      <c r="A48" s="1" t="str">
        <f t="shared" si="0"/>
        <v>02 EE2 34</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278</v>
      </c>
    </row>
    <row r="49" spans="1:9" x14ac:dyDescent="0.25">
      <c r="A49" s="1" t="str">
        <f t="shared" si="0"/>
        <v>02 EE2 34</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279</v>
      </c>
      <c r="D49" s="1" t="s">
        <v>280</v>
      </c>
      <c r="E49" s="1" t="s">
        <v>281</v>
      </c>
      <c r="F49" s="1" t="s">
        <v>111</v>
      </c>
      <c r="G49" s="1">
        <v>17845</v>
      </c>
    </row>
    <row r="50" spans="1:9" x14ac:dyDescent="0.25">
      <c r="A50" s="1" t="str">
        <f t="shared" si="0"/>
        <v>02 EE2 34</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282</v>
      </c>
      <c r="D50" s="1" t="s">
        <v>283</v>
      </c>
      <c r="E50" s="1" t="s">
        <v>284</v>
      </c>
      <c r="F50" s="1" t="s">
        <v>111</v>
      </c>
      <c r="G50" s="1">
        <v>119851</v>
      </c>
    </row>
    <row r="51" spans="1:9" x14ac:dyDescent="0.25">
      <c r="A51" s="1" t="str">
        <f t="shared" si="0"/>
        <v>02 EE2 34</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285</v>
      </c>
      <c r="D51" s="1" t="s">
        <v>286</v>
      </c>
      <c r="E51" s="1" t="s">
        <v>287</v>
      </c>
      <c r="F51" s="1" t="s">
        <v>111</v>
      </c>
      <c r="G51" s="1">
        <v>93744</v>
      </c>
    </row>
    <row r="52" spans="1:9" x14ac:dyDescent="0.25">
      <c r="A52" s="1" t="str">
        <f t="shared" si="0"/>
        <v>02 EE2 34</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288</v>
      </c>
      <c r="D52" s="1" t="s">
        <v>289</v>
      </c>
      <c r="E52" s="1" t="s">
        <v>290</v>
      </c>
      <c r="F52" s="1" t="s">
        <v>111</v>
      </c>
      <c r="G52" s="1">
        <v>214114</v>
      </c>
    </row>
    <row r="53" spans="1:9" x14ac:dyDescent="0.25">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291</v>
      </c>
      <c r="D53" s="1" t="s">
        <v>292</v>
      </c>
      <c r="E53" s="1">
        <v>68</v>
      </c>
      <c r="F53" s="1" t="s">
        <v>111</v>
      </c>
      <c r="G53" s="1">
        <v>363296</v>
      </c>
    </row>
    <row r="54" spans="1:9" x14ac:dyDescent="0.25">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293</v>
      </c>
      <c r="D54" s="1" t="s">
        <v>294</v>
      </c>
      <c r="E54" s="1" t="s">
        <v>295</v>
      </c>
      <c r="F54" s="1" t="s">
        <v>111</v>
      </c>
      <c r="G54" s="1">
        <v>344067</v>
      </c>
    </row>
    <row r="55" spans="1:9" x14ac:dyDescent="0.25">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296</v>
      </c>
      <c r="D55" s="1" t="s">
        <v>297</v>
      </c>
      <c r="E55" s="1" t="s">
        <v>298</v>
      </c>
      <c r="F55" s="1" t="s">
        <v>111</v>
      </c>
      <c r="G55" s="1">
        <v>114033</v>
      </c>
    </row>
    <row r="56" spans="1:9" x14ac:dyDescent="0.25">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299</v>
      </c>
      <c r="D56" s="1" t="s">
        <v>300</v>
      </c>
      <c r="E56" s="1" t="s">
        <v>301</v>
      </c>
      <c r="F56" s="1" t="s">
        <v>111</v>
      </c>
      <c r="G56" s="1">
        <v>588247</v>
      </c>
    </row>
    <row r="57" spans="1:9" x14ac:dyDescent="0.25">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302</v>
      </c>
      <c r="D57" s="1" t="s">
        <v>303</v>
      </c>
      <c r="E57" s="1" t="s">
        <v>304</v>
      </c>
      <c r="F57" s="1" t="s">
        <v>111</v>
      </c>
      <c r="G57" s="1">
        <v>610028</v>
      </c>
    </row>
    <row r="58" spans="1:9" x14ac:dyDescent="0.25">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305</v>
      </c>
      <c r="D58" s="1" t="s">
        <v>306</v>
      </c>
      <c r="E58" s="1" t="s">
        <v>307</v>
      </c>
      <c r="F58" s="1" t="s">
        <v>111</v>
      </c>
      <c r="G58" s="1">
        <v>235247</v>
      </c>
    </row>
    <row r="59" spans="1:9"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111</v>
      </c>
    </row>
    <row r="60" spans="1:9"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230</v>
      </c>
      <c r="D60" s="1" t="s">
        <v>111</v>
      </c>
      <c r="E60" s="1" t="s">
        <v>231</v>
      </c>
      <c r="F60" s="1" t="s">
        <v>232</v>
      </c>
      <c r="G60" s="1" t="s">
        <v>233</v>
      </c>
      <c r="H60" s="1" t="s">
        <v>234</v>
      </c>
      <c r="I60" s="1" t="s">
        <v>235</v>
      </c>
    </row>
    <row r="61" spans="1:9" x14ac:dyDescent="0.25">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308</v>
      </c>
      <c r="D61" s="1" t="s">
        <v>111</v>
      </c>
      <c r="E61" s="1" t="s">
        <v>309</v>
      </c>
      <c r="F61" s="1" t="s">
        <v>310</v>
      </c>
      <c r="G61" s="1" t="s">
        <v>311</v>
      </c>
      <c r="H61" s="1" t="s">
        <v>312</v>
      </c>
      <c r="I61" s="1">
        <v>24</v>
      </c>
    </row>
    <row r="62" spans="1:9"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111</v>
      </c>
    </row>
    <row r="63" spans="1:9"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111</v>
      </c>
    </row>
    <row r="64" spans="1:9"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111</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111</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111</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240</v>
      </c>
      <c r="D67" s="1" t="s">
        <v>109</v>
      </c>
      <c r="E67" s="1" t="s">
        <v>110</v>
      </c>
      <c r="F67" s="1" t="s">
        <v>111</v>
      </c>
      <c r="G67" s="1" t="s">
        <v>112</v>
      </c>
    </row>
    <row r="68" spans="1:7" x14ac:dyDescent="0.25">
      <c r="A68" s="1" t="str">
        <f t="shared" si="1"/>
        <v>03 EE2 51</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313</v>
      </c>
    </row>
    <row r="69" spans="1:7" x14ac:dyDescent="0.25">
      <c r="A69" s="1" t="str">
        <f t="shared" si="1"/>
        <v>03 EE2 51</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314</v>
      </c>
      <c r="D69" s="1" t="s">
        <v>315</v>
      </c>
      <c r="E69" s="1" t="s">
        <v>316</v>
      </c>
      <c r="F69" s="1" t="s">
        <v>111</v>
      </c>
      <c r="G69" s="1">
        <v>32293</v>
      </c>
    </row>
    <row r="70" spans="1:7" x14ac:dyDescent="0.25">
      <c r="A70" s="1" t="str">
        <f t="shared" si="1"/>
        <v>03 EE2 51</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317</v>
      </c>
      <c r="D70" s="1" t="s">
        <v>318</v>
      </c>
      <c r="E70" s="1" t="s">
        <v>319</v>
      </c>
      <c r="F70" s="1" t="s">
        <v>111</v>
      </c>
      <c r="G70" s="1">
        <v>28660</v>
      </c>
    </row>
    <row r="71" spans="1:7" x14ac:dyDescent="0.25">
      <c r="A71" s="1" t="str">
        <f t="shared" si="1"/>
        <v>03 EE2 51</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320</v>
      </c>
    </row>
    <row r="72" spans="1:7" x14ac:dyDescent="0.25">
      <c r="A72" s="1" t="str">
        <f t="shared" si="1"/>
        <v>03 EE2 51</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321</v>
      </c>
      <c r="D72" s="1" t="s">
        <v>322</v>
      </c>
      <c r="E72" s="1" t="s">
        <v>323</v>
      </c>
      <c r="F72" s="1" t="s">
        <v>111</v>
      </c>
      <c r="G72" s="1">
        <v>219349</v>
      </c>
    </row>
    <row r="73" spans="1:7" x14ac:dyDescent="0.25">
      <c r="A73" s="1" t="str">
        <f t="shared" si="1"/>
        <v>03 EE2 51</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324</v>
      </c>
      <c r="D73" s="1" t="s">
        <v>325</v>
      </c>
      <c r="E73" s="1" t="s">
        <v>326</v>
      </c>
      <c r="F73" s="1" t="s">
        <v>111</v>
      </c>
      <c r="G73" s="1">
        <v>95345</v>
      </c>
    </row>
    <row r="74" spans="1:7" x14ac:dyDescent="0.25">
      <c r="A74" s="1" t="str">
        <f t="shared" si="1"/>
        <v>03 EE2 51</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327</v>
      </c>
      <c r="D74" s="1" t="s">
        <v>328</v>
      </c>
      <c r="E74" s="1" t="s">
        <v>329</v>
      </c>
      <c r="F74" s="1" t="s">
        <v>111</v>
      </c>
      <c r="G74" s="1">
        <v>348003</v>
      </c>
    </row>
    <row r="75" spans="1:7" x14ac:dyDescent="0.25">
      <c r="A75" s="1" t="str">
        <f t="shared" si="1"/>
        <v>03 EE2 51</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330</v>
      </c>
      <c r="D75" s="1" t="s">
        <v>331</v>
      </c>
      <c r="E75" s="1" t="s">
        <v>332</v>
      </c>
      <c r="F75" s="1" t="s">
        <v>111</v>
      </c>
      <c r="G75" s="1">
        <v>239465</v>
      </c>
    </row>
    <row r="76" spans="1:7" x14ac:dyDescent="0.25">
      <c r="A76" s="1" t="str">
        <f t="shared" si="1"/>
        <v>03 EE2 51</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333</v>
      </c>
      <c r="D76" s="1" t="s">
        <v>334</v>
      </c>
      <c r="E76" s="1" t="s">
        <v>335</v>
      </c>
      <c r="F76" s="1" t="s">
        <v>111</v>
      </c>
      <c r="G76" s="1">
        <v>245737</v>
      </c>
    </row>
    <row r="77" spans="1:7" x14ac:dyDescent="0.25">
      <c r="A77" s="1" t="str">
        <f t="shared" si="1"/>
        <v>03 EE2 51</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336</v>
      </c>
      <c r="D77" s="1" t="s">
        <v>337</v>
      </c>
      <c r="E77" s="1" t="s">
        <v>338</v>
      </c>
      <c r="F77" s="1" t="s">
        <v>111</v>
      </c>
      <c r="G77" s="1">
        <v>450291</v>
      </c>
    </row>
    <row r="78" spans="1:7" x14ac:dyDescent="0.25">
      <c r="A78" s="1" t="str">
        <f t="shared" si="1"/>
        <v>03 EE2 51</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339</v>
      </c>
      <c r="D78" s="1" t="s">
        <v>340</v>
      </c>
      <c r="E78" s="1" t="s">
        <v>341</v>
      </c>
      <c r="F78" s="1" t="s">
        <v>111</v>
      </c>
      <c r="G78" s="1">
        <v>430889</v>
      </c>
    </row>
    <row r="79" spans="1:7" x14ac:dyDescent="0.25">
      <c r="A79" s="1" t="str">
        <f t="shared" si="1"/>
        <v>03 EE2 51</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342</v>
      </c>
      <c r="D79" s="1" t="s">
        <v>343</v>
      </c>
      <c r="E79" s="1" t="s">
        <v>344</v>
      </c>
      <c r="F79" s="1" t="s">
        <v>111</v>
      </c>
      <c r="G79" s="1">
        <v>523054</v>
      </c>
    </row>
    <row r="80" spans="1:7" x14ac:dyDescent="0.25">
      <c r="A80" s="1" t="str">
        <f t="shared" si="1"/>
        <v>03 EE2 51</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345</v>
      </c>
      <c r="D80" s="1" t="s">
        <v>346</v>
      </c>
      <c r="E80" s="1" t="s">
        <v>347</v>
      </c>
      <c r="F80" s="1" t="s">
        <v>111</v>
      </c>
      <c r="G80" s="1">
        <v>105554</v>
      </c>
    </row>
    <row r="81" spans="1:9" x14ac:dyDescent="0.25">
      <c r="A81" s="1" t="str">
        <f t="shared" si="1"/>
        <v>03 EE2 51</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348</v>
      </c>
    </row>
    <row r="82" spans="1:9" x14ac:dyDescent="0.25">
      <c r="A82" s="1" t="str">
        <f t="shared" si="1"/>
        <v>03 EE2 51</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349</v>
      </c>
    </row>
    <row r="83" spans="1:9" x14ac:dyDescent="0.25">
      <c r="A83" s="1" t="str">
        <f t="shared" si="1"/>
        <v>03 EE2 51</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350</v>
      </c>
      <c r="D83" s="1" t="s">
        <v>351</v>
      </c>
      <c r="E83" s="1" t="s">
        <v>352</v>
      </c>
      <c r="F83" s="1" t="s">
        <v>111</v>
      </c>
      <c r="G83" s="1">
        <v>438200</v>
      </c>
    </row>
    <row r="84" spans="1:9" x14ac:dyDescent="0.25">
      <c r="A84" s="1" t="str">
        <f t="shared" si="1"/>
        <v>03 EE2 51</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353</v>
      </c>
      <c r="D84" s="1" t="s">
        <v>354</v>
      </c>
      <c r="E84" s="1" t="s">
        <v>355</v>
      </c>
      <c r="F84" s="1" t="s">
        <v>111</v>
      </c>
      <c r="G84" s="1">
        <v>458857</v>
      </c>
    </row>
    <row r="85" spans="1:9" x14ac:dyDescent="0.25">
      <c r="A85" s="1" t="str">
        <f t="shared" si="1"/>
        <v>03 EE2 51</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356</v>
      </c>
      <c r="D85" s="1" t="s">
        <v>357</v>
      </c>
      <c r="E85" s="1" t="s">
        <v>358</v>
      </c>
      <c r="F85" s="1" t="s">
        <v>111</v>
      </c>
      <c r="G85" s="1">
        <v>50592</v>
      </c>
    </row>
    <row r="86" spans="1:9" x14ac:dyDescent="0.25">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359</v>
      </c>
      <c r="D86" s="1" t="s">
        <v>360</v>
      </c>
      <c r="E86" s="1" t="s">
        <v>361</v>
      </c>
      <c r="F86" s="1" t="s">
        <v>111</v>
      </c>
      <c r="G86" s="1">
        <v>202997</v>
      </c>
    </row>
    <row r="87" spans="1:9" x14ac:dyDescent="0.25">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362</v>
      </c>
      <c r="D87" s="1" t="s">
        <v>363</v>
      </c>
      <c r="E87" s="1" t="s">
        <v>364</v>
      </c>
      <c r="F87" s="1" t="s">
        <v>111</v>
      </c>
      <c r="G87" s="1">
        <v>190494</v>
      </c>
    </row>
    <row r="88" spans="1:9" x14ac:dyDescent="0.25">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365</v>
      </c>
      <c r="D88" s="1" t="s">
        <v>366</v>
      </c>
      <c r="E88" s="1" t="s">
        <v>367</v>
      </c>
      <c r="F88" s="1" t="s">
        <v>111</v>
      </c>
      <c r="G88" s="1">
        <v>313612</v>
      </c>
    </row>
    <row r="89" spans="1:9" x14ac:dyDescent="0.25">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368</v>
      </c>
      <c r="D89" s="1" t="s">
        <v>369</v>
      </c>
      <c r="E89" s="1" t="s">
        <v>370</v>
      </c>
      <c r="F89" s="1" t="s">
        <v>111</v>
      </c>
      <c r="G89" s="1">
        <v>398206</v>
      </c>
    </row>
    <row r="90" spans="1:9" x14ac:dyDescent="0.25">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371</v>
      </c>
      <c r="D90" s="1" t="s">
        <v>372</v>
      </c>
      <c r="E90" s="1" t="s">
        <v>373</v>
      </c>
      <c r="F90" s="1" t="s">
        <v>111</v>
      </c>
      <c r="G90" s="1">
        <v>232089</v>
      </c>
    </row>
    <row r="91" spans="1:9" x14ac:dyDescent="0.25">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374</v>
      </c>
      <c r="D91" s="1" t="s">
        <v>200</v>
      </c>
      <c r="E91" s="1" t="s">
        <v>375</v>
      </c>
      <c r="F91" s="1" t="s">
        <v>111</v>
      </c>
      <c r="G91" s="1">
        <v>130709</v>
      </c>
    </row>
    <row r="92" spans="1:9"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111</v>
      </c>
    </row>
    <row r="93" spans="1:9"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230</v>
      </c>
      <c r="D93" s="1" t="s">
        <v>111</v>
      </c>
      <c r="E93" s="1" t="s">
        <v>231</v>
      </c>
      <c r="F93" s="1" t="s">
        <v>232</v>
      </c>
      <c r="G93" s="1" t="s">
        <v>233</v>
      </c>
      <c r="H93" s="1" t="s">
        <v>234</v>
      </c>
      <c r="I93" s="1" t="s">
        <v>235</v>
      </c>
    </row>
    <row r="94" spans="1:9" x14ac:dyDescent="0.25">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376</v>
      </c>
      <c r="D94" s="1" t="s">
        <v>111</v>
      </c>
      <c r="E94" s="1" t="s">
        <v>377</v>
      </c>
      <c r="F94" s="1" t="s">
        <v>378</v>
      </c>
      <c r="G94" s="1" t="s">
        <v>379</v>
      </c>
      <c r="H94" s="1" t="s">
        <v>380</v>
      </c>
      <c r="I94" s="1">
        <v>24</v>
      </c>
    </row>
    <row r="95" spans="1:9"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111</v>
      </c>
    </row>
    <row r="96" spans="1:9"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111</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111</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111</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111</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240</v>
      </c>
      <c r="D100" s="1" t="s">
        <v>109</v>
      </c>
      <c r="E100" s="1" t="s">
        <v>110</v>
      </c>
      <c r="F100" s="1" t="s">
        <v>111</v>
      </c>
      <c r="G100" s="1" t="s">
        <v>112</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381</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382</v>
      </c>
      <c r="D102" s="1" t="s">
        <v>219</v>
      </c>
      <c r="E102" s="1" t="s">
        <v>383</v>
      </c>
      <c r="F102" s="1" t="s">
        <v>111</v>
      </c>
      <c r="G102" s="1">
        <v>409324</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384</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385</v>
      </c>
      <c r="D104" s="1" t="s">
        <v>386</v>
      </c>
      <c r="E104" s="1" t="s">
        <v>387</v>
      </c>
      <c r="F104" s="1" t="s">
        <v>111</v>
      </c>
      <c r="G104" s="1">
        <v>609660</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388</v>
      </c>
      <c r="D105" s="1" t="s">
        <v>389</v>
      </c>
      <c r="E105" s="1" t="s">
        <v>390</v>
      </c>
      <c r="F105" s="1" t="s">
        <v>111</v>
      </c>
      <c r="G105" s="1">
        <v>442504</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391</v>
      </c>
      <c r="D106" s="1" t="s">
        <v>392</v>
      </c>
      <c r="E106" s="1" t="s">
        <v>393</v>
      </c>
      <c r="F106" s="1" t="s">
        <v>111</v>
      </c>
      <c r="G106" s="1">
        <v>333122</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394</v>
      </c>
      <c r="D107" s="1" t="s">
        <v>395</v>
      </c>
      <c r="E107" s="1" t="s">
        <v>396</v>
      </c>
      <c r="F107" s="1" t="s">
        <v>111</v>
      </c>
      <c r="G107" s="1">
        <v>882781</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397</v>
      </c>
      <c r="D108" s="1" t="s">
        <v>398</v>
      </c>
      <c r="E108" s="1" t="s">
        <v>399</v>
      </c>
      <c r="F108" s="1" t="s">
        <v>111</v>
      </c>
      <c r="G108" s="1">
        <v>907093</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400</v>
      </c>
      <c r="D109" s="1" t="s">
        <v>401</v>
      </c>
      <c r="E109" s="1" t="s">
        <v>402</v>
      </c>
      <c r="F109" s="1" t="s">
        <v>111</v>
      </c>
      <c r="G109" s="1">
        <v>634059</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403</v>
      </c>
      <c r="D110" s="1" t="s">
        <v>404</v>
      </c>
      <c r="E110" s="1" t="s">
        <v>405</v>
      </c>
      <c r="F110" s="1" t="s">
        <v>111</v>
      </c>
      <c r="G110" s="1">
        <v>2030182</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406</v>
      </c>
      <c r="D111" s="1" t="s">
        <v>407</v>
      </c>
      <c r="E111" s="1" t="s">
        <v>408</v>
      </c>
      <c r="F111" s="1" t="s">
        <v>111</v>
      </c>
      <c r="G111" s="1">
        <v>1629856</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409</v>
      </c>
      <c r="D112" s="1" t="s">
        <v>410</v>
      </c>
      <c r="E112" s="1" t="s">
        <v>411</v>
      </c>
      <c r="F112" s="1" t="s">
        <v>111</v>
      </c>
      <c r="G112" s="1">
        <v>1623086</v>
      </c>
    </row>
    <row r="113" spans="1:9"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412</v>
      </c>
      <c r="D113" s="1" t="s">
        <v>413</v>
      </c>
      <c r="E113" s="1" t="s">
        <v>414</v>
      </c>
      <c r="F113" s="1" t="s">
        <v>111</v>
      </c>
      <c r="G113" s="1">
        <v>930085</v>
      </c>
    </row>
    <row r="114" spans="1:9"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415</v>
      </c>
      <c r="D114" s="1" t="s">
        <v>416</v>
      </c>
      <c r="E114" s="1" t="s">
        <v>417</v>
      </c>
      <c r="F114" s="1" t="s">
        <v>111</v>
      </c>
      <c r="G114" s="1">
        <v>702041</v>
      </c>
    </row>
    <row r="115" spans="1:9"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418</v>
      </c>
      <c r="D115" s="1" t="s">
        <v>419</v>
      </c>
      <c r="E115" s="1" t="s">
        <v>420</v>
      </c>
      <c r="F115" s="1" t="s">
        <v>111</v>
      </c>
      <c r="G115" s="1">
        <v>688371</v>
      </c>
    </row>
    <row r="116" spans="1:9"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421</v>
      </c>
      <c r="D116" s="1" t="s">
        <v>422</v>
      </c>
      <c r="E116" s="1" t="s">
        <v>423</v>
      </c>
      <c r="F116" s="1" t="s">
        <v>111</v>
      </c>
      <c r="G116" s="1">
        <v>505923</v>
      </c>
    </row>
    <row r="117" spans="1:9"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424</v>
      </c>
      <c r="D117" s="1" t="s">
        <v>425</v>
      </c>
      <c r="E117" s="1" t="s">
        <v>426</v>
      </c>
      <c r="F117" s="1" t="s">
        <v>111</v>
      </c>
      <c r="G117" s="1">
        <v>543581</v>
      </c>
    </row>
    <row r="118" spans="1:9"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427</v>
      </c>
      <c r="D118" s="1" t="s">
        <v>428</v>
      </c>
      <c r="E118" s="1" t="s">
        <v>429</v>
      </c>
      <c r="F118" s="1" t="s">
        <v>111</v>
      </c>
      <c r="G118" s="1">
        <v>633972</v>
      </c>
    </row>
    <row r="119" spans="1:9"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430</v>
      </c>
    </row>
    <row r="120" spans="1:9"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431</v>
      </c>
      <c r="D120" s="1" t="s">
        <v>432</v>
      </c>
      <c r="E120" s="1" t="s">
        <v>433</v>
      </c>
      <c r="F120" s="1" t="s">
        <v>111</v>
      </c>
      <c r="G120" s="1">
        <v>392734</v>
      </c>
    </row>
    <row r="121" spans="1:9"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434</v>
      </c>
      <c r="D121" s="1" t="s">
        <v>435</v>
      </c>
      <c r="E121" s="1" t="s">
        <v>436</v>
      </c>
      <c r="F121" s="1" t="s">
        <v>111</v>
      </c>
      <c r="G121" s="1">
        <v>640548</v>
      </c>
    </row>
    <row r="122" spans="1:9"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437</v>
      </c>
      <c r="D122" s="1" t="s">
        <v>438</v>
      </c>
      <c r="E122" s="1" t="s">
        <v>439</v>
      </c>
      <c r="F122" s="1" t="s">
        <v>111</v>
      </c>
      <c r="G122" s="1">
        <v>678162</v>
      </c>
    </row>
    <row r="123" spans="1:9"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440</v>
      </c>
      <c r="D123" s="1" t="s">
        <v>441</v>
      </c>
      <c r="E123" s="1" t="s">
        <v>442</v>
      </c>
      <c r="F123" s="1" t="s">
        <v>111</v>
      </c>
      <c r="G123" s="1">
        <v>209875</v>
      </c>
    </row>
    <row r="124" spans="1:9"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443</v>
      </c>
      <c r="D124" s="1" t="s">
        <v>444</v>
      </c>
      <c r="E124" s="1" t="s">
        <v>445</v>
      </c>
      <c r="F124" s="1" t="s">
        <v>111</v>
      </c>
      <c r="G124" s="1">
        <v>135317</v>
      </c>
    </row>
    <row r="125" spans="1:9"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111</v>
      </c>
    </row>
    <row r="126" spans="1:9"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230</v>
      </c>
      <c r="D126" s="1" t="s">
        <v>111</v>
      </c>
      <c r="E126" s="1" t="s">
        <v>231</v>
      </c>
      <c r="F126" s="1" t="s">
        <v>232</v>
      </c>
      <c r="G126" s="1" t="s">
        <v>233</v>
      </c>
      <c r="H126" s="1" t="s">
        <v>234</v>
      </c>
      <c r="I126" s="1" t="s">
        <v>235</v>
      </c>
    </row>
    <row r="127" spans="1:9"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446</v>
      </c>
      <c r="D127" s="1" t="s">
        <v>111</v>
      </c>
      <c r="E127" s="1" t="s">
        <v>447</v>
      </c>
      <c r="F127" s="1" t="s">
        <v>448</v>
      </c>
      <c r="G127" s="1" t="s">
        <v>449</v>
      </c>
      <c r="H127" s="1" t="s">
        <v>450</v>
      </c>
      <c r="I127" s="1">
        <v>24</v>
      </c>
    </row>
    <row r="128" spans="1:9"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111</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111</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111</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111</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111</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240</v>
      </c>
      <c r="D133" s="1" t="s">
        <v>109</v>
      </c>
      <c r="E133" s="1" t="s">
        <v>110</v>
      </c>
      <c r="F133" s="1" t="s">
        <v>111</v>
      </c>
      <c r="G133" s="1" t="s">
        <v>112</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451</v>
      </c>
      <c r="D134" s="1" t="s">
        <v>452</v>
      </c>
      <c r="E134" s="1" t="s">
        <v>453</v>
      </c>
      <c r="F134" s="1" t="s">
        <v>111</v>
      </c>
      <c r="G134" s="1">
        <v>1987831</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454</v>
      </c>
      <c r="D135" s="1" t="s">
        <v>455</v>
      </c>
      <c r="E135" s="1" t="s">
        <v>456</v>
      </c>
      <c r="F135" s="1" t="s">
        <v>111</v>
      </c>
      <c r="G135" s="1">
        <v>1631435</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457</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458</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459</v>
      </c>
      <c r="D138" s="1" t="s">
        <v>460</v>
      </c>
      <c r="E138" s="1" t="s">
        <v>461</v>
      </c>
      <c r="F138" s="1" t="s">
        <v>111</v>
      </c>
      <c r="G138" s="1">
        <v>2502579</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462</v>
      </c>
      <c r="D139" s="1" t="s">
        <v>463</v>
      </c>
      <c r="E139" s="1" t="s">
        <v>464</v>
      </c>
      <c r="F139" s="1" t="s">
        <v>111</v>
      </c>
      <c r="G139" s="1">
        <v>1814251</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465</v>
      </c>
      <c r="D140" s="1" t="s">
        <v>466</v>
      </c>
      <c r="E140" s="1" t="s">
        <v>467</v>
      </c>
      <c r="F140" s="1" t="s">
        <v>111</v>
      </c>
      <c r="G140" s="1">
        <v>7459610</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468</v>
      </c>
      <c r="D141" s="1" t="s">
        <v>469</v>
      </c>
      <c r="E141" s="1" t="s">
        <v>470</v>
      </c>
      <c r="F141" s="1" t="s">
        <v>111</v>
      </c>
      <c r="G141" s="1">
        <v>7340559</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471</v>
      </c>
      <c r="D142" s="1" t="s">
        <v>472</v>
      </c>
      <c r="E142" s="1" t="s">
        <v>473</v>
      </c>
      <c r="F142" s="1" t="s">
        <v>111</v>
      </c>
      <c r="G142" s="1">
        <v>6838399</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474</v>
      </c>
      <c r="D143" s="1" t="s">
        <v>475</v>
      </c>
      <c r="E143" s="1" t="s">
        <v>476</v>
      </c>
      <c r="F143" s="1" t="s">
        <v>111</v>
      </c>
      <c r="G143" s="1">
        <v>1094884</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477</v>
      </c>
      <c r="D144" s="1" t="s">
        <v>478</v>
      </c>
      <c r="E144" s="1" t="s">
        <v>479</v>
      </c>
      <c r="F144" s="1" t="s">
        <v>111</v>
      </c>
      <c r="G144" s="1">
        <v>543127</v>
      </c>
    </row>
    <row r="145" spans="1:9"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480</v>
      </c>
      <c r="D145" s="1" t="s">
        <v>481</v>
      </c>
      <c r="E145" s="1" t="s">
        <v>482</v>
      </c>
      <c r="F145" s="1" t="s">
        <v>111</v>
      </c>
      <c r="G145" s="1">
        <v>630922</v>
      </c>
    </row>
    <row r="146" spans="1:9"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483</v>
      </c>
      <c r="D146" s="1" t="s">
        <v>484</v>
      </c>
      <c r="E146" s="1" t="s">
        <v>485</v>
      </c>
      <c r="F146" s="1" t="s">
        <v>111</v>
      </c>
      <c r="G146" s="1">
        <v>1170264</v>
      </c>
    </row>
    <row r="147" spans="1:9"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486</v>
      </c>
      <c r="D147" s="1" t="s">
        <v>487</v>
      </c>
      <c r="E147" s="1" t="s">
        <v>488</v>
      </c>
      <c r="F147" s="1" t="s">
        <v>111</v>
      </c>
      <c r="G147" s="1">
        <v>942393</v>
      </c>
    </row>
    <row r="148" spans="1:9"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489</v>
      </c>
      <c r="D148" s="1" t="s">
        <v>490</v>
      </c>
      <c r="E148" s="1" t="s">
        <v>491</v>
      </c>
      <c r="F148" s="1" t="s">
        <v>111</v>
      </c>
      <c r="G148" s="1">
        <v>1156853</v>
      </c>
    </row>
    <row r="149" spans="1:9"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492</v>
      </c>
      <c r="D149" s="1" t="s">
        <v>493</v>
      </c>
      <c r="E149" s="1" t="s">
        <v>494</v>
      </c>
      <c r="F149" s="1" t="s">
        <v>111</v>
      </c>
      <c r="G149" s="1">
        <v>436794</v>
      </c>
    </row>
    <row r="150" spans="1:9"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495</v>
      </c>
      <c r="D150" s="1" t="s">
        <v>496</v>
      </c>
      <c r="E150" s="1" t="s">
        <v>497</v>
      </c>
      <c r="F150" s="1" t="s">
        <v>111</v>
      </c>
      <c r="G150" s="1">
        <v>835109</v>
      </c>
    </row>
    <row r="151" spans="1:9"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498</v>
      </c>
      <c r="D151" s="1" t="s">
        <v>499</v>
      </c>
      <c r="E151" s="1" t="s">
        <v>500</v>
      </c>
      <c r="F151" s="1" t="s">
        <v>111</v>
      </c>
      <c r="G151" s="1">
        <v>330310</v>
      </c>
    </row>
    <row r="152" spans="1:9"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501</v>
      </c>
      <c r="D152" s="1" t="s">
        <v>502</v>
      </c>
      <c r="E152" s="1" t="s">
        <v>503</v>
      </c>
      <c r="F152" s="1" t="s">
        <v>111</v>
      </c>
      <c r="G152" s="1">
        <v>2420277</v>
      </c>
    </row>
    <row r="153" spans="1:9"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504</v>
      </c>
      <c r="D153" s="1" t="s">
        <v>505</v>
      </c>
      <c r="E153" s="1" t="s">
        <v>506</v>
      </c>
      <c r="F153" s="1" t="s">
        <v>111</v>
      </c>
      <c r="G153" s="1">
        <v>2370550</v>
      </c>
    </row>
    <row r="154" spans="1:9"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507</v>
      </c>
      <c r="D154" s="1" t="s">
        <v>508</v>
      </c>
      <c r="E154" s="1" t="s">
        <v>509</v>
      </c>
      <c r="F154" s="1" t="s">
        <v>111</v>
      </c>
      <c r="G154" s="1">
        <v>2292834</v>
      </c>
    </row>
    <row r="155" spans="1:9"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510</v>
      </c>
      <c r="D155" s="1" t="s">
        <v>511</v>
      </c>
      <c r="E155" s="1" t="s">
        <v>512</v>
      </c>
      <c r="F155" s="1" t="s">
        <v>111</v>
      </c>
      <c r="G155" s="1">
        <v>2333822</v>
      </c>
    </row>
    <row r="156" spans="1:9"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513</v>
      </c>
      <c r="D156" s="1" t="s">
        <v>514</v>
      </c>
      <c r="E156" s="1" t="s">
        <v>515</v>
      </c>
      <c r="F156" s="1" t="s">
        <v>111</v>
      </c>
      <c r="G156" s="1">
        <v>2237656</v>
      </c>
    </row>
    <row r="157" spans="1:9"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516</v>
      </c>
      <c r="D157" s="1" t="s">
        <v>517</v>
      </c>
      <c r="E157" s="1" t="s">
        <v>518</v>
      </c>
      <c r="F157" s="1" t="s">
        <v>111</v>
      </c>
      <c r="G157" s="1">
        <v>2305033</v>
      </c>
    </row>
    <row r="158" spans="1:9"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111</v>
      </c>
    </row>
    <row r="159" spans="1:9"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230</v>
      </c>
      <c r="D159" s="1" t="s">
        <v>111</v>
      </c>
      <c r="E159" s="1" t="s">
        <v>231</v>
      </c>
      <c r="F159" s="1" t="s">
        <v>232</v>
      </c>
      <c r="G159" s="1" t="s">
        <v>233</v>
      </c>
      <c r="H159" s="1" t="s">
        <v>234</v>
      </c>
      <c r="I159" s="1" t="s">
        <v>235</v>
      </c>
    </row>
    <row r="160" spans="1:9"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519</v>
      </c>
      <c r="D160" s="1" t="s">
        <v>111</v>
      </c>
      <c r="E160" s="1" t="s">
        <v>520</v>
      </c>
      <c r="F160" s="1" t="s">
        <v>521</v>
      </c>
      <c r="G160" s="1" t="s">
        <v>522</v>
      </c>
      <c r="H160" s="1" t="s">
        <v>523</v>
      </c>
      <c r="I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111</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111</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111</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111</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111</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240</v>
      </c>
      <c r="D166" s="1" t="s">
        <v>109</v>
      </c>
      <c r="E166" s="1" t="s">
        <v>110</v>
      </c>
      <c r="F166" s="1" t="s">
        <v>111</v>
      </c>
      <c r="G166" s="1" t="s">
        <v>112</v>
      </c>
    </row>
    <row r="167" spans="1:7" x14ac:dyDescent="0.25">
      <c r="A167" s="1" t="str">
        <f t="shared" si="2"/>
        <v>06 EE2 171</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524</v>
      </c>
      <c r="D167" s="1" t="s">
        <v>525</v>
      </c>
      <c r="E167" s="1" t="s">
        <v>526</v>
      </c>
      <c r="F167" s="1" t="s">
        <v>111</v>
      </c>
      <c r="G167" s="1">
        <v>2506472</v>
      </c>
    </row>
    <row r="168" spans="1:7" x14ac:dyDescent="0.25">
      <c r="A168" s="1" t="str">
        <f t="shared" si="2"/>
        <v>06 EE2 171</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527</v>
      </c>
      <c r="D168" s="1" t="s">
        <v>528</v>
      </c>
      <c r="E168" s="1" t="s">
        <v>529</v>
      </c>
      <c r="F168" s="1" t="s">
        <v>111</v>
      </c>
      <c r="G168" s="1">
        <v>2099657</v>
      </c>
    </row>
    <row r="169" spans="1:7" x14ac:dyDescent="0.25">
      <c r="A169" s="1" t="str">
        <f t="shared" si="2"/>
        <v>06 EE2 171</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530</v>
      </c>
      <c r="D169" s="1" t="s">
        <v>531</v>
      </c>
      <c r="E169" s="1" t="s">
        <v>532</v>
      </c>
      <c r="F169" s="1" t="s">
        <v>111</v>
      </c>
      <c r="G169" s="1">
        <v>2383030</v>
      </c>
    </row>
    <row r="170" spans="1:7" x14ac:dyDescent="0.25">
      <c r="A170" s="1" t="str">
        <f t="shared" si="2"/>
        <v>06 EE2 171</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533</v>
      </c>
      <c r="D170" s="1" t="s">
        <v>534</v>
      </c>
      <c r="E170" s="1" t="s">
        <v>535</v>
      </c>
      <c r="F170" s="1" t="s">
        <v>111</v>
      </c>
      <c r="G170" s="1">
        <v>4663492</v>
      </c>
    </row>
    <row r="171" spans="1:7" x14ac:dyDescent="0.25">
      <c r="A171" s="1" t="str">
        <f t="shared" si="2"/>
        <v>06 EE2 171</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536</v>
      </c>
      <c r="D171" s="1" t="s">
        <v>537</v>
      </c>
      <c r="E171" s="1" t="s">
        <v>538</v>
      </c>
      <c r="F171" s="1" t="s">
        <v>111</v>
      </c>
      <c r="G171" s="1">
        <v>4608963</v>
      </c>
    </row>
    <row r="172" spans="1:7" x14ac:dyDescent="0.25">
      <c r="A172" s="1" t="str">
        <f t="shared" si="2"/>
        <v>06 EE2 171</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539</v>
      </c>
      <c r="D172" s="1" t="s">
        <v>540</v>
      </c>
      <c r="E172" s="1" t="s">
        <v>541</v>
      </c>
      <c r="F172" s="1" t="s">
        <v>111</v>
      </c>
      <c r="G172" s="1">
        <v>4072066</v>
      </c>
    </row>
    <row r="173" spans="1:7" x14ac:dyDescent="0.25">
      <c r="A173" s="1" t="str">
        <f t="shared" si="2"/>
        <v>06 EE2 171</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542</v>
      </c>
      <c r="D173" s="1" t="s">
        <v>543</v>
      </c>
      <c r="E173" s="1" t="s">
        <v>544</v>
      </c>
      <c r="F173" s="1" t="s">
        <v>111</v>
      </c>
      <c r="G173" s="1">
        <v>196313</v>
      </c>
    </row>
    <row r="174" spans="1:7" x14ac:dyDescent="0.25">
      <c r="A174" s="1" t="str">
        <f t="shared" si="2"/>
        <v>06 EE2 171</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545</v>
      </c>
      <c r="D174" s="1" t="s">
        <v>546</v>
      </c>
      <c r="E174" s="1" t="s">
        <v>547</v>
      </c>
      <c r="F174" s="1" t="s">
        <v>111</v>
      </c>
      <c r="G174" s="1">
        <v>170076</v>
      </c>
    </row>
    <row r="175" spans="1:7" x14ac:dyDescent="0.25">
      <c r="A175" s="1" t="str">
        <f t="shared" si="2"/>
        <v>06 EE2 171</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548</v>
      </c>
      <c r="D175" s="1" t="s">
        <v>549</v>
      </c>
      <c r="E175" s="1" t="s">
        <v>550</v>
      </c>
      <c r="F175" s="1" t="s">
        <v>111</v>
      </c>
      <c r="G175" s="1">
        <v>107782</v>
      </c>
    </row>
    <row r="176" spans="1:7" x14ac:dyDescent="0.25">
      <c r="A176" s="1" t="str">
        <f t="shared" si="2"/>
        <v>06 EE2 171</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551</v>
      </c>
      <c r="D176" s="1" t="s">
        <v>552</v>
      </c>
      <c r="E176" s="1" t="s">
        <v>553</v>
      </c>
      <c r="F176" s="1" t="s">
        <v>111</v>
      </c>
      <c r="G176" s="1">
        <v>4244261</v>
      </c>
    </row>
    <row r="177" spans="1:9" x14ac:dyDescent="0.25">
      <c r="A177" s="1" t="str">
        <f t="shared" si="2"/>
        <v>06 EE2 171</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554</v>
      </c>
    </row>
    <row r="178" spans="1:9" x14ac:dyDescent="0.25">
      <c r="A178" s="1" t="str">
        <f t="shared" si="2"/>
        <v>06 EE2 171</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555</v>
      </c>
      <c r="D178" s="1" t="s">
        <v>556</v>
      </c>
      <c r="E178" s="1" t="s">
        <v>557</v>
      </c>
      <c r="F178" s="1" t="s">
        <v>111</v>
      </c>
      <c r="G178" s="1">
        <v>4189429</v>
      </c>
    </row>
    <row r="179" spans="1:9" x14ac:dyDescent="0.25">
      <c r="A179" s="1" t="str">
        <f t="shared" si="2"/>
        <v>06 EE2 171</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558</v>
      </c>
      <c r="D179" s="1" t="s">
        <v>559</v>
      </c>
      <c r="E179" s="1" t="s">
        <v>560</v>
      </c>
      <c r="F179" s="1" t="s">
        <v>111</v>
      </c>
      <c r="G179" s="1">
        <v>6102745</v>
      </c>
    </row>
    <row r="180" spans="1:9" x14ac:dyDescent="0.25">
      <c r="A180" s="1" t="str">
        <f t="shared" si="2"/>
        <v>06 EE2 171</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561</v>
      </c>
      <c r="D180" s="1" t="s">
        <v>562</v>
      </c>
      <c r="E180" s="1" t="s">
        <v>563</v>
      </c>
      <c r="F180" s="1" t="s">
        <v>111</v>
      </c>
      <c r="G180" s="1">
        <v>5401006</v>
      </c>
    </row>
    <row r="181" spans="1:9" x14ac:dyDescent="0.25">
      <c r="A181" s="1" t="str">
        <f t="shared" si="2"/>
        <v>06 EE2 171</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564</v>
      </c>
      <c r="D181" s="1" t="s">
        <v>565</v>
      </c>
      <c r="E181" s="1" t="s">
        <v>566</v>
      </c>
      <c r="F181" s="1" t="s">
        <v>111</v>
      </c>
      <c r="G181" s="1">
        <v>5309663</v>
      </c>
    </row>
    <row r="182" spans="1:9" x14ac:dyDescent="0.25">
      <c r="A182" s="1" t="str">
        <f t="shared" si="2"/>
        <v>06 EE2 171</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567</v>
      </c>
      <c r="D182" s="1" t="s">
        <v>568</v>
      </c>
      <c r="E182" s="1" t="s">
        <v>569</v>
      </c>
      <c r="F182" s="1" t="s">
        <v>111</v>
      </c>
      <c r="G182" s="1">
        <v>3320600</v>
      </c>
    </row>
    <row r="183" spans="1:9" x14ac:dyDescent="0.25">
      <c r="A183" s="1" t="str">
        <f t="shared" si="2"/>
        <v>06 EE2 171</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570</v>
      </c>
      <c r="D183" s="1" t="s">
        <v>571</v>
      </c>
      <c r="E183" s="1" t="s">
        <v>572</v>
      </c>
      <c r="F183" s="1" t="s">
        <v>111</v>
      </c>
      <c r="G183" s="1">
        <v>4284558</v>
      </c>
    </row>
    <row r="184" spans="1:9" x14ac:dyDescent="0.25">
      <c r="A184" s="1" t="str">
        <f t="shared" si="2"/>
        <v>06 EE2 171</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573</v>
      </c>
      <c r="D184" s="1" t="s">
        <v>574</v>
      </c>
      <c r="E184" s="1" t="s">
        <v>575</v>
      </c>
      <c r="F184" s="1" t="s">
        <v>111</v>
      </c>
      <c r="G184" s="1">
        <v>4229034</v>
      </c>
    </row>
    <row r="185" spans="1:9" x14ac:dyDescent="0.25">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576</v>
      </c>
      <c r="D185" s="1" t="s">
        <v>577</v>
      </c>
      <c r="E185" s="1" t="s">
        <v>578</v>
      </c>
      <c r="F185" s="1" t="s">
        <v>111</v>
      </c>
      <c r="G185" s="1">
        <v>4602604</v>
      </c>
    </row>
    <row r="186" spans="1:9" x14ac:dyDescent="0.25">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579</v>
      </c>
      <c r="D186" s="1" t="s">
        <v>580</v>
      </c>
      <c r="E186" s="1" t="s">
        <v>581</v>
      </c>
      <c r="F186" s="1" t="s">
        <v>111</v>
      </c>
      <c r="G186" s="1">
        <v>4640759</v>
      </c>
    </row>
    <row r="187" spans="1:9" x14ac:dyDescent="0.25">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582</v>
      </c>
      <c r="D187" s="1" t="s">
        <v>583</v>
      </c>
      <c r="E187" s="1" t="s">
        <v>584</v>
      </c>
      <c r="F187" s="1" t="s">
        <v>111</v>
      </c>
      <c r="G187" s="1">
        <v>4636238</v>
      </c>
    </row>
    <row r="188" spans="1:9" x14ac:dyDescent="0.25">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585</v>
      </c>
    </row>
    <row r="189" spans="1:9" x14ac:dyDescent="0.25">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586</v>
      </c>
      <c r="D189" s="1" t="s">
        <v>587</v>
      </c>
      <c r="E189" s="1" t="s">
        <v>588</v>
      </c>
      <c r="F189" s="1" t="s">
        <v>111</v>
      </c>
      <c r="G189" s="1">
        <v>4834974</v>
      </c>
    </row>
    <row r="190" spans="1:9" x14ac:dyDescent="0.25">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589</v>
      </c>
      <c r="D190" s="1" t="s">
        <v>590</v>
      </c>
      <c r="E190" s="1" t="s">
        <v>591</v>
      </c>
      <c r="F190" s="1" t="s">
        <v>111</v>
      </c>
      <c r="G190" s="1">
        <v>4259900</v>
      </c>
    </row>
    <row r="191" spans="1:9"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111</v>
      </c>
    </row>
    <row r="192" spans="1:9"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230</v>
      </c>
      <c r="D192" s="1" t="s">
        <v>111</v>
      </c>
      <c r="E192" s="1" t="s">
        <v>231</v>
      </c>
      <c r="F192" s="1" t="s">
        <v>232</v>
      </c>
      <c r="G192" s="1" t="s">
        <v>233</v>
      </c>
      <c r="H192" s="1" t="s">
        <v>234</v>
      </c>
      <c r="I192" s="1" t="s">
        <v>235</v>
      </c>
    </row>
    <row r="193" spans="1:9" x14ac:dyDescent="0.25">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592</v>
      </c>
      <c r="D193" s="1" t="s">
        <v>111</v>
      </c>
      <c r="E193" s="1" t="s">
        <v>593</v>
      </c>
      <c r="F193" s="1" t="s">
        <v>594</v>
      </c>
      <c r="G193" s="1" t="s">
        <v>595</v>
      </c>
      <c r="H193" s="1" t="s">
        <v>596</v>
      </c>
      <c r="I193" s="1">
        <v>24</v>
      </c>
    </row>
    <row r="194" spans="1:9"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111</v>
      </c>
    </row>
    <row r="195" spans="1:9"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111</v>
      </c>
    </row>
    <row r="196" spans="1:9"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111</v>
      </c>
    </row>
    <row r="197" spans="1:9"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111</v>
      </c>
    </row>
    <row r="198" spans="1:9"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111</v>
      </c>
    </row>
    <row r="199" spans="1:9"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240</v>
      </c>
      <c r="D199" s="1" t="s">
        <v>109</v>
      </c>
      <c r="E199" s="1" t="s">
        <v>110</v>
      </c>
      <c r="F199" s="1" t="s">
        <v>111</v>
      </c>
      <c r="G199" s="1" t="s">
        <v>112</v>
      </c>
    </row>
    <row r="200" spans="1:9"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597</v>
      </c>
      <c r="D200" s="1" t="s">
        <v>598</v>
      </c>
      <c r="E200" s="1" t="s">
        <v>599</v>
      </c>
      <c r="F200" s="1" t="s">
        <v>111</v>
      </c>
      <c r="G200" s="1">
        <v>7211861</v>
      </c>
    </row>
    <row r="201" spans="1:9"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600</v>
      </c>
      <c r="D201" s="1" t="s">
        <v>601</v>
      </c>
      <c r="E201" s="1" t="s">
        <v>602</v>
      </c>
      <c r="F201" s="1" t="s">
        <v>111</v>
      </c>
      <c r="G201" s="1">
        <v>7567046</v>
      </c>
    </row>
    <row r="202" spans="1:9"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603</v>
      </c>
      <c r="D202" s="1" t="s">
        <v>604</v>
      </c>
      <c r="E202" s="1" t="s">
        <v>605</v>
      </c>
      <c r="F202" s="1" t="s">
        <v>111</v>
      </c>
      <c r="G202" s="1">
        <v>7365455</v>
      </c>
    </row>
    <row r="203" spans="1:9"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606</v>
      </c>
      <c r="D203" s="1" t="s">
        <v>607</v>
      </c>
      <c r="E203" s="1" t="s">
        <v>608</v>
      </c>
      <c r="F203" s="1" t="s">
        <v>111</v>
      </c>
      <c r="G203" s="1">
        <v>4926533</v>
      </c>
    </row>
    <row r="204" spans="1:9"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609</v>
      </c>
      <c r="D204" s="1" t="s">
        <v>610</v>
      </c>
      <c r="E204" s="1" t="s">
        <v>611</v>
      </c>
      <c r="F204" s="1" t="s">
        <v>111</v>
      </c>
      <c r="G204" s="1">
        <v>4816285</v>
      </c>
    </row>
    <row r="205" spans="1:9"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612</v>
      </c>
      <c r="D205" s="1" t="s">
        <v>613</v>
      </c>
      <c r="E205" s="1" t="s">
        <v>614</v>
      </c>
      <c r="F205" s="1" t="s">
        <v>111</v>
      </c>
      <c r="G205" s="1">
        <v>4809472</v>
      </c>
    </row>
    <row r="206" spans="1:9"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615</v>
      </c>
      <c r="D206" s="1" t="s">
        <v>616</v>
      </c>
      <c r="E206" s="1" t="s">
        <v>617</v>
      </c>
      <c r="F206" s="1" t="s">
        <v>111</v>
      </c>
      <c r="G206" s="1">
        <v>6306996</v>
      </c>
    </row>
    <row r="207" spans="1:9"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618</v>
      </c>
      <c r="D207" s="1" t="s">
        <v>619</v>
      </c>
      <c r="E207" s="1" t="s">
        <v>620</v>
      </c>
      <c r="F207" s="1" t="s">
        <v>111</v>
      </c>
      <c r="G207" s="1">
        <v>6239922</v>
      </c>
    </row>
    <row r="208" spans="1:9"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621</v>
      </c>
      <c r="D208" s="1" t="s">
        <v>622</v>
      </c>
      <c r="E208" s="1" t="s">
        <v>623</v>
      </c>
      <c r="F208" s="1" t="s">
        <v>111</v>
      </c>
      <c r="G208" s="1">
        <v>6546850</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624</v>
      </c>
      <c r="D209" s="1" t="s">
        <v>625</v>
      </c>
      <c r="E209" s="1" t="s">
        <v>626</v>
      </c>
      <c r="F209" s="1" t="s">
        <v>111</v>
      </c>
      <c r="G209" s="1">
        <v>8559533</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627</v>
      </c>
      <c r="D210" s="1" t="s">
        <v>628</v>
      </c>
      <c r="E210" s="1" t="s">
        <v>629</v>
      </c>
      <c r="F210" s="1" t="s">
        <v>111</v>
      </c>
      <c r="G210" s="1">
        <v>8506735</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630</v>
      </c>
      <c r="D211" s="1" t="s">
        <v>631</v>
      </c>
      <c r="E211" s="1" t="s">
        <v>632</v>
      </c>
      <c r="F211" s="1" t="s">
        <v>111</v>
      </c>
      <c r="G211" s="1">
        <v>7760568</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633</v>
      </c>
      <c r="D212" s="1" t="s">
        <v>634</v>
      </c>
      <c r="E212" s="1" t="s">
        <v>635</v>
      </c>
      <c r="F212" s="1" t="s">
        <v>111</v>
      </c>
      <c r="G212" s="1">
        <v>4878839</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636</v>
      </c>
      <c r="D213" s="1" t="s">
        <v>637</v>
      </c>
      <c r="E213" s="1" t="s">
        <v>638</v>
      </c>
      <c r="F213" s="1" t="s">
        <v>111</v>
      </c>
      <c r="G213" s="1">
        <v>5800705</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639</v>
      </c>
      <c r="D214" s="1" t="s">
        <v>640</v>
      </c>
      <c r="E214" s="1" t="s">
        <v>641</v>
      </c>
      <c r="F214" s="1" t="s">
        <v>111</v>
      </c>
      <c r="G214" s="1">
        <v>5191953</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642</v>
      </c>
      <c r="D215" s="1" t="s">
        <v>643</v>
      </c>
      <c r="E215" s="1" t="s">
        <v>644</v>
      </c>
      <c r="F215" s="1" t="s">
        <v>111</v>
      </c>
      <c r="G215" s="1">
        <v>5860836</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645</v>
      </c>
      <c r="D216" s="1" t="s">
        <v>646</v>
      </c>
      <c r="E216" s="1" t="s">
        <v>647</v>
      </c>
      <c r="F216" s="1" t="s">
        <v>111</v>
      </c>
      <c r="G216" s="1">
        <v>6108390</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648</v>
      </c>
      <c r="D217" s="1" t="s">
        <v>649</v>
      </c>
      <c r="E217" s="1" t="s">
        <v>650</v>
      </c>
      <c r="F217" s="1" t="s">
        <v>111</v>
      </c>
      <c r="G217" s="1">
        <v>5604868</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651</v>
      </c>
      <c r="D218" s="1" t="s">
        <v>652</v>
      </c>
      <c r="E218" s="1" t="s">
        <v>653</v>
      </c>
      <c r="F218" s="1" t="s">
        <v>111</v>
      </c>
      <c r="G218" s="1">
        <v>5174109</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654</v>
      </c>
      <c r="D219" s="1" t="s">
        <v>655</v>
      </c>
      <c r="E219" s="1" t="s">
        <v>656</v>
      </c>
      <c r="F219" s="1" t="s">
        <v>111</v>
      </c>
      <c r="G219" s="1">
        <v>5161953</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657</v>
      </c>
      <c r="D220" s="1" t="s">
        <v>658</v>
      </c>
      <c r="E220" s="1" t="s">
        <v>659</v>
      </c>
      <c r="F220" s="1" t="s">
        <v>111</v>
      </c>
      <c r="G220" s="1">
        <v>5891378</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660</v>
      </c>
      <c r="D221" s="1" t="s">
        <v>661</v>
      </c>
      <c r="E221" s="1" t="s">
        <v>662</v>
      </c>
      <c r="F221" s="1" t="s">
        <v>111</v>
      </c>
      <c r="G221" s="1">
        <v>6787288</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663</v>
      </c>
      <c r="D222" s="1" t="s">
        <v>664</v>
      </c>
      <c r="E222" s="1" t="s">
        <v>665</v>
      </c>
      <c r="F222" s="1" t="s">
        <v>111</v>
      </c>
      <c r="G222" s="1">
        <v>6978064</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666</v>
      </c>
      <c r="D223" s="1" t="s">
        <v>667</v>
      </c>
      <c r="E223" s="1" t="s">
        <v>668</v>
      </c>
      <c r="F223" s="1" t="s">
        <v>111</v>
      </c>
      <c r="G223" s="1">
        <v>7023486</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111</v>
      </c>
    </row>
    <row r="225" spans="1:9"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230</v>
      </c>
      <c r="D225" s="1" t="s">
        <v>111</v>
      </c>
      <c r="E225" s="1" t="s">
        <v>231</v>
      </c>
      <c r="F225" s="1" t="s">
        <v>232</v>
      </c>
      <c r="G225" s="1" t="s">
        <v>233</v>
      </c>
      <c r="H225" s="1" t="s">
        <v>234</v>
      </c>
      <c r="I225" s="1" t="s">
        <v>235</v>
      </c>
    </row>
    <row r="226" spans="1:9"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669</v>
      </c>
      <c r="D226" s="1" t="s">
        <v>111</v>
      </c>
      <c r="E226" s="1" t="s">
        <v>670</v>
      </c>
      <c r="F226" s="1" t="s">
        <v>671</v>
      </c>
      <c r="G226" s="1" t="s">
        <v>672</v>
      </c>
      <c r="H226" s="1" t="s">
        <v>673</v>
      </c>
      <c r="I226" s="1">
        <v>24</v>
      </c>
    </row>
    <row r="227" spans="1:9"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111</v>
      </c>
    </row>
    <row r="228" spans="1:9"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111</v>
      </c>
    </row>
    <row r="229" spans="1:9"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111</v>
      </c>
    </row>
    <row r="230" spans="1:9"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111</v>
      </c>
    </row>
    <row r="231" spans="1:9"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111</v>
      </c>
    </row>
    <row r="232" spans="1:9"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240</v>
      </c>
      <c r="D232" s="1" t="s">
        <v>109</v>
      </c>
      <c r="E232" s="1" t="s">
        <v>110</v>
      </c>
      <c r="F232" s="1" t="s">
        <v>111</v>
      </c>
      <c r="G232" s="1" t="s">
        <v>112</v>
      </c>
    </row>
    <row r="233" spans="1:9" x14ac:dyDescent="0.25">
      <c r="A233" s="1" t="str">
        <f t="shared" si="3"/>
        <v>08 Atenolol 0.01</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674</v>
      </c>
      <c r="D233" s="1" t="s">
        <v>675</v>
      </c>
      <c r="E233" s="1" t="s">
        <v>676</v>
      </c>
      <c r="F233" s="1" t="s">
        <v>111</v>
      </c>
      <c r="G233" s="1">
        <v>93787</v>
      </c>
    </row>
    <row r="234" spans="1:9" x14ac:dyDescent="0.25">
      <c r="A234" s="1" t="str">
        <f t="shared" si="3"/>
        <v>08 Atenolol 0.01</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677</v>
      </c>
      <c r="D234" s="1" t="s">
        <v>678</v>
      </c>
      <c r="E234" s="1" t="s">
        <v>679</v>
      </c>
      <c r="F234" s="1" t="s">
        <v>111</v>
      </c>
      <c r="G234" s="1">
        <v>89613</v>
      </c>
    </row>
    <row r="235" spans="1:9" x14ac:dyDescent="0.25">
      <c r="A235" s="1" t="str">
        <f t="shared" si="3"/>
        <v>08 Atenolol 0.01</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680</v>
      </c>
      <c r="D235" s="1" t="s">
        <v>681</v>
      </c>
      <c r="E235" s="1" t="s">
        <v>682</v>
      </c>
      <c r="F235" s="1" t="s">
        <v>111</v>
      </c>
      <c r="G235" s="1">
        <v>39669</v>
      </c>
    </row>
    <row r="236" spans="1:9" x14ac:dyDescent="0.25">
      <c r="A236" s="1" t="str">
        <f t="shared" si="3"/>
        <v>08 Atenolol 0.01</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683</v>
      </c>
      <c r="D236" s="1" t="s">
        <v>684</v>
      </c>
      <c r="E236" s="1" t="s">
        <v>685</v>
      </c>
      <c r="F236" s="1" t="s">
        <v>111</v>
      </c>
      <c r="G236" s="1">
        <v>548750</v>
      </c>
    </row>
    <row r="237" spans="1:9" x14ac:dyDescent="0.25">
      <c r="A237" s="1" t="str">
        <f t="shared" si="3"/>
        <v>08 Atenolol 0.01</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686</v>
      </c>
      <c r="D237" s="1" t="s">
        <v>687</v>
      </c>
      <c r="E237" s="1" t="s">
        <v>688</v>
      </c>
      <c r="F237" s="1" t="s">
        <v>111</v>
      </c>
      <c r="G237" s="1">
        <v>595622</v>
      </c>
    </row>
    <row r="238" spans="1:9" x14ac:dyDescent="0.25">
      <c r="A238" s="1" t="str">
        <f t="shared" si="3"/>
        <v>08 Atenolol 0.01</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689</v>
      </c>
      <c r="D238" s="1" t="s">
        <v>690</v>
      </c>
      <c r="E238" s="1" t="s">
        <v>691</v>
      </c>
      <c r="F238" s="1" t="s">
        <v>111</v>
      </c>
      <c r="G238" s="1">
        <v>289884</v>
      </c>
    </row>
    <row r="239" spans="1:9" x14ac:dyDescent="0.25">
      <c r="A239" s="1" t="str">
        <f t="shared" si="3"/>
        <v>08 Atenolol 0.01</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692</v>
      </c>
      <c r="D239" s="1" t="s">
        <v>346</v>
      </c>
      <c r="E239" s="1" t="s">
        <v>693</v>
      </c>
      <c r="F239" s="1" t="s">
        <v>111</v>
      </c>
      <c r="G239" s="1">
        <v>103110</v>
      </c>
    </row>
    <row r="240" spans="1:9" x14ac:dyDescent="0.25">
      <c r="A240" s="1" t="str">
        <f t="shared" si="3"/>
        <v>08 Atenolol 0.01</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694</v>
      </c>
      <c r="D240" s="1" t="s">
        <v>695</v>
      </c>
      <c r="E240" s="1" t="s">
        <v>696</v>
      </c>
      <c r="F240" s="1" t="s">
        <v>111</v>
      </c>
      <c r="G240" s="1">
        <v>97140</v>
      </c>
    </row>
    <row r="241" spans="1:7" x14ac:dyDescent="0.25">
      <c r="A241" s="1" t="str">
        <f t="shared" si="3"/>
        <v>08 Atenolol 0.01</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697</v>
      </c>
      <c r="D241" s="1" t="s">
        <v>698</v>
      </c>
      <c r="E241" s="1" t="s">
        <v>699</v>
      </c>
      <c r="F241" s="1" t="s">
        <v>111</v>
      </c>
      <c r="G241" s="1">
        <v>85222</v>
      </c>
    </row>
    <row r="242" spans="1:7" x14ac:dyDescent="0.25">
      <c r="A242" s="1" t="str">
        <f t="shared" si="3"/>
        <v>08 Atenolol 0.01</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700</v>
      </c>
      <c r="D242" s="1" t="s">
        <v>701</v>
      </c>
      <c r="E242" s="1" t="s">
        <v>702</v>
      </c>
      <c r="F242" s="1" t="s">
        <v>111</v>
      </c>
      <c r="G242" s="1">
        <v>674636</v>
      </c>
    </row>
    <row r="243" spans="1:7" x14ac:dyDescent="0.25">
      <c r="A243" s="1" t="str">
        <f t="shared" si="3"/>
        <v>08 Atenolol 0.01</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703</v>
      </c>
      <c r="D243" s="1" t="s">
        <v>704</v>
      </c>
      <c r="E243" s="1" t="s">
        <v>705</v>
      </c>
      <c r="F243" s="1" t="s">
        <v>111</v>
      </c>
      <c r="G243" s="1">
        <v>38436</v>
      </c>
    </row>
    <row r="244" spans="1:7" x14ac:dyDescent="0.25">
      <c r="A244" s="1" t="str">
        <f t="shared" si="3"/>
        <v>08 Atenolol 0.01</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706</v>
      </c>
      <c r="D244" s="1" t="s">
        <v>707</v>
      </c>
      <c r="E244" s="1" t="s">
        <v>708</v>
      </c>
      <c r="F244" s="1" t="s">
        <v>111</v>
      </c>
      <c r="G244" s="1">
        <v>34954</v>
      </c>
    </row>
    <row r="245" spans="1:7" x14ac:dyDescent="0.25">
      <c r="A245" s="1" t="str">
        <f t="shared" si="3"/>
        <v>08 Atenolol 0.01</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709</v>
      </c>
      <c r="D245" s="1" t="s">
        <v>710</v>
      </c>
      <c r="E245" s="1" t="s">
        <v>711</v>
      </c>
      <c r="F245" s="1" t="s">
        <v>111</v>
      </c>
      <c r="G245" s="1">
        <v>725185</v>
      </c>
    </row>
    <row r="246" spans="1:7" x14ac:dyDescent="0.25">
      <c r="A246" s="1" t="str">
        <f t="shared" si="3"/>
        <v>08 Atenolol 0.01</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712</v>
      </c>
      <c r="D246" s="1" t="s">
        <v>713</v>
      </c>
      <c r="E246" s="1" t="s">
        <v>714</v>
      </c>
      <c r="F246" s="1" t="s">
        <v>111</v>
      </c>
      <c r="G246" s="1">
        <v>662913</v>
      </c>
    </row>
    <row r="247" spans="1:7" x14ac:dyDescent="0.25">
      <c r="A247" s="1" t="str">
        <f t="shared" si="3"/>
        <v>08 Atenolol 0.01</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715</v>
      </c>
      <c r="D247" s="1" t="s">
        <v>716</v>
      </c>
      <c r="E247" s="1" t="s">
        <v>717</v>
      </c>
      <c r="F247" s="1" t="s">
        <v>111</v>
      </c>
      <c r="G247" s="1">
        <v>569191</v>
      </c>
    </row>
    <row r="248" spans="1:7" x14ac:dyDescent="0.25">
      <c r="A248" s="1" t="str">
        <f t="shared" si="3"/>
        <v>08 Atenolol 0.01</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718</v>
      </c>
      <c r="D248" s="1" t="s">
        <v>719</v>
      </c>
      <c r="E248" s="1" t="s">
        <v>720</v>
      </c>
      <c r="F248" s="1" t="s">
        <v>111</v>
      </c>
      <c r="G248" s="1">
        <v>383152</v>
      </c>
    </row>
    <row r="249" spans="1:7" x14ac:dyDescent="0.25">
      <c r="A249" s="1" t="str">
        <f t="shared" si="3"/>
        <v>08 Atenolol 0.01</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721</v>
      </c>
      <c r="D249" s="1" t="s">
        <v>493</v>
      </c>
      <c r="E249" s="1" t="s">
        <v>722</v>
      </c>
      <c r="F249" s="1" t="s">
        <v>111</v>
      </c>
      <c r="G249" s="1">
        <v>457516</v>
      </c>
    </row>
    <row r="250" spans="1:7" x14ac:dyDescent="0.25">
      <c r="A250" s="1" t="str">
        <f t="shared" si="3"/>
        <v>08 Atenolol 0.01</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723</v>
      </c>
      <c r="D250" s="1" t="s">
        <v>724</v>
      </c>
      <c r="E250" s="1" t="s">
        <v>725</v>
      </c>
      <c r="F250" s="1" t="s">
        <v>111</v>
      </c>
      <c r="G250" s="1">
        <v>444667</v>
      </c>
    </row>
    <row r="251" spans="1:7" x14ac:dyDescent="0.25">
      <c r="A251" s="1" t="str">
        <f t="shared" si="3"/>
        <v>08 Atenolol 0.01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726</v>
      </c>
      <c r="D251" s="1" t="s">
        <v>270</v>
      </c>
      <c r="E251" s="1" t="s">
        <v>727</v>
      </c>
      <c r="F251" s="1" t="s">
        <v>111</v>
      </c>
      <c r="G251" s="1">
        <v>221382</v>
      </c>
    </row>
    <row r="252" spans="1:7" x14ac:dyDescent="0.25">
      <c r="A252" s="1" t="str">
        <f t="shared" si="3"/>
        <v>08 Atenolol 0.01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728</v>
      </c>
      <c r="D252" s="1" t="s">
        <v>729</v>
      </c>
      <c r="E252" s="1" t="s">
        <v>730</v>
      </c>
      <c r="F252" s="1" t="s">
        <v>111</v>
      </c>
      <c r="G252" s="1">
        <v>261614</v>
      </c>
    </row>
    <row r="253" spans="1:7" x14ac:dyDescent="0.25">
      <c r="A253" s="1" t="str">
        <f t="shared" si="3"/>
        <v>08 Atenolol 0.01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731</v>
      </c>
      <c r="D253" s="1" t="s">
        <v>732</v>
      </c>
      <c r="E253" s="1" t="s">
        <v>733</v>
      </c>
      <c r="F253" s="1" t="s">
        <v>111</v>
      </c>
      <c r="G253" s="1">
        <v>449383</v>
      </c>
    </row>
    <row r="254" spans="1:7" x14ac:dyDescent="0.25">
      <c r="A254" s="1" t="str">
        <f t="shared" si="3"/>
        <v>08 Atenolol 0.01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734</v>
      </c>
      <c r="D254" s="1" t="s">
        <v>735</v>
      </c>
      <c r="E254" s="1" t="s">
        <v>736</v>
      </c>
      <c r="F254" s="1" t="s">
        <v>111</v>
      </c>
      <c r="G254" s="1">
        <v>616106</v>
      </c>
    </row>
    <row r="255" spans="1:7" x14ac:dyDescent="0.25">
      <c r="A255" s="1" t="str">
        <f t="shared" si="3"/>
        <v>08 Atenolol 0.01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737</v>
      </c>
      <c r="D255" s="1" t="s">
        <v>738</v>
      </c>
      <c r="E255" s="1" t="s">
        <v>739</v>
      </c>
      <c r="F255" s="1" t="s">
        <v>111</v>
      </c>
      <c r="G255" s="1">
        <v>877698</v>
      </c>
    </row>
    <row r="256" spans="1:7" x14ac:dyDescent="0.25">
      <c r="A256" s="1" t="str">
        <f t="shared" si="3"/>
        <v>08 Atenolol 0.01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740</v>
      </c>
      <c r="D256" s="1" t="s">
        <v>741</v>
      </c>
      <c r="E256" s="1" t="s">
        <v>742</v>
      </c>
      <c r="F256" s="1" t="s">
        <v>111</v>
      </c>
      <c r="G256" s="1">
        <v>305176</v>
      </c>
    </row>
    <row r="257" spans="1:9"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111</v>
      </c>
    </row>
    <row r="258" spans="1:9"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230</v>
      </c>
      <c r="D258" s="1" t="s">
        <v>111</v>
      </c>
      <c r="E258" s="1" t="s">
        <v>231</v>
      </c>
      <c r="F258" s="1" t="s">
        <v>232</v>
      </c>
      <c r="G258" s="1" t="s">
        <v>233</v>
      </c>
      <c r="H258" s="1" t="s">
        <v>234</v>
      </c>
      <c r="I258" s="1" t="s">
        <v>235</v>
      </c>
    </row>
    <row r="259" spans="1:9" x14ac:dyDescent="0.25">
      <c r="A259" s="1" t="str">
        <f t="shared" si="4"/>
        <v>08 Atenolol 0.01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743</v>
      </c>
      <c r="D259" s="1" t="s">
        <v>111</v>
      </c>
      <c r="E259" s="1" t="s">
        <v>744</v>
      </c>
      <c r="F259" s="1" t="s">
        <v>745</v>
      </c>
      <c r="G259" s="1" t="s">
        <v>746</v>
      </c>
      <c r="H259" s="1" t="s">
        <v>747</v>
      </c>
      <c r="I259" s="1">
        <v>24</v>
      </c>
    </row>
    <row r="260" spans="1:9"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111</v>
      </c>
    </row>
    <row r="261" spans="1:9"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111</v>
      </c>
    </row>
    <row r="262" spans="1:9"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111</v>
      </c>
    </row>
    <row r="263" spans="1:9"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111</v>
      </c>
    </row>
    <row r="264" spans="1:9"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111</v>
      </c>
    </row>
    <row r="265" spans="1:9"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240</v>
      </c>
      <c r="D265" s="1" t="s">
        <v>109</v>
      </c>
      <c r="E265" s="1" t="s">
        <v>110</v>
      </c>
      <c r="F265" s="1" t="s">
        <v>111</v>
      </c>
      <c r="G265" s="1" t="s">
        <v>112</v>
      </c>
    </row>
    <row r="266" spans="1:9" x14ac:dyDescent="0.25">
      <c r="A266" s="1" t="str">
        <f t="shared" si="4"/>
        <v>09 Atenolol 0.1</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748</v>
      </c>
      <c r="D266" s="1" t="s">
        <v>749</v>
      </c>
      <c r="E266" s="1" t="s">
        <v>750</v>
      </c>
      <c r="F266" s="1" t="s">
        <v>111</v>
      </c>
      <c r="G266" s="1">
        <v>54897</v>
      </c>
    </row>
    <row r="267" spans="1:9" x14ac:dyDescent="0.25">
      <c r="A267" s="1" t="str">
        <f t="shared" si="4"/>
        <v>09 Atenolol 0.1</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751</v>
      </c>
      <c r="D267" s="1" t="s">
        <v>752</v>
      </c>
      <c r="E267" s="1" t="s">
        <v>753</v>
      </c>
      <c r="F267" s="1" t="s">
        <v>111</v>
      </c>
      <c r="G267" s="1">
        <v>655299</v>
      </c>
    </row>
    <row r="268" spans="1:9" x14ac:dyDescent="0.25">
      <c r="A268" s="1" t="str">
        <f t="shared" si="4"/>
        <v>09 Atenolol 0.1</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754</v>
      </c>
      <c r="D268" s="1" t="s">
        <v>678</v>
      </c>
      <c r="E268" s="1" t="s">
        <v>755</v>
      </c>
      <c r="F268" s="1" t="s">
        <v>111</v>
      </c>
      <c r="G268" s="1">
        <v>84205</v>
      </c>
    </row>
    <row r="269" spans="1:9" x14ac:dyDescent="0.25">
      <c r="A269" s="1" t="str">
        <f t="shared" si="4"/>
        <v>09 Atenolol 0.1</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756</v>
      </c>
      <c r="D269" s="1" t="s">
        <v>757</v>
      </c>
      <c r="E269" s="1" t="s">
        <v>758</v>
      </c>
      <c r="F269" s="1" t="s">
        <v>111</v>
      </c>
      <c r="G269" s="1">
        <v>233300</v>
      </c>
    </row>
    <row r="270" spans="1:9" x14ac:dyDescent="0.25">
      <c r="A270" s="1" t="str">
        <f t="shared" si="4"/>
        <v>09 Atenolol 0.1</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759</v>
      </c>
      <c r="D270" s="1" t="s">
        <v>724</v>
      </c>
      <c r="E270" s="1" t="s">
        <v>760</v>
      </c>
      <c r="F270" s="1" t="s">
        <v>111</v>
      </c>
      <c r="G270" s="1">
        <v>441466</v>
      </c>
    </row>
    <row r="271" spans="1:9" x14ac:dyDescent="0.25">
      <c r="A271" s="1" t="str">
        <f t="shared" si="4"/>
        <v>09 Atenolol 0.1</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761</v>
      </c>
      <c r="D271" s="1" t="s">
        <v>762</v>
      </c>
      <c r="E271" s="1" t="s">
        <v>763</v>
      </c>
      <c r="F271" s="1" t="s">
        <v>111</v>
      </c>
      <c r="G271" s="1">
        <v>188742</v>
      </c>
    </row>
    <row r="272" spans="1:9" x14ac:dyDescent="0.25">
      <c r="A272" s="1" t="str">
        <f t="shared" si="4"/>
        <v>09 Atenolol 0.1</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764</v>
      </c>
      <c r="D272" s="1" t="s">
        <v>765</v>
      </c>
      <c r="E272" s="1" t="s">
        <v>766</v>
      </c>
      <c r="F272" s="1" t="s">
        <v>111</v>
      </c>
      <c r="G272" s="1">
        <v>68091</v>
      </c>
    </row>
    <row r="273" spans="1:7" x14ac:dyDescent="0.25">
      <c r="A273" s="1" t="str">
        <f t="shared" si="4"/>
        <v>09 Atenolol 0.1</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767</v>
      </c>
      <c r="D273" s="1" t="s">
        <v>749</v>
      </c>
      <c r="E273" s="1" t="s">
        <v>768</v>
      </c>
      <c r="F273" s="1" t="s">
        <v>111</v>
      </c>
      <c r="G273" s="1">
        <v>51998</v>
      </c>
    </row>
    <row r="274" spans="1:7" x14ac:dyDescent="0.25">
      <c r="A274" s="1" t="str">
        <f t="shared" si="4"/>
        <v>09 Atenolol 0.1</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769</v>
      </c>
      <c r="D274" s="1" t="s">
        <v>770</v>
      </c>
      <c r="E274" s="1" t="s">
        <v>771</v>
      </c>
      <c r="F274" s="1" t="s">
        <v>111</v>
      </c>
      <c r="G274" s="1">
        <v>57838</v>
      </c>
    </row>
    <row r="275" spans="1:7" x14ac:dyDescent="0.25">
      <c r="A275" s="1" t="str">
        <f t="shared" si="4"/>
        <v>09 Atenolol 0.1</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772</v>
      </c>
      <c r="D275" s="1" t="s">
        <v>773</v>
      </c>
      <c r="E275" s="1" t="s">
        <v>774</v>
      </c>
      <c r="F275" s="1" t="s">
        <v>111</v>
      </c>
      <c r="G275" s="1">
        <v>478388</v>
      </c>
    </row>
    <row r="276" spans="1:7" x14ac:dyDescent="0.25">
      <c r="A276" s="1" t="str">
        <f t="shared" si="4"/>
        <v>09 Atenolol 0.1</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775</v>
      </c>
      <c r="D276" s="1" t="s">
        <v>392</v>
      </c>
      <c r="E276" s="1" t="s">
        <v>776</v>
      </c>
      <c r="F276" s="1" t="s">
        <v>111</v>
      </c>
      <c r="G276" s="1">
        <v>344586</v>
      </c>
    </row>
    <row r="277" spans="1:7" x14ac:dyDescent="0.25">
      <c r="A277" s="1" t="str">
        <f t="shared" si="4"/>
        <v>09 Atenolol 0.1</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777</v>
      </c>
      <c r="D277" s="1" t="s">
        <v>147</v>
      </c>
      <c r="E277" s="1" t="s">
        <v>778</v>
      </c>
      <c r="F277" s="1" t="s">
        <v>111</v>
      </c>
      <c r="G277" s="1">
        <v>360094</v>
      </c>
    </row>
    <row r="278" spans="1:7" x14ac:dyDescent="0.25">
      <c r="A278" s="1" t="str">
        <f t="shared" si="4"/>
        <v>09 Atenolol 0.1</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779</v>
      </c>
      <c r="D278" s="1" t="s">
        <v>190</v>
      </c>
      <c r="E278" s="1" t="s">
        <v>780</v>
      </c>
      <c r="F278" s="1" t="s">
        <v>111</v>
      </c>
      <c r="G278" s="1">
        <v>136074</v>
      </c>
    </row>
    <row r="279" spans="1:7" x14ac:dyDescent="0.25">
      <c r="A279" s="1" t="str">
        <f t="shared" si="4"/>
        <v>09 Atenolol 0.1</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781</v>
      </c>
      <c r="D279" s="1" t="s">
        <v>283</v>
      </c>
      <c r="E279" s="1" t="s">
        <v>782</v>
      </c>
      <c r="F279" s="1" t="s">
        <v>111</v>
      </c>
      <c r="G279" s="1">
        <v>113795</v>
      </c>
    </row>
    <row r="280" spans="1:7" x14ac:dyDescent="0.25">
      <c r="A280" s="1" t="str">
        <f t="shared" si="4"/>
        <v>09 Atenolol 0.1</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783</v>
      </c>
      <c r="D280" s="1" t="s">
        <v>318</v>
      </c>
      <c r="E280" s="1" t="s">
        <v>784</v>
      </c>
      <c r="F280" s="1" t="s">
        <v>111</v>
      </c>
      <c r="G280" s="1">
        <v>28465</v>
      </c>
    </row>
    <row r="281" spans="1:7" x14ac:dyDescent="0.25">
      <c r="A281" s="1" t="str">
        <f t="shared" si="4"/>
        <v>09 Atenolol 0.1</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785</v>
      </c>
      <c r="D281" s="1" t="s">
        <v>401</v>
      </c>
      <c r="E281" s="1" t="s">
        <v>786</v>
      </c>
      <c r="F281" s="1" t="s">
        <v>111</v>
      </c>
      <c r="G281" s="1">
        <v>648637</v>
      </c>
    </row>
    <row r="282" spans="1:7" x14ac:dyDescent="0.25">
      <c r="A282" s="1" t="str">
        <f t="shared" si="4"/>
        <v>09 Atenolol 0.1</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787</v>
      </c>
      <c r="D282" s="1" t="s">
        <v>752</v>
      </c>
      <c r="E282" s="1" t="s">
        <v>788</v>
      </c>
      <c r="F282" s="1" t="s">
        <v>111</v>
      </c>
      <c r="G282" s="1">
        <v>686554</v>
      </c>
    </row>
    <row r="283" spans="1:7" x14ac:dyDescent="0.25">
      <c r="A283" s="1" t="str">
        <f t="shared" si="4"/>
        <v>09 Atenolol 0.1</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789</v>
      </c>
      <c r="D283" s="1" t="s">
        <v>724</v>
      </c>
      <c r="E283" s="1" t="s">
        <v>790</v>
      </c>
      <c r="F283" s="1" t="s">
        <v>111</v>
      </c>
      <c r="G283" s="1">
        <v>497682</v>
      </c>
    </row>
    <row r="284" spans="1:7" x14ac:dyDescent="0.25">
      <c r="A284" s="1" t="str">
        <f t="shared" si="4"/>
        <v>09 Atenolol 0.1</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791</v>
      </c>
      <c r="D284" s="1" t="s">
        <v>543</v>
      </c>
      <c r="E284" s="1" t="s">
        <v>792</v>
      </c>
      <c r="F284" s="1" t="s">
        <v>111</v>
      </c>
      <c r="G284" s="1">
        <v>195621</v>
      </c>
    </row>
    <row r="285" spans="1:7" x14ac:dyDescent="0.25">
      <c r="A285" s="1" t="str">
        <f t="shared" si="4"/>
        <v>09 Atenolol 0.1</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793</v>
      </c>
      <c r="D285" s="1" t="s">
        <v>267</v>
      </c>
      <c r="E285" s="1" t="s">
        <v>794</v>
      </c>
      <c r="F285" s="1" t="s">
        <v>111</v>
      </c>
      <c r="G285" s="1">
        <v>88661</v>
      </c>
    </row>
    <row r="286" spans="1:7" x14ac:dyDescent="0.25">
      <c r="A286" s="1" t="str">
        <f t="shared" si="4"/>
        <v>09 Atenolol 0.1</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795</v>
      </c>
      <c r="D286" s="1" t="s">
        <v>796</v>
      </c>
      <c r="E286" s="1" t="s">
        <v>797</v>
      </c>
      <c r="F286" s="1" t="s">
        <v>111</v>
      </c>
      <c r="G286" s="1">
        <v>236847</v>
      </c>
    </row>
    <row r="287" spans="1:7" x14ac:dyDescent="0.25">
      <c r="A287" s="1" t="str">
        <f t="shared" si="4"/>
        <v>09 Atenolol 0.1</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798</v>
      </c>
      <c r="D287" s="1" t="s">
        <v>749</v>
      </c>
      <c r="E287" s="1" t="s">
        <v>799</v>
      </c>
      <c r="F287" s="1" t="s">
        <v>111</v>
      </c>
      <c r="G287" s="1">
        <v>50311</v>
      </c>
    </row>
    <row r="288" spans="1:7" x14ac:dyDescent="0.25">
      <c r="A288" s="1" t="str">
        <f t="shared" si="4"/>
        <v>09 Atenolol 0.1</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800</v>
      </c>
      <c r="D288" s="1" t="s">
        <v>194</v>
      </c>
      <c r="E288" s="1" t="s">
        <v>801</v>
      </c>
      <c r="F288" s="1" t="s">
        <v>111</v>
      </c>
      <c r="G288" s="1">
        <v>47283</v>
      </c>
    </row>
    <row r="289" spans="1:9" x14ac:dyDescent="0.25">
      <c r="A289" s="1" t="str">
        <f t="shared" si="4"/>
        <v>09 Atenolol 0.1</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802</v>
      </c>
      <c r="D289" s="1" t="s">
        <v>695</v>
      </c>
      <c r="E289" s="1" t="s">
        <v>803</v>
      </c>
      <c r="F289" s="1" t="s">
        <v>111</v>
      </c>
      <c r="G289" s="1">
        <v>95539</v>
      </c>
    </row>
    <row r="290" spans="1:9"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111</v>
      </c>
    </row>
    <row r="291" spans="1:9"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230</v>
      </c>
      <c r="D291" s="1" t="s">
        <v>111</v>
      </c>
      <c r="E291" s="1" t="s">
        <v>231</v>
      </c>
      <c r="F291" s="1" t="s">
        <v>232</v>
      </c>
      <c r="G291" s="1" t="s">
        <v>233</v>
      </c>
      <c r="H291" s="1" t="s">
        <v>234</v>
      </c>
      <c r="I291" s="1" t="s">
        <v>235</v>
      </c>
    </row>
    <row r="292" spans="1:9" x14ac:dyDescent="0.25">
      <c r="A292" s="1" t="str">
        <f t="shared" si="4"/>
        <v>09 Atenolol 0.1</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804</v>
      </c>
      <c r="D292" s="1" t="s">
        <v>111</v>
      </c>
      <c r="E292" s="1" t="s">
        <v>805</v>
      </c>
      <c r="F292" s="1" t="s">
        <v>806</v>
      </c>
      <c r="G292" s="1" t="s">
        <v>807</v>
      </c>
      <c r="H292" s="1" t="s">
        <v>808</v>
      </c>
      <c r="I292" s="1">
        <v>24</v>
      </c>
    </row>
    <row r="293" spans="1:9"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111</v>
      </c>
    </row>
    <row r="294" spans="1:9"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111</v>
      </c>
    </row>
    <row r="295" spans="1:9"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111</v>
      </c>
    </row>
    <row r="296" spans="1:9"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111</v>
      </c>
    </row>
    <row r="297" spans="1:9"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111</v>
      </c>
    </row>
    <row r="298" spans="1:9"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240</v>
      </c>
      <c r="D298" s="1" t="s">
        <v>109</v>
      </c>
      <c r="E298" s="1" t="s">
        <v>110</v>
      </c>
      <c r="F298" s="1" t="s">
        <v>111</v>
      </c>
      <c r="G298" s="1" t="s">
        <v>112</v>
      </c>
    </row>
    <row r="299" spans="1:9" x14ac:dyDescent="0.25">
      <c r="A299" s="1" t="str">
        <f t="shared" si="4"/>
        <v>10 Atenolol 1</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809</v>
      </c>
      <c r="D299" s="1" t="s">
        <v>810</v>
      </c>
      <c r="E299" s="1" t="s">
        <v>811</v>
      </c>
      <c r="F299" s="1" t="s">
        <v>111</v>
      </c>
      <c r="G299" s="1">
        <v>708595</v>
      </c>
    </row>
    <row r="300" spans="1:9" x14ac:dyDescent="0.25">
      <c r="A300" s="1" t="str">
        <f t="shared" si="4"/>
        <v>10 Atenolol 1</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812</v>
      </c>
      <c r="D300" s="1" t="s">
        <v>203</v>
      </c>
      <c r="E300" s="1" t="s">
        <v>813</v>
      </c>
      <c r="F300" s="1" t="s">
        <v>111</v>
      </c>
      <c r="G300" s="1">
        <v>599126</v>
      </c>
    </row>
    <row r="301" spans="1:9" x14ac:dyDescent="0.25">
      <c r="A301" s="1" t="str">
        <f t="shared" si="4"/>
        <v>10 Atenolol 1</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814</v>
      </c>
      <c r="D301" s="1" t="s">
        <v>343</v>
      </c>
      <c r="E301" s="1" t="s">
        <v>815</v>
      </c>
      <c r="F301" s="1" t="s">
        <v>111</v>
      </c>
      <c r="G301" s="1">
        <v>506421</v>
      </c>
    </row>
    <row r="302" spans="1:9" x14ac:dyDescent="0.25">
      <c r="A302" s="1" t="str">
        <f t="shared" si="4"/>
        <v>10 Atenolol 1</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816</v>
      </c>
      <c r="D302" s="1" t="s">
        <v>292</v>
      </c>
      <c r="E302" s="1" t="s">
        <v>817</v>
      </c>
      <c r="F302" s="1" t="s">
        <v>111</v>
      </c>
      <c r="G302" s="1">
        <v>370520</v>
      </c>
    </row>
    <row r="303" spans="1:9" x14ac:dyDescent="0.25">
      <c r="A303" s="1" t="str">
        <f t="shared" si="4"/>
        <v>10 Atenolol 1</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818</v>
      </c>
      <c r="D303" s="1" t="s">
        <v>819</v>
      </c>
      <c r="E303" s="1" t="s">
        <v>820</v>
      </c>
      <c r="F303" s="1" t="s">
        <v>111</v>
      </c>
      <c r="G303" s="1">
        <v>458900</v>
      </c>
    </row>
    <row r="304" spans="1:9" x14ac:dyDescent="0.25">
      <c r="A304" s="1" t="str">
        <f t="shared" si="4"/>
        <v>10 Atenolol 1</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821</v>
      </c>
      <c r="D304" s="1" t="s">
        <v>822</v>
      </c>
      <c r="E304" s="1" t="s">
        <v>823</v>
      </c>
      <c r="F304" s="1" t="s">
        <v>111</v>
      </c>
      <c r="G304" s="1">
        <v>489485</v>
      </c>
    </row>
    <row r="305" spans="1:7" x14ac:dyDescent="0.25">
      <c r="A305" s="1" t="str">
        <f t="shared" si="4"/>
        <v>10 Atenolol 1</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824</v>
      </c>
      <c r="D305" s="1" t="s">
        <v>707</v>
      </c>
      <c r="E305" s="1">
        <v>64</v>
      </c>
      <c r="F305" s="1" t="s">
        <v>111</v>
      </c>
      <c r="G305" s="1">
        <v>35992</v>
      </c>
    </row>
    <row r="306" spans="1:7" x14ac:dyDescent="0.25">
      <c r="A306" s="1" t="str">
        <f t="shared" si="4"/>
        <v>10 Atenolol 1</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825</v>
      </c>
      <c r="D306" s="1" t="s">
        <v>826</v>
      </c>
      <c r="E306" s="1" t="s">
        <v>827</v>
      </c>
      <c r="F306" s="1" t="s">
        <v>111</v>
      </c>
      <c r="G306" s="1">
        <v>37701</v>
      </c>
    </row>
    <row r="307" spans="1:7" x14ac:dyDescent="0.25">
      <c r="A307" s="1" t="str">
        <f t="shared" si="4"/>
        <v>10 Atenolol 1</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828</v>
      </c>
      <c r="D307" s="1" t="s">
        <v>829</v>
      </c>
      <c r="E307" s="1" t="s">
        <v>830</v>
      </c>
      <c r="F307" s="1" t="s">
        <v>111</v>
      </c>
      <c r="G307" s="1">
        <v>23620</v>
      </c>
    </row>
    <row r="308" spans="1:7" x14ac:dyDescent="0.25">
      <c r="A308" s="1" t="str">
        <f t="shared" si="4"/>
        <v>10 Atenolol 1</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831</v>
      </c>
      <c r="D308" s="1" t="s">
        <v>832</v>
      </c>
      <c r="E308" s="1" t="s">
        <v>833</v>
      </c>
      <c r="F308" s="1" t="s">
        <v>111</v>
      </c>
      <c r="G308" s="1">
        <v>899760</v>
      </c>
    </row>
    <row r="309" spans="1:7" x14ac:dyDescent="0.25">
      <c r="A309" s="1" t="str">
        <f t="shared" si="4"/>
        <v>10 Atenolol 1</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834</v>
      </c>
    </row>
    <row r="310" spans="1:7" x14ac:dyDescent="0.25">
      <c r="A310" s="1" t="str">
        <f t="shared" si="4"/>
        <v>10 Atenolol 1</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835</v>
      </c>
      <c r="D310" s="1" t="s">
        <v>422</v>
      </c>
      <c r="E310" s="1" t="s">
        <v>836</v>
      </c>
      <c r="F310" s="1" t="s">
        <v>111</v>
      </c>
      <c r="G310" s="1">
        <v>540834</v>
      </c>
    </row>
    <row r="311" spans="1:7" x14ac:dyDescent="0.25">
      <c r="A311" s="1" t="str">
        <f t="shared" si="4"/>
        <v>10 Atenolol 1</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837</v>
      </c>
      <c r="D311" s="1" t="s">
        <v>838</v>
      </c>
      <c r="E311" s="1" t="s">
        <v>839</v>
      </c>
      <c r="F311" s="1" t="s">
        <v>111</v>
      </c>
      <c r="G311" s="1">
        <v>150111</v>
      </c>
    </row>
    <row r="312" spans="1:7" x14ac:dyDescent="0.25">
      <c r="A312" s="1" t="str">
        <f t="shared" si="4"/>
        <v>10 Atenolol 1</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840</v>
      </c>
      <c r="D312" s="1" t="s">
        <v>841</v>
      </c>
      <c r="E312" s="1" t="s">
        <v>842</v>
      </c>
      <c r="F312" s="1" t="s">
        <v>111</v>
      </c>
      <c r="G312" s="1">
        <v>64738</v>
      </c>
    </row>
    <row r="313" spans="1:7" x14ac:dyDescent="0.25">
      <c r="A313" s="1" t="str">
        <f t="shared" si="4"/>
        <v>10 Atenolol 1</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843</v>
      </c>
      <c r="D313" s="1" t="s">
        <v>325</v>
      </c>
      <c r="E313" s="1" t="s">
        <v>844</v>
      </c>
      <c r="F313" s="1" t="s">
        <v>111</v>
      </c>
      <c r="G313" s="1">
        <v>93830</v>
      </c>
    </row>
    <row r="314" spans="1:7" x14ac:dyDescent="0.25">
      <c r="A314" s="1" t="str">
        <f t="shared" si="4"/>
        <v>10 Atenolol 1</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845</v>
      </c>
      <c r="D314" s="1" t="s">
        <v>846</v>
      </c>
      <c r="E314" s="1" t="s">
        <v>847</v>
      </c>
      <c r="F314" s="1" t="s">
        <v>111</v>
      </c>
      <c r="G314" s="1">
        <v>844258</v>
      </c>
    </row>
    <row r="315" spans="1:7" x14ac:dyDescent="0.25">
      <c r="A315" s="1" t="str">
        <f t="shared" si="4"/>
        <v>10 Atenolol 1</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848</v>
      </c>
      <c r="D315" s="1" t="s">
        <v>849</v>
      </c>
      <c r="E315" s="1" t="s">
        <v>850</v>
      </c>
      <c r="F315" s="1" t="s">
        <v>111</v>
      </c>
      <c r="G315" s="1">
        <v>246667</v>
      </c>
    </row>
    <row r="316" spans="1:7" x14ac:dyDescent="0.25">
      <c r="A316" s="1" t="str">
        <f t="shared" si="4"/>
        <v>10 Atenolol 1</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851</v>
      </c>
      <c r="D316" s="1" t="s">
        <v>675</v>
      </c>
      <c r="E316" s="1" t="s">
        <v>852</v>
      </c>
      <c r="F316" s="1" t="s">
        <v>111</v>
      </c>
      <c r="G316" s="1">
        <v>94934</v>
      </c>
    </row>
    <row r="317" spans="1:7" x14ac:dyDescent="0.25">
      <c r="A317" s="1" t="str">
        <f t="shared" si="4"/>
        <v>10 Atenolol 1</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853</v>
      </c>
      <c r="D317" s="1" t="s">
        <v>854</v>
      </c>
      <c r="E317" s="1" t="s">
        <v>855</v>
      </c>
      <c r="F317" s="1" t="s">
        <v>111</v>
      </c>
      <c r="G317" s="1">
        <v>572695</v>
      </c>
    </row>
    <row r="318" spans="1:7" x14ac:dyDescent="0.25">
      <c r="A318" s="1" t="str">
        <f t="shared" si="4"/>
        <v>10 Atenolol 1</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856</v>
      </c>
      <c r="D318" s="1" t="s">
        <v>857</v>
      </c>
      <c r="E318" s="1" t="s">
        <v>858</v>
      </c>
      <c r="F318" s="1" t="s">
        <v>111</v>
      </c>
      <c r="G318" s="1">
        <v>296935</v>
      </c>
    </row>
    <row r="319" spans="1:7" x14ac:dyDescent="0.25">
      <c r="A319" s="1" t="str">
        <f t="shared" si="4"/>
        <v>10 Atenolol 1</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859</v>
      </c>
      <c r="D319" s="1" t="s">
        <v>860</v>
      </c>
      <c r="E319" s="1" t="s">
        <v>861</v>
      </c>
      <c r="F319" s="1" t="s">
        <v>111</v>
      </c>
      <c r="G319" s="1">
        <v>347960</v>
      </c>
    </row>
    <row r="320" spans="1:7" x14ac:dyDescent="0.25">
      <c r="A320" s="1" t="str">
        <f t="shared" si="4"/>
        <v>10 Atenolol 1</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862</v>
      </c>
      <c r="D320" s="1" t="s">
        <v>863</v>
      </c>
      <c r="E320" s="1" t="s">
        <v>864</v>
      </c>
      <c r="F320" s="1" t="s">
        <v>111</v>
      </c>
      <c r="G320" s="1">
        <v>547712</v>
      </c>
    </row>
    <row r="321" spans="1:9" x14ac:dyDescent="0.25">
      <c r="A321" s="1" t="str">
        <f t="shared" si="4"/>
        <v>10 Atenolol 1</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865</v>
      </c>
    </row>
    <row r="322" spans="1:9" x14ac:dyDescent="0.25">
      <c r="A322" s="1" t="str">
        <f t="shared" ref="A322:A385" si="5">IFERROR(LEFT(RIGHT(C322,LEN(C322)-SEARCH("@",C322)),SEARCH("/",RIGHT(C322,LEN(C322)-SEARCH("@",C322)-1))),"")</f>
        <v>10 Atenolol 1</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866</v>
      </c>
      <c r="D322" s="1" t="s">
        <v>867</v>
      </c>
      <c r="E322" s="1" t="s">
        <v>868</v>
      </c>
      <c r="F322" s="1" t="s">
        <v>111</v>
      </c>
      <c r="G322" s="1">
        <v>616906</v>
      </c>
    </row>
    <row r="323" spans="1:9"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111</v>
      </c>
    </row>
    <row r="324" spans="1:9"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230</v>
      </c>
      <c r="D324" s="1" t="s">
        <v>111</v>
      </c>
      <c r="E324" s="1" t="s">
        <v>231</v>
      </c>
      <c r="F324" s="1" t="s">
        <v>232</v>
      </c>
      <c r="G324" s="1" t="s">
        <v>233</v>
      </c>
      <c r="H324" s="1" t="s">
        <v>234</v>
      </c>
      <c r="I324" s="1" t="s">
        <v>235</v>
      </c>
    </row>
    <row r="325" spans="1:9" x14ac:dyDescent="0.25">
      <c r="A325" s="1" t="str">
        <f t="shared" si="5"/>
        <v>10 Atenolol 1</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869</v>
      </c>
      <c r="D325" s="1" t="s">
        <v>111</v>
      </c>
      <c r="E325" s="1" t="s">
        <v>870</v>
      </c>
      <c r="F325" s="1" t="s">
        <v>871</v>
      </c>
      <c r="G325" s="1" t="s">
        <v>872</v>
      </c>
      <c r="H325" s="1" t="s">
        <v>873</v>
      </c>
      <c r="I325" s="1">
        <v>24</v>
      </c>
    </row>
    <row r="326" spans="1:9"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111</v>
      </c>
    </row>
    <row r="327" spans="1:9"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111</v>
      </c>
    </row>
    <row r="328" spans="1:9"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111</v>
      </c>
    </row>
    <row r="329" spans="1:9"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111</v>
      </c>
    </row>
    <row r="330" spans="1:9"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111</v>
      </c>
    </row>
    <row r="331" spans="1:9"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240</v>
      </c>
      <c r="D331" s="1" t="s">
        <v>109</v>
      </c>
      <c r="E331" s="1" t="s">
        <v>110</v>
      </c>
      <c r="F331" s="1" t="s">
        <v>111</v>
      </c>
      <c r="G331" s="1" t="s">
        <v>112</v>
      </c>
    </row>
    <row r="332" spans="1:9" x14ac:dyDescent="0.25">
      <c r="A332" s="1" t="str">
        <f t="shared" si="5"/>
        <v>11 Atenolol 10</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874</v>
      </c>
      <c r="D332" s="1" t="s">
        <v>875</v>
      </c>
      <c r="E332" s="1" t="s">
        <v>876</v>
      </c>
      <c r="F332" s="1" t="s">
        <v>111</v>
      </c>
      <c r="G332" s="1">
        <v>429873</v>
      </c>
    </row>
    <row r="333" spans="1:9" x14ac:dyDescent="0.25">
      <c r="A333" s="1" t="str">
        <f t="shared" si="5"/>
        <v>11 Atenolol 10</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877</v>
      </c>
      <c r="D333" s="1" t="s">
        <v>878</v>
      </c>
      <c r="E333" s="1" t="s">
        <v>879</v>
      </c>
      <c r="F333" s="1" t="s">
        <v>111</v>
      </c>
      <c r="G333" s="1">
        <v>54529</v>
      </c>
    </row>
    <row r="334" spans="1:9" x14ac:dyDescent="0.25">
      <c r="A334" s="1" t="str">
        <f t="shared" si="5"/>
        <v>11 Atenolol 10</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880</v>
      </c>
      <c r="D334" s="1" t="s">
        <v>280</v>
      </c>
      <c r="E334" s="1" t="s">
        <v>881</v>
      </c>
      <c r="F334" s="1" t="s">
        <v>111</v>
      </c>
      <c r="G334" s="1">
        <v>17390</v>
      </c>
    </row>
    <row r="335" spans="1:9" x14ac:dyDescent="0.25">
      <c r="A335" s="1" t="str">
        <f t="shared" si="5"/>
        <v>11 Atenolol 10</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882</v>
      </c>
      <c r="D335" s="1" t="s">
        <v>883</v>
      </c>
      <c r="E335" s="1" t="s">
        <v>884</v>
      </c>
      <c r="F335" s="1" t="s">
        <v>111</v>
      </c>
      <c r="G335" s="1">
        <v>443716</v>
      </c>
    </row>
    <row r="336" spans="1:9" x14ac:dyDescent="0.25">
      <c r="A336" s="1" t="str">
        <f t="shared" si="5"/>
        <v>11 Atenolol 10</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885</v>
      </c>
      <c r="D336" s="1" t="s">
        <v>886</v>
      </c>
      <c r="E336" s="1" t="s">
        <v>887</v>
      </c>
      <c r="F336" s="1" t="s">
        <v>111</v>
      </c>
      <c r="G336" s="1">
        <v>278485</v>
      </c>
    </row>
    <row r="337" spans="1:7" x14ac:dyDescent="0.25">
      <c r="A337" s="1" t="str">
        <f t="shared" si="5"/>
        <v>11 Atenolol 10</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888</v>
      </c>
      <c r="D337" s="1" t="s">
        <v>889</v>
      </c>
      <c r="E337" s="1" t="s">
        <v>890</v>
      </c>
      <c r="F337" s="1" t="s">
        <v>111</v>
      </c>
      <c r="G337" s="1">
        <v>533783</v>
      </c>
    </row>
    <row r="338" spans="1:7" x14ac:dyDescent="0.25">
      <c r="A338" s="1" t="str">
        <f t="shared" si="5"/>
        <v>11 Atenolol 10</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891</v>
      </c>
      <c r="D338" s="1" t="s">
        <v>892</v>
      </c>
      <c r="E338" s="1" t="s">
        <v>893</v>
      </c>
      <c r="F338" s="1" t="s">
        <v>111</v>
      </c>
      <c r="G338" s="1">
        <v>188937</v>
      </c>
    </row>
    <row r="339" spans="1:7" x14ac:dyDescent="0.25">
      <c r="A339" s="1" t="str">
        <f t="shared" si="5"/>
        <v>11 Atenolol 10</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894</v>
      </c>
      <c r="D339" s="1" t="s">
        <v>895</v>
      </c>
      <c r="E339" s="1" t="s">
        <v>896</v>
      </c>
      <c r="F339" s="1" t="s">
        <v>111</v>
      </c>
      <c r="G339" s="1">
        <v>312336</v>
      </c>
    </row>
    <row r="340" spans="1:7" x14ac:dyDescent="0.25">
      <c r="A340" s="1" t="str">
        <f t="shared" si="5"/>
        <v>11 Atenolol 10</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897</v>
      </c>
      <c r="D340" s="1" t="s">
        <v>898</v>
      </c>
      <c r="E340" s="1" t="s">
        <v>899</v>
      </c>
      <c r="F340" s="1" t="s">
        <v>111</v>
      </c>
      <c r="G340" s="1">
        <v>343007</v>
      </c>
    </row>
    <row r="341" spans="1:7" x14ac:dyDescent="0.25">
      <c r="A341" s="1" t="str">
        <f t="shared" si="5"/>
        <v>11 Atenolol 10</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900</v>
      </c>
      <c r="D341" s="1" t="s">
        <v>901</v>
      </c>
      <c r="E341" s="1" t="s">
        <v>902</v>
      </c>
      <c r="F341" s="1" t="s">
        <v>111</v>
      </c>
      <c r="G341" s="1">
        <v>16395</v>
      </c>
    </row>
    <row r="342" spans="1:7" x14ac:dyDescent="0.25">
      <c r="A342" s="1" t="str">
        <f t="shared" si="5"/>
        <v>11 Atenolol 10</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903</v>
      </c>
      <c r="D342" s="1" t="s">
        <v>904</v>
      </c>
      <c r="E342" s="1" t="s">
        <v>905</v>
      </c>
      <c r="F342" s="1" t="s">
        <v>111</v>
      </c>
      <c r="G342" s="1">
        <v>251685</v>
      </c>
    </row>
    <row r="343" spans="1:7" x14ac:dyDescent="0.25">
      <c r="A343" s="1" t="str">
        <f t="shared" si="5"/>
        <v>11 Atenolol 10</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906</v>
      </c>
    </row>
    <row r="344" spans="1:7" x14ac:dyDescent="0.25">
      <c r="A344" s="1" t="str">
        <f t="shared" si="5"/>
        <v>11 Atenolol 10</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907</v>
      </c>
      <c r="D344" s="1" t="s">
        <v>908</v>
      </c>
      <c r="E344" s="1" t="s">
        <v>909</v>
      </c>
      <c r="F344" s="1" t="s">
        <v>111</v>
      </c>
      <c r="G344" s="1">
        <v>386159</v>
      </c>
    </row>
    <row r="345" spans="1:7" x14ac:dyDescent="0.25">
      <c r="A345" s="1" t="str">
        <f t="shared" si="5"/>
        <v>11 Atenolol 10</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910</v>
      </c>
      <c r="D345" s="1" t="s">
        <v>911</v>
      </c>
      <c r="E345" s="1" t="s">
        <v>912</v>
      </c>
      <c r="F345" s="1" t="s">
        <v>111</v>
      </c>
      <c r="G345" s="1">
        <v>276235</v>
      </c>
    </row>
    <row r="346" spans="1:7" x14ac:dyDescent="0.25">
      <c r="A346" s="1" t="str">
        <f t="shared" si="5"/>
        <v>11 Atenolol 10</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913</v>
      </c>
      <c r="D346" s="1" t="s">
        <v>914</v>
      </c>
      <c r="E346" s="1" t="s">
        <v>915</v>
      </c>
      <c r="F346" s="1" t="s">
        <v>111</v>
      </c>
      <c r="G346" s="1">
        <v>137782</v>
      </c>
    </row>
    <row r="347" spans="1:7" x14ac:dyDescent="0.25">
      <c r="A347" s="1" t="str">
        <f t="shared" si="5"/>
        <v>11 Atenolol 10</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916</v>
      </c>
      <c r="D347" s="1" t="s">
        <v>917</v>
      </c>
      <c r="E347" s="1" t="s">
        <v>918</v>
      </c>
      <c r="F347" s="1" t="s">
        <v>111</v>
      </c>
      <c r="G347" s="1">
        <v>482736</v>
      </c>
    </row>
    <row r="348" spans="1:7" x14ac:dyDescent="0.25">
      <c r="A348" s="1" t="str">
        <f t="shared" si="5"/>
        <v>11 Atenolol 10</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919</v>
      </c>
      <c r="D348" s="1" t="s">
        <v>920</v>
      </c>
      <c r="E348" s="1" t="s">
        <v>921</v>
      </c>
      <c r="F348" s="1" t="s">
        <v>111</v>
      </c>
      <c r="G348" s="1">
        <v>215910</v>
      </c>
    </row>
    <row r="349" spans="1:7" x14ac:dyDescent="0.25">
      <c r="A349" s="1" t="str">
        <f t="shared" si="5"/>
        <v>11 Atenolol 10</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922</v>
      </c>
      <c r="D349" s="1" t="s">
        <v>923</v>
      </c>
      <c r="E349" s="1" t="s">
        <v>924</v>
      </c>
      <c r="F349" s="1" t="s">
        <v>111</v>
      </c>
      <c r="G349" s="1">
        <v>341060</v>
      </c>
    </row>
    <row r="350" spans="1:7" x14ac:dyDescent="0.25">
      <c r="A350" s="1" t="str">
        <f t="shared" si="5"/>
        <v>11 Atenolol 10</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925</v>
      </c>
      <c r="D350" s="1" t="s">
        <v>926</v>
      </c>
      <c r="E350" s="1" t="s">
        <v>927</v>
      </c>
      <c r="F350" s="1" t="s">
        <v>111</v>
      </c>
      <c r="G350" s="1">
        <v>61494</v>
      </c>
    </row>
    <row r="351" spans="1:7" x14ac:dyDescent="0.25">
      <c r="A351" s="1" t="str">
        <f t="shared" si="5"/>
        <v>11 Atenolol 10</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928</v>
      </c>
      <c r="D351" s="1" t="s">
        <v>929</v>
      </c>
      <c r="E351" s="1" t="s">
        <v>930</v>
      </c>
      <c r="F351" s="1" t="s">
        <v>111</v>
      </c>
      <c r="G351" s="1">
        <v>62229</v>
      </c>
    </row>
    <row r="352" spans="1:7" x14ac:dyDescent="0.25">
      <c r="A352" s="1" t="str">
        <f t="shared" si="5"/>
        <v>11 Atenolol 10</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931</v>
      </c>
      <c r="D352" s="1" t="s">
        <v>444</v>
      </c>
      <c r="E352" s="1" t="s">
        <v>932</v>
      </c>
      <c r="F352" s="1" t="s">
        <v>111</v>
      </c>
      <c r="G352" s="1">
        <v>132094</v>
      </c>
    </row>
    <row r="353" spans="1:9" x14ac:dyDescent="0.25">
      <c r="A353" s="1" t="str">
        <f t="shared" si="5"/>
        <v>11 Atenolol 10</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933</v>
      </c>
      <c r="D353" s="1" t="s">
        <v>770</v>
      </c>
      <c r="E353" s="1" t="s">
        <v>934</v>
      </c>
      <c r="F353" s="1" t="s">
        <v>111</v>
      </c>
      <c r="G353" s="1">
        <v>60045</v>
      </c>
    </row>
    <row r="354" spans="1:9" x14ac:dyDescent="0.25">
      <c r="A354" s="1" t="str">
        <f t="shared" si="5"/>
        <v>11 Atenolol 10</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935</v>
      </c>
      <c r="D354" s="1" t="s">
        <v>681</v>
      </c>
      <c r="E354" s="1">
        <v>67</v>
      </c>
      <c r="F354" s="1" t="s">
        <v>111</v>
      </c>
      <c r="G354" s="1">
        <v>42027</v>
      </c>
    </row>
    <row r="355" spans="1:9" x14ac:dyDescent="0.25">
      <c r="A355" s="1" t="str">
        <f t="shared" si="5"/>
        <v>11 Atenolol 10</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936</v>
      </c>
      <c r="D355" s="1" t="s">
        <v>926</v>
      </c>
      <c r="E355" s="1" t="s">
        <v>937</v>
      </c>
      <c r="F355" s="1" t="s">
        <v>111</v>
      </c>
      <c r="G355" s="1">
        <v>62792</v>
      </c>
    </row>
    <row r="356" spans="1:9"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111</v>
      </c>
    </row>
    <row r="357" spans="1:9"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230</v>
      </c>
      <c r="D357" s="1" t="s">
        <v>111</v>
      </c>
      <c r="E357" s="1" t="s">
        <v>231</v>
      </c>
      <c r="F357" s="1" t="s">
        <v>232</v>
      </c>
      <c r="G357" s="1" t="s">
        <v>233</v>
      </c>
      <c r="H357" s="1" t="s">
        <v>234</v>
      </c>
      <c r="I357" s="1" t="s">
        <v>235</v>
      </c>
    </row>
    <row r="358" spans="1:9" x14ac:dyDescent="0.25">
      <c r="A358" s="1" t="str">
        <f t="shared" si="5"/>
        <v>11 Atenolol 10</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938</v>
      </c>
      <c r="D358" s="1" t="s">
        <v>111</v>
      </c>
      <c r="E358" s="1" t="s">
        <v>939</v>
      </c>
      <c r="F358" s="1" t="s">
        <v>940</v>
      </c>
      <c r="G358" s="1" t="s">
        <v>941</v>
      </c>
      <c r="H358" s="1" t="s">
        <v>942</v>
      </c>
      <c r="I358" s="1">
        <v>24</v>
      </c>
    </row>
    <row r="359" spans="1:9"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111</v>
      </c>
    </row>
    <row r="360" spans="1:9"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111</v>
      </c>
    </row>
    <row r="361" spans="1:9"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111</v>
      </c>
    </row>
    <row r="362" spans="1:9"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111</v>
      </c>
    </row>
    <row r="363" spans="1:9"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111</v>
      </c>
    </row>
    <row r="364" spans="1:9"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240</v>
      </c>
      <c r="D364" s="1" t="s">
        <v>109</v>
      </c>
      <c r="E364" s="1" t="s">
        <v>110</v>
      </c>
      <c r="F364" s="1" t="s">
        <v>111</v>
      </c>
      <c r="G364" s="1" t="s">
        <v>112</v>
      </c>
    </row>
    <row r="365" spans="1:9" x14ac:dyDescent="0.25">
      <c r="A365" s="1" t="str">
        <f t="shared" si="5"/>
        <v>12  Atenolol 100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943</v>
      </c>
      <c r="D365" s="1" t="s">
        <v>944</v>
      </c>
      <c r="E365" s="1" t="s">
        <v>945</v>
      </c>
      <c r="F365" s="1" t="s">
        <v>111</v>
      </c>
      <c r="G365" s="1">
        <v>692416</v>
      </c>
    </row>
    <row r="366" spans="1:9" x14ac:dyDescent="0.25">
      <c r="A366" s="1" t="str">
        <f t="shared" si="5"/>
        <v>12  Atenolol 100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946</v>
      </c>
      <c r="D366" s="1" t="s">
        <v>947</v>
      </c>
      <c r="E366" s="1" t="s">
        <v>948</v>
      </c>
      <c r="F366" s="1" t="s">
        <v>111</v>
      </c>
      <c r="G366" s="1">
        <v>467487</v>
      </c>
    </row>
    <row r="367" spans="1:9" x14ac:dyDescent="0.25">
      <c r="A367" s="1" t="str">
        <f t="shared" si="5"/>
        <v>12  Atenolol 100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949</v>
      </c>
      <c r="D367" s="1" t="s">
        <v>950</v>
      </c>
      <c r="E367" s="1" t="s">
        <v>951</v>
      </c>
      <c r="F367" s="1" t="s">
        <v>111</v>
      </c>
      <c r="G367" s="1">
        <v>481611</v>
      </c>
    </row>
    <row r="368" spans="1:9" x14ac:dyDescent="0.25">
      <c r="A368" s="1" t="str">
        <f t="shared" si="5"/>
        <v>12  Atenolol 100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952</v>
      </c>
      <c r="D368" s="1" t="s">
        <v>953</v>
      </c>
      <c r="E368" s="1" t="s">
        <v>954</v>
      </c>
      <c r="F368" s="1" t="s">
        <v>111</v>
      </c>
      <c r="G368" s="1">
        <v>1059108</v>
      </c>
    </row>
    <row r="369" spans="1:7" x14ac:dyDescent="0.25">
      <c r="A369" s="1" t="str">
        <f t="shared" si="5"/>
        <v>12  Atenolol 100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955</v>
      </c>
      <c r="D369" s="1" t="s">
        <v>956</v>
      </c>
      <c r="E369" s="1" t="s">
        <v>957</v>
      </c>
      <c r="F369" s="1" t="s">
        <v>111</v>
      </c>
      <c r="G369" s="1">
        <v>605442</v>
      </c>
    </row>
    <row r="370" spans="1:7" x14ac:dyDescent="0.25">
      <c r="A370" s="1" t="str">
        <f t="shared" si="5"/>
        <v>12  Atenolol 100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958</v>
      </c>
      <c r="D370" s="1" t="s">
        <v>959</v>
      </c>
      <c r="E370" s="1" t="s">
        <v>960</v>
      </c>
      <c r="F370" s="1" t="s">
        <v>111</v>
      </c>
      <c r="G370" s="1">
        <v>1055647</v>
      </c>
    </row>
    <row r="371" spans="1:7" x14ac:dyDescent="0.25">
      <c r="A371" s="1" t="str">
        <f t="shared" si="5"/>
        <v>12  Atenolol 100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961</v>
      </c>
      <c r="D371" s="1" t="s">
        <v>962</v>
      </c>
      <c r="E371" s="1" t="s">
        <v>963</v>
      </c>
      <c r="F371" s="1" t="s">
        <v>111</v>
      </c>
      <c r="G371" s="1">
        <v>525996</v>
      </c>
    </row>
    <row r="372" spans="1:7" x14ac:dyDescent="0.25">
      <c r="A372" s="1" t="str">
        <f t="shared" si="5"/>
        <v>12  Atenolol 100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964</v>
      </c>
      <c r="D372" s="1" t="s">
        <v>965</v>
      </c>
      <c r="E372" s="1" t="s">
        <v>966</v>
      </c>
      <c r="F372" s="1" t="s">
        <v>111</v>
      </c>
      <c r="G372" s="1">
        <v>186515</v>
      </c>
    </row>
    <row r="373" spans="1:7" x14ac:dyDescent="0.25">
      <c r="A373" s="1" t="str">
        <f t="shared" si="5"/>
        <v>12  Atenolol 100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967</v>
      </c>
      <c r="D373" s="1" t="s">
        <v>968</v>
      </c>
      <c r="E373" s="1" t="s">
        <v>969</v>
      </c>
      <c r="F373" s="1" t="s">
        <v>111</v>
      </c>
      <c r="G373" s="1">
        <v>346468</v>
      </c>
    </row>
    <row r="374" spans="1:7" x14ac:dyDescent="0.25">
      <c r="A374" s="1" t="str">
        <f t="shared" si="5"/>
        <v>12  Atenolol 100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970</v>
      </c>
      <c r="D374" s="1" t="s">
        <v>228</v>
      </c>
      <c r="E374" s="1" t="s">
        <v>971</v>
      </c>
      <c r="F374" s="1" t="s">
        <v>111</v>
      </c>
      <c r="G374" s="1">
        <v>609509</v>
      </c>
    </row>
    <row r="375" spans="1:7" x14ac:dyDescent="0.25">
      <c r="A375" s="1" t="str">
        <f t="shared" si="5"/>
        <v>12  Atenolol 100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972</v>
      </c>
      <c r="D375" s="1" t="s">
        <v>973</v>
      </c>
      <c r="E375" s="1" t="s">
        <v>974</v>
      </c>
      <c r="F375" s="1" t="s">
        <v>111</v>
      </c>
      <c r="G375" s="1">
        <v>422951</v>
      </c>
    </row>
    <row r="376" spans="1:7" x14ac:dyDescent="0.25">
      <c r="A376" s="1" t="str">
        <f t="shared" si="5"/>
        <v>12  Atenolol 100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975</v>
      </c>
      <c r="D376" s="1" t="s">
        <v>976</v>
      </c>
      <c r="E376" s="1" t="s">
        <v>977</v>
      </c>
      <c r="F376" s="1" t="s">
        <v>111</v>
      </c>
      <c r="G376" s="1">
        <v>425503</v>
      </c>
    </row>
    <row r="377" spans="1:7" x14ac:dyDescent="0.25">
      <c r="A377" s="1" t="str">
        <f t="shared" si="5"/>
        <v>12  Atenolol 100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978</v>
      </c>
      <c r="D377" s="1" t="s">
        <v>979</v>
      </c>
      <c r="E377" s="1" t="s">
        <v>980</v>
      </c>
      <c r="F377" s="1" t="s">
        <v>111</v>
      </c>
      <c r="G377" s="1">
        <v>451524</v>
      </c>
    </row>
    <row r="378" spans="1:7" x14ac:dyDescent="0.25">
      <c r="A378" s="1" t="str">
        <f t="shared" si="5"/>
        <v>12  Atenolol 100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981</v>
      </c>
      <c r="D378" s="1" t="s">
        <v>315</v>
      </c>
      <c r="E378" s="1" t="s">
        <v>982</v>
      </c>
      <c r="F378" s="1" t="s">
        <v>111</v>
      </c>
      <c r="G378" s="1">
        <v>31450</v>
      </c>
    </row>
    <row r="379" spans="1:7" x14ac:dyDescent="0.25">
      <c r="A379" s="1" t="str">
        <f t="shared" si="5"/>
        <v>12  Atenolol 100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983</v>
      </c>
      <c r="D379" s="1" t="s">
        <v>984</v>
      </c>
      <c r="E379" s="1" t="s">
        <v>985</v>
      </c>
      <c r="F379" s="1" t="s">
        <v>111</v>
      </c>
      <c r="G379" s="1">
        <v>266004</v>
      </c>
    </row>
    <row r="380" spans="1:7" x14ac:dyDescent="0.25">
      <c r="A380" s="1" t="str">
        <f t="shared" si="5"/>
        <v>12  Atenolol 100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986</v>
      </c>
      <c r="D380" s="1" t="s">
        <v>810</v>
      </c>
      <c r="E380" s="1" t="s">
        <v>987</v>
      </c>
      <c r="F380" s="1" t="s">
        <v>111</v>
      </c>
      <c r="G380" s="1">
        <v>651168</v>
      </c>
    </row>
    <row r="381" spans="1:7" x14ac:dyDescent="0.25">
      <c r="A381" s="1" t="str">
        <f t="shared" si="5"/>
        <v>12  Atenolol 100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988</v>
      </c>
      <c r="D381" s="1" t="s">
        <v>989</v>
      </c>
      <c r="E381" s="1" t="s">
        <v>990</v>
      </c>
      <c r="F381" s="1" t="s">
        <v>111</v>
      </c>
      <c r="G381" s="1">
        <v>629884</v>
      </c>
    </row>
    <row r="382" spans="1:7" x14ac:dyDescent="0.25">
      <c r="A382" s="1" t="str">
        <f t="shared" si="5"/>
        <v>12  Atenolol 100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991</v>
      </c>
      <c r="D382" s="1" t="s">
        <v>297</v>
      </c>
      <c r="E382" s="1" t="s">
        <v>992</v>
      </c>
      <c r="F382" s="1" t="s">
        <v>111</v>
      </c>
      <c r="G382" s="1">
        <v>108950</v>
      </c>
    </row>
    <row r="383" spans="1:7" x14ac:dyDescent="0.25">
      <c r="A383" s="1" t="str">
        <f t="shared" si="5"/>
        <v>12  Atenolol 100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993</v>
      </c>
      <c r="D383" s="1" t="s">
        <v>719</v>
      </c>
      <c r="E383" s="1" t="s">
        <v>994</v>
      </c>
      <c r="F383" s="1" t="s">
        <v>111</v>
      </c>
      <c r="G383" s="1">
        <v>396022</v>
      </c>
    </row>
    <row r="384" spans="1:7" x14ac:dyDescent="0.25">
      <c r="A384" s="1" t="str">
        <f t="shared" si="5"/>
        <v>12  Atenolol 100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995</v>
      </c>
      <c r="D384" s="1" t="s">
        <v>749</v>
      </c>
      <c r="E384" s="1" t="s">
        <v>996</v>
      </c>
      <c r="F384" s="1" t="s">
        <v>111</v>
      </c>
      <c r="G384" s="1">
        <v>51977</v>
      </c>
    </row>
    <row r="385" spans="1:9" x14ac:dyDescent="0.25">
      <c r="A385" s="1" t="str">
        <f t="shared" si="5"/>
        <v>12  Atenolol 100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997</v>
      </c>
      <c r="D385" s="1" t="s">
        <v>998</v>
      </c>
      <c r="E385" s="1" t="s">
        <v>999</v>
      </c>
      <c r="F385" s="1" t="s">
        <v>111</v>
      </c>
      <c r="G385" s="1">
        <v>76656</v>
      </c>
    </row>
    <row r="386" spans="1:9" x14ac:dyDescent="0.25">
      <c r="A386" s="1" t="str">
        <f t="shared" ref="A386:A449" si="6">IFERROR(LEFT(RIGHT(C386,LEN(C386)-SEARCH("@",C386)),SEARCH("/",RIGHT(C386,LEN(C386)-SEARCH("@",C386)-1))),"")</f>
        <v>12  Atenolol 100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1000</v>
      </c>
      <c r="D386" s="1" t="s">
        <v>1001</v>
      </c>
      <c r="E386" s="1" t="s">
        <v>1002</v>
      </c>
      <c r="F386" s="1" t="s">
        <v>111</v>
      </c>
      <c r="G386" s="1">
        <v>589847</v>
      </c>
    </row>
    <row r="387" spans="1:9" x14ac:dyDescent="0.25">
      <c r="A387" s="1" t="str">
        <f t="shared" si="6"/>
        <v>12  Atenolol 100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1003</v>
      </c>
      <c r="D387" s="1" t="s">
        <v>1004</v>
      </c>
      <c r="E387" s="1" t="s">
        <v>1005</v>
      </c>
      <c r="F387" s="1" t="s">
        <v>111</v>
      </c>
      <c r="G387" s="1">
        <v>704118</v>
      </c>
    </row>
    <row r="388" spans="1:9" x14ac:dyDescent="0.25">
      <c r="A388" s="1" t="str">
        <f t="shared" si="6"/>
        <v>12  Atenolol 100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1006</v>
      </c>
      <c r="D388" s="1" t="s">
        <v>1007</v>
      </c>
      <c r="E388" s="1" t="s">
        <v>1008</v>
      </c>
      <c r="F388" s="1" t="s">
        <v>111</v>
      </c>
      <c r="G388" s="1">
        <v>443132</v>
      </c>
    </row>
    <row r="389" spans="1:9"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111</v>
      </c>
    </row>
    <row r="390" spans="1:9"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230</v>
      </c>
      <c r="D390" s="1" t="s">
        <v>111</v>
      </c>
      <c r="E390" s="1" t="s">
        <v>231</v>
      </c>
      <c r="F390" s="1" t="s">
        <v>232</v>
      </c>
      <c r="G390" s="1" t="s">
        <v>233</v>
      </c>
      <c r="H390" s="1" t="s">
        <v>234</v>
      </c>
      <c r="I390" s="1" t="s">
        <v>235</v>
      </c>
    </row>
    <row r="391" spans="1:9" x14ac:dyDescent="0.25">
      <c r="A391" s="1" t="str">
        <f t="shared" si="6"/>
        <v>12  Atenolol 100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1009</v>
      </c>
      <c r="D391" s="1" t="s">
        <v>111</v>
      </c>
      <c r="E391" s="1" t="s">
        <v>1010</v>
      </c>
      <c r="F391" s="1" t="s">
        <v>1011</v>
      </c>
      <c r="G391" s="1" t="s">
        <v>1012</v>
      </c>
      <c r="H391" s="1" t="s">
        <v>1013</v>
      </c>
      <c r="I391" s="1">
        <v>24</v>
      </c>
    </row>
    <row r="392" spans="1:9"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111</v>
      </c>
    </row>
    <row r="393" spans="1:9"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111</v>
      </c>
    </row>
    <row r="394" spans="1:9"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111</v>
      </c>
    </row>
    <row r="395" spans="1:9"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111</v>
      </c>
    </row>
    <row r="396" spans="1:9"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111</v>
      </c>
    </row>
    <row r="397" spans="1:9"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240</v>
      </c>
      <c r="D397" s="1" t="s">
        <v>109</v>
      </c>
      <c r="E397" s="1" t="s">
        <v>110</v>
      </c>
      <c r="F397" s="1" t="s">
        <v>111</v>
      </c>
      <c r="G397" s="1" t="s">
        <v>112</v>
      </c>
    </row>
    <row r="398" spans="1:9" x14ac:dyDescent="0.25">
      <c r="A398" s="1" t="str">
        <f t="shared" si="6"/>
        <v>13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1014</v>
      </c>
      <c r="D398" s="1" t="s">
        <v>1015</v>
      </c>
      <c r="E398" s="1" t="s">
        <v>1016</v>
      </c>
      <c r="F398" s="1" t="s">
        <v>111</v>
      </c>
      <c r="G398" s="1">
        <v>2897259</v>
      </c>
    </row>
    <row r="399" spans="1:9" x14ac:dyDescent="0.25">
      <c r="A399" s="1" t="str">
        <f t="shared" si="6"/>
        <v>13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1017</v>
      </c>
    </row>
    <row r="400" spans="1:9" x14ac:dyDescent="0.25">
      <c r="A400" s="1" t="str">
        <f t="shared" si="6"/>
        <v>13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1018</v>
      </c>
      <c r="D400" s="1" t="s">
        <v>1019</v>
      </c>
      <c r="E400" s="1" t="s">
        <v>1020</v>
      </c>
      <c r="F400" s="1" t="s">
        <v>111</v>
      </c>
      <c r="G400" s="1">
        <v>2778209</v>
      </c>
    </row>
    <row r="401" spans="1:7" x14ac:dyDescent="0.25">
      <c r="A401" s="1" t="str">
        <f t="shared" si="6"/>
        <v>13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1021</v>
      </c>
      <c r="D401" s="1" t="s">
        <v>1022</v>
      </c>
      <c r="E401" s="1" t="s">
        <v>1023</v>
      </c>
      <c r="F401" s="1" t="s">
        <v>111</v>
      </c>
      <c r="G401" s="1">
        <v>1952790</v>
      </c>
    </row>
    <row r="402" spans="1:7" x14ac:dyDescent="0.25">
      <c r="A402" s="1" t="str">
        <f t="shared" si="6"/>
        <v>13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1024</v>
      </c>
    </row>
    <row r="403" spans="1:7" x14ac:dyDescent="0.25">
      <c r="A403" s="1" t="str">
        <f t="shared" si="6"/>
        <v>13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1025</v>
      </c>
      <c r="D403" s="1" t="s">
        <v>1026</v>
      </c>
      <c r="E403" s="1" t="s">
        <v>1027</v>
      </c>
      <c r="F403" s="1" t="s">
        <v>111</v>
      </c>
      <c r="G403" s="1">
        <v>1901160</v>
      </c>
    </row>
    <row r="404" spans="1:7" x14ac:dyDescent="0.25">
      <c r="A404" s="1" t="str">
        <f t="shared" si="6"/>
        <v>13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1028</v>
      </c>
      <c r="D404" s="1" t="s">
        <v>1029</v>
      </c>
      <c r="E404" s="1" t="s">
        <v>1030</v>
      </c>
      <c r="F404" s="1" t="s">
        <v>111</v>
      </c>
      <c r="G404" s="1">
        <v>2508181</v>
      </c>
    </row>
    <row r="405" spans="1:7" x14ac:dyDescent="0.25">
      <c r="A405" s="1" t="str">
        <f t="shared" si="6"/>
        <v>13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1031</v>
      </c>
      <c r="D405" s="1" t="s">
        <v>1032</v>
      </c>
      <c r="E405" s="1" t="s">
        <v>1033</v>
      </c>
      <c r="F405" s="1" t="s">
        <v>111</v>
      </c>
      <c r="G405" s="1">
        <v>2609474</v>
      </c>
    </row>
    <row r="406" spans="1:7" x14ac:dyDescent="0.25">
      <c r="A406" s="1" t="str">
        <f t="shared" si="6"/>
        <v>13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1034</v>
      </c>
      <c r="D406" s="1" t="s">
        <v>1035</v>
      </c>
      <c r="E406" s="1" t="s">
        <v>1036</v>
      </c>
      <c r="F406" s="1" t="s">
        <v>111</v>
      </c>
      <c r="G406" s="1">
        <v>2893604</v>
      </c>
    </row>
    <row r="407" spans="1:7" x14ac:dyDescent="0.25">
      <c r="A407" s="1" t="str">
        <f t="shared" si="6"/>
        <v>13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1037</v>
      </c>
      <c r="D407" s="1" t="s">
        <v>1038</v>
      </c>
      <c r="E407" s="1" t="s">
        <v>1039</v>
      </c>
      <c r="F407" s="1" t="s">
        <v>111</v>
      </c>
      <c r="G407" s="1">
        <v>4564189</v>
      </c>
    </row>
    <row r="408" spans="1:7" x14ac:dyDescent="0.25">
      <c r="A408" s="1" t="str">
        <f t="shared" si="6"/>
        <v>13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1040</v>
      </c>
      <c r="D408" s="1" t="s">
        <v>1041</v>
      </c>
      <c r="E408" s="1" t="s">
        <v>1042</v>
      </c>
      <c r="F408" s="1" t="s">
        <v>111</v>
      </c>
      <c r="G408" s="1">
        <v>4124929</v>
      </c>
    </row>
    <row r="409" spans="1:7" x14ac:dyDescent="0.25">
      <c r="A409" s="1" t="str">
        <f t="shared" si="6"/>
        <v>13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1043</v>
      </c>
      <c r="D409" s="1" t="s">
        <v>1044</v>
      </c>
      <c r="E409" s="1" t="s">
        <v>1045</v>
      </c>
      <c r="F409" s="1" t="s">
        <v>111</v>
      </c>
      <c r="G409" s="1">
        <v>4363182</v>
      </c>
    </row>
    <row r="410" spans="1:7" x14ac:dyDescent="0.25">
      <c r="A410" s="1" t="str">
        <f t="shared" si="6"/>
        <v>13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1046</v>
      </c>
      <c r="D410" s="1" t="s">
        <v>1047</v>
      </c>
      <c r="E410" s="1" t="s">
        <v>1048</v>
      </c>
      <c r="F410" s="1" t="s">
        <v>111</v>
      </c>
      <c r="G410" s="1">
        <v>4386975</v>
      </c>
    </row>
    <row r="411" spans="1:7" x14ac:dyDescent="0.25">
      <c r="A411" s="1" t="str">
        <f t="shared" si="6"/>
        <v>13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1049</v>
      </c>
      <c r="D411" s="1" t="s">
        <v>1050</v>
      </c>
      <c r="E411" s="1" t="s">
        <v>1051</v>
      </c>
      <c r="F411" s="1" t="s">
        <v>111</v>
      </c>
      <c r="G411" s="1">
        <v>4256504</v>
      </c>
    </row>
    <row r="412" spans="1:7" x14ac:dyDescent="0.25">
      <c r="A412" s="1" t="str">
        <f t="shared" si="6"/>
        <v>13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1052</v>
      </c>
      <c r="D412" s="1" t="s">
        <v>1053</v>
      </c>
      <c r="E412" s="1" t="s">
        <v>1054</v>
      </c>
      <c r="F412" s="1" t="s">
        <v>111</v>
      </c>
      <c r="G412" s="1">
        <v>4935228</v>
      </c>
    </row>
    <row r="413" spans="1:7" x14ac:dyDescent="0.25">
      <c r="A413" s="1" t="str">
        <f t="shared" si="6"/>
        <v>13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1055</v>
      </c>
      <c r="D413" s="1" t="s">
        <v>1056</v>
      </c>
      <c r="E413" s="1" t="s">
        <v>1057</v>
      </c>
      <c r="F413" s="1" t="s">
        <v>111</v>
      </c>
      <c r="G413" s="1">
        <v>6016312</v>
      </c>
    </row>
    <row r="414" spans="1:7" x14ac:dyDescent="0.25">
      <c r="A414" s="1" t="str">
        <f t="shared" si="6"/>
        <v>13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1058</v>
      </c>
      <c r="D414" s="1" t="s">
        <v>1059</v>
      </c>
      <c r="E414" s="1" t="s">
        <v>1060</v>
      </c>
      <c r="F414" s="1" t="s">
        <v>111</v>
      </c>
      <c r="G414" s="1">
        <v>4932049</v>
      </c>
    </row>
    <row r="415" spans="1:7" x14ac:dyDescent="0.25">
      <c r="A415" s="1" t="str">
        <f t="shared" si="6"/>
        <v>13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1061</v>
      </c>
      <c r="D415" s="1" t="s">
        <v>1062</v>
      </c>
      <c r="E415" s="1" t="s">
        <v>1063</v>
      </c>
      <c r="F415" s="1" t="s">
        <v>111</v>
      </c>
      <c r="G415" s="1">
        <v>4675475</v>
      </c>
    </row>
    <row r="416" spans="1:7" x14ac:dyDescent="0.25">
      <c r="A416" s="1" t="str">
        <f t="shared" si="6"/>
        <v>13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1064</v>
      </c>
      <c r="D416" s="1" t="s">
        <v>1065</v>
      </c>
      <c r="E416" s="1" t="s">
        <v>1066</v>
      </c>
      <c r="F416" s="1" t="s">
        <v>111</v>
      </c>
      <c r="G416" s="1">
        <v>2938724</v>
      </c>
    </row>
    <row r="417" spans="1:9" x14ac:dyDescent="0.25">
      <c r="A417" s="1" t="str">
        <f t="shared" si="6"/>
        <v>13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1067</v>
      </c>
      <c r="D417" s="1" t="s">
        <v>1068</v>
      </c>
      <c r="E417" s="1" t="s">
        <v>1069</v>
      </c>
      <c r="F417" s="1" t="s">
        <v>111</v>
      </c>
      <c r="G417" s="1">
        <v>2736744</v>
      </c>
    </row>
    <row r="418" spans="1:9" x14ac:dyDescent="0.25">
      <c r="A418" s="1" t="str">
        <f t="shared" si="6"/>
        <v>13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1070</v>
      </c>
      <c r="D418" s="1" t="s">
        <v>1071</v>
      </c>
      <c r="E418" s="1" t="s">
        <v>1072</v>
      </c>
      <c r="F418" s="1" t="s">
        <v>111</v>
      </c>
      <c r="G418" s="1">
        <v>2633634</v>
      </c>
    </row>
    <row r="419" spans="1:9" x14ac:dyDescent="0.25">
      <c r="A419" s="1" t="str">
        <f t="shared" si="6"/>
        <v>13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1073</v>
      </c>
    </row>
    <row r="420" spans="1:9" x14ac:dyDescent="0.25">
      <c r="A420" s="1" t="str">
        <f t="shared" si="6"/>
        <v>13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1074</v>
      </c>
      <c r="D420" s="1" t="s">
        <v>1075</v>
      </c>
      <c r="E420" s="1" t="s">
        <v>1076</v>
      </c>
      <c r="F420" s="1" t="s">
        <v>111</v>
      </c>
      <c r="G420" s="1">
        <v>3725706</v>
      </c>
    </row>
    <row r="421" spans="1:9" x14ac:dyDescent="0.25">
      <c r="A421" s="1" t="str">
        <f t="shared" si="6"/>
        <v>13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1077</v>
      </c>
      <c r="D421" s="1" t="s">
        <v>1078</v>
      </c>
      <c r="E421" s="1" t="s">
        <v>1079</v>
      </c>
      <c r="F421" s="1" t="s">
        <v>111</v>
      </c>
      <c r="G421" s="1">
        <v>2926849</v>
      </c>
    </row>
    <row r="422" spans="1:9"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111</v>
      </c>
    </row>
    <row r="423" spans="1:9"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230</v>
      </c>
      <c r="D423" s="1" t="s">
        <v>111</v>
      </c>
      <c r="E423" s="1" t="s">
        <v>231</v>
      </c>
      <c r="F423" s="1" t="s">
        <v>232</v>
      </c>
      <c r="G423" s="1" t="s">
        <v>233</v>
      </c>
      <c r="H423" s="1" t="s">
        <v>234</v>
      </c>
      <c r="I423" s="1" t="s">
        <v>235</v>
      </c>
    </row>
    <row r="424" spans="1:9" x14ac:dyDescent="0.25">
      <c r="A424" s="1" t="str">
        <f t="shared" si="6"/>
        <v>13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1080</v>
      </c>
      <c r="D424" s="1" t="s">
        <v>111</v>
      </c>
      <c r="E424" s="1" t="s">
        <v>1081</v>
      </c>
      <c r="F424" s="1" t="s">
        <v>1082</v>
      </c>
      <c r="G424" s="1" t="s">
        <v>1083</v>
      </c>
      <c r="H424" s="1" t="s">
        <v>1084</v>
      </c>
      <c r="I424" s="1">
        <v>24</v>
      </c>
    </row>
    <row r="425" spans="1:9"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111</v>
      </c>
    </row>
    <row r="426" spans="1:9"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111</v>
      </c>
    </row>
    <row r="427" spans="1:9"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111</v>
      </c>
    </row>
    <row r="428" spans="1:9"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111</v>
      </c>
    </row>
    <row r="429" spans="1:9"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111</v>
      </c>
    </row>
    <row r="430" spans="1:9"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240</v>
      </c>
      <c r="D430" s="1" t="s">
        <v>109</v>
      </c>
      <c r="E430" s="1" t="s">
        <v>110</v>
      </c>
      <c r="F430" s="1" t="s">
        <v>111</v>
      </c>
      <c r="G430" s="1" t="s">
        <v>112</v>
      </c>
    </row>
    <row r="431" spans="1:9" x14ac:dyDescent="0.25">
      <c r="A431" s="1" t="str">
        <f t="shared" si="6"/>
        <v>14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1085</v>
      </c>
      <c r="D431" s="1" t="s">
        <v>1086</v>
      </c>
      <c r="E431" s="1" t="s">
        <v>1087</v>
      </c>
      <c r="F431" s="1" t="s">
        <v>111</v>
      </c>
      <c r="G431" s="1">
        <v>1237230</v>
      </c>
    </row>
    <row r="432" spans="1:9" x14ac:dyDescent="0.25">
      <c r="A432" s="1" t="str">
        <f t="shared" si="6"/>
        <v>14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1088</v>
      </c>
      <c r="D432" s="1" t="s">
        <v>1089</v>
      </c>
      <c r="E432" s="1" t="s">
        <v>1090</v>
      </c>
      <c r="F432" s="1" t="s">
        <v>111</v>
      </c>
      <c r="G432" s="1">
        <v>1792945</v>
      </c>
    </row>
    <row r="433" spans="1:7" x14ac:dyDescent="0.25">
      <c r="A433" s="1" t="str">
        <f t="shared" si="6"/>
        <v>14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1091</v>
      </c>
      <c r="D433" s="1" t="s">
        <v>1092</v>
      </c>
      <c r="E433" s="1" t="s">
        <v>1093</v>
      </c>
      <c r="F433" s="1" t="s">
        <v>111</v>
      </c>
      <c r="G433" s="1">
        <v>967851</v>
      </c>
    </row>
    <row r="434" spans="1:7" x14ac:dyDescent="0.25">
      <c r="A434" s="1" t="str">
        <f t="shared" si="6"/>
        <v>14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1094</v>
      </c>
      <c r="D434" s="1" t="s">
        <v>1095</v>
      </c>
      <c r="E434" s="1" t="s">
        <v>1096</v>
      </c>
      <c r="F434" s="1" t="s">
        <v>111</v>
      </c>
      <c r="G434" s="1">
        <v>3340889</v>
      </c>
    </row>
    <row r="435" spans="1:7" x14ac:dyDescent="0.25">
      <c r="A435" s="1" t="str">
        <f t="shared" si="6"/>
        <v>14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1097</v>
      </c>
      <c r="D435" s="1" t="s">
        <v>1098</v>
      </c>
      <c r="E435" s="1" t="s">
        <v>1099</v>
      </c>
      <c r="F435" s="1" t="s">
        <v>111</v>
      </c>
      <c r="G435" s="1">
        <v>3786486</v>
      </c>
    </row>
    <row r="436" spans="1:7" x14ac:dyDescent="0.25">
      <c r="A436" s="1" t="str">
        <f t="shared" si="6"/>
        <v>14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1100</v>
      </c>
      <c r="D436" s="1" t="s">
        <v>1101</v>
      </c>
      <c r="E436" s="1" t="s">
        <v>1102</v>
      </c>
      <c r="F436" s="1" t="s">
        <v>111</v>
      </c>
      <c r="G436" s="1">
        <v>3407228</v>
      </c>
    </row>
    <row r="437" spans="1:7" x14ac:dyDescent="0.25">
      <c r="A437" s="1" t="str">
        <f t="shared" si="6"/>
        <v>14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1103</v>
      </c>
      <c r="D437" s="1" t="s">
        <v>1104</v>
      </c>
      <c r="E437" s="1" t="s">
        <v>1105</v>
      </c>
      <c r="F437" s="1" t="s">
        <v>111</v>
      </c>
      <c r="G437" s="1">
        <v>2078633</v>
      </c>
    </row>
    <row r="438" spans="1:7" x14ac:dyDescent="0.25">
      <c r="A438" s="1" t="str">
        <f t="shared" si="6"/>
        <v>14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1106</v>
      </c>
      <c r="D438" s="1" t="s">
        <v>1107</v>
      </c>
      <c r="E438" s="1" t="s">
        <v>1108</v>
      </c>
      <c r="F438" s="1" t="s">
        <v>111</v>
      </c>
      <c r="G438" s="1">
        <v>2090594</v>
      </c>
    </row>
    <row r="439" spans="1:7" x14ac:dyDescent="0.25">
      <c r="A439" s="1" t="str">
        <f t="shared" si="6"/>
        <v>14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1109</v>
      </c>
    </row>
    <row r="440" spans="1:7" x14ac:dyDescent="0.25">
      <c r="A440" s="1" t="str">
        <f t="shared" si="6"/>
        <v>14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1110</v>
      </c>
      <c r="D440" s="1" t="s">
        <v>1111</v>
      </c>
      <c r="E440" s="1" t="s">
        <v>1112</v>
      </c>
      <c r="F440" s="1" t="s">
        <v>111</v>
      </c>
      <c r="G440" s="1">
        <v>5532516</v>
      </c>
    </row>
    <row r="441" spans="1:7" x14ac:dyDescent="0.25">
      <c r="A441" s="1" t="str">
        <f t="shared" si="6"/>
        <v>14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1113</v>
      </c>
      <c r="D441" s="1" t="s">
        <v>1111</v>
      </c>
      <c r="E441" s="1" t="s">
        <v>1114</v>
      </c>
      <c r="F441" s="1" t="s">
        <v>111</v>
      </c>
      <c r="G441" s="1">
        <v>5414244</v>
      </c>
    </row>
    <row r="442" spans="1:7" x14ac:dyDescent="0.25">
      <c r="A442" s="1" t="str">
        <f t="shared" si="6"/>
        <v>14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1115</v>
      </c>
      <c r="D442" s="1" t="s">
        <v>1116</v>
      </c>
      <c r="E442" s="1" t="s">
        <v>1117</v>
      </c>
      <c r="F442" s="1" t="s">
        <v>111</v>
      </c>
      <c r="G442" s="1">
        <v>5179689</v>
      </c>
    </row>
    <row r="443" spans="1:7" x14ac:dyDescent="0.25">
      <c r="A443" s="1" t="str">
        <f t="shared" si="6"/>
        <v>14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1118</v>
      </c>
      <c r="D443" s="1" t="s">
        <v>1119</v>
      </c>
      <c r="E443" s="1" t="s">
        <v>1120</v>
      </c>
      <c r="F443" s="1" t="s">
        <v>111</v>
      </c>
      <c r="G443" s="1">
        <v>3373377</v>
      </c>
    </row>
    <row r="444" spans="1:7" x14ac:dyDescent="0.25">
      <c r="A444" s="1" t="str">
        <f t="shared" si="6"/>
        <v>14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1121</v>
      </c>
      <c r="D444" s="1" t="s">
        <v>1122</v>
      </c>
      <c r="E444" s="1" t="s">
        <v>1123</v>
      </c>
      <c r="F444" s="1" t="s">
        <v>111</v>
      </c>
      <c r="G444" s="1">
        <v>2435418</v>
      </c>
    </row>
    <row r="445" spans="1:7" x14ac:dyDescent="0.25">
      <c r="A445" s="1" t="str">
        <f t="shared" si="6"/>
        <v>14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1124</v>
      </c>
    </row>
    <row r="446" spans="1:7" x14ac:dyDescent="0.25">
      <c r="A446" s="1" t="str">
        <f t="shared" si="6"/>
        <v>14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1125</v>
      </c>
      <c r="D446" s="1" t="s">
        <v>1126</v>
      </c>
      <c r="E446" s="1" t="s">
        <v>1127</v>
      </c>
      <c r="F446" s="1" t="s">
        <v>111</v>
      </c>
      <c r="G446" s="1">
        <v>3504086</v>
      </c>
    </row>
    <row r="447" spans="1:7" x14ac:dyDescent="0.25">
      <c r="A447" s="1" t="str">
        <f t="shared" si="6"/>
        <v>14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1128</v>
      </c>
      <c r="D447" s="1" t="s">
        <v>1129</v>
      </c>
      <c r="E447" s="1" t="s">
        <v>1130</v>
      </c>
      <c r="F447" s="1" t="s">
        <v>111</v>
      </c>
      <c r="G447" s="1">
        <v>3251125</v>
      </c>
    </row>
    <row r="448" spans="1:7" x14ac:dyDescent="0.25">
      <c r="A448" s="1" t="str">
        <f t="shared" si="6"/>
        <v>14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1131</v>
      </c>
      <c r="D448" s="1" t="s">
        <v>1132</v>
      </c>
      <c r="E448" s="1" t="s">
        <v>1133</v>
      </c>
      <c r="F448" s="1" t="s">
        <v>111</v>
      </c>
      <c r="G448" s="1">
        <v>3171397</v>
      </c>
    </row>
    <row r="449" spans="1:9" x14ac:dyDescent="0.25">
      <c r="A449" s="1" t="str">
        <f t="shared" si="6"/>
        <v>14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1134</v>
      </c>
      <c r="D449" s="1" t="s">
        <v>1135</v>
      </c>
      <c r="E449" s="1" t="s">
        <v>1136</v>
      </c>
      <c r="F449" s="1" t="s">
        <v>111</v>
      </c>
      <c r="G449" s="1">
        <v>2158728</v>
      </c>
    </row>
    <row r="450" spans="1:9" x14ac:dyDescent="0.25">
      <c r="A450" s="1" t="str">
        <f t="shared" ref="A450:A513" si="7">IFERROR(LEFT(RIGHT(C450,LEN(C450)-SEARCH("@",C450)),SEARCH("/",RIGHT(C450,LEN(C450)-SEARCH("@",C450)-1))),"")</f>
        <v>14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1137</v>
      </c>
      <c r="D450" s="1" t="s">
        <v>1138</v>
      </c>
      <c r="E450" s="1" t="s">
        <v>1139</v>
      </c>
      <c r="F450" s="1" t="s">
        <v>111</v>
      </c>
      <c r="G450" s="1">
        <v>1750010</v>
      </c>
    </row>
    <row r="451" spans="1:9" x14ac:dyDescent="0.25">
      <c r="A451" s="1" t="str">
        <f t="shared" si="7"/>
        <v>14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1140</v>
      </c>
      <c r="D451" s="1" t="s">
        <v>1141</v>
      </c>
      <c r="E451" s="1" t="s">
        <v>1142</v>
      </c>
      <c r="F451" s="1" t="s">
        <v>111</v>
      </c>
      <c r="G451" s="1">
        <v>1368026</v>
      </c>
    </row>
    <row r="452" spans="1:9" x14ac:dyDescent="0.25">
      <c r="A452" s="1" t="str">
        <f t="shared" si="7"/>
        <v>14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1143</v>
      </c>
    </row>
    <row r="453" spans="1:9" x14ac:dyDescent="0.25">
      <c r="A453" s="1" t="str">
        <f t="shared" si="7"/>
        <v>14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1144</v>
      </c>
      <c r="D453" s="1" t="s">
        <v>1145</v>
      </c>
      <c r="E453" s="1" t="s">
        <v>1146</v>
      </c>
      <c r="F453" s="1" t="s">
        <v>111</v>
      </c>
      <c r="G453" s="1">
        <v>3457020</v>
      </c>
    </row>
    <row r="454" spans="1:9" x14ac:dyDescent="0.25">
      <c r="A454" s="1" t="str">
        <f t="shared" si="7"/>
        <v>14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1147</v>
      </c>
      <c r="D454" s="1" t="s">
        <v>1148</v>
      </c>
      <c r="E454" s="1" t="s">
        <v>1149</v>
      </c>
      <c r="F454" s="1" t="s">
        <v>111</v>
      </c>
      <c r="G454" s="1">
        <v>3505060</v>
      </c>
    </row>
    <row r="455" spans="1:9"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111</v>
      </c>
    </row>
    <row r="456" spans="1:9"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230</v>
      </c>
      <c r="D456" s="1" t="s">
        <v>111</v>
      </c>
      <c r="E456" s="1" t="s">
        <v>231</v>
      </c>
      <c r="F456" s="1" t="s">
        <v>232</v>
      </c>
      <c r="G456" s="1" t="s">
        <v>233</v>
      </c>
      <c r="H456" s="1" t="s">
        <v>234</v>
      </c>
      <c r="I456" s="1" t="s">
        <v>235</v>
      </c>
    </row>
    <row r="457" spans="1:9" x14ac:dyDescent="0.25">
      <c r="A457" s="1" t="str">
        <f t="shared" si="7"/>
        <v>14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1150</v>
      </c>
      <c r="D457" s="1" t="s">
        <v>111</v>
      </c>
      <c r="E457" s="1" t="s">
        <v>1151</v>
      </c>
      <c r="F457" s="1" t="s">
        <v>1152</v>
      </c>
      <c r="G457" s="1" t="s">
        <v>1153</v>
      </c>
      <c r="H457" s="1" t="s">
        <v>1154</v>
      </c>
      <c r="I457" s="1">
        <v>24</v>
      </c>
    </row>
    <row r="458" spans="1:9"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111</v>
      </c>
    </row>
    <row r="459" spans="1:9"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111</v>
      </c>
    </row>
    <row r="460" spans="1:9"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111</v>
      </c>
    </row>
    <row r="461" spans="1:9"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111</v>
      </c>
    </row>
    <row r="462" spans="1:9"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111</v>
      </c>
    </row>
    <row r="463" spans="1:9"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240</v>
      </c>
      <c r="D463" s="1" t="s">
        <v>109</v>
      </c>
      <c r="E463" s="1" t="s">
        <v>110</v>
      </c>
      <c r="F463" s="1" t="s">
        <v>111</v>
      </c>
      <c r="G463" s="1" t="s">
        <v>112</v>
      </c>
    </row>
    <row r="464" spans="1:9" x14ac:dyDescent="0.25">
      <c r="A464" s="1" t="str">
        <f t="shared" si="7"/>
        <v>15 Testo +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1155</v>
      </c>
      <c r="D464" s="1" t="s">
        <v>1156</v>
      </c>
      <c r="E464" s="1" t="s">
        <v>1157</v>
      </c>
      <c r="F464" s="1" t="s">
        <v>111</v>
      </c>
      <c r="G464" s="1">
        <v>1152722</v>
      </c>
    </row>
    <row r="465" spans="1:7" x14ac:dyDescent="0.25">
      <c r="A465" s="1" t="str">
        <f t="shared" si="7"/>
        <v>15 Testo +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1158</v>
      </c>
    </row>
    <row r="466" spans="1:7" x14ac:dyDescent="0.25">
      <c r="A466" s="1" t="str">
        <f t="shared" si="7"/>
        <v>15 Testo +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1159</v>
      </c>
    </row>
    <row r="467" spans="1:7" x14ac:dyDescent="0.25">
      <c r="A467" s="1" t="str">
        <f t="shared" si="7"/>
        <v>15 Testo +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1160</v>
      </c>
      <c r="D467" s="1" t="s">
        <v>1161</v>
      </c>
      <c r="E467" s="1" t="s">
        <v>1162</v>
      </c>
      <c r="F467" s="1" t="s">
        <v>111</v>
      </c>
      <c r="G467" s="1">
        <v>5288206</v>
      </c>
    </row>
    <row r="468" spans="1:7" x14ac:dyDescent="0.25">
      <c r="A468" s="1" t="str">
        <f t="shared" si="7"/>
        <v>15 Testo +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1163</v>
      </c>
      <c r="D468" s="1" t="s">
        <v>1164</v>
      </c>
      <c r="E468" s="1" t="s">
        <v>1165</v>
      </c>
      <c r="F468" s="1" t="s">
        <v>111</v>
      </c>
      <c r="G468" s="1">
        <v>4699722</v>
      </c>
    </row>
    <row r="469" spans="1:7" x14ac:dyDescent="0.25">
      <c r="A469" s="1" t="str">
        <f t="shared" si="7"/>
        <v>15 Testo +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1166</v>
      </c>
      <c r="D469" s="1" t="s">
        <v>1167</v>
      </c>
      <c r="E469" s="1" t="s">
        <v>1168</v>
      </c>
      <c r="F469" s="1" t="s">
        <v>111</v>
      </c>
      <c r="G469" s="1">
        <v>4902675</v>
      </c>
    </row>
    <row r="470" spans="1:7" x14ac:dyDescent="0.25">
      <c r="A470" s="1" t="str">
        <f t="shared" si="7"/>
        <v>15 Testo +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1169</v>
      </c>
      <c r="D470" s="1" t="s">
        <v>1170</v>
      </c>
      <c r="E470" s="1" t="s">
        <v>1171</v>
      </c>
      <c r="F470" s="1" t="s">
        <v>111</v>
      </c>
      <c r="G470" s="1">
        <v>4833243</v>
      </c>
    </row>
    <row r="471" spans="1:7" x14ac:dyDescent="0.25">
      <c r="A471" s="1" t="str">
        <f t="shared" si="7"/>
        <v>15 Testo +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1172</v>
      </c>
      <c r="D471" s="1" t="s">
        <v>1173</v>
      </c>
      <c r="E471" s="1" t="s">
        <v>1174</v>
      </c>
      <c r="F471" s="1" t="s">
        <v>111</v>
      </c>
      <c r="G471" s="1">
        <v>4787301</v>
      </c>
    </row>
    <row r="472" spans="1:7" x14ac:dyDescent="0.25">
      <c r="A472" s="1" t="str">
        <f t="shared" si="7"/>
        <v>15 Testo +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1175</v>
      </c>
      <c r="D472" s="1" t="s">
        <v>1176</v>
      </c>
      <c r="E472" s="1" t="s">
        <v>1177</v>
      </c>
      <c r="F472" s="1" t="s">
        <v>111</v>
      </c>
      <c r="G472" s="1">
        <v>3898204</v>
      </c>
    </row>
    <row r="473" spans="1:7" x14ac:dyDescent="0.25">
      <c r="A473" s="1" t="str">
        <f t="shared" si="7"/>
        <v>15 Testo +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1178</v>
      </c>
      <c r="D473" s="1" t="s">
        <v>1179</v>
      </c>
      <c r="E473" s="1" t="s">
        <v>1180</v>
      </c>
      <c r="F473" s="1" t="s">
        <v>111</v>
      </c>
      <c r="G473" s="1">
        <v>5538399</v>
      </c>
    </row>
    <row r="474" spans="1:7" x14ac:dyDescent="0.25">
      <c r="A474" s="1" t="str">
        <f t="shared" si="7"/>
        <v>15 Testo +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1181</v>
      </c>
      <c r="D474" s="1" t="s">
        <v>1182</v>
      </c>
      <c r="E474" s="1" t="s">
        <v>1183</v>
      </c>
      <c r="F474" s="1" t="s">
        <v>111</v>
      </c>
      <c r="G474" s="1">
        <v>4997566</v>
      </c>
    </row>
    <row r="475" spans="1:7" x14ac:dyDescent="0.25">
      <c r="A475" s="1" t="str">
        <f t="shared" si="7"/>
        <v>15 Testo +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1184</v>
      </c>
      <c r="D475" s="1" t="s">
        <v>1185</v>
      </c>
      <c r="E475" s="1" t="s">
        <v>1186</v>
      </c>
      <c r="F475" s="1" t="s">
        <v>111</v>
      </c>
      <c r="G475" s="1">
        <v>5057956</v>
      </c>
    </row>
    <row r="476" spans="1:7" x14ac:dyDescent="0.25">
      <c r="A476" s="1" t="str">
        <f t="shared" si="7"/>
        <v>15 Testo +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1187</v>
      </c>
      <c r="D476" s="1" t="s">
        <v>1188</v>
      </c>
      <c r="E476" s="1" t="s">
        <v>1189</v>
      </c>
      <c r="F476" s="1" t="s">
        <v>111</v>
      </c>
      <c r="G476" s="1">
        <v>3917736</v>
      </c>
    </row>
    <row r="477" spans="1:7" x14ac:dyDescent="0.25">
      <c r="A477" s="1" t="str">
        <f t="shared" si="7"/>
        <v>15 Testo +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1190</v>
      </c>
      <c r="D477" s="1" t="s">
        <v>1191</v>
      </c>
      <c r="E477" s="1" t="s">
        <v>1192</v>
      </c>
      <c r="F477" s="1" t="s">
        <v>111</v>
      </c>
      <c r="G477" s="1">
        <v>3773313</v>
      </c>
    </row>
    <row r="478" spans="1:7" x14ac:dyDescent="0.25">
      <c r="A478" s="1" t="str">
        <f t="shared" si="7"/>
        <v>15 Testo +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1193</v>
      </c>
      <c r="D478" s="1" t="s">
        <v>1194</v>
      </c>
      <c r="E478" s="1" t="s">
        <v>1195</v>
      </c>
      <c r="F478" s="1" t="s">
        <v>111</v>
      </c>
      <c r="G478" s="1">
        <v>4043363</v>
      </c>
    </row>
    <row r="479" spans="1:7" x14ac:dyDescent="0.25">
      <c r="A479" s="1" t="str">
        <f t="shared" si="7"/>
        <v>15 Testo +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1196</v>
      </c>
    </row>
    <row r="480" spans="1:7" x14ac:dyDescent="0.25">
      <c r="A480" s="1" t="str">
        <f t="shared" si="7"/>
        <v>15 Testo +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1197</v>
      </c>
    </row>
    <row r="481" spans="1:9" x14ac:dyDescent="0.25">
      <c r="A481" s="1" t="str">
        <f t="shared" si="7"/>
        <v>15 Testo +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1198</v>
      </c>
    </row>
    <row r="482" spans="1:9" x14ac:dyDescent="0.25">
      <c r="A482" s="1" t="str">
        <f t="shared" si="7"/>
        <v>15 Testo +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1199</v>
      </c>
      <c r="D482" s="1" t="s">
        <v>1200</v>
      </c>
      <c r="E482" s="1" t="s">
        <v>1201</v>
      </c>
      <c r="F482" s="1" t="s">
        <v>111</v>
      </c>
      <c r="G482" s="1">
        <v>5262078</v>
      </c>
    </row>
    <row r="483" spans="1:9" x14ac:dyDescent="0.25">
      <c r="A483" s="1" t="str">
        <f t="shared" si="7"/>
        <v>15 Testo +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1202</v>
      </c>
      <c r="D483" s="1" t="s">
        <v>1203</v>
      </c>
      <c r="E483" s="1" t="s">
        <v>1204</v>
      </c>
      <c r="F483" s="1" t="s">
        <v>111</v>
      </c>
      <c r="G483" s="1">
        <v>5322749</v>
      </c>
    </row>
    <row r="484" spans="1:9" x14ac:dyDescent="0.25">
      <c r="A484" s="1" t="str">
        <f t="shared" si="7"/>
        <v>15 Testo +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1205</v>
      </c>
      <c r="D484" s="1" t="s">
        <v>1206</v>
      </c>
      <c r="E484" s="1" t="s">
        <v>1207</v>
      </c>
      <c r="F484" s="1" t="s">
        <v>111</v>
      </c>
      <c r="G484" s="1">
        <v>5181311</v>
      </c>
    </row>
    <row r="485" spans="1:9" x14ac:dyDescent="0.25">
      <c r="A485" s="1" t="str">
        <f t="shared" si="7"/>
        <v>15 Testo +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1208</v>
      </c>
      <c r="D485" s="1" t="s">
        <v>1209</v>
      </c>
      <c r="E485" s="1" t="s">
        <v>1210</v>
      </c>
      <c r="F485" s="1" t="s">
        <v>111</v>
      </c>
      <c r="G485" s="1">
        <v>3722743</v>
      </c>
    </row>
    <row r="486" spans="1:9" x14ac:dyDescent="0.25">
      <c r="A486" s="1" t="str">
        <f t="shared" si="7"/>
        <v>15 Testo +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1211</v>
      </c>
      <c r="D486" s="1" t="s">
        <v>1212</v>
      </c>
      <c r="E486" s="1" t="s">
        <v>1213</v>
      </c>
      <c r="F486" s="1" t="s">
        <v>111</v>
      </c>
      <c r="G486" s="1">
        <v>3632762</v>
      </c>
    </row>
    <row r="487" spans="1:9" x14ac:dyDescent="0.25">
      <c r="A487" s="1" t="str">
        <f t="shared" si="7"/>
        <v>15 Testo +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1214</v>
      </c>
      <c r="D487" s="1" t="s">
        <v>1215</v>
      </c>
      <c r="E487" s="1" t="s">
        <v>1216</v>
      </c>
      <c r="F487" s="1" t="s">
        <v>111</v>
      </c>
      <c r="G487" s="1">
        <v>3248962</v>
      </c>
    </row>
    <row r="488" spans="1:9"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111</v>
      </c>
    </row>
    <row r="489" spans="1:9"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230</v>
      </c>
      <c r="D489" s="1" t="s">
        <v>111</v>
      </c>
      <c r="E489" s="1" t="s">
        <v>231</v>
      </c>
      <c r="F489" s="1" t="s">
        <v>232</v>
      </c>
      <c r="G489" s="1" t="s">
        <v>233</v>
      </c>
      <c r="H489" s="1" t="s">
        <v>234</v>
      </c>
      <c r="I489" s="1" t="s">
        <v>235</v>
      </c>
    </row>
    <row r="490" spans="1:9" x14ac:dyDescent="0.25">
      <c r="A490" s="1" t="str">
        <f t="shared" si="7"/>
        <v>15 Testo +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1217</v>
      </c>
      <c r="D490" s="1" t="s">
        <v>111</v>
      </c>
      <c r="E490" s="1" t="s">
        <v>1218</v>
      </c>
      <c r="F490" s="1" t="s">
        <v>1219</v>
      </c>
      <c r="G490" s="1" t="s">
        <v>1220</v>
      </c>
      <c r="H490" s="1" t="s">
        <v>1221</v>
      </c>
      <c r="I490" s="1">
        <v>24</v>
      </c>
    </row>
    <row r="491" spans="1:9"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111</v>
      </c>
    </row>
    <row r="492" spans="1:9"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111</v>
      </c>
    </row>
    <row r="493" spans="1:9"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111</v>
      </c>
    </row>
    <row r="494" spans="1:9"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111</v>
      </c>
    </row>
    <row r="495" spans="1:9"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111</v>
      </c>
    </row>
    <row r="496" spans="1:9"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240</v>
      </c>
      <c r="D496" s="1" t="s">
        <v>109</v>
      </c>
      <c r="E496" s="1" t="s">
        <v>110</v>
      </c>
      <c r="F496" s="1" t="s">
        <v>111</v>
      </c>
      <c r="G496" s="1" t="s">
        <v>112</v>
      </c>
    </row>
    <row r="497" spans="1:7" x14ac:dyDescent="0.25">
      <c r="A497" s="1" t="str">
        <f t="shared" si="7"/>
        <v>16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1222</v>
      </c>
      <c r="D497" s="1" t="s">
        <v>1223</v>
      </c>
      <c r="E497" s="1" t="s">
        <v>1224</v>
      </c>
      <c r="F497" s="1" t="s">
        <v>111</v>
      </c>
      <c r="G497" s="1">
        <v>430500</v>
      </c>
    </row>
    <row r="498" spans="1:7" x14ac:dyDescent="0.25">
      <c r="A498" s="1" t="str">
        <f t="shared" si="7"/>
        <v>16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1225</v>
      </c>
      <c r="D498" s="1" t="s">
        <v>357</v>
      </c>
      <c r="E498" s="1" t="s">
        <v>1226</v>
      </c>
      <c r="F498" s="1" t="s">
        <v>111</v>
      </c>
      <c r="G498" s="1">
        <v>49987</v>
      </c>
    </row>
    <row r="499" spans="1:7" x14ac:dyDescent="0.25">
      <c r="A499" s="1" t="str">
        <f t="shared" si="7"/>
        <v>16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1227</v>
      </c>
      <c r="D499" s="1" t="s">
        <v>1228</v>
      </c>
      <c r="E499" s="1" t="s">
        <v>1229</v>
      </c>
      <c r="F499" s="1" t="s">
        <v>111</v>
      </c>
      <c r="G499" s="1">
        <v>434609</v>
      </c>
    </row>
    <row r="500" spans="1:7" x14ac:dyDescent="0.25">
      <c r="A500" s="1" t="str">
        <f t="shared" si="7"/>
        <v>16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1230</v>
      </c>
      <c r="D500" s="1" t="s">
        <v>1231</v>
      </c>
      <c r="E500" s="1" t="s">
        <v>1232</v>
      </c>
      <c r="F500" s="1" t="s">
        <v>111</v>
      </c>
      <c r="G500" s="1">
        <v>999085</v>
      </c>
    </row>
    <row r="501" spans="1:7" x14ac:dyDescent="0.25">
      <c r="A501" s="1" t="str">
        <f t="shared" si="7"/>
        <v>16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1233</v>
      </c>
      <c r="D501" s="1" t="s">
        <v>1234</v>
      </c>
      <c r="E501" s="1" t="s">
        <v>1235</v>
      </c>
      <c r="F501" s="1" t="s">
        <v>111</v>
      </c>
      <c r="G501" s="1">
        <v>546112</v>
      </c>
    </row>
    <row r="502" spans="1:7" x14ac:dyDescent="0.25">
      <c r="A502" s="1" t="str">
        <f t="shared" si="7"/>
        <v>16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1236</v>
      </c>
      <c r="D502" s="1" t="s">
        <v>1237</v>
      </c>
      <c r="E502" s="1" t="s">
        <v>1238</v>
      </c>
      <c r="F502" s="1" t="s">
        <v>111</v>
      </c>
      <c r="G502" s="1">
        <v>637779</v>
      </c>
    </row>
    <row r="503" spans="1:7" x14ac:dyDescent="0.25">
      <c r="A503" s="1" t="str">
        <f t="shared" si="7"/>
        <v>16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1239</v>
      </c>
      <c r="D503" s="1" t="s">
        <v>425</v>
      </c>
      <c r="E503" s="1" t="s">
        <v>1240</v>
      </c>
      <c r="F503" s="1" t="s">
        <v>111</v>
      </c>
      <c r="G503" s="1">
        <v>571267</v>
      </c>
    </row>
    <row r="504" spans="1:7" x14ac:dyDescent="0.25">
      <c r="A504" s="1" t="str">
        <f t="shared" si="7"/>
        <v>16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1241</v>
      </c>
      <c r="D504" s="1" t="s">
        <v>729</v>
      </c>
      <c r="E504" s="1" t="s">
        <v>1242</v>
      </c>
      <c r="F504" s="1" t="s">
        <v>111</v>
      </c>
      <c r="G504" s="1">
        <v>257742</v>
      </c>
    </row>
    <row r="505" spans="1:7" x14ac:dyDescent="0.25">
      <c r="A505" s="1" t="str">
        <f t="shared" si="7"/>
        <v>16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1243</v>
      </c>
      <c r="D505" s="1" t="s">
        <v>1244</v>
      </c>
      <c r="E505" s="1" t="s">
        <v>1245</v>
      </c>
      <c r="F505" s="1" t="s">
        <v>111</v>
      </c>
      <c r="G505" s="1">
        <v>613013</v>
      </c>
    </row>
    <row r="506" spans="1:7" x14ac:dyDescent="0.25">
      <c r="A506" s="1" t="str">
        <f t="shared" si="7"/>
        <v>16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1246</v>
      </c>
      <c r="D506" s="1" t="s">
        <v>1247</v>
      </c>
      <c r="E506" s="1" t="s">
        <v>1248</v>
      </c>
      <c r="F506" s="1" t="s">
        <v>111</v>
      </c>
      <c r="G506" s="1">
        <v>272039</v>
      </c>
    </row>
    <row r="507" spans="1:7" x14ac:dyDescent="0.25">
      <c r="A507" s="1" t="str">
        <f t="shared" si="7"/>
        <v>16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1249</v>
      </c>
      <c r="D507" s="1" t="s">
        <v>1250</v>
      </c>
      <c r="E507" s="1" t="s">
        <v>1251</v>
      </c>
      <c r="F507" s="1" t="s">
        <v>111</v>
      </c>
      <c r="G507" s="1">
        <v>608968</v>
      </c>
    </row>
    <row r="508" spans="1:7" x14ac:dyDescent="0.25">
      <c r="A508" s="1" t="str">
        <f t="shared" si="7"/>
        <v>16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1252</v>
      </c>
      <c r="D508" s="1" t="s">
        <v>261</v>
      </c>
      <c r="E508" s="1" t="s">
        <v>1253</v>
      </c>
      <c r="F508" s="1" t="s">
        <v>111</v>
      </c>
      <c r="G508" s="1">
        <v>399180</v>
      </c>
    </row>
    <row r="509" spans="1:7" x14ac:dyDescent="0.25">
      <c r="A509" s="1" t="str">
        <f t="shared" si="7"/>
        <v>16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1254</v>
      </c>
      <c r="D509" s="1" t="s">
        <v>1255</v>
      </c>
      <c r="E509" s="1" t="s">
        <v>1256</v>
      </c>
      <c r="F509" s="1" t="s">
        <v>111</v>
      </c>
      <c r="G509" s="1">
        <v>722979</v>
      </c>
    </row>
    <row r="510" spans="1:7" x14ac:dyDescent="0.25">
      <c r="A510" s="1" t="str">
        <f t="shared" si="7"/>
        <v>16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1257</v>
      </c>
      <c r="D510" s="1" t="s">
        <v>1258</v>
      </c>
      <c r="E510" s="1" t="s">
        <v>1259</v>
      </c>
      <c r="F510" s="1" t="s">
        <v>111</v>
      </c>
      <c r="G510" s="1">
        <v>499478</v>
      </c>
    </row>
    <row r="511" spans="1:7" x14ac:dyDescent="0.25">
      <c r="A511" s="1" t="str">
        <f t="shared" si="7"/>
        <v>16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1260</v>
      </c>
      <c r="D511" s="1" t="s">
        <v>222</v>
      </c>
      <c r="E511" s="1" t="s">
        <v>1261</v>
      </c>
      <c r="F511" s="1" t="s">
        <v>111</v>
      </c>
      <c r="G511" s="1">
        <v>633453</v>
      </c>
    </row>
    <row r="512" spans="1:7" x14ac:dyDescent="0.25">
      <c r="A512" s="1" t="str">
        <f t="shared" si="7"/>
        <v>16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1262</v>
      </c>
      <c r="D512" s="1" t="s">
        <v>1263</v>
      </c>
      <c r="E512" s="1" t="s">
        <v>1264</v>
      </c>
      <c r="F512" s="1" t="s">
        <v>111</v>
      </c>
      <c r="G512" s="1">
        <v>613078</v>
      </c>
    </row>
    <row r="513" spans="1:9" x14ac:dyDescent="0.25">
      <c r="A513" s="1" t="str">
        <f t="shared" si="7"/>
        <v>16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1265</v>
      </c>
    </row>
    <row r="514" spans="1:9" x14ac:dyDescent="0.25">
      <c r="A514" s="1" t="str">
        <f t="shared" ref="A514:A577" si="8">IFERROR(LEFT(RIGHT(C514,LEN(C514)-SEARCH("@",C514)),SEARCH("/",RIGHT(C514,LEN(C514)-SEARCH("@",C514)-1))),"")</f>
        <v>16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1266</v>
      </c>
      <c r="D514" s="1" t="s">
        <v>1267</v>
      </c>
      <c r="E514" s="1" t="s">
        <v>1268</v>
      </c>
      <c r="F514" s="1" t="s">
        <v>111</v>
      </c>
      <c r="G514" s="1">
        <v>167567</v>
      </c>
    </row>
    <row r="515" spans="1:9" x14ac:dyDescent="0.25">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1269</v>
      </c>
      <c r="D515" s="1" t="s">
        <v>895</v>
      </c>
      <c r="E515" s="1" t="s">
        <v>1270</v>
      </c>
      <c r="F515" s="1" t="s">
        <v>111</v>
      </c>
      <c r="G515" s="1">
        <v>306387</v>
      </c>
    </row>
    <row r="516" spans="1:9" x14ac:dyDescent="0.25">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1271</v>
      </c>
      <c r="D516" s="1" t="s">
        <v>962</v>
      </c>
      <c r="E516" s="1" t="s">
        <v>1272</v>
      </c>
      <c r="F516" s="1" t="s">
        <v>111</v>
      </c>
      <c r="G516" s="1">
        <v>523552</v>
      </c>
    </row>
    <row r="517" spans="1:9" x14ac:dyDescent="0.25">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1273</v>
      </c>
      <c r="D517" s="1" t="s">
        <v>838</v>
      </c>
      <c r="E517" s="1" t="s">
        <v>1274</v>
      </c>
      <c r="F517" s="1" t="s">
        <v>111</v>
      </c>
      <c r="G517" s="1">
        <v>145699</v>
      </c>
    </row>
    <row r="518" spans="1:9" x14ac:dyDescent="0.25">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1275</v>
      </c>
    </row>
    <row r="519" spans="1:9" x14ac:dyDescent="0.25">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1276</v>
      </c>
    </row>
    <row r="520" spans="1:9" x14ac:dyDescent="0.25">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1277</v>
      </c>
    </row>
    <row r="521" spans="1:9"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111</v>
      </c>
    </row>
    <row r="522" spans="1:9"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230</v>
      </c>
      <c r="D522" s="1" t="s">
        <v>111</v>
      </c>
      <c r="E522" s="1" t="s">
        <v>231</v>
      </c>
      <c r="F522" s="1" t="s">
        <v>232</v>
      </c>
      <c r="G522" s="1" t="s">
        <v>233</v>
      </c>
      <c r="H522" s="1" t="s">
        <v>234</v>
      </c>
      <c r="I522" s="1" t="s">
        <v>235</v>
      </c>
    </row>
    <row r="523" spans="1:9" x14ac:dyDescent="0.25">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1278</v>
      </c>
      <c r="D523" s="1" t="s">
        <v>111</v>
      </c>
      <c r="E523" s="1" t="s">
        <v>1279</v>
      </c>
      <c r="F523" s="1" t="s">
        <v>1280</v>
      </c>
      <c r="G523" s="1" t="s">
        <v>1281</v>
      </c>
      <c r="H523" s="1" t="s">
        <v>1282</v>
      </c>
      <c r="I523" s="1">
        <v>24</v>
      </c>
    </row>
    <row r="524" spans="1:9"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111</v>
      </c>
    </row>
    <row r="525" spans="1:9"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111</v>
      </c>
    </row>
    <row r="526" spans="1:9"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111</v>
      </c>
    </row>
    <row r="527" spans="1:9"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111</v>
      </c>
    </row>
    <row r="528" spans="1:9"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111</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240</v>
      </c>
      <c r="D529" s="1" t="s">
        <v>109</v>
      </c>
      <c r="E529" s="1" t="s">
        <v>110</v>
      </c>
      <c r="F529" s="1" t="s">
        <v>111</v>
      </c>
      <c r="G529" s="1" t="s">
        <v>112</v>
      </c>
    </row>
    <row r="530" spans="1:7" x14ac:dyDescent="0.25">
      <c r="A530" s="1" t="str">
        <f t="shared" si="8"/>
        <v>17 Testo +  Atenolol 0.01</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1283</v>
      </c>
    </row>
    <row r="531" spans="1:7" x14ac:dyDescent="0.25">
      <c r="A531" s="1" t="str">
        <f t="shared" si="8"/>
        <v>17 Testo +  Atenolol 0.01</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1284</v>
      </c>
      <c r="D531" s="1" t="s">
        <v>1285</v>
      </c>
      <c r="E531" s="1" t="s">
        <v>1286</v>
      </c>
      <c r="F531" s="1" t="s">
        <v>111</v>
      </c>
      <c r="G531" s="1">
        <v>4003456</v>
      </c>
    </row>
    <row r="532" spans="1:7" x14ac:dyDescent="0.25">
      <c r="A532" s="1" t="str">
        <f t="shared" si="8"/>
        <v>17 Testo +  Atenolol 0.01</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1287</v>
      </c>
      <c r="D532" s="1" t="s">
        <v>1288</v>
      </c>
      <c r="E532" s="1" t="s">
        <v>1289</v>
      </c>
      <c r="F532" s="1" t="s">
        <v>111</v>
      </c>
      <c r="G532" s="1">
        <v>3891845</v>
      </c>
    </row>
    <row r="533" spans="1:7" x14ac:dyDescent="0.25">
      <c r="A533" s="1" t="str">
        <f t="shared" si="8"/>
        <v>17 Testo +  Atenolol 0.01</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1290</v>
      </c>
      <c r="D533" s="1" t="s">
        <v>1291</v>
      </c>
      <c r="E533" s="1" t="s">
        <v>1292</v>
      </c>
      <c r="F533" s="1" t="s">
        <v>111</v>
      </c>
      <c r="G533" s="1">
        <v>3238817</v>
      </c>
    </row>
    <row r="534" spans="1:7" x14ac:dyDescent="0.25">
      <c r="A534" s="1" t="str">
        <f t="shared" si="8"/>
        <v>17 Testo +  Atenolol 0.01</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1293</v>
      </c>
    </row>
    <row r="535" spans="1:7" x14ac:dyDescent="0.25">
      <c r="A535" s="1" t="str">
        <f t="shared" si="8"/>
        <v>17 Testo +  Atenolol 0.01</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1294</v>
      </c>
      <c r="D535" s="1" t="s">
        <v>1295</v>
      </c>
      <c r="E535" s="1" t="s">
        <v>1296</v>
      </c>
      <c r="F535" s="1" t="s">
        <v>111</v>
      </c>
      <c r="G535" s="1">
        <v>3607023</v>
      </c>
    </row>
    <row r="536" spans="1:7" x14ac:dyDescent="0.25">
      <c r="A536" s="1" t="str">
        <f t="shared" si="8"/>
        <v>17 Testo +  Atenolol 0.01</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1297</v>
      </c>
      <c r="D536" s="1" t="s">
        <v>1298</v>
      </c>
      <c r="E536" s="1" t="s">
        <v>1299</v>
      </c>
      <c r="F536" s="1" t="s">
        <v>111</v>
      </c>
      <c r="G536" s="1">
        <v>2546055</v>
      </c>
    </row>
    <row r="537" spans="1:7" x14ac:dyDescent="0.25">
      <c r="A537" s="1" t="str">
        <f t="shared" si="8"/>
        <v>17 Testo +  Atenolol 0.01</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1300</v>
      </c>
      <c r="D537" s="1" t="s">
        <v>1301</v>
      </c>
      <c r="E537" s="1" t="s">
        <v>1302</v>
      </c>
      <c r="F537" s="1" t="s">
        <v>111</v>
      </c>
      <c r="G537" s="1">
        <v>2584102</v>
      </c>
    </row>
    <row r="538" spans="1:7" x14ac:dyDescent="0.25">
      <c r="A538" s="1" t="str">
        <f t="shared" si="8"/>
        <v>17 Testo +  Atenolol 0.01</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1303</v>
      </c>
      <c r="D538" s="1" t="s">
        <v>1304</v>
      </c>
      <c r="E538" s="1" t="s">
        <v>1305</v>
      </c>
      <c r="F538" s="1" t="s">
        <v>111</v>
      </c>
      <c r="G538" s="1">
        <v>2406845</v>
      </c>
    </row>
    <row r="539" spans="1:7" x14ac:dyDescent="0.25">
      <c r="A539" s="1" t="str">
        <f t="shared" si="8"/>
        <v>17 Testo +  Atenolol 0.01</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1306</v>
      </c>
      <c r="D539" s="1" t="s">
        <v>1307</v>
      </c>
      <c r="E539" s="1" t="s">
        <v>1308</v>
      </c>
      <c r="F539" s="1" t="s">
        <v>111</v>
      </c>
      <c r="G539" s="1">
        <v>1166370</v>
      </c>
    </row>
    <row r="540" spans="1:7" x14ac:dyDescent="0.25">
      <c r="A540" s="1" t="str">
        <f t="shared" si="8"/>
        <v>17 Testo +  Atenolol 0.01</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1309</v>
      </c>
      <c r="D540" s="1" t="s">
        <v>1310</v>
      </c>
      <c r="E540" s="1" t="s">
        <v>1311</v>
      </c>
      <c r="F540" s="1" t="s">
        <v>111</v>
      </c>
      <c r="G540" s="1">
        <v>1163710</v>
      </c>
    </row>
    <row r="541" spans="1:7" x14ac:dyDescent="0.25">
      <c r="A541" s="1" t="str">
        <f t="shared" si="8"/>
        <v>17 Testo +  Atenolol 0.01</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1312</v>
      </c>
      <c r="D541" s="1" t="s">
        <v>1313</v>
      </c>
      <c r="E541" s="1" t="s">
        <v>1314</v>
      </c>
      <c r="F541" s="1" t="s">
        <v>111</v>
      </c>
      <c r="G541" s="1">
        <v>1436312</v>
      </c>
    </row>
    <row r="542" spans="1:7" x14ac:dyDescent="0.25">
      <c r="A542" s="1" t="str">
        <f t="shared" si="8"/>
        <v>17 Testo +  Atenolol 0.01</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1315</v>
      </c>
      <c r="D542" s="1" t="s">
        <v>1316</v>
      </c>
      <c r="E542" s="1" t="s">
        <v>1317</v>
      </c>
      <c r="F542" s="1" t="s">
        <v>111</v>
      </c>
      <c r="G542" s="1">
        <v>2028387</v>
      </c>
    </row>
    <row r="543" spans="1:7" x14ac:dyDescent="0.25">
      <c r="A543" s="1" t="str">
        <f t="shared" si="8"/>
        <v>17 Testo +  Atenolol 0.01</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1318</v>
      </c>
      <c r="D543" s="1" t="s">
        <v>1319</v>
      </c>
      <c r="E543" s="1" t="s">
        <v>1320</v>
      </c>
      <c r="F543" s="1" t="s">
        <v>111</v>
      </c>
      <c r="G543" s="1">
        <v>1842196</v>
      </c>
    </row>
    <row r="544" spans="1:7" x14ac:dyDescent="0.25">
      <c r="A544" s="1" t="str">
        <f t="shared" si="8"/>
        <v>17 Testo +  Atenolol 0.01</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1321</v>
      </c>
      <c r="D544" s="1" t="s">
        <v>1322</v>
      </c>
      <c r="E544" s="1" t="s">
        <v>1323</v>
      </c>
      <c r="F544" s="1" t="s">
        <v>111</v>
      </c>
      <c r="G544" s="1">
        <v>1798958</v>
      </c>
    </row>
    <row r="545" spans="1:9" x14ac:dyDescent="0.25">
      <c r="A545" s="1" t="str">
        <f t="shared" si="8"/>
        <v>17 Testo +  Atenolol 0.01</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1324</v>
      </c>
      <c r="D545" s="1" t="s">
        <v>1325</v>
      </c>
      <c r="E545" s="1" t="s">
        <v>1326</v>
      </c>
      <c r="F545" s="1" t="s">
        <v>111</v>
      </c>
      <c r="G545" s="1">
        <v>3811404</v>
      </c>
    </row>
    <row r="546" spans="1:9" x14ac:dyDescent="0.25">
      <c r="A546" s="1" t="str">
        <f t="shared" si="8"/>
        <v>17 Testo +  Atenolol 0.01</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1327</v>
      </c>
      <c r="D546" s="1" t="s">
        <v>1188</v>
      </c>
      <c r="E546" s="1" t="s">
        <v>1328</v>
      </c>
      <c r="F546" s="1" t="s">
        <v>111</v>
      </c>
      <c r="G546" s="1">
        <v>3674076</v>
      </c>
    </row>
    <row r="547" spans="1:9" x14ac:dyDescent="0.25">
      <c r="A547" s="1" t="str">
        <f t="shared" si="8"/>
        <v>17 Testo +  Atenolol 0.01</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1329</v>
      </c>
      <c r="D547" s="1" t="s">
        <v>1330</v>
      </c>
      <c r="E547" s="1" t="s">
        <v>1331</v>
      </c>
      <c r="F547" s="1" t="s">
        <v>111</v>
      </c>
      <c r="G547" s="1">
        <v>3522666</v>
      </c>
    </row>
    <row r="548" spans="1:9" x14ac:dyDescent="0.25">
      <c r="A548" s="1" t="str">
        <f t="shared" si="8"/>
        <v>17 Testo +  Atenolol 0.01</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1332</v>
      </c>
      <c r="D548" s="1" t="s">
        <v>1333</v>
      </c>
      <c r="E548" s="1" t="s">
        <v>1334</v>
      </c>
      <c r="F548" s="1" t="s">
        <v>111</v>
      </c>
      <c r="G548" s="1">
        <v>2653793</v>
      </c>
    </row>
    <row r="549" spans="1:9" x14ac:dyDescent="0.25">
      <c r="A549" s="1" t="str">
        <f t="shared" si="8"/>
        <v>17 Testo +  Atenolol 0.01</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1335</v>
      </c>
      <c r="D549" s="1" t="s">
        <v>1336</v>
      </c>
      <c r="E549" s="1" t="s">
        <v>1337</v>
      </c>
      <c r="F549" s="1" t="s">
        <v>111</v>
      </c>
      <c r="G549" s="1">
        <v>2860359</v>
      </c>
    </row>
    <row r="550" spans="1:9" x14ac:dyDescent="0.25">
      <c r="A550" s="1" t="str">
        <f t="shared" si="8"/>
        <v>17 Testo +  Atenolol 0.01</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1338</v>
      </c>
      <c r="D550" s="1" t="s">
        <v>1339</v>
      </c>
      <c r="E550" s="1" t="s">
        <v>1340</v>
      </c>
      <c r="F550" s="1" t="s">
        <v>111</v>
      </c>
      <c r="G550" s="1">
        <v>3202803</v>
      </c>
    </row>
    <row r="551" spans="1:9" x14ac:dyDescent="0.25">
      <c r="A551" s="1" t="str">
        <f t="shared" si="8"/>
        <v>17 Testo +  Atenolol 0.01</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1341</v>
      </c>
      <c r="D551" s="1" t="s">
        <v>1342</v>
      </c>
      <c r="E551" s="1" t="s">
        <v>1343</v>
      </c>
      <c r="F551" s="1" t="s">
        <v>111</v>
      </c>
      <c r="G551" s="1">
        <v>5613996</v>
      </c>
    </row>
    <row r="552" spans="1:9" x14ac:dyDescent="0.25">
      <c r="A552" s="1" t="str">
        <f t="shared" si="8"/>
        <v>17 Testo +  Atenolol 0.01</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1344</v>
      </c>
      <c r="D552" s="1" t="s">
        <v>1345</v>
      </c>
      <c r="E552" s="1" t="s">
        <v>1346</v>
      </c>
      <c r="F552" s="1" t="s">
        <v>111</v>
      </c>
      <c r="G552" s="1">
        <v>4485672</v>
      </c>
    </row>
    <row r="553" spans="1:9" x14ac:dyDescent="0.25">
      <c r="A553" s="1" t="str">
        <f t="shared" si="8"/>
        <v>17 Testo +  Atenolol 0.01</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1347</v>
      </c>
      <c r="D553" s="1" t="s">
        <v>1348</v>
      </c>
      <c r="E553" s="1" t="s">
        <v>1349</v>
      </c>
      <c r="F553" s="1" t="s">
        <v>111</v>
      </c>
      <c r="G553" s="1">
        <v>4598862</v>
      </c>
    </row>
    <row r="554" spans="1:9"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111</v>
      </c>
    </row>
    <row r="555" spans="1:9"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230</v>
      </c>
      <c r="D555" s="1" t="s">
        <v>111</v>
      </c>
      <c r="E555" s="1" t="s">
        <v>231</v>
      </c>
      <c r="F555" s="1" t="s">
        <v>232</v>
      </c>
      <c r="G555" s="1" t="s">
        <v>233</v>
      </c>
      <c r="H555" s="1" t="s">
        <v>234</v>
      </c>
      <c r="I555" s="1" t="s">
        <v>235</v>
      </c>
    </row>
    <row r="556" spans="1:9" x14ac:dyDescent="0.25">
      <c r="A556" s="1" t="str">
        <f t="shared" si="8"/>
        <v>17 Testo +  Atenolol 0.01</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1350</v>
      </c>
      <c r="D556" s="1" t="s">
        <v>111</v>
      </c>
      <c r="E556" s="1" t="s">
        <v>1351</v>
      </c>
      <c r="F556" s="1" t="s">
        <v>1352</v>
      </c>
      <c r="G556" s="1" t="s">
        <v>1353</v>
      </c>
      <c r="H556" s="1" t="s">
        <v>1354</v>
      </c>
      <c r="I556" s="1">
        <v>24</v>
      </c>
    </row>
    <row r="557" spans="1:9"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111</v>
      </c>
    </row>
    <row r="558" spans="1:9"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111</v>
      </c>
    </row>
    <row r="559" spans="1:9"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111</v>
      </c>
    </row>
    <row r="560" spans="1:9"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111</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111</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240</v>
      </c>
      <c r="D562" s="1" t="s">
        <v>109</v>
      </c>
      <c r="E562" s="1" t="s">
        <v>110</v>
      </c>
      <c r="F562" s="1" t="s">
        <v>111</v>
      </c>
      <c r="G562" s="1" t="s">
        <v>112</v>
      </c>
    </row>
    <row r="563" spans="1:7" x14ac:dyDescent="0.25">
      <c r="A563" s="1" t="str">
        <f t="shared" si="8"/>
        <v>18  Testo + Atenolol 0.1</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1355</v>
      </c>
      <c r="D563" s="1" t="s">
        <v>1356</v>
      </c>
      <c r="E563" s="1" t="s">
        <v>1357</v>
      </c>
      <c r="F563" s="1" t="s">
        <v>111</v>
      </c>
      <c r="G563" s="1">
        <v>3665488</v>
      </c>
    </row>
    <row r="564" spans="1:7" x14ac:dyDescent="0.25">
      <c r="A564" s="1" t="str">
        <f t="shared" si="8"/>
        <v>18  Testo + Atenolol 0.1</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1358</v>
      </c>
      <c r="D564" s="1" t="s">
        <v>1359</v>
      </c>
      <c r="E564" s="1" t="s">
        <v>1360</v>
      </c>
      <c r="F564" s="1" t="s">
        <v>111</v>
      </c>
      <c r="G564" s="1">
        <v>3006426</v>
      </c>
    </row>
    <row r="565" spans="1:7" x14ac:dyDescent="0.25">
      <c r="A565" s="1" t="str">
        <f t="shared" si="8"/>
        <v>18  Testo + Atenolol 0.1</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1361</v>
      </c>
      <c r="D565" s="1" t="s">
        <v>1362</v>
      </c>
      <c r="E565" s="1" t="s">
        <v>1363</v>
      </c>
      <c r="F565" s="1" t="s">
        <v>111</v>
      </c>
      <c r="G565" s="1">
        <v>3412592</v>
      </c>
    </row>
    <row r="566" spans="1:7" x14ac:dyDescent="0.25">
      <c r="A566" s="1" t="str">
        <f t="shared" si="8"/>
        <v>18  Testo + Atenolol 0.1</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1364</v>
      </c>
      <c r="D566" s="1" t="s">
        <v>1365</v>
      </c>
      <c r="E566" s="1" t="s">
        <v>1366</v>
      </c>
      <c r="F566" s="1" t="s">
        <v>111</v>
      </c>
      <c r="G566" s="1">
        <v>3336238</v>
      </c>
    </row>
    <row r="567" spans="1:7" x14ac:dyDescent="0.25">
      <c r="A567" s="1" t="str">
        <f t="shared" si="8"/>
        <v>18  Testo + Atenolol 0.1</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1367</v>
      </c>
      <c r="D567" s="1" t="s">
        <v>1368</v>
      </c>
      <c r="E567" s="1" t="s">
        <v>1369</v>
      </c>
      <c r="F567" s="1" t="s">
        <v>111</v>
      </c>
      <c r="G567" s="1">
        <v>2589055</v>
      </c>
    </row>
    <row r="568" spans="1:7" x14ac:dyDescent="0.25">
      <c r="A568" s="1" t="str">
        <f t="shared" si="8"/>
        <v>18  Testo + Atenolol 0.1</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1370</v>
      </c>
      <c r="D568" s="1" t="s">
        <v>1371</v>
      </c>
      <c r="E568" s="1" t="s">
        <v>1372</v>
      </c>
      <c r="F568" s="1" t="s">
        <v>111</v>
      </c>
      <c r="G568" s="1">
        <v>2335034</v>
      </c>
    </row>
    <row r="569" spans="1:7" x14ac:dyDescent="0.25">
      <c r="A569" s="1" t="str">
        <f t="shared" si="8"/>
        <v>18  Testo + Atenolol 0.1</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1373</v>
      </c>
      <c r="D569" s="1" t="s">
        <v>1374</v>
      </c>
      <c r="E569" s="1" t="s">
        <v>1375</v>
      </c>
      <c r="F569" s="1" t="s">
        <v>111</v>
      </c>
      <c r="G569" s="1">
        <v>2782621</v>
      </c>
    </row>
    <row r="570" spans="1:7" x14ac:dyDescent="0.25">
      <c r="A570" s="1" t="str">
        <f t="shared" si="8"/>
        <v>18  Testo + Atenolol 0.1</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1376</v>
      </c>
      <c r="D570" s="1" t="s">
        <v>1377</v>
      </c>
      <c r="E570" s="1" t="s">
        <v>1378</v>
      </c>
      <c r="F570" s="1" t="s">
        <v>111</v>
      </c>
      <c r="G570" s="1">
        <v>3080703</v>
      </c>
    </row>
    <row r="571" spans="1:7" x14ac:dyDescent="0.25">
      <c r="A571" s="1" t="str">
        <f t="shared" si="8"/>
        <v>18  Testo + Atenolol 0.1</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1379</v>
      </c>
      <c r="D571" s="1" t="s">
        <v>1380</v>
      </c>
      <c r="E571" s="1" t="s">
        <v>1381</v>
      </c>
      <c r="F571" s="1" t="s">
        <v>111</v>
      </c>
      <c r="G571" s="1">
        <v>3104604</v>
      </c>
    </row>
    <row r="572" spans="1:7" x14ac:dyDescent="0.25">
      <c r="A572" s="1" t="str">
        <f t="shared" si="8"/>
        <v>18  Testo + Atenolol 0.1</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1382</v>
      </c>
      <c r="D572" s="1" t="s">
        <v>1383</v>
      </c>
      <c r="E572" s="1" t="s">
        <v>1384</v>
      </c>
      <c r="F572" s="1" t="s">
        <v>111</v>
      </c>
      <c r="G572" s="1">
        <v>834611</v>
      </c>
    </row>
    <row r="573" spans="1:7" x14ac:dyDescent="0.25">
      <c r="A573" s="1" t="str">
        <f t="shared" si="8"/>
        <v>18  Testo + Atenolol 0.1</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1385</v>
      </c>
      <c r="D573" s="1" t="s">
        <v>1386</v>
      </c>
      <c r="E573" s="1" t="s">
        <v>1387</v>
      </c>
      <c r="F573" s="1" t="s">
        <v>111</v>
      </c>
      <c r="G573" s="1">
        <v>715279</v>
      </c>
    </row>
    <row r="574" spans="1:7" x14ac:dyDescent="0.25">
      <c r="A574" s="1" t="str">
        <f t="shared" si="8"/>
        <v>18  Testo + Atenolol 0.1</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1388</v>
      </c>
      <c r="D574" s="1" t="s">
        <v>1389</v>
      </c>
      <c r="E574" s="1" t="s">
        <v>1390</v>
      </c>
      <c r="F574" s="1" t="s">
        <v>111</v>
      </c>
      <c r="G574" s="1">
        <v>957296</v>
      </c>
    </row>
    <row r="575" spans="1:7" x14ac:dyDescent="0.25">
      <c r="A575" s="1" t="str">
        <f t="shared" si="8"/>
        <v>18  Testo + Atenolol 0.1</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1391</v>
      </c>
      <c r="D575" s="1" t="s">
        <v>1392</v>
      </c>
      <c r="E575" s="1" t="s">
        <v>1393</v>
      </c>
      <c r="F575" s="1" t="s">
        <v>111</v>
      </c>
      <c r="G575" s="1">
        <v>3186949</v>
      </c>
    </row>
    <row r="576" spans="1:7" x14ac:dyDescent="0.25">
      <c r="A576" s="1" t="str">
        <f t="shared" si="8"/>
        <v>18  Testo + Atenolol 0.1</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1394</v>
      </c>
      <c r="D576" s="1" t="s">
        <v>1395</v>
      </c>
      <c r="E576" s="1" t="s">
        <v>1396</v>
      </c>
      <c r="F576" s="1" t="s">
        <v>111</v>
      </c>
      <c r="G576" s="1">
        <v>3304139</v>
      </c>
    </row>
    <row r="577" spans="1:9" x14ac:dyDescent="0.25">
      <c r="A577" s="1" t="str">
        <f t="shared" si="8"/>
        <v>18  Testo + Atenolol 0.1</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1397</v>
      </c>
      <c r="D577" s="1" t="s">
        <v>1398</v>
      </c>
      <c r="E577" s="1" t="s">
        <v>1399</v>
      </c>
      <c r="F577" s="1" t="s">
        <v>111</v>
      </c>
      <c r="G577" s="1">
        <v>3615199</v>
      </c>
    </row>
    <row r="578" spans="1:9" x14ac:dyDescent="0.25">
      <c r="A578" s="1" t="str">
        <f t="shared" ref="A578:A641" si="9">IFERROR(LEFT(RIGHT(C578,LEN(C578)-SEARCH("@",C578)),SEARCH("/",RIGHT(C578,LEN(C578)-SEARCH("@",C578)-1))),"")</f>
        <v>18  Testo + Atenolol 0.1</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1400</v>
      </c>
      <c r="D578" s="1" t="s">
        <v>455</v>
      </c>
      <c r="E578" s="1" t="s">
        <v>1401</v>
      </c>
      <c r="F578" s="1" t="s">
        <v>111</v>
      </c>
      <c r="G578" s="1">
        <v>1697817</v>
      </c>
    </row>
    <row r="579" spans="1:9" x14ac:dyDescent="0.25">
      <c r="A579" s="1" t="str">
        <f t="shared" si="9"/>
        <v>18  Testo + Atenolol 0.1</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1402</v>
      </c>
      <c r="D579" s="1" t="s">
        <v>1403</v>
      </c>
      <c r="E579" s="1" t="s">
        <v>1404</v>
      </c>
      <c r="F579" s="1" t="s">
        <v>111</v>
      </c>
      <c r="G579" s="1">
        <v>1451950</v>
      </c>
    </row>
    <row r="580" spans="1:9" x14ac:dyDescent="0.25">
      <c r="A580" s="1" t="str">
        <f t="shared" si="9"/>
        <v>18  Testo + Atenolol 0.1</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1405</v>
      </c>
      <c r="D580" s="1" t="s">
        <v>1406</v>
      </c>
      <c r="E580" s="1" t="s">
        <v>1407</v>
      </c>
      <c r="F580" s="1" t="s">
        <v>111</v>
      </c>
      <c r="G580" s="1">
        <v>1220229</v>
      </c>
    </row>
    <row r="581" spans="1:9" x14ac:dyDescent="0.25">
      <c r="A581" s="1" t="str">
        <f t="shared" si="9"/>
        <v>18  Testo + Atenolol 0.1</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1408</v>
      </c>
      <c r="D581" s="1" t="s">
        <v>1409</v>
      </c>
      <c r="E581" s="1" t="s">
        <v>1410</v>
      </c>
      <c r="F581" s="1" t="s">
        <v>111</v>
      </c>
      <c r="G581" s="1">
        <v>1834691</v>
      </c>
    </row>
    <row r="582" spans="1:9" x14ac:dyDescent="0.25">
      <c r="A582" s="1" t="str">
        <f t="shared" si="9"/>
        <v>18  Testo + Atenolol 0.1</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1411</v>
      </c>
      <c r="D582" s="1" t="s">
        <v>1412</v>
      </c>
      <c r="E582" s="1" t="s">
        <v>1413</v>
      </c>
      <c r="F582" s="1" t="s">
        <v>111</v>
      </c>
      <c r="G582" s="1">
        <v>1908557</v>
      </c>
    </row>
    <row r="583" spans="1:9" x14ac:dyDescent="0.25">
      <c r="A583" s="1" t="str">
        <f t="shared" si="9"/>
        <v>18  Testo + Atenolol 0.1</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1414</v>
      </c>
    </row>
    <row r="584" spans="1:9" x14ac:dyDescent="0.25">
      <c r="A584" s="1" t="str">
        <f t="shared" si="9"/>
        <v>18  Testo + Atenolol 0.1</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1415</v>
      </c>
      <c r="D584" s="1" t="s">
        <v>1416</v>
      </c>
      <c r="E584" s="1" t="s">
        <v>1417</v>
      </c>
      <c r="F584" s="1" t="s">
        <v>111</v>
      </c>
      <c r="G584" s="1">
        <v>1739238</v>
      </c>
    </row>
    <row r="585" spans="1:9" x14ac:dyDescent="0.25">
      <c r="A585" s="1" t="str">
        <f t="shared" si="9"/>
        <v>18  Testo + Atenolol 0.1</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1418</v>
      </c>
      <c r="D585" s="1" t="s">
        <v>1419</v>
      </c>
      <c r="E585" s="1" t="s">
        <v>1420</v>
      </c>
      <c r="F585" s="1" t="s">
        <v>111</v>
      </c>
      <c r="G585" s="1">
        <v>2105951</v>
      </c>
    </row>
    <row r="586" spans="1:9" x14ac:dyDescent="0.25">
      <c r="A586" s="1" t="str">
        <f t="shared" si="9"/>
        <v>18  Testo + Atenolol 0.1</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1421</v>
      </c>
      <c r="D586" s="1" t="s">
        <v>1316</v>
      </c>
      <c r="E586" s="1" t="s">
        <v>1422</v>
      </c>
      <c r="F586" s="1" t="s">
        <v>111</v>
      </c>
      <c r="G586" s="1">
        <v>1931377</v>
      </c>
    </row>
    <row r="587" spans="1:9"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111</v>
      </c>
    </row>
    <row r="588" spans="1:9"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230</v>
      </c>
      <c r="D588" s="1" t="s">
        <v>111</v>
      </c>
      <c r="E588" s="1" t="s">
        <v>231</v>
      </c>
      <c r="F588" s="1" t="s">
        <v>232</v>
      </c>
      <c r="G588" s="1" t="s">
        <v>233</v>
      </c>
      <c r="H588" s="1" t="s">
        <v>234</v>
      </c>
      <c r="I588" s="1" t="s">
        <v>235</v>
      </c>
    </row>
    <row r="589" spans="1:9" x14ac:dyDescent="0.25">
      <c r="A589" s="1" t="str">
        <f t="shared" si="9"/>
        <v>18  Testo + Atenolol 0.1</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1423</v>
      </c>
      <c r="D589" s="1" t="s">
        <v>111</v>
      </c>
      <c r="E589" s="1" t="s">
        <v>1424</v>
      </c>
      <c r="F589" s="1" t="s">
        <v>1425</v>
      </c>
      <c r="G589" s="1">
        <v>2308483</v>
      </c>
      <c r="H589" s="1" t="s">
        <v>1426</v>
      </c>
      <c r="I589" s="1">
        <v>24</v>
      </c>
    </row>
    <row r="590" spans="1:9"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111</v>
      </c>
    </row>
    <row r="591" spans="1:9"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111</v>
      </c>
    </row>
    <row r="592" spans="1:9"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111</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111</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111</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240</v>
      </c>
      <c r="D595" s="1" t="s">
        <v>109</v>
      </c>
      <c r="E595" s="1" t="s">
        <v>110</v>
      </c>
      <c r="F595" s="1" t="s">
        <v>111</v>
      </c>
      <c r="G595" s="1" t="s">
        <v>112</v>
      </c>
    </row>
    <row r="596" spans="1:7" x14ac:dyDescent="0.25">
      <c r="A596" s="1" t="str">
        <f t="shared" si="9"/>
        <v>19 Testo + Atenolol 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1427</v>
      </c>
      <c r="D596" s="1" t="s">
        <v>1428</v>
      </c>
      <c r="E596" s="1" t="s">
        <v>1429</v>
      </c>
      <c r="F596" s="1" t="s">
        <v>111</v>
      </c>
      <c r="G596" s="1">
        <v>1757926</v>
      </c>
    </row>
    <row r="597" spans="1:7" x14ac:dyDescent="0.25">
      <c r="A597" s="1" t="str">
        <f t="shared" si="9"/>
        <v>19 Testo + Atenolol 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1430</v>
      </c>
    </row>
    <row r="598" spans="1:7" x14ac:dyDescent="0.25">
      <c r="A598" s="1" t="str">
        <f t="shared" si="9"/>
        <v>19 Testo + Atenolol 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1431</v>
      </c>
      <c r="D598" s="1" t="s">
        <v>1432</v>
      </c>
      <c r="E598" s="1" t="s">
        <v>1433</v>
      </c>
      <c r="F598" s="1" t="s">
        <v>111</v>
      </c>
      <c r="G598" s="1">
        <v>1423485</v>
      </c>
    </row>
    <row r="599" spans="1:7" x14ac:dyDescent="0.25">
      <c r="A599" s="1" t="str">
        <f t="shared" si="9"/>
        <v>19 Testo + Atenolol 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1434</v>
      </c>
      <c r="D599" s="1" t="s">
        <v>1435</v>
      </c>
      <c r="E599" s="1" t="s">
        <v>1436</v>
      </c>
      <c r="F599" s="1" t="s">
        <v>111</v>
      </c>
      <c r="G599" s="1">
        <v>1460256</v>
      </c>
    </row>
    <row r="600" spans="1:7" x14ac:dyDescent="0.25">
      <c r="A600" s="1" t="str">
        <f t="shared" si="9"/>
        <v>19 Testo + Atenolol 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1437</v>
      </c>
      <c r="D600" s="1" t="s">
        <v>1438</v>
      </c>
      <c r="E600" s="1" t="s">
        <v>1439</v>
      </c>
      <c r="F600" s="1" t="s">
        <v>111</v>
      </c>
      <c r="G600" s="1">
        <v>2802477</v>
      </c>
    </row>
    <row r="601" spans="1:7" x14ac:dyDescent="0.25">
      <c r="A601" s="1" t="str">
        <f t="shared" si="9"/>
        <v>19 Testo + Atenolol 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1440</v>
      </c>
      <c r="D601" s="1" t="s">
        <v>1441</v>
      </c>
      <c r="E601" s="1" t="s">
        <v>1442</v>
      </c>
      <c r="F601" s="1" t="s">
        <v>111</v>
      </c>
      <c r="G601" s="1">
        <v>1983526</v>
      </c>
    </row>
    <row r="602" spans="1:7" x14ac:dyDescent="0.25">
      <c r="A602" s="1" t="str">
        <f t="shared" si="9"/>
        <v>19 Testo + Atenolol 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1443</v>
      </c>
      <c r="D602" s="1" t="s">
        <v>908</v>
      </c>
      <c r="E602" s="1" t="s">
        <v>1444</v>
      </c>
      <c r="F602" s="1" t="s">
        <v>111</v>
      </c>
      <c r="G602" s="1">
        <v>383238</v>
      </c>
    </row>
    <row r="603" spans="1:7" x14ac:dyDescent="0.25">
      <c r="A603" s="1" t="str">
        <f t="shared" si="9"/>
        <v>19 Testo + Atenolol 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1445</v>
      </c>
      <c r="D603" s="1" t="s">
        <v>297</v>
      </c>
      <c r="E603" s="1" t="s">
        <v>1446</v>
      </c>
      <c r="F603" s="1" t="s">
        <v>111</v>
      </c>
      <c r="G603" s="1">
        <v>105900</v>
      </c>
    </row>
    <row r="604" spans="1:7" x14ac:dyDescent="0.25">
      <c r="A604" s="1" t="str">
        <f t="shared" si="9"/>
        <v>19 Testo + Atenolol 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1447</v>
      </c>
      <c r="D604" s="1" t="s">
        <v>283</v>
      </c>
      <c r="E604" s="1" t="s">
        <v>1448</v>
      </c>
      <c r="F604" s="1" t="s">
        <v>111</v>
      </c>
      <c r="G604" s="1">
        <v>113362</v>
      </c>
    </row>
    <row r="605" spans="1:7" x14ac:dyDescent="0.25">
      <c r="A605" s="1" t="str">
        <f t="shared" si="9"/>
        <v>19 Testo + Atenolol 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1449</v>
      </c>
      <c r="D605" s="1" t="s">
        <v>1450</v>
      </c>
      <c r="E605" s="1" t="s">
        <v>1451</v>
      </c>
      <c r="F605" s="1" t="s">
        <v>111</v>
      </c>
      <c r="G605" s="1">
        <v>2888175</v>
      </c>
    </row>
    <row r="606" spans="1:7" x14ac:dyDescent="0.25">
      <c r="A606" s="1" t="str">
        <f t="shared" si="9"/>
        <v>19 Testo + Atenolol 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1452</v>
      </c>
      <c r="D606" s="1" t="s">
        <v>1453</v>
      </c>
      <c r="E606" s="1" t="s">
        <v>1454</v>
      </c>
      <c r="F606" s="1" t="s">
        <v>111</v>
      </c>
      <c r="G606" s="1">
        <v>2231902</v>
      </c>
    </row>
    <row r="607" spans="1:7" x14ac:dyDescent="0.25">
      <c r="A607" s="1" t="str">
        <f t="shared" si="9"/>
        <v>19 Testo + Atenolol 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1455</v>
      </c>
      <c r="D607" s="1" t="s">
        <v>1456</v>
      </c>
      <c r="E607" s="1" t="s">
        <v>1457</v>
      </c>
      <c r="F607" s="1" t="s">
        <v>111</v>
      </c>
      <c r="G607" s="1">
        <v>2762938</v>
      </c>
    </row>
    <row r="608" spans="1:7" x14ac:dyDescent="0.25">
      <c r="A608" s="1" t="str">
        <f t="shared" si="9"/>
        <v>19 Testo + Atenolol 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1458</v>
      </c>
      <c r="D608" s="1" t="s">
        <v>1459</v>
      </c>
      <c r="E608" s="1" t="s">
        <v>1460</v>
      </c>
      <c r="F608" s="1" t="s">
        <v>111</v>
      </c>
      <c r="G608" s="1">
        <v>3433119</v>
      </c>
    </row>
    <row r="609" spans="1:9" x14ac:dyDescent="0.25">
      <c r="A609" s="1" t="str">
        <f t="shared" si="9"/>
        <v>19 Testo + Atenolol 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1461</v>
      </c>
      <c r="D609" s="1" t="s">
        <v>1462</v>
      </c>
      <c r="E609" s="1" t="s">
        <v>1463</v>
      </c>
      <c r="F609" s="1" t="s">
        <v>111</v>
      </c>
      <c r="G609" s="1">
        <v>3022561</v>
      </c>
    </row>
    <row r="610" spans="1:9" x14ac:dyDescent="0.25">
      <c r="A610" s="1" t="str">
        <f t="shared" si="9"/>
        <v>19 Testo + Atenolol 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1464</v>
      </c>
      <c r="D610" s="1" t="s">
        <v>1465</v>
      </c>
      <c r="E610" s="1" t="s">
        <v>1466</v>
      </c>
      <c r="F610" s="1" t="s">
        <v>111</v>
      </c>
      <c r="G610" s="1">
        <v>2431568</v>
      </c>
    </row>
    <row r="611" spans="1:9" x14ac:dyDescent="0.25">
      <c r="A611" s="1" t="str">
        <f t="shared" si="9"/>
        <v>19 Testo + Atenolol 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1467</v>
      </c>
      <c r="D611" s="1" t="s">
        <v>1468</v>
      </c>
      <c r="E611" s="1" t="s">
        <v>1469</v>
      </c>
      <c r="F611" s="1" t="s">
        <v>111</v>
      </c>
      <c r="G611" s="1">
        <v>2762635</v>
      </c>
    </row>
    <row r="612" spans="1:9" x14ac:dyDescent="0.25">
      <c r="A612" s="1" t="str">
        <f t="shared" si="9"/>
        <v>19 Testo + Atenolol 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1470</v>
      </c>
      <c r="D612" s="1" t="s">
        <v>1471</v>
      </c>
      <c r="E612" s="1" t="s">
        <v>1472</v>
      </c>
      <c r="F612" s="1" t="s">
        <v>111</v>
      </c>
      <c r="G612" s="1">
        <v>2708950</v>
      </c>
    </row>
    <row r="613" spans="1:9" x14ac:dyDescent="0.25">
      <c r="A613" s="1" t="str">
        <f t="shared" si="9"/>
        <v>19 Testo + Atenolol 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1473</v>
      </c>
      <c r="D613" s="1" t="s">
        <v>1474</v>
      </c>
      <c r="E613" s="1" t="s">
        <v>1475</v>
      </c>
      <c r="F613" s="1" t="s">
        <v>111</v>
      </c>
      <c r="G613" s="1">
        <v>1873171</v>
      </c>
    </row>
    <row r="614" spans="1:9" x14ac:dyDescent="0.25">
      <c r="A614" s="1" t="str">
        <f t="shared" si="9"/>
        <v>19 Testo + Atenolol 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1476</v>
      </c>
      <c r="D614" s="1" t="s">
        <v>1477</v>
      </c>
      <c r="E614" s="1" t="s">
        <v>1478</v>
      </c>
      <c r="F614" s="1" t="s">
        <v>111</v>
      </c>
      <c r="G614" s="1">
        <v>2268954</v>
      </c>
    </row>
    <row r="615" spans="1:9" x14ac:dyDescent="0.25">
      <c r="A615" s="1" t="str">
        <f t="shared" si="9"/>
        <v>19 Testo + Atenolol 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1479</v>
      </c>
      <c r="D615" s="1" t="s">
        <v>1480</v>
      </c>
      <c r="E615" s="1" t="s">
        <v>1481</v>
      </c>
      <c r="F615" s="1" t="s">
        <v>111</v>
      </c>
      <c r="G615" s="1">
        <v>2173004</v>
      </c>
    </row>
    <row r="616" spans="1:9" x14ac:dyDescent="0.25">
      <c r="A616" s="1" t="str">
        <f t="shared" si="9"/>
        <v>19 Testo + Atenolol 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1482</v>
      </c>
      <c r="D616" s="1" t="s">
        <v>1483</v>
      </c>
      <c r="E616" s="1" t="s">
        <v>1484</v>
      </c>
      <c r="F616" s="1" t="s">
        <v>111</v>
      </c>
      <c r="G616" s="1">
        <v>2213279</v>
      </c>
    </row>
    <row r="617" spans="1:9" x14ac:dyDescent="0.25">
      <c r="A617" s="1" t="str">
        <f t="shared" si="9"/>
        <v>19 Testo + Atenolol 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1485</v>
      </c>
      <c r="D617" s="1" t="s">
        <v>1486</v>
      </c>
      <c r="E617" s="1" t="s">
        <v>1487</v>
      </c>
      <c r="F617" s="1" t="s">
        <v>111</v>
      </c>
      <c r="G617" s="1">
        <v>3053557</v>
      </c>
    </row>
    <row r="618" spans="1:9" x14ac:dyDescent="0.25">
      <c r="A618" s="1" t="str">
        <f t="shared" si="9"/>
        <v>19 Testo + Atenolol 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1488</v>
      </c>
      <c r="D618" s="1" t="s">
        <v>1489</v>
      </c>
      <c r="E618" s="1" t="s">
        <v>1490</v>
      </c>
      <c r="F618" s="1" t="s">
        <v>111</v>
      </c>
      <c r="G618" s="1">
        <v>3076139</v>
      </c>
    </row>
    <row r="619" spans="1:9" x14ac:dyDescent="0.25">
      <c r="A619" s="1" t="str">
        <f t="shared" si="9"/>
        <v>19 Testo + Atenolol 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1491</v>
      </c>
      <c r="D619" s="1" t="s">
        <v>1492</v>
      </c>
      <c r="E619" s="1" t="s">
        <v>1493</v>
      </c>
      <c r="F619" s="1" t="s">
        <v>111</v>
      </c>
      <c r="G619" s="1">
        <v>2783465</v>
      </c>
    </row>
    <row r="620" spans="1:9"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111</v>
      </c>
    </row>
    <row r="621" spans="1:9"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230</v>
      </c>
      <c r="D621" s="1" t="s">
        <v>111</v>
      </c>
      <c r="E621" s="1" t="s">
        <v>231</v>
      </c>
      <c r="F621" s="1" t="s">
        <v>232</v>
      </c>
      <c r="G621" s="1" t="s">
        <v>233</v>
      </c>
      <c r="H621" s="1" t="s">
        <v>234</v>
      </c>
      <c r="I621" s="1" t="s">
        <v>235</v>
      </c>
    </row>
    <row r="622" spans="1:9" x14ac:dyDescent="0.25">
      <c r="A622" s="1" t="str">
        <f t="shared" si="9"/>
        <v>19 Testo + Atenolol 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1494</v>
      </c>
      <c r="D622" s="1" t="s">
        <v>111</v>
      </c>
      <c r="E622" s="1" t="s">
        <v>1495</v>
      </c>
      <c r="F622" s="1" t="s">
        <v>1496</v>
      </c>
      <c r="G622" s="1" t="s">
        <v>1497</v>
      </c>
      <c r="H622" s="1" t="s">
        <v>1498</v>
      </c>
      <c r="I622" s="1">
        <v>24</v>
      </c>
    </row>
    <row r="623" spans="1:9"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111</v>
      </c>
    </row>
    <row r="624" spans="1:9"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111</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111</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111</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111</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240</v>
      </c>
      <c r="D628" s="1" t="s">
        <v>109</v>
      </c>
      <c r="E628" s="1" t="s">
        <v>110</v>
      </c>
      <c r="F628" s="1" t="s">
        <v>111</v>
      </c>
      <c r="G628" s="1" t="s">
        <v>112</v>
      </c>
    </row>
    <row r="629" spans="1:7" x14ac:dyDescent="0.25">
      <c r="A629" s="1" t="str">
        <f t="shared" si="9"/>
        <v>20 Testo + Atenolol 10</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1499</v>
      </c>
      <c r="D629" s="1" t="s">
        <v>325</v>
      </c>
      <c r="E629" s="1" t="s">
        <v>1500</v>
      </c>
      <c r="F629" s="1" t="s">
        <v>111</v>
      </c>
      <c r="G629" s="1">
        <v>95388</v>
      </c>
    </row>
    <row r="630" spans="1:7" x14ac:dyDescent="0.25">
      <c r="A630" s="1" t="str">
        <f t="shared" si="9"/>
        <v>20 Testo + Atenolol 10</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1501</v>
      </c>
      <c r="D630" s="1" t="s">
        <v>1502</v>
      </c>
      <c r="E630" s="1" t="s">
        <v>1503</v>
      </c>
      <c r="F630" s="1" t="s">
        <v>111</v>
      </c>
      <c r="G630" s="1">
        <v>564454</v>
      </c>
    </row>
    <row r="631" spans="1:7" x14ac:dyDescent="0.25">
      <c r="A631" s="1" t="str">
        <f t="shared" si="9"/>
        <v>20 Testo + Atenolol 10</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1504</v>
      </c>
      <c r="D631" s="1" t="s">
        <v>1250</v>
      </c>
      <c r="E631" s="1" t="s">
        <v>1505</v>
      </c>
      <c r="F631" s="1" t="s">
        <v>111</v>
      </c>
      <c r="G631" s="1">
        <v>513472</v>
      </c>
    </row>
    <row r="632" spans="1:7" x14ac:dyDescent="0.25">
      <c r="A632" s="1" t="str">
        <f t="shared" si="9"/>
        <v>20 Testo + Atenolol 10</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1506</v>
      </c>
      <c r="D632" s="1" t="s">
        <v>1507</v>
      </c>
      <c r="E632" s="1" t="s">
        <v>1508</v>
      </c>
      <c r="F632" s="1" t="s">
        <v>111</v>
      </c>
      <c r="G632" s="1">
        <v>1698466</v>
      </c>
    </row>
    <row r="633" spans="1:7" x14ac:dyDescent="0.25">
      <c r="A633" s="1" t="str">
        <f t="shared" si="9"/>
        <v>20 Testo + Atenolol 10</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1509</v>
      </c>
      <c r="D633" s="1" t="s">
        <v>1510</v>
      </c>
      <c r="E633" s="1" t="s">
        <v>1511</v>
      </c>
      <c r="F633" s="1" t="s">
        <v>111</v>
      </c>
      <c r="G633" s="1">
        <v>1622610</v>
      </c>
    </row>
    <row r="634" spans="1:7" x14ac:dyDescent="0.25">
      <c r="A634" s="1" t="str">
        <f t="shared" si="9"/>
        <v>20 Testo + Atenolol 10</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1512</v>
      </c>
      <c r="D634" s="1" t="s">
        <v>1513</v>
      </c>
      <c r="E634" s="1" t="s">
        <v>1514</v>
      </c>
      <c r="F634" s="1" t="s">
        <v>111</v>
      </c>
      <c r="G634" s="1">
        <v>1629056</v>
      </c>
    </row>
    <row r="635" spans="1:7" x14ac:dyDescent="0.25">
      <c r="A635" s="1" t="str">
        <f t="shared" si="9"/>
        <v>20 Testo + Atenolol 10</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1515</v>
      </c>
      <c r="D635" s="1" t="s">
        <v>1516</v>
      </c>
      <c r="E635" s="1" t="s">
        <v>1517</v>
      </c>
      <c r="F635" s="1" t="s">
        <v>111</v>
      </c>
      <c r="G635" s="1">
        <v>19640</v>
      </c>
    </row>
    <row r="636" spans="1:7" x14ac:dyDescent="0.25">
      <c r="A636" s="1" t="str">
        <f t="shared" si="9"/>
        <v>20 Testo + Atenolol 10</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1518</v>
      </c>
      <c r="D636" s="1" t="s">
        <v>1519</v>
      </c>
      <c r="E636" s="1" t="s">
        <v>1520</v>
      </c>
      <c r="F636" s="1" t="s">
        <v>111</v>
      </c>
      <c r="G636" s="1">
        <v>102785</v>
      </c>
    </row>
    <row r="637" spans="1:7" x14ac:dyDescent="0.25">
      <c r="A637" s="1" t="str">
        <f t="shared" si="9"/>
        <v>20 Testo + Atenolol 10</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1521</v>
      </c>
      <c r="D637" s="1" t="s">
        <v>1522</v>
      </c>
      <c r="E637" s="1" t="s">
        <v>1523</v>
      </c>
      <c r="F637" s="1" t="s">
        <v>111</v>
      </c>
      <c r="G637" s="1">
        <v>157704</v>
      </c>
    </row>
    <row r="638" spans="1:7" x14ac:dyDescent="0.25">
      <c r="A638" s="1" t="str">
        <f t="shared" si="9"/>
        <v>20 Testo + Atenolol 10</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1524</v>
      </c>
      <c r="D638" s="1" t="s">
        <v>1525</v>
      </c>
      <c r="E638" s="1" t="s">
        <v>1526</v>
      </c>
      <c r="F638" s="1" t="s">
        <v>111</v>
      </c>
      <c r="G638" s="1">
        <v>3619547</v>
      </c>
    </row>
    <row r="639" spans="1:7" x14ac:dyDescent="0.25">
      <c r="A639" s="1" t="str">
        <f t="shared" si="9"/>
        <v>20 Testo + Atenolol 10</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1527</v>
      </c>
      <c r="D639" s="1" t="s">
        <v>1528</v>
      </c>
      <c r="E639" s="1" t="s">
        <v>1529</v>
      </c>
      <c r="F639" s="1" t="s">
        <v>111</v>
      </c>
      <c r="G639" s="1">
        <v>3371170</v>
      </c>
    </row>
    <row r="640" spans="1:7" x14ac:dyDescent="0.25">
      <c r="A640" s="1" t="str">
        <f t="shared" si="9"/>
        <v>20 Testo + Atenolol 10</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1530</v>
      </c>
      <c r="D640" s="1" t="s">
        <v>1531</v>
      </c>
      <c r="E640" s="1" t="s">
        <v>1532</v>
      </c>
      <c r="F640" s="1" t="s">
        <v>111</v>
      </c>
      <c r="G640" s="1">
        <v>3862104</v>
      </c>
    </row>
    <row r="641" spans="1:9" x14ac:dyDescent="0.25">
      <c r="A641" s="1" t="str">
        <f t="shared" si="9"/>
        <v>20 Testo + Atenolol 10</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1533</v>
      </c>
      <c r="D641" s="1" t="s">
        <v>1534</v>
      </c>
      <c r="E641" s="1" t="s">
        <v>1535</v>
      </c>
      <c r="F641" s="1" t="s">
        <v>111</v>
      </c>
      <c r="G641" s="1">
        <v>3776234</v>
      </c>
    </row>
    <row r="642" spans="1:9" x14ac:dyDescent="0.25">
      <c r="A642" s="1" t="str">
        <f t="shared" ref="A642:A705" si="10">IFERROR(LEFT(RIGHT(C642,LEN(C642)-SEARCH("@",C642)),SEARCH("/",RIGHT(C642,LEN(C642)-SEARCH("@",C642)-1))),"")</f>
        <v>20 Testo + Atenolol 10</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1536</v>
      </c>
      <c r="D642" s="1" t="s">
        <v>1537</v>
      </c>
      <c r="E642" s="1" t="s">
        <v>1538</v>
      </c>
      <c r="F642" s="1" t="s">
        <v>111</v>
      </c>
      <c r="G642" s="1">
        <v>2874678</v>
      </c>
    </row>
    <row r="643" spans="1:9" x14ac:dyDescent="0.25">
      <c r="A643" s="1" t="str">
        <f t="shared" si="10"/>
        <v>20 Testo + Atenolol 10</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1539</v>
      </c>
      <c r="D643" s="1" t="s">
        <v>1540</v>
      </c>
      <c r="E643" s="1" t="s">
        <v>1541</v>
      </c>
      <c r="F643" s="1" t="s">
        <v>111</v>
      </c>
      <c r="G643" s="1">
        <v>2250115</v>
      </c>
    </row>
    <row r="644" spans="1:9" x14ac:dyDescent="0.25">
      <c r="A644" s="1" t="str">
        <f t="shared" si="10"/>
        <v>20 Testo + Atenolol 10</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1542</v>
      </c>
      <c r="D644" s="1" t="s">
        <v>1543</v>
      </c>
      <c r="E644" s="1" t="s">
        <v>1544</v>
      </c>
      <c r="F644" s="1" t="s">
        <v>111</v>
      </c>
      <c r="G644" s="1">
        <v>3526365</v>
      </c>
    </row>
    <row r="645" spans="1:9" x14ac:dyDescent="0.25">
      <c r="A645" s="1" t="str">
        <f t="shared" si="10"/>
        <v>20 Testo + Atenolol 10</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1545</v>
      </c>
      <c r="D645" s="1" t="s">
        <v>1546</v>
      </c>
      <c r="E645" s="1" t="s">
        <v>1547</v>
      </c>
      <c r="F645" s="1" t="s">
        <v>111</v>
      </c>
      <c r="G645" s="1">
        <v>3281666</v>
      </c>
    </row>
    <row r="646" spans="1:9" x14ac:dyDescent="0.25">
      <c r="A646" s="1" t="str">
        <f t="shared" si="10"/>
        <v>20 Testo + Atenolol 10</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1548</v>
      </c>
      <c r="D646" s="1" t="s">
        <v>1549</v>
      </c>
      <c r="E646" s="1" t="s">
        <v>1550</v>
      </c>
      <c r="F646" s="1" t="s">
        <v>111</v>
      </c>
      <c r="G646" s="1">
        <v>3430977</v>
      </c>
    </row>
    <row r="647" spans="1:9" x14ac:dyDescent="0.25">
      <c r="A647" s="1" t="str">
        <f t="shared" si="10"/>
        <v>20 Testo + Atenolol 10</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1551</v>
      </c>
      <c r="D647" s="1" t="s">
        <v>1552</v>
      </c>
      <c r="E647" s="1" t="s">
        <v>1553</v>
      </c>
      <c r="F647" s="1" t="s">
        <v>111</v>
      </c>
      <c r="G647" s="1">
        <v>3620866</v>
      </c>
    </row>
    <row r="648" spans="1:9" x14ac:dyDescent="0.25">
      <c r="A648" s="1" t="str">
        <f t="shared" si="10"/>
        <v>20 Testo + Atenolol 10</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1554</v>
      </c>
      <c r="D648" s="1" t="s">
        <v>1555</v>
      </c>
      <c r="E648" s="1" t="s">
        <v>1556</v>
      </c>
      <c r="F648" s="1" t="s">
        <v>111</v>
      </c>
      <c r="G648" s="1">
        <v>3851960</v>
      </c>
    </row>
    <row r="649" spans="1:9" x14ac:dyDescent="0.25">
      <c r="A649" s="1" t="str">
        <f t="shared" si="10"/>
        <v>20 Testo + Atenolol 10</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1557</v>
      </c>
      <c r="D649" s="1" t="s">
        <v>1558</v>
      </c>
      <c r="E649" s="1" t="s">
        <v>1559</v>
      </c>
      <c r="F649" s="1" t="s">
        <v>111</v>
      </c>
      <c r="G649" s="1">
        <v>3299100</v>
      </c>
    </row>
    <row r="650" spans="1:9" x14ac:dyDescent="0.25">
      <c r="A650" s="1" t="str">
        <f t="shared" si="10"/>
        <v>20 Testo + Atenolol 10</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1560</v>
      </c>
    </row>
    <row r="651" spans="1:9" x14ac:dyDescent="0.25">
      <c r="A651" s="1" t="str">
        <f t="shared" si="10"/>
        <v>20 Testo + Atenolol 10</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1561</v>
      </c>
    </row>
    <row r="652" spans="1:9" x14ac:dyDescent="0.25">
      <c r="A652" s="1" t="str">
        <f t="shared" si="10"/>
        <v>20 Testo + Atenolol 10</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1562</v>
      </c>
    </row>
    <row r="653" spans="1:9"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111</v>
      </c>
    </row>
    <row r="654" spans="1:9"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230</v>
      </c>
      <c r="D654" s="1" t="s">
        <v>111</v>
      </c>
      <c r="E654" s="1" t="s">
        <v>231</v>
      </c>
      <c r="F654" s="1" t="s">
        <v>232</v>
      </c>
      <c r="G654" s="1" t="s">
        <v>233</v>
      </c>
      <c r="H654" s="1" t="s">
        <v>234</v>
      </c>
      <c r="I654" s="1" t="s">
        <v>235</v>
      </c>
    </row>
    <row r="655" spans="1:9" x14ac:dyDescent="0.25">
      <c r="A655" s="1" t="str">
        <f t="shared" si="10"/>
        <v>20 Testo + Atenolol 10</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1563</v>
      </c>
      <c r="D655" s="1" t="s">
        <v>111</v>
      </c>
      <c r="E655" s="1" t="s">
        <v>1564</v>
      </c>
      <c r="F655" s="1" t="s">
        <v>1565</v>
      </c>
      <c r="G655" s="1" t="s">
        <v>1566</v>
      </c>
      <c r="H655" s="1" t="s">
        <v>1567</v>
      </c>
      <c r="I655" s="1">
        <v>24</v>
      </c>
    </row>
    <row r="656" spans="1:9"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111</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111</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111</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111</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111</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240</v>
      </c>
      <c r="D661" s="1" t="s">
        <v>109</v>
      </c>
      <c r="E661" s="1" t="s">
        <v>110</v>
      </c>
      <c r="F661" s="1" t="s">
        <v>111</v>
      </c>
      <c r="G661" s="1" t="s">
        <v>112</v>
      </c>
    </row>
    <row r="662" spans="1:7" x14ac:dyDescent="0.25">
      <c r="A662" s="1" t="str">
        <f t="shared" si="10"/>
        <v>21 Testo + Atenolol 100</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1568</v>
      </c>
    </row>
    <row r="663" spans="1:7" x14ac:dyDescent="0.25">
      <c r="A663" s="1" t="str">
        <f t="shared" si="10"/>
        <v>21 Testo + Atenolol 100</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1569</v>
      </c>
      <c r="D663" s="1" t="s">
        <v>1570</v>
      </c>
      <c r="E663" s="1" t="s">
        <v>1571</v>
      </c>
      <c r="F663" s="1" t="s">
        <v>111</v>
      </c>
      <c r="G663" s="1">
        <v>3821916</v>
      </c>
    </row>
    <row r="664" spans="1:7" x14ac:dyDescent="0.25">
      <c r="A664" s="1" t="str">
        <f t="shared" si="10"/>
        <v>21 Testo + Atenolol 100</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1572</v>
      </c>
      <c r="D664" s="1" t="s">
        <v>1573</v>
      </c>
      <c r="E664" s="1" t="s">
        <v>1574</v>
      </c>
      <c r="F664" s="1" t="s">
        <v>111</v>
      </c>
      <c r="G664" s="1">
        <v>3330052</v>
      </c>
    </row>
    <row r="665" spans="1:7" x14ac:dyDescent="0.25">
      <c r="A665" s="1" t="str">
        <f t="shared" si="10"/>
        <v>21 Testo + Atenolol 100</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1575</v>
      </c>
      <c r="D665" s="1" t="s">
        <v>1576</v>
      </c>
      <c r="E665" s="1" t="s">
        <v>1577</v>
      </c>
      <c r="F665" s="1" t="s">
        <v>111</v>
      </c>
      <c r="G665" s="1">
        <v>1507301</v>
      </c>
    </row>
    <row r="666" spans="1:7" x14ac:dyDescent="0.25">
      <c r="A666" s="1" t="str">
        <f t="shared" si="10"/>
        <v>21 Testo + Atenolol 100</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1578</v>
      </c>
    </row>
    <row r="667" spans="1:7" x14ac:dyDescent="0.25">
      <c r="A667" s="1" t="str">
        <f t="shared" si="10"/>
        <v>21 Testo + Atenolol 100</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1579</v>
      </c>
      <c r="D667" s="1" t="s">
        <v>1580</v>
      </c>
      <c r="E667" s="1" t="s">
        <v>1581</v>
      </c>
      <c r="F667" s="1" t="s">
        <v>111</v>
      </c>
      <c r="G667" s="1">
        <v>2141187</v>
      </c>
    </row>
    <row r="668" spans="1:7" x14ac:dyDescent="0.25">
      <c r="A668" s="1" t="str">
        <f t="shared" si="10"/>
        <v>21 Testo + Atenolol 100</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1582</v>
      </c>
      <c r="D668" s="1" t="s">
        <v>1583</v>
      </c>
      <c r="E668" s="1" t="s">
        <v>1584</v>
      </c>
      <c r="F668" s="1" t="s">
        <v>111</v>
      </c>
      <c r="G668" s="1">
        <v>2739296</v>
      </c>
    </row>
    <row r="669" spans="1:7" x14ac:dyDescent="0.25">
      <c r="A669" s="1" t="str">
        <f t="shared" si="10"/>
        <v>21 Testo + Atenolol 100</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1585</v>
      </c>
      <c r="D669" s="1" t="s">
        <v>1586</v>
      </c>
      <c r="E669" s="1" t="s">
        <v>1587</v>
      </c>
      <c r="F669" s="1" t="s">
        <v>111</v>
      </c>
      <c r="G669" s="1">
        <v>2275357</v>
      </c>
    </row>
    <row r="670" spans="1:7" x14ac:dyDescent="0.25">
      <c r="A670" s="1" t="str">
        <f t="shared" si="10"/>
        <v>21 Testo + Atenolol 100</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1588</v>
      </c>
      <c r="D670" s="1" t="s">
        <v>1589</v>
      </c>
      <c r="E670" s="1" t="s">
        <v>1590</v>
      </c>
      <c r="F670" s="1" t="s">
        <v>111</v>
      </c>
      <c r="G670" s="1">
        <v>3240591</v>
      </c>
    </row>
    <row r="671" spans="1:7" x14ac:dyDescent="0.25">
      <c r="A671" s="1" t="str">
        <f t="shared" si="10"/>
        <v>21 Testo + Atenolol 100</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1591</v>
      </c>
      <c r="D671" s="1" t="s">
        <v>1592</v>
      </c>
      <c r="E671" s="1" t="s">
        <v>1593</v>
      </c>
      <c r="F671" s="1" t="s">
        <v>111</v>
      </c>
      <c r="G671" s="1">
        <v>3940383</v>
      </c>
    </row>
    <row r="672" spans="1:7" x14ac:dyDescent="0.25">
      <c r="A672" s="1" t="str">
        <f t="shared" si="10"/>
        <v>21 Testo + Atenolol 100</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1594</v>
      </c>
      <c r="D672" s="1" t="s">
        <v>1595</v>
      </c>
      <c r="E672" s="1" t="s">
        <v>1596</v>
      </c>
      <c r="F672" s="1" t="s">
        <v>111</v>
      </c>
      <c r="G672" s="1">
        <v>2326771</v>
      </c>
    </row>
    <row r="673" spans="1:9" x14ac:dyDescent="0.25">
      <c r="A673" s="1" t="str">
        <f t="shared" si="10"/>
        <v>21 Testo + Atenolol 100</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1597</v>
      </c>
      <c r="D673" s="1" t="s">
        <v>1598</v>
      </c>
      <c r="E673" s="1" t="s">
        <v>1599</v>
      </c>
      <c r="F673" s="1" t="s">
        <v>111</v>
      </c>
      <c r="G673" s="1">
        <v>3725209</v>
      </c>
    </row>
    <row r="674" spans="1:9" x14ac:dyDescent="0.25">
      <c r="A674" s="1" t="str">
        <f t="shared" si="10"/>
        <v>21 Testo + Atenolol 100</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1600</v>
      </c>
    </row>
    <row r="675" spans="1:9" x14ac:dyDescent="0.25">
      <c r="A675" s="1" t="str">
        <f t="shared" si="10"/>
        <v>21 Testo + Atenolol 100</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1601</v>
      </c>
      <c r="D675" s="1" t="s">
        <v>1602</v>
      </c>
      <c r="E675" s="1" t="s">
        <v>1603</v>
      </c>
      <c r="F675" s="1" t="s">
        <v>111</v>
      </c>
      <c r="G675" s="1">
        <v>2763241</v>
      </c>
    </row>
    <row r="676" spans="1:9" x14ac:dyDescent="0.25">
      <c r="A676" s="1" t="str">
        <f t="shared" si="10"/>
        <v>21 Testo + Atenolol 100</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1604</v>
      </c>
      <c r="D676" s="1" t="s">
        <v>1605</v>
      </c>
      <c r="E676" s="1" t="s">
        <v>1606</v>
      </c>
      <c r="F676" s="1" t="s">
        <v>111</v>
      </c>
      <c r="G676" s="1">
        <v>3343938</v>
      </c>
    </row>
    <row r="677" spans="1:9" x14ac:dyDescent="0.25">
      <c r="A677" s="1" t="str">
        <f t="shared" si="10"/>
        <v>21 Testo + Atenolol 100</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1607</v>
      </c>
    </row>
    <row r="678" spans="1:9" x14ac:dyDescent="0.25">
      <c r="A678" s="1" t="str">
        <f t="shared" si="10"/>
        <v>21 Testo + Atenolol 100</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1608</v>
      </c>
      <c r="D678" s="1" t="s">
        <v>1609</v>
      </c>
      <c r="E678" s="1" t="s">
        <v>1610</v>
      </c>
      <c r="F678" s="1" t="s">
        <v>111</v>
      </c>
      <c r="G678" s="1">
        <v>3381791</v>
      </c>
    </row>
    <row r="679" spans="1:9" x14ac:dyDescent="0.25">
      <c r="A679" s="1" t="str">
        <f t="shared" si="10"/>
        <v>21 Testo + Atenolol 100</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1611</v>
      </c>
      <c r="D679" s="1" t="s">
        <v>1612</v>
      </c>
      <c r="E679" s="1" t="s">
        <v>1613</v>
      </c>
      <c r="F679" s="1" t="s">
        <v>111</v>
      </c>
      <c r="G679" s="1">
        <v>2833906</v>
      </c>
    </row>
    <row r="680" spans="1:9" x14ac:dyDescent="0.25">
      <c r="A680" s="1" t="str">
        <f t="shared" si="10"/>
        <v>21 Testo + Atenolol 100</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1614</v>
      </c>
      <c r="D680" s="1" t="s">
        <v>455</v>
      </c>
      <c r="E680" s="1" t="s">
        <v>1615</v>
      </c>
      <c r="F680" s="1" t="s">
        <v>111</v>
      </c>
      <c r="G680" s="1">
        <v>1639330</v>
      </c>
    </row>
    <row r="681" spans="1:9" x14ac:dyDescent="0.25">
      <c r="A681" s="1" t="str">
        <f t="shared" si="10"/>
        <v>21 Testo + Atenolol 100</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1616</v>
      </c>
      <c r="D681" s="1" t="s">
        <v>1617</v>
      </c>
      <c r="E681" s="1" t="s">
        <v>1618</v>
      </c>
      <c r="F681" s="1" t="s">
        <v>111</v>
      </c>
      <c r="G681" s="1">
        <v>1107169</v>
      </c>
    </row>
    <row r="682" spans="1:9" x14ac:dyDescent="0.25">
      <c r="A682" s="1" t="str">
        <f t="shared" si="10"/>
        <v>21 Testo + Atenolol 100</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1619</v>
      </c>
      <c r="D682" s="1" t="s">
        <v>1620</v>
      </c>
      <c r="E682" s="1" t="s">
        <v>1621</v>
      </c>
      <c r="F682" s="1" t="s">
        <v>111</v>
      </c>
      <c r="G682" s="1">
        <v>993699</v>
      </c>
    </row>
    <row r="683" spans="1:9" x14ac:dyDescent="0.25">
      <c r="A683" s="1" t="str">
        <f t="shared" si="10"/>
        <v>21 Testo + Atenolol 100</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1622</v>
      </c>
      <c r="D683" s="1" t="s">
        <v>1623</v>
      </c>
      <c r="E683" s="1" t="s">
        <v>1624</v>
      </c>
      <c r="F683" s="1" t="s">
        <v>111</v>
      </c>
      <c r="G683" s="1">
        <v>3693326</v>
      </c>
    </row>
    <row r="684" spans="1:9" x14ac:dyDescent="0.25">
      <c r="A684" s="1" t="str">
        <f t="shared" si="10"/>
        <v>21 Testo + Atenolol 100</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1625</v>
      </c>
      <c r="D684" s="1" t="s">
        <v>1626</v>
      </c>
      <c r="E684" s="1" t="s">
        <v>1627</v>
      </c>
      <c r="F684" s="1" t="s">
        <v>111</v>
      </c>
      <c r="G684" s="1">
        <v>3417004</v>
      </c>
    </row>
    <row r="685" spans="1:9" x14ac:dyDescent="0.25">
      <c r="A685" s="1" t="str">
        <f t="shared" si="10"/>
        <v>21 Testo + Atenolol 100</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1628</v>
      </c>
    </row>
    <row r="686" spans="1:9"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111</v>
      </c>
    </row>
    <row r="687" spans="1:9"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230</v>
      </c>
      <c r="D687" s="1" t="s">
        <v>111</v>
      </c>
      <c r="E687" s="1" t="s">
        <v>231</v>
      </c>
      <c r="F687" s="1" t="s">
        <v>232</v>
      </c>
      <c r="G687" s="1" t="s">
        <v>233</v>
      </c>
      <c r="H687" s="1" t="s">
        <v>234</v>
      </c>
      <c r="I687" s="1" t="s">
        <v>235</v>
      </c>
    </row>
    <row r="688" spans="1:9" x14ac:dyDescent="0.25">
      <c r="A688" s="1" t="str">
        <f t="shared" si="10"/>
        <v>21 Testo + Atenolol 100</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1629</v>
      </c>
      <c r="D688" s="1" t="s">
        <v>111</v>
      </c>
      <c r="E688" s="1" t="s">
        <v>1630</v>
      </c>
      <c r="F688" s="1" t="s">
        <v>1631</v>
      </c>
      <c r="G688" s="1" t="s">
        <v>1632</v>
      </c>
      <c r="H688" s="1" t="s">
        <v>1633</v>
      </c>
      <c r="I688" s="1">
        <v>24</v>
      </c>
    </row>
    <row r="689" spans="1:4"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111</v>
      </c>
    </row>
    <row r="690" spans="1:4"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111</v>
      </c>
    </row>
    <row r="691" spans="1:4"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111</v>
      </c>
    </row>
    <row r="692" spans="1:4"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111</v>
      </c>
    </row>
    <row r="693" spans="1:4"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3" s="1" t="s">
        <v>111</v>
      </c>
    </row>
    <row r="694" spans="1:4"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111</v>
      </c>
    </row>
    <row r="695" spans="1:4"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5" s="1" t="s">
        <v>1634</v>
      </c>
    </row>
    <row r="696" spans="1:4"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6" s="1">
        <v>504</v>
      </c>
    </row>
    <row r="697" spans="1:4"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4"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4"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4"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4"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4"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4"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4"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70" zoomScaleNormal="70" zoomScaleSheetLayoutView="40" zoomScalePageLayoutView="30" workbookViewId="0">
      <pane xSplit="1" topLeftCell="L1" activePane="topRight" state="frozen"/>
      <selection pane="topRight" activeCell="P5" sqref="P5:V12"/>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6" t="s">
        <v>40</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c r="A2"/>
      <c r="B2"/>
      <c r="C2"/>
      <c r="D2"/>
      <c r="E2"/>
      <c r="F2"/>
      <c r="G2"/>
      <c r="H2"/>
      <c r="I2"/>
      <c r="J2"/>
      <c r="K2"/>
      <c r="L2"/>
      <c r="M2"/>
      <c r="S2"/>
      <c r="T2"/>
      <c r="U2"/>
      <c r="V2"/>
    </row>
    <row r="3" spans="1:22" ht="15.75" thickBot="1" x14ac:dyDescent="0.3">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Atenolol-0,01mg/L</v>
      </c>
      <c r="J4" s="35" t="str">
        <f>'Page de garde'!A15</f>
        <v>Atenolol-0,1mg/L</v>
      </c>
      <c r="K4" s="35" t="str">
        <f>'Page de garde'!A16</f>
        <v>Atenolol-1mg/L</v>
      </c>
      <c r="L4" s="35" t="str">
        <f>'Page de garde'!A17</f>
        <v>Atenolol-10mg/L</v>
      </c>
      <c r="M4" s="35" t="str">
        <f>'Page de garde'!A18</f>
        <v>Atenolol-100mg/L</v>
      </c>
      <c r="N4" s="3"/>
      <c r="O4" s="36" t="str">
        <f>'Page de garde'!A35</f>
        <v>Testo -30µg/L</v>
      </c>
      <c r="P4" s="36" t="str">
        <f>'Page de garde'!A36</f>
        <v>Testo 30µg/L + EE2 -64ng/L</v>
      </c>
      <c r="Q4" s="36" t="str">
        <f>'Page de garde'!A37</f>
        <v>Testo 30µg/L + FAD-10mg/L</v>
      </c>
      <c r="R4" s="36" t="str">
        <f>'Page de garde'!A38</f>
        <v>Atenolol-0,01mg/L + Testostérone</v>
      </c>
      <c r="S4" s="36" t="str">
        <f>'Page de garde'!A39</f>
        <v>Atenolol-0,1mg/L + Testostérone</v>
      </c>
      <c r="T4" s="36" t="str">
        <f>'Page de garde'!A40</f>
        <v>Atenolol-1mg/L + Testostérone</v>
      </c>
      <c r="U4" s="36" t="str">
        <f>'Page de garde'!A41</f>
        <v>Atenolol-10mg/L + Testostérone</v>
      </c>
      <c r="V4" s="36" t="str">
        <f>'Page de garde'!A42</f>
        <v>Atenolol-100mg/L + Testostérone</v>
      </c>
    </row>
    <row r="5" spans="1:22" ht="16.5" x14ac:dyDescent="0.25">
      <c r="A5" s="220" t="s">
        <v>33</v>
      </c>
      <c r="B5" s="73">
        <v>500090.33333333331</v>
      </c>
      <c r="C5" s="13">
        <v>342185</v>
      </c>
      <c r="D5" s="32">
        <v>30476.5</v>
      </c>
      <c r="E5" s="32">
        <v>409324</v>
      </c>
      <c r="F5" s="32">
        <v>1809633</v>
      </c>
      <c r="G5" s="32">
        <v>2329719.6666666665</v>
      </c>
      <c r="H5" s="32">
        <v>7381454</v>
      </c>
      <c r="I5" s="32">
        <v>74356.333333333328</v>
      </c>
      <c r="J5" s="16">
        <v>264800.33333333331</v>
      </c>
      <c r="K5" s="13">
        <v>604714</v>
      </c>
      <c r="L5" s="13">
        <v>167264</v>
      </c>
      <c r="M5" s="13">
        <v>547171.33333333337</v>
      </c>
      <c r="N5" s="3"/>
      <c r="O5" s="32">
        <v>2837734</v>
      </c>
      <c r="P5" s="13">
        <v>1152722</v>
      </c>
      <c r="Q5" s="13">
        <v>305032</v>
      </c>
      <c r="R5" s="4">
        <v>3947650.5</v>
      </c>
      <c r="S5" s="32">
        <v>3361502</v>
      </c>
      <c r="T5" s="32">
        <v>1590705.5</v>
      </c>
      <c r="U5" s="32">
        <v>391104.66666666669</v>
      </c>
      <c r="V5" s="32">
        <v>3575984</v>
      </c>
    </row>
    <row r="6" spans="1:22" ht="16.5" x14ac:dyDescent="0.25">
      <c r="A6" s="221"/>
      <c r="B6" s="73">
        <v>439087</v>
      </c>
      <c r="C6" s="13">
        <v>657339.66666666663</v>
      </c>
      <c r="D6" s="32">
        <v>157347</v>
      </c>
      <c r="E6" s="32">
        <v>461762</v>
      </c>
      <c r="F6" s="32">
        <v>2158415</v>
      </c>
      <c r="G6" s="32">
        <v>4448173.666666667</v>
      </c>
      <c r="H6" s="32">
        <v>4850763.333333333</v>
      </c>
      <c r="I6" s="32">
        <v>478085.33333333331</v>
      </c>
      <c r="J6" s="16">
        <v>287836</v>
      </c>
      <c r="K6" s="13">
        <v>439635</v>
      </c>
      <c r="L6" s="13">
        <v>418661.33333333331</v>
      </c>
      <c r="M6" s="13">
        <v>906732.33333333337</v>
      </c>
      <c r="N6" s="3"/>
      <c r="O6" s="32">
        <v>1926975</v>
      </c>
      <c r="P6" s="13">
        <v>4963534.333333333</v>
      </c>
      <c r="Q6" s="13">
        <v>727658.66666666663</v>
      </c>
      <c r="R6" s="4">
        <v>3422920</v>
      </c>
      <c r="S6" s="32">
        <v>2753442.3333333335</v>
      </c>
      <c r="T6" s="32">
        <v>2082086.3333333333</v>
      </c>
      <c r="U6" s="32">
        <v>1650044</v>
      </c>
      <c r="V6" s="32">
        <v>1824244</v>
      </c>
    </row>
    <row r="7" spans="1:22" ht="16.5" x14ac:dyDescent="0.25">
      <c r="A7" s="221"/>
      <c r="B7" s="73">
        <v>792468.66666666663</v>
      </c>
      <c r="C7" s="13">
        <v>397168</v>
      </c>
      <c r="D7" s="32">
        <v>277735</v>
      </c>
      <c r="E7" s="32">
        <v>807977.66666666663</v>
      </c>
      <c r="F7" s="32">
        <v>7212856</v>
      </c>
      <c r="G7" s="32">
        <v>158057</v>
      </c>
      <c r="H7" s="32">
        <v>6364589.333333333</v>
      </c>
      <c r="I7" s="32">
        <v>95157.333333333328</v>
      </c>
      <c r="J7" s="16">
        <v>59309</v>
      </c>
      <c r="K7" s="13">
        <v>32437.666666666668</v>
      </c>
      <c r="L7" s="13">
        <v>281426.66666666669</v>
      </c>
      <c r="M7" s="13">
        <v>352993</v>
      </c>
      <c r="N7" s="3"/>
      <c r="O7" s="32">
        <v>2670419.6666666665</v>
      </c>
      <c r="P7" s="13">
        <v>4506249.333333333</v>
      </c>
      <c r="Q7" s="13">
        <v>480674</v>
      </c>
      <c r="R7" s="4">
        <v>2512334</v>
      </c>
      <c r="S7" s="32">
        <v>2989309.3333333335</v>
      </c>
      <c r="T7" s="32">
        <v>200833.33333333334</v>
      </c>
      <c r="U7" s="32">
        <v>93376.333333333328</v>
      </c>
      <c r="V7" s="32">
        <v>2751748</v>
      </c>
    </row>
    <row r="8" spans="1:22" ht="16.5" x14ac:dyDescent="0.25">
      <c r="A8" s="221"/>
      <c r="B8" s="73">
        <v>88617.5</v>
      </c>
      <c r="C8" s="13">
        <v>157783</v>
      </c>
      <c r="D8" s="32">
        <v>468078</v>
      </c>
      <c r="E8" s="32">
        <v>1761041.3333333333</v>
      </c>
      <c r="F8" s="32">
        <v>756311</v>
      </c>
      <c r="G8" s="32">
        <v>4216845</v>
      </c>
      <c r="H8" s="32">
        <v>8275612</v>
      </c>
      <c r="I8" s="32">
        <v>249342</v>
      </c>
      <c r="J8" s="16">
        <v>394356</v>
      </c>
      <c r="K8" s="13">
        <v>720297</v>
      </c>
      <c r="L8" s="13">
        <v>134040</v>
      </c>
      <c r="M8" s="13">
        <v>485987.66666666669</v>
      </c>
      <c r="N8" s="3"/>
      <c r="O8" s="32">
        <v>4350766.666666667</v>
      </c>
      <c r="P8" s="13">
        <v>5197973.666666667</v>
      </c>
      <c r="Q8" s="13">
        <v>426729</v>
      </c>
      <c r="R8" s="4">
        <v>1255464</v>
      </c>
      <c r="S8" s="32">
        <v>835728.66666666663</v>
      </c>
      <c r="T8" s="32">
        <v>2627671.6666666665</v>
      </c>
      <c r="U8" s="32">
        <v>3617607</v>
      </c>
      <c r="V8" s="32">
        <v>3330787.6666666665</v>
      </c>
    </row>
    <row r="9" spans="1:22" ht="16.5" x14ac:dyDescent="0.25">
      <c r="A9" s="221"/>
      <c r="B9" s="73">
        <v>487588</v>
      </c>
      <c r="C9" s="13">
        <v>25199</v>
      </c>
      <c r="D9" s="32">
        <v>105554</v>
      </c>
      <c r="E9" s="32">
        <v>773499</v>
      </c>
      <c r="F9" s="32">
        <v>1089836.6666666667</v>
      </c>
      <c r="G9" s="32">
        <v>5604471.333333333</v>
      </c>
      <c r="H9" s="32">
        <v>5290499</v>
      </c>
      <c r="I9" s="32">
        <v>652429.66666666663</v>
      </c>
      <c r="J9" s="16">
        <v>92778</v>
      </c>
      <c r="K9" s="13">
        <v>102893</v>
      </c>
      <c r="L9" s="13">
        <v>266725.33333333331</v>
      </c>
      <c r="M9" s="13">
        <v>249659.33333333334</v>
      </c>
      <c r="N9" s="3"/>
      <c r="O9" s="32">
        <v>4526235.666666667</v>
      </c>
      <c r="P9" s="13">
        <v>3911470.6666666665</v>
      </c>
      <c r="Q9" s="13">
        <v>618636.66666666663</v>
      </c>
      <c r="R9" s="4">
        <v>1889847</v>
      </c>
      <c r="S9" s="32">
        <v>3368762.3333333335</v>
      </c>
      <c r="T9" s="32">
        <v>2962416</v>
      </c>
      <c r="U9" s="32">
        <v>2967009</v>
      </c>
      <c r="V9" s="32">
        <v>3053589.5</v>
      </c>
    </row>
    <row r="10" spans="1:22" ht="16.5" x14ac:dyDescent="0.25">
      <c r="A10" s="221"/>
      <c r="B10" s="73">
        <v>467011</v>
      </c>
      <c r="C10" s="13">
        <v>142569.66666666666</v>
      </c>
      <c r="D10" s="32">
        <v>315883</v>
      </c>
      <c r="E10" s="32">
        <v>561158.66666666663</v>
      </c>
      <c r="F10" s="32">
        <v>534071</v>
      </c>
      <c r="G10" s="32">
        <v>3944730.6666666665</v>
      </c>
      <c r="H10" s="32">
        <v>5858031.333333333</v>
      </c>
      <c r="I10" s="32">
        <v>428445</v>
      </c>
      <c r="J10" s="16">
        <v>610957.66666666663</v>
      </c>
      <c r="K10" s="13">
        <v>395286.33333333331</v>
      </c>
      <c r="L10" s="13">
        <v>346568.66666666669</v>
      </c>
      <c r="M10" s="13">
        <v>463334</v>
      </c>
      <c r="N10" s="3"/>
      <c r="O10" s="32">
        <v>5207945.333333333</v>
      </c>
      <c r="P10" s="13"/>
      <c r="Q10" s="13">
        <v>390322.5</v>
      </c>
      <c r="R10" s="4">
        <v>3669382</v>
      </c>
      <c r="S10" s="32">
        <v>1456665.3333333333</v>
      </c>
      <c r="T10" s="32">
        <v>2448252</v>
      </c>
      <c r="U10" s="32">
        <v>3413002.6666666665</v>
      </c>
      <c r="V10" s="32">
        <v>3107848.5</v>
      </c>
    </row>
    <row r="11" spans="1:22" ht="16.5" x14ac:dyDescent="0.25">
      <c r="A11" s="221"/>
      <c r="B11" s="73">
        <v>195174</v>
      </c>
      <c r="C11" s="13">
        <v>273798.66666666669</v>
      </c>
      <c r="D11" s="32">
        <v>235701</v>
      </c>
      <c r="E11" s="32">
        <v>516641</v>
      </c>
      <c r="F11" s="32">
        <v>2361220.3333333335</v>
      </c>
      <c r="G11" s="32">
        <v>4626533.666666667</v>
      </c>
      <c r="H11" s="32">
        <v>5409146.666666667</v>
      </c>
      <c r="I11" s="32">
        <v>310793</v>
      </c>
      <c r="J11" s="16">
        <v>173709.66666666666</v>
      </c>
      <c r="K11" s="13">
        <v>405863.33333333331</v>
      </c>
      <c r="L11" s="13">
        <v>85272.333333333328</v>
      </c>
      <c r="M11" s="13">
        <v>174885</v>
      </c>
      <c r="N11" s="3"/>
      <c r="O11" s="32">
        <v>2769700.6666666665</v>
      </c>
      <c r="P11" s="13">
        <v>5255379.333333333</v>
      </c>
      <c r="Q11" s="13">
        <v>325212.66666666669</v>
      </c>
      <c r="R11" s="4">
        <v>2905651.6666666665</v>
      </c>
      <c r="S11" s="32">
        <v>1871624</v>
      </c>
      <c r="T11" s="32">
        <v>2218412.3333333335</v>
      </c>
      <c r="U11" s="32">
        <v>3590642</v>
      </c>
      <c r="V11" s="32">
        <v>1246732.6666666667</v>
      </c>
    </row>
    <row r="12" spans="1:22" ht="16.5" x14ac:dyDescent="0.25">
      <c r="A12" s="221"/>
      <c r="B12" s="73">
        <v>733657.33333333337</v>
      </c>
      <c r="C12" s="13">
        <v>477840.66666666669</v>
      </c>
      <c r="D12" s="32">
        <v>253668</v>
      </c>
      <c r="E12" s="32">
        <v>341118</v>
      </c>
      <c r="F12" s="32">
        <v>2292170.3333333335</v>
      </c>
      <c r="G12" s="32">
        <v>4547437</v>
      </c>
      <c r="H12" s="32">
        <v>6929612.666666667</v>
      </c>
      <c r="I12" s="32">
        <v>599660</v>
      </c>
      <c r="J12" s="16">
        <v>64377.666666666664</v>
      </c>
      <c r="K12" s="13">
        <v>582309</v>
      </c>
      <c r="L12" s="13">
        <v>54954.666666666664</v>
      </c>
      <c r="M12" s="13">
        <v>579032.33333333337</v>
      </c>
      <c r="N12" s="3"/>
      <c r="O12" s="32">
        <v>3326277.5</v>
      </c>
      <c r="P12" s="13">
        <v>3534822.3333333335</v>
      </c>
      <c r="Q12" s="13"/>
      <c r="R12" s="4">
        <v>4899510</v>
      </c>
      <c r="S12" s="32">
        <v>1925522</v>
      </c>
      <c r="T12" s="32">
        <v>2971053.6666666665</v>
      </c>
      <c r="U12" s="32"/>
      <c r="V12" s="32">
        <v>3555165</v>
      </c>
    </row>
    <row r="13" spans="1:22" ht="16.5" x14ac:dyDescent="0.25">
      <c r="A13" s="221"/>
      <c r="B13" s="14"/>
      <c r="C13" s="13"/>
      <c r="D13" s="16"/>
      <c r="E13" s="16"/>
      <c r="F13" s="16"/>
      <c r="G13" s="16"/>
      <c r="H13" s="16"/>
      <c r="I13" s="32"/>
      <c r="J13" s="16"/>
      <c r="K13" s="13"/>
      <c r="L13" s="13"/>
      <c r="M13" s="13"/>
      <c r="N13" s="3"/>
      <c r="O13" s="32">
        <v>1332675.3333333333</v>
      </c>
      <c r="P13" s="13"/>
      <c r="Q13" s="13"/>
      <c r="R13" s="4"/>
      <c r="S13" s="32"/>
      <c r="T13" s="32"/>
      <c r="U13" s="32"/>
      <c r="V13" s="32"/>
    </row>
    <row r="14" spans="1:22" ht="16.5" x14ac:dyDescent="0.25">
      <c r="A14" s="221"/>
      <c r="B14" s="14"/>
      <c r="C14" s="16"/>
      <c r="D14" s="16"/>
      <c r="E14" s="16"/>
      <c r="F14" s="16"/>
      <c r="G14" s="16"/>
      <c r="H14" s="16"/>
      <c r="I14" s="32"/>
      <c r="J14" s="16"/>
      <c r="K14" s="13"/>
      <c r="L14" s="13"/>
      <c r="M14" s="13"/>
      <c r="N14" s="3"/>
      <c r="O14" s="32">
        <v>3511534.3333333335</v>
      </c>
      <c r="P14" s="13"/>
      <c r="Q14" s="13"/>
      <c r="R14" s="4"/>
      <c r="S14" s="32"/>
      <c r="T14" s="32"/>
      <c r="U14" s="32"/>
      <c r="V14" s="32"/>
    </row>
    <row r="15" spans="1:22" ht="16.5" x14ac:dyDescent="0.25">
      <c r="A15" s="221"/>
      <c r="B15" s="14"/>
      <c r="C15" s="16"/>
      <c r="D15" s="16"/>
      <c r="E15" s="16"/>
      <c r="F15" s="16"/>
      <c r="G15" s="16"/>
      <c r="H15" s="16"/>
      <c r="I15" s="32"/>
      <c r="J15" s="16"/>
      <c r="K15" s="13"/>
      <c r="L15" s="13"/>
      <c r="M15" s="13"/>
      <c r="N15" s="3"/>
      <c r="O15" s="32">
        <v>2084613.5</v>
      </c>
      <c r="P15" s="13"/>
      <c r="Q15" s="13"/>
      <c r="R15" s="4"/>
      <c r="S15" s="32"/>
      <c r="T15" s="32"/>
      <c r="U15" s="32"/>
      <c r="V15" s="32"/>
    </row>
    <row r="16" spans="1:22" ht="16.5" x14ac:dyDescent="0.25">
      <c r="A16" s="221"/>
      <c r="B16" s="14"/>
      <c r="C16" s="16"/>
      <c r="D16" s="16"/>
      <c r="E16" s="16"/>
      <c r="F16" s="16"/>
      <c r="G16" s="16"/>
      <c r="H16" s="16"/>
      <c r="I16" s="32"/>
      <c r="J16" s="16"/>
      <c r="K16" s="13"/>
      <c r="L16" s="13"/>
      <c r="M16" s="13"/>
      <c r="N16" s="3"/>
      <c r="O16" s="32">
        <v>5375483</v>
      </c>
      <c r="P16" s="13"/>
      <c r="Q16" s="13"/>
      <c r="R16" s="4"/>
      <c r="S16" s="32"/>
      <c r="T16" s="32"/>
      <c r="U16" s="32"/>
      <c r="V16" s="32"/>
    </row>
    <row r="17" spans="1:22" s="1" customFormat="1" ht="16.5" x14ac:dyDescent="0.25">
      <c r="A17" s="221"/>
      <c r="B17" s="14"/>
      <c r="C17" s="32"/>
      <c r="D17" s="32"/>
      <c r="E17" s="32"/>
      <c r="F17" s="32"/>
      <c r="G17" s="32"/>
      <c r="H17" s="32"/>
      <c r="I17" s="32"/>
      <c r="J17" s="32"/>
      <c r="K17" s="13"/>
      <c r="L17" s="13"/>
      <c r="M17" s="13"/>
      <c r="N17" s="3"/>
      <c r="O17" s="32">
        <v>2904397.5</v>
      </c>
      <c r="P17" s="13"/>
      <c r="Q17" s="13"/>
      <c r="R17" s="32"/>
      <c r="S17" s="32"/>
      <c r="T17" s="32"/>
      <c r="U17" s="32"/>
      <c r="V17" s="32"/>
    </row>
    <row r="18" spans="1:22" s="1" customFormat="1" ht="16.5" x14ac:dyDescent="0.25">
      <c r="A18" s="221"/>
      <c r="B18" s="14"/>
      <c r="C18" s="32"/>
      <c r="D18" s="32"/>
      <c r="E18" s="32"/>
      <c r="F18" s="32"/>
      <c r="G18" s="32"/>
      <c r="H18" s="32"/>
      <c r="I18" s="32"/>
      <c r="J18" s="32"/>
      <c r="K18" s="13"/>
      <c r="L18" s="13"/>
      <c r="M18" s="13"/>
      <c r="N18" s="3"/>
      <c r="O18" s="32">
        <v>3308869.3333333335</v>
      </c>
      <c r="P18" s="13"/>
      <c r="Q18" s="13"/>
      <c r="R18" s="32"/>
      <c r="S18" s="32"/>
      <c r="T18" s="32"/>
      <c r="U18" s="32"/>
      <c r="V18" s="32"/>
    </row>
    <row r="19" spans="1:22" s="1" customFormat="1" ht="16.5" x14ac:dyDescent="0.25">
      <c r="A19" s="221"/>
      <c r="B19" s="14"/>
      <c r="C19" s="32"/>
      <c r="D19" s="32"/>
      <c r="E19" s="32"/>
      <c r="F19" s="32"/>
      <c r="G19" s="32"/>
      <c r="H19" s="32"/>
      <c r="I19" s="32"/>
      <c r="J19" s="32"/>
      <c r="K19" s="13"/>
      <c r="L19" s="13"/>
      <c r="M19" s="13"/>
      <c r="N19" s="3"/>
      <c r="O19" s="32">
        <v>1758921.3333333333</v>
      </c>
      <c r="P19" s="13"/>
      <c r="Q19" s="13"/>
      <c r="R19" s="32"/>
      <c r="S19" s="32"/>
      <c r="T19" s="32"/>
      <c r="U19" s="32"/>
      <c r="V19" s="32"/>
    </row>
    <row r="20" spans="1:22" ht="16.5" x14ac:dyDescent="0.25">
      <c r="A20" s="221"/>
      <c r="B20" s="14"/>
      <c r="C20" s="16"/>
      <c r="D20" s="16"/>
      <c r="E20" s="16"/>
      <c r="F20" s="16"/>
      <c r="G20" s="16"/>
      <c r="H20" s="16"/>
      <c r="I20" s="32"/>
      <c r="J20" s="16"/>
      <c r="K20" s="13"/>
      <c r="L20" s="13"/>
      <c r="M20" s="13"/>
      <c r="N20" s="3"/>
      <c r="O20" s="32">
        <v>3481040</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Atenolol-0,01mg/L</v>
      </c>
      <c r="J22" s="68" t="str">
        <f t="shared" si="0"/>
        <v>Atenolol-0,1mg/L</v>
      </c>
      <c r="K22" s="68" t="str">
        <f t="shared" si="0"/>
        <v>Atenolol-1mg/L</v>
      </c>
      <c r="L22" s="68" t="str">
        <f t="shared" si="0"/>
        <v>Atenolol-10mg/L</v>
      </c>
      <c r="M22" s="68" t="str">
        <f t="shared" si="0"/>
        <v>Atenolol-100mg/L</v>
      </c>
      <c r="N22" s="68" t="s">
        <v>47</v>
      </c>
      <c r="O22" s="68" t="str">
        <f t="shared" ref="O22:V22" si="1">O4</f>
        <v>Testo -30µg/L</v>
      </c>
      <c r="P22" s="68" t="str">
        <f t="shared" si="1"/>
        <v>Testo 30µg/L + EE2 -64ng/L</v>
      </c>
      <c r="Q22" s="68" t="str">
        <f t="shared" si="1"/>
        <v>Testo 30µg/L + FAD-10mg/L</v>
      </c>
      <c r="R22" s="68" t="str">
        <f t="shared" si="1"/>
        <v>Atenolol-0,01mg/L + Testostérone</v>
      </c>
      <c r="S22" s="68" t="str">
        <f t="shared" si="1"/>
        <v>Atenolol-0,1mg/L + Testostérone</v>
      </c>
      <c r="T22" s="68" t="str">
        <f t="shared" si="1"/>
        <v>Atenolol-1mg/L + Testostérone</v>
      </c>
      <c r="U22" s="68" t="str">
        <f t="shared" si="1"/>
        <v>Atenolol-10mg/L + Testostérone</v>
      </c>
      <c r="V22" s="68" t="str">
        <f t="shared" si="1"/>
        <v>Atenolol-100mg/L + Testostérone</v>
      </c>
    </row>
    <row r="23" spans="1:22" x14ac:dyDescent="0.25">
      <c r="A23" s="5" t="s">
        <v>0</v>
      </c>
      <c r="B23" s="5">
        <f t="shared" ref="B23:M23" si="2">AVERAGE(B5:B20)</f>
        <v>462961.72916666669</v>
      </c>
      <c r="C23" s="5">
        <f t="shared" si="2"/>
        <v>309235.45833333331</v>
      </c>
      <c r="D23" s="5">
        <f t="shared" si="2"/>
        <v>230555.3125</v>
      </c>
      <c r="E23" s="5">
        <f t="shared" si="2"/>
        <v>704065.20833333337</v>
      </c>
      <c r="F23" s="5">
        <f t="shared" si="2"/>
        <v>2276814.1666666665</v>
      </c>
      <c r="G23" s="5">
        <f t="shared" si="2"/>
        <v>3734496.0000000005</v>
      </c>
      <c r="H23" s="5">
        <f t="shared" si="2"/>
        <v>6294963.541666666</v>
      </c>
      <c r="I23" s="5">
        <f t="shared" si="2"/>
        <v>361033.58333333331</v>
      </c>
      <c r="J23" s="5">
        <f t="shared" si="2"/>
        <v>243515.54166666669</v>
      </c>
      <c r="K23" s="5">
        <f t="shared" si="2"/>
        <v>410429.41666666669</v>
      </c>
      <c r="L23" s="5">
        <f t="shared" si="2"/>
        <v>219364.125</v>
      </c>
      <c r="M23" s="5">
        <f t="shared" si="2"/>
        <v>469974.37500000006</v>
      </c>
      <c r="N23" s="5" t="s">
        <v>0</v>
      </c>
      <c r="O23" s="5">
        <f t="shared" ref="O23:V23" si="3">AVERAGE(O5:O20)</f>
        <v>3210849.3020833335</v>
      </c>
      <c r="P23" s="5">
        <f t="shared" si="3"/>
        <v>4074593.0952380947</v>
      </c>
      <c r="Q23" s="5">
        <f t="shared" si="3"/>
        <v>467752.2142857142</v>
      </c>
      <c r="R23" s="5">
        <f t="shared" si="3"/>
        <v>3062844.8958333335</v>
      </c>
      <c r="S23" s="5">
        <f t="shared" si="3"/>
        <v>2320319.5</v>
      </c>
      <c r="T23" s="5">
        <f t="shared" si="3"/>
        <v>2137678.8541666665</v>
      </c>
      <c r="U23" s="5">
        <f t="shared" si="3"/>
        <v>2246112.2380952379</v>
      </c>
      <c r="V23" s="5">
        <f t="shared" si="3"/>
        <v>2805762.4166666665</v>
      </c>
    </row>
    <row r="24" spans="1:22" x14ac:dyDescent="0.25">
      <c r="A24" s="3" t="s">
        <v>1</v>
      </c>
      <c r="B24" s="3">
        <f t="shared" ref="B24:M24" si="4">STDEV(B5:B20)</f>
        <v>237927.41616119471</v>
      </c>
      <c r="C24" s="3">
        <f t="shared" si="4"/>
        <v>203915.20276462397</v>
      </c>
      <c r="D24" s="3">
        <f t="shared" si="4"/>
        <v>134960.7112270979</v>
      </c>
      <c r="E24" s="3">
        <f t="shared" si="4"/>
        <v>457583.93351196643</v>
      </c>
      <c r="F24" s="3">
        <f t="shared" si="4"/>
        <v>2116673.4348538215</v>
      </c>
      <c r="G24" s="3">
        <f t="shared" si="4"/>
        <v>1711470.523417586</v>
      </c>
      <c r="H24" s="3">
        <f t="shared" si="4"/>
        <v>1169939.048608066</v>
      </c>
      <c r="I24" s="3">
        <f t="shared" si="4"/>
        <v>216456.13457665066</v>
      </c>
      <c r="J24" s="3">
        <f t="shared" si="4"/>
        <v>190413.45967672952</v>
      </c>
      <c r="K24" s="3">
        <f t="shared" si="4"/>
        <v>239602.81077549118</v>
      </c>
      <c r="L24" s="3">
        <f t="shared" si="4"/>
        <v>129284.25145329683</v>
      </c>
      <c r="M24" s="3">
        <f t="shared" si="4"/>
        <v>226214.8605162685</v>
      </c>
      <c r="N24" s="3" t="s">
        <v>1</v>
      </c>
      <c r="O24" s="3">
        <f t="shared" ref="O24:V24" si="5">STDEV(O5:O20)</f>
        <v>1187776.8370881972</v>
      </c>
      <c r="P24" s="3">
        <f t="shared" si="5"/>
        <v>1442687.0635674531</v>
      </c>
      <c r="Q24" s="3">
        <f t="shared" si="5"/>
        <v>155433.86055539784</v>
      </c>
      <c r="R24" s="3">
        <f t="shared" si="5"/>
        <v>1172548.0633085007</v>
      </c>
      <c r="S24" s="3">
        <f t="shared" si="5"/>
        <v>935455.37716564932</v>
      </c>
      <c r="T24" s="3">
        <f t="shared" si="5"/>
        <v>908012.93397117895</v>
      </c>
      <c r="U24" s="3">
        <f t="shared" si="5"/>
        <v>1527563.7404251804</v>
      </c>
      <c r="V24" s="3">
        <f t="shared" si="5"/>
        <v>843465.72614783642</v>
      </c>
    </row>
    <row r="25" spans="1:22" ht="15.75" thickBot="1" x14ac:dyDescent="0.3"/>
    <row r="26" spans="1:22" ht="15.75" thickBot="1" x14ac:dyDescent="0.3">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Atenolol-0,01mg/L</v>
      </c>
      <c r="J27" s="35" t="str">
        <f t="shared" si="6"/>
        <v>Atenolol-0,1mg/L</v>
      </c>
      <c r="K27" s="35" t="str">
        <f t="shared" si="6"/>
        <v>Atenolol-1mg/L</v>
      </c>
      <c r="L27" s="35" t="str">
        <f t="shared" si="6"/>
        <v>Atenolol-10mg/L</v>
      </c>
      <c r="M27" s="35" t="str">
        <f t="shared" si="6"/>
        <v>Atenolol-100mg/L</v>
      </c>
      <c r="N27" s="3"/>
      <c r="O27" s="36" t="str">
        <f t="shared" ref="O27:V27" si="7">O4</f>
        <v>Testo -30µg/L</v>
      </c>
      <c r="P27" s="36" t="str">
        <f t="shared" si="7"/>
        <v>Testo 30µg/L + EE2 -64ng/L</v>
      </c>
      <c r="Q27" s="36" t="str">
        <f t="shared" si="7"/>
        <v>Testo 30µg/L + FAD-10mg/L</v>
      </c>
      <c r="R27" s="36" t="str">
        <f t="shared" si="7"/>
        <v>Atenolol-0,01mg/L + Testostérone</v>
      </c>
      <c r="S27" s="36" t="str">
        <f t="shared" si="7"/>
        <v>Atenolol-0,1mg/L + Testostérone</v>
      </c>
      <c r="T27" s="36" t="str">
        <f t="shared" si="7"/>
        <v>Atenolol-1mg/L + Testostérone</v>
      </c>
      <c r="U27" s="36" t="str">
        <f t="shared" si="7"/>
        <v>Atenolol-10mg/L + Testostérone</v>
      </c>
      <c r="V27" s="36" t="str">
        <f t="shared" si="7"/>
        <v>Atenolol-100mg/L + Testostérone</v>
      </c>
    </row>
    <row r="28" spans="1:22" x14ac:dyDescent="0.25">
      <c r="A28" s="222" t="s">
        <v>34</v>
      </c>
      <c r="B28" s="11">
        <f t="shared" ref="B28:M28" si="8">IF(B5="","",(B5/$O$23))</f>
        <v>0.15575017270628483</v>
      </c>
      <c r="C28" s="11">
        <f t="shared" si="8"/>
        <v>0.10657149177881878</v>
      </c>
      <c r="D28" s="11">
        <f t="shared" si="8"/>
        <v>9.4917254385702785E-3</v>
      </c>
      <c r="E28" s="11">
        <f t="shared" si="8"/>
        <v>0.12748153572153431</v>
      </c>
      <c r="F28" s="11">
        <f t="shared" si="8"/>
        <v>0.56359948093043</v>
      </c>
      <c r="G28" s="11">
        <f t="shared" si="8"/>
        <v>0.72557739323207937</v>
      </c>
      <c r="H28" s="11">
        <f t="shared" si="8"/>
        <v>2.2989101342160789</v>
      </c>
      <c r="I28" s="11">
        <f t="shared" si="8"/>
        <v>2.3157839667245619E-2</v>
      </c>
      <c r="J28" s="11">
        <f t="shared" si="8"/>
        <v>8.2470495629153248E-2</v>
      </c>
      <c r="K28" s="11">
        <f t="shared" si="8"/>
        <v>0.18833459409248396</v>
      </c>
      <c r="L28" s="11">
        <f t="shared" si="8"/>
        <v>5.2093382237363837E-2</v>
      </c>
      <c r="M28" s="11">
        <f t="shared" si="8"/>
        <v>0.17041327133550169</v>
      </c>
      <c r="N28" s="6"/>
      <c r="O28" s="11">
        <f t="shared" ref="O28:V37" si="9">IF(O5="","",(O5/$O$23))</f>
        <v>0.88379544881124106</v>
      </c>
      <c r="P28" s="11">
        <f t="shared" si="9"/>
        <v>0.35900844030645279</v>
      </c>
      <c r="Q28" s="11">
        <f t="shared" si="9"/>
        <v>9.500040995448851E-2</v>
      </c>
      <c r="R28" s="11">
        <f t="shared" si="9"/>
        <v>1.2294723696433212</v>
      </c>
      <c r="S28" s="11">
        <f t="shared" si="9"/>
        <v>1.0469198905781461</v>
      </c>
      <c r="T28" s="11">
        <f t="shared" si="9"/>
        <v>0.4954158075771054</v>
      </c>
      <c r="U28" s="11">
        <f t="shared" si="9"/>
        <v>0.12180723225250764</v>
      </c>
      <c r="V28" s="11">
        <f t="shared" si="9"/>
        <v>1.113719039283392</v>
      </c>
    </row>
    <row r="29" spans="1:22" x14ac:dyDescent="0.25">
      <c r="A29" s="223"/>
      <c r="B29" s="11">
        <f t="shared" ref="B29:M29" si="10">IF(B6="","",(B6/$O$23))</f>
        <v>0.13675104581055922</v>
      </c>
      <c r="C29" s="11">
        <f t="shared" si="10"/>
        <v>0.20472454631868184</v>
      </c>
      <c r="D29" s="11">
        <f t="shared" si="10"/>
        <v>4.9004791317333603E-2</v>
      </c>
      <c r="E29" s="11">
        <f t="shared" si="10"/>
        <v>0.14381304027578917</v>
      </c>
      <c r="F29" s="11">
        <f t="shared" si="10"/>
        <v>0.67222556929081967</v>
      </c>
      <c r="G29" s="11">
        <f t="shared" si="10"/>
        <v>1.3853573457279684</v>
      </c>
      <c r="H29" s="11">
        <f t="shared" si="10"/>
        <v>1.5107415132145736</v>
      </c>
      <c r="I29" s="11">
        <f t="shared" si="10"/>
        <v>0.14889684577321383</v>
      </c>
      <c r="J29" s="11">
        <f t="shared" si="10"/>
        <v>8.9644817591794157E-2</v>
      </c>
      <c r="K29" s="11">
        <f t="shared" si="10"/>
        <v>0.13692171716522056</v>
      </c>
      <c r="L29" s="11">
        <f t="shared" si="10"/>
        <v>0.13038959289110463</v>
      </c>
      <c r="M29" s="11">
        <f t="shared" si="10"/>
        <v>0.28239641541102767</v>
      </c>
      <c r="N29" s="6"/>
      <c r="O29" s="11">
        <f t="shared" si="9"/>
        <v>0.60014495191340744</v>
      </c>
      <c r="P29" s="11">
        <f t="shared" si="9"/>
        <v>1.5458633733177025</v>
      </c>
      <c r="Q29" s="11">
        <f t="shared" si="9"/>
        <v>0.22662498242895773</v>
      </c>
      <c r="R29" s="11">
        <f t="shared" si="9"/>
        <v>1.0660481629514864</v>
      </c>
      <c r="S29" s="11">
        <f t="shared" si="9"/>
        <v>0.85754330841587145</v>
      </c>
      <c r="T29" s="11">
        <f t="shared" si="9"/>
        <v>0.64845345808736288</v>
      </c>
      <c r="U29" s="11">
        <f t="shared" si="9"/>
        <v>0.51389643199055846</v>
      </c>
      <c r="V29" s="11">
        <f t="shared" si="9"/>
        <v>0.56814999035188418</v>
      </c>
    </row>
    <row r="30" spans="1:22" x14ac:dyDescent="0.25">
      <c r="A30" s="223"/>
      <c r="B30" s="11">
        <f t="shared" ref="B30:M30" si="11">IF(B7="","",(B7/$O$23))</f>
        <v>0.24680967311436253</v>
      </c>
      <c r="C30" s="11">
        <f t="shared" si="11"/>
        <v>0.12369562151119978</v>
      </c>
      <c r="D30" s="11">
        <f t="shared" si="11"/>
        <v>8.6498920961439671E-2</v>
      </c>
      <c r="E30" s="11">
        <f t="shared" si="11"/>
        <v>0.25163985931772531</v>
      </c>
      <c r="F30" s="11">
        <f t="shared" si="11"/>
        <v>2.2464012855788646</v>
      </c>
      <c r="G30" s="11">
        <f t="shared" si="11"/>
        <v>4.9225916612606516E-2</v>
      </c>
      <c r="H30" s="11">
        <f t="shared" si="11"/>
        <v>1.9822136558086738</v>
      </c>
      <c r="I30" s="11">
        <f t="shared" si="11"/>
        <v>2.9636187930586238E-2</v>
      </c>
      <c r="J30" s="11">
        <f t="shared" si="11"/>
        <v>1.8471436813156519E-2</v>
      </c>
      <c r="K30" s="11">
        <f t="shared" si="11"/>
        <v>1.0102519182578812E-2</v>
      </c>
      <c r="L30" s="11">
        <f t="shared" si="11"/>
        <v>8.7648668682166198E-2</v>
      </c>
      <c r="M30" s="11">
        <f t="shared" si="11"/>
        <v>0.10993757937221263</v>
      </c>
      <c r="N30" s="6"/>
      <c r="O30" s="11">
        <f t="shared" si="9"/>
        <v>0.83168639055529214</v>
      </c>
      <c r="P30" s="11">
        <f t="shared" si="9"/>
        <v>1.4034446681784443</v>
      </c>
      <c r="Q30" s="11">
        <f t="shared" si="9"/>
        <v>0.14970307067607272</v>
      </c>
      <c r="R30" s="11">
        <f t="shared" si="9"/>
        <v>0.78245154587912069</v>
      </c>
      <c r="S30" s="11">
        <f t="shared" si="9"/>
        <v>0.93100268872592196</v>
      </c>
      <c r="T30" s="11">
        <f t="shared" si="9"/>
        <v>6.2548352301375301E-2</v>
      </c>
      <c r="U30" s="11">
        <f t="shared" si="9"/>
        <v>2.9081506027936861E-2</v>
      </c>
      <c r="V30" s="11">
        <f t="shared" si="9"/>
        <v>0.8570156183333022</v>
      </c>
    </row>
    <row r="31" spans="1:22" x14ac:dyDescent="0.25">
      <c r="A31" s="223"/>
      <c r="B31" s="11">
        <f t="shared" ref="B31:M31" si="12">IF(B8="","",(B8/$O$23))</f>
        <v>2.7599395568798965E-2</v>
      </c>
      <c r="C31" s="11">
        <f t="shared" si="12"/>
        <v>4.9140580935275839E-2</v>
      </c>
      <c r="D31" s="11">
        <f t="shared" si="12"/>
        <v>0.14578012107148455</v>
      </c>
      <c r="E31" s="11">
        <f t="shared" si="12"/>
        <v>0.5484658941142756</v>
      </c>
      <c r="F31" s="11">
        <f t="shared" si="12"/>
        <v>0.23554858196218481</v>
      </c>
      <c r="G31" s="11">
        <f t="shared" si="12"/>
        <v>1.31331140245789</v>
      </c>
      <c r="H31" s="11">
        <f t="shared" si="12"/>
        <v>2.5773903479775386</v>
      </c>
      <c r="I31" s="11">
        <f t="shared" si="12"/>
        <v>7.765608925906814E-2</v>
      </c>
      <c r="J31" s="11">
        <f t="shared" si="12"/>
        <v>0.12281984076428791</v>
      </c>
      <c r="K31" s="11">
        <f t="shared" si="12"/>
        <v>0.22433223494252474</v>
      </c>
      <c r="L31" s="11">
        <f t="shared" si="12"/>
        <v>4.1745964194902958E-2</v>
      </c>
      <c r="M31" s="11">
        <f t="shared" si="12"/>
        <v>0.15135798069107059</v>
      </c>
      <c r="N31" s="6"/>
      <c r="O31" s="11">
        <f t="shared" si="9"/>
        <v>1.3550205124369141</v>
      </c>
      <c r="P31" s="11">
        <f t="shared" si="9"/>
        <v>1.6188781152992773</v>
      </c>
      <c r="Q31" s="11">
        <f t="shared" si="9"/>
        <v>0.13290221989649914</v>
      </c>
      <c r="R31" s="11">
        <f t="shared" si="9"/>
        <v>0.39100682775283235</v>
      </c>
      <c r="S31" s="11">
        <f t="shared" si="9"/>
        <v>0.2602827439221177</v>
      </c>
      <c r="T31" s="11">
        <f t="shared" si="9"/>
        <v>0.81837277911539574</v>
      </c>
      <c r="U31" s="11">
        <f t="shared" si="9"/>
        <v>1.126682276135708</v>
      </c>
      <c r="V31" s="11">
        <f t="shared" si="9"/>
        <v>1.0373540933563938</v>
      </c>
    </row>
    <row r="32" spans="1:22" x14ac:dyDescent="0.25">
      <c r="A32" s="223"/>
      <c r="B32" s="11">
        <f t="shared" ref="B32:M32" si="13">IF(B9="","",(B9/$O$23))</f>
        <v>0.15185639503032189</v>
      </c>
      <c r="C32" s="11">
        <f t="shared" si="13"/>
        <v>7.8480793177212755E-3</v>
      </c>
      <c r="D32" s="11">
        <f t="shared" si="13"/>
        <v>3.2874168193291461E-2</v>
      </c>
      <c r="E32" s="11">
        <f t="shared" si="13"/>
        <v>0.24090168277225638</v>
      </c>
      <c r="F32" s="11">
        <f t="shared" si="13"/>
        <v>0.33942317565621505</v>
      </c>
      <c r="G32" s="11">
        <f t="shared" si="13"/>
        <v>1.7454794062421171</v>
      </c>
      <c r="H32" s="11">
        <f t="shared" si="13"/>
        <v>1.6476945824169644</v>
      </c>
      <c r="I32" s="11">
        <f t="shared" si="13"/>
        <v>0.20319535589644239</v>
      </c>
      <c r="J32" s="11">
        <f t="shared" si="13"/>
        <v>2.8895158654690441E-2</v>
      </c>
      <c r="K32" s="11">
        <f t="shared" si="13"/>
        <v>3.2045415502134814E-2</v>
      </c>
      <c r="L32" s="11">
        <f t="shared" si="13"/>
        <v>8.3070025479012904E-2</v>
      </c>
      <c r="M32" s="11">
        <f t="shared" si="13"/>
        <v>7.7754920846438952E-2</v>
      </c>
      <c r="N32" s="6"/>
      <c r="O32" s="11">
        <f t="shared" si="9"/>
        <v>1.4096692933330306</v>
      </c>
      <c r="P32" s="11">
        <f t="shared" si="9"/>
        <v>1.2182043748140845</v>
      </c>
      <c r="Q32" s="11">
        <f t="shared" si="9"/>
        <v>0.19267072617368533</v>
      </c>
      <c r="R32" s="11">
        <f t="shared" si="9"/>
        <v>0.58858165619102343</v>
      </c>
      <c r="S32" s="11">
        <f t="shared" si="9"/>
        <v>1.0491810783980238</v>
      </c>
      <c r="T32" s="11">
        <f t="shared" si="9"/>
        <v>0.92262691932563157</v>
      </c>
      <c r="U32" s="11">
        <f t="shared" si="9"/>
        <v>0.92405738197519272</v>
      </c>
      <c r="V32" s="11">
        <f t="shared" si="9"/>
        <v>0.95102236595741296</v>
      </c>
    </row>
    <row r="33" spans="1:22" x14ac:dyDescent="0.25">
      <c r="A33" s="223"/>
      <c r="B33" s="11">
        <f t="shared" ref="B33:M33" si="14">IF(B10="","",(B10/$O$23))</f>
        <v>0.14544781024041947</v>
      </c>
      <c r="C33" s="11">
        <f t="shared" si="14"/>
        <v>4.4402478364263774E-2</v>
      </c>
      <c r="D33" s="11">
        <f t="shared" si="14"/>
        <v>9.837988964322987E-2</v>
      </c>
      <c r="E33" s="11">
        <f t="shared" si="14"/>
        <v>0.17476954346707066</v>
      </c>
      <c r="F33" s="11">
        <f t="shared" si="14"/>
        <v>0.16633325010098493</v>
      </c>
      <c r="G33" s="11">
        <f t="shared" si="14"/>
        <v>1.2285630048433478</v>
      </c>
      <c r="H33" s="11">
        <f t="shared" si="14"/>
        <v>1.824449166621553</v>
      </c>
      <c r="I33" s="11">
        <f t="shared" si="14"/>
        <v>0.13343665793408832</v>
      </c>
      <c r="J33" s="11">
        <f t="shared" si="14"/>
        <v>0.19027914709988156</v>
      </c>
      <c r="K33" s="11">
        <f t="shared" si="14"/>
        <v>0.12310958757138026</v>
      </c>
      <c r="L33" s="11">
        <f t="shared" si="14"/>
        <v>0.10793675880141694</v>
      </c>
      <c r="M33" s="11">
        <f t="shared" si="14"/>
        <v>0.14430263036616808</v>
      </c>
      <c r="N33" s="6"/>
      <c r="O33" s="11">
        <f t="shared" si="9"/>
        <v>1.6219837318288965</v>
      </c>
      <c r="P33" s="11" t="str">
        <f t="shared" si="9"/>
        <v/>
      </c>
      <c r="Q33" s="11">
        <f t="shared" si="9"/>
        <v>0.12156363107628328</v>
      </c>
      <c r="R33" s="11">
        <f t="shared" si="9"/>
        <v>1.1428072932663489</v>
      </c>
      <c r="S33" s="11">
        <f t="shared" si="9"/>
        <v>0.45366979147485614</v>
      </c>
      <c r="T33" s="11">
        <f t="shared" si="9"/>
        <v>0.76249358648239007</v>
      </c>
      <c r="U33" s="11">
        <f t="shared" si="9"/>
        <v>1.0629594682167636</v>
      </c>
      <c r="V33" s="11">
        <f t="shared" si="9"/>
        <v>0.96792101017743115</v>
      </c>
    </row>
    <row r="34" spans="1:22" x14ac:dyDescent="0.25">
      <c r="A34" s="223"/>
      <c r="B34" s="11">
        <f t="shared" ref="B34:M34" si="15">IF(B11="","",(B11/$O$23))</f>
        <v>6.0785786450134216E-2</v>
      </c>
      <c r="C34" s="11">
        <f t="shared" si="15"/>
        <v>8.5272973256332721E-2</v>
      </c>
      <c r="D34" s="11">
        <f t="shared" si="15"/>
        <v>7.3407680593127592E-2</v>
      </c>
      <c r="E34" s="11">
        <f t="shared" si="15"/>
        <v>0.16090477982407386</v>
      </c>
      <c r="F34" s="11">
        <f t="shared" si="15"/>
        <v>0.73538808931371358</v>
      </c>
      <c r="G34" s="11">
        <f t="shared" si="15"/>
        <v>1.4409065114531467</v>
      </c>
      <c r="H34" s="11">
        <f t="shared" si="15"/>
        <v>1.6846466955509205</v>
      </c>
      <c r="I34" s="11">
        <f t="shared" si="15"/>
        <v>9.6794639286977582E-2</v>
      </c>
      <c r="J34" s="11">
        <f t="shared" si="15"/>
        <v>5.4100846948486978E-2</v>
      </c>
      <c r="K34" s="11">
        <f t="shared" si="15"/>
        <v>0.12640373158279095</v>
      </c>
      <c r="L34" s="11">
        <f t="shared" si="15"/>
        <v>2.6557563221047176E-2</v>
      </c>
      <c r="M34" s="11">
        <f t="shared" si="15"/>
        <v>5.4466897554652373E-2</v>
      </c>
      <c r="N34" s="6"/>
      <c r="O34" s="11">
        <f t="shared" si="9"/>
        <v>0.86260687004823577</v>
      </c>
      <c r="P34" s="11">
        <f t="shared" si="9"/>
        <v>1.636756770217594</v>
      </c>
      <c r="Q34" s="11">
        <f t="shared" si="9"/>
        <v>0.10128555907487004</v>
      </c>
      <c r="R34" s="11">
        <f t="shared" si="9"/>
        <v>0.90494800387590846</v>
      </c>
      <c r="S34" s="11">
        <f t="shared" si="9"/>
        <v>0.58290621076037796</v>
      </c>
      <c r="T34" s="11">
        <f t="shared" si="9"/>
        <v>0.69091138344422909</v>
      </c>
      <c r="U34" s="11">
        <f t="shared" si="9"/>
        <v>1.1182841865765052</v>
      </c>
      <c r="V34" s="11">
        <f t="shared" si="9"/>
        <v>0.38828750569443865</v>
      </c>
    </row>
    <row r="35" spans="1:22" x14ac:dyDescent="0.25">
      <c r="A35" s="223"/>
      <c r="B35" s="11">
        <f t="shared" ref="B35:M35" si="16">IF(B12="","",(B12/$O$23))</f>
        <v>0.2284932316372823</v>
      </c>
      <c r="C35" s="11">
        <f t="shared" si="16"/>
        <v>0.14882064578883339</v>
      </c>
      <c r="D35" s="11">
        <f t="shared" si="16"/>
        <v>7.9003396339843657E-2</v>
      </c>
      <c r="E35" s="11">
        <f t="shared" si="16"/>
        <v>0.10623918094775371</v>
      </c>
      <c r="F35" s="11">
        <f t="shared" si="16"/>
        <v>0.71388287573822828</v>
      </c>
      <c r="G35" s="11">
        <f t="shared" si="16"/>
        <v>1.4162723230422034</v>
      </c>
      <c r="H35" s="11">
        <f t="shared" si="16"/>
        <v>2.1581868268219391</v>
      </c>
      <c r="I35" s="11">
        <f t="shared" si="16"/>
        <v>0.18676055572303424</v>
      </c>
      <c r="J35" s="11">
        <f t="shared" si="16"/>
        <v>2.0050043029081352E-2</v>
      </c>
      <c r="K35" s="11">
        <f t="shared" si="16"/>
        <v>0.18135668952827327</v>
      </c>
      <c r="L35" s="11">
        <f t="shared" si="16"/>
        <v>1.7115305483508609E-2</v>
      </c>
      <c r="M35" s="11">
        <f t="shared" si="16"/>
        <v>0.18033619109985416</v>
      </c>
      <c r="N35" s="6"/>
      <c r="O35" s="11">
        <f t="shared" si="9"/>
        <v>1.0359494286579478</v>
      </c>
      <c r="P35" s="11">
        <f t="shared" si="9"/>
        <v>1.100899481965657</v>
      </c>
      <c r="Q35" s="11" t="str">
        <f t="shared" si="9"/>
        <v/>
      </c>
      <c r="R35" s="11">
        <f t="shared" si="9"/>
        <v>1.5259233738627946</v>
      </c>
      <c r="S35" s="11">
        <f t="shared" si="9"/>
        <v>0.59969242366829256</v>
      </c>
      <c r="T35" s="11">
        <f t="shared" si="9"/>
        <v>0.92531706945540004</v>
      </c>
      <c r="U35" s="11" t="str">
        <f t="shared" si="9"/>
        <v/>
      </c>
      <c r="V35" s="11">
        <f t="shared" si="9"/>
        <v>1.1072350850266501</v>
      </c>
    </row>
    <row r="36" spans="1:22" s="1" customFormat="1" x14ac:dyDescent="0.25">
      <c r="A36" s="223"/>
      <c r="B36" s="11" t="str">
        <f t="shared" ref="B36:M36" si="17">IF(B13="","",(B13/$O$23))</f>
        <v/>
      </c>
      <c r="C36" s="11" t="str">
        <f t="shared" si="17"/>
        <v/>
      </c>
      <c r="D36" s="11" t="str">
        <f t="shared" si="17"/>
        <v/>
      </c>
      <c r="E36" s="11" t="str">
        <f t="shared" si="17"/>
        <v/>
      </c>
      <c r="F36" s="11" t="str">
        <f t="shared" si="17"/>
        <v/>
      </c>
      <c r="G36" s="11" t="str">
        <f t="shared" si="17"/>
        <v/>
      </c>
      <c r="H36" s="11" t="str">
        <f t="shared" si="17"/>
        <v/>
      </c>
      <c r="I36" s="11" t="str">
        <f t="shared" si="17"/>
        <v/>
      </c>
      <c r="J36" s="11" t="str">
        <f t="shared" si="17"/>
        <v/>
      </c>
      <c r="K36" s="11" t="str">
        <f t="shared" si="17"/>
        <v/>
      </c>
      <c r="L36" s="11" t="str">
        <f t="shared" si="17"/>
        <v/>
      </c>
      <c r="M36" s="11" t="str">
        <f t="shared" si="17"/>
        <v/>
      </c>
      <c r="N36" s="6"/>
      <c r="O36" s="11">
        <f t="shared" si="9"/>
        <v>0.41505384026233733</v>
      </c>
      <c r="P36" s="11" t="str">
        <f t="shared" si="9"/>
        <v/>
      </c>
      <c r="Q36" s="11" t="str">
        <f t="shared" si="9"/>
        <v/>
      </c>
      <c r="R36" s="11" t="str">
        <f t="shared" si="9"/>
        <v/>
      </c>
      <c r="S36" s="11" t="str">
        <f t="shared" si="9"/>
        <v/>
      </c>
      <c r="T36" s="11" t="str">
        <f t="shared" si="9"/>
        <v/>
      </c>
      <c r="U36" s="11" t="str">
        <f t="shared" si="9"/>
        <v/>
      </c>
      <c r="V36" s="11" t="str">
        <f t="shared" si="9"/>
        <v/>
      </c>
    </row>
    <row r="37" spans="1:22" s="1" customFormat="1" x14ac:dyDescent="0.25">
      <c r="A37" s="223"/>
      <c r="B37" s="11" t="str">
        <f t="shared" ref="B37:M37" si="18">IF(B14="","",(B14/$O$23))</f>
        <v/>
      </c>
      <c r="C37" s="11" t="str">
        <f t="shared" si="18"/>
        <v/>
      </c>
      <c r="D37" s="11" t="str">
        <f t="shared" si="18"/>
        <v/>
      </c>
      <c r="E37" s="11" t="str">
        <f t="shared" si="18"/>
        <v/>
      </c>
      <c r="F37" s="11" t="str">
        <f t="shared" si="18"/>
        <v/>
      </c>
      <c r="G37" s="11" t="str">
        <f t="shared" si="18"/>
        <v/>
      </c>
      <c r="H37" s="11" t="str">
        <f t="shared" si="18"/>
        <v/>
      </c>
      <c r="I37" s="11" t="str">
        <f t="shared" si="18"/>
        <v/>
      </c>
      <c r="J37" s="11" t="str">
        <f t="shared" si="18"/>
        <v/>
      </c>
      <c r="K37" s="11" t="str">
        <f t="shared" si="18"/>
        <v/>
      </c>
      <c r="L37" s="11" t="str">
        <f t="shared" si="18"/>
        <v/>
      </c>
      <c r="M37" s="11" t="str">
        <f t="shared" si="18"/>
        <v/>
      </c>
      <c r="N37" s="6"/>
      <c r="O37" s="11">
        <f t="shared" si="9"/>
        <v>1.0936465722807056</v>
      </c>
      <c r="P37" s="11" t="str">
        <f t="shared" si="9"/>
        <v/>
      </c>
      <c r="Q37" s="11" t="str">
        <f t="shared" si="9"/>
        <v/>
      </c>
      <c r="R37" s="11" t="str">
        <f t="shared" si="9"/>
        <v/>
      </c>
      <c r="S37" s="11" t="str">
        <f t="shared" si="9"/>
        <v/>
      </c>
      <c r="T37" s="11" t="str">
        <f t="shared" si="9"/>
        <v/>
      </c>
      <c r="U37" s="11" t="str">
        <f t="shared" si="9"/>
        <v/>
      </c>
      <c r="V37" s="11" t="str">
        <f t="shared" si="9"/>
        <v/>
      </c>
    </row>
    <row r="38" spans="1:22" s="1" customFormat="1" x14ac:dyDescent="0.25">
      <c r="A38" s="223"/>
      <c r="B38" s="11" t="str">
        <f t="shared" ref="B38:M38" si="19">IF(B15="","",(B15/$O$23))</f>
        <v/>
      </c>
      <c r="C38" s="11" t="str">
        <f t="shared" si="19"/>
        <v/>
      </c>
      <c r="D38" s="11" t="str">
        <f t="shared" si="19"/>
        <v/>
      </c>
      <c r="E38" s="11" t="str">
        <f t="shared" si="19"/>
        <v/>
      </c>
      <c r="F38" s="11" t="str">
        <f t="shared" si="19"/>
        <v/>
      </c>
      <c r="G38" s="11" t="str">
        <f t="shared" si="19"/>
        <v/>
      </c>
      <c r="H38" s="11" t="str">
        <f t="shared" si="19"/>
        <v/>
      </c>
      <c r="I38" s="11" t="str">
        <f t="shared" si="19"/>
        <v/>
      </c>
      <c r="J38" s="11" t="str">
        <f t="shared" si="19"/>
        <v/>
      </c>
      <c r="K38" s="11" t="str">
        <f t="shared" si="19"/>
        <v/>
      </c>
      <c r="L38" s="11" t="str">
        <f t="shared" si="19"/>
        <v/>
      </c>
      <c r="M38" s="11" t="str">
        <f t="shared" si="19"/>
        <v/>
      </c>
      <c r="N38" s="6"/>
      <c r="O38" s="11">
        <f t="shared" ref="O38:R38" si="20">IF(O15="","",(O15/$O$23))</f>
        <v>0.64924052917943409</v>
      </c>
      <c r="P38" s="11" t="str">
        <f t="shared" si="20"/>
        <v/>
      </c>
      <c r="Q38" s="11" t="str">
        <f t="shared" si="20"/>
        <v/>
      </c>
      <c r="R38" s="11" t="str">
        <f t="shared" si="20"/>
        <v/>
      </c>
      <c r="S38" s="11" t="str">
        <f t="shared" ref="S38:V43" si="21">IF(S15="","",(S15/$O$23))</f>
        <v/>
      </c>
      <c r="T38" s="11" t="str">
        <f t="shared" si="21"/>
        <v/>
      </c>
      <c r="U38" s="11" t="str">
        <f t="shared" si="21"/>
        <v/>
      </c>
      <c r="V38" s="11" t="str">
        <f t="shared" si="21"/>
        <v/>
      </c>
    </row>
    <row r="39" spans="1:22" s="1" customFormat="1" x14ac:dyDescent="0.25">
      <c r="A39" s="223"/>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ref="O39:R39" si="23">IF(O16="","",(O16/$O$23))</f>
        <v>1.6741623459288986</v>
      </c>
      <c r="P39" s="11" t="str">
        <f t="shared" si="23"/>
        <v/>
      </c>
      <c r="Q39" s="11" t="str">
        <f t="shared" si="23"/>
        <v/>
      </c>
      <c r="R39" s="11" t="str">
        <f t="shared" si="23"/>
        <v/>
      </c>
      <c r="S39" s="11" t="str">
        <f t="shared" si="21"/>
        <v/>
      </c>
      <c r="T39" s="11" t="str">
        <f t="shared" si="21"/>
        <v/>
      </c>
      <c r="U39" s="11" t="str">
        <f t="shared" si="21"/>
        <v/>
      </c>
      <c r="V39" s="11" t="str">
        <f t="shared" si="21"/>
        <v/>
      </c>
    </row>
    <row r="40" spans="1:22" s="1" customFormat="1" x14ac:dyDescent="0.25">
      <c r="A40" s="223"/>
      <c r="B40" s="11" t="str">
        <f t="shared" ref="B40:M40" si="24">IF(B17="","",(B17/$O$23))</f>
        <v/>
      </c>
      <c r="C40" s="11" t="str">
        <f t="shared" si="24"/>
        <v/>
      </c>
      <c r="D40" s="11" t="str">
        <f t="shared" si="24"/>
        <v/>
      </c>
      <c r="E40" s="11" t="str">
        <f t="shared" si="24"/>
        <v/>
      </c>
      <c r="F40" s="11" t="str">
        <f t="shared" si="24"/>
        <v/>
      </c>
      <c r="G40" s="11" t="str">
        <f t="shared" si="24"/>
        <v/>
      </c>
      <c r="H40" s="11" t="str">
        <f t="shared" si="24"/>
        <v/>
      </c>
      <c r="I40" s="11" t="str">
        <f t="shared" si="24"/>
        <v/>
      </c>
      <c r="J40" s="11" t="str">
        <f t="shared" si="24"/>
        <v/>
      </c>
      <c r="K40" s="11" t="str">
        <f t="shared" si="24"/>
        <v/>
      </c>
      <c r="L40" s="11" t="str">
        <f t="shared" si="24"/>
        <v/>
      </c>
      <c r="M40" s="11" t="str">
        <f t="shared" si="24"/>
        <v/>
      </c>
      <c r="N40" s="6"/>
      <c r="O40" s="11">
        <f t="shared" ref="O40:R40" si="25">IF(O17="","",(O17/$O$23))</f>
        <v>0.90455740109493932</v>
      </c>
      <c r="P40" s="11" t="str">
        <f t="shared" si="25"/>
        <v/>
      </c>
      <c r="Q40" s="11" t="str">
        <f t="shared" si="25"/>
        <v/>
      </c>
      <c r="R40" s="11" t="str">
        <f t="shared" si="25"/>
        <v/>
      </c>
      <c r="S40" s="11" t="str">
        <f t="shared" si="21"/>
        <v/>
      </c>
      <c r="T40" s="11" t="str">
        <f t="shared" si="21"/>
        <v/>
      </c>
      <c r="U40" s="11" t="str">
        <f t="shared" si="21"/>
        <v/>
      </c>
      <c r="V40" s="11" t="str">
        <f t="shared" si="21"/>
        <v/>
      </c>
    </row>
    <row r="41" spans="1:22" s="1" customFormat="1" x14ac:dyDescent="0.25">
      <c r="A41" s="223"/>
      <c r="B41" s="11" t="str">
        <f t="shared" ref="B41:M41" si="26">IF(B18="","",(B18/$O$23))</f>
        <v/>
      </c>
      <c r="C41" s="11" t="str">
        <f t="shared" si="26"/>
        <v/>
      </c>
      <c r="D41" s="11" t="str">
        <f t="shared" si="26"/>
        <v/>
      </c>
      <c r="E41" s="11" t="str">
        <f t="shared" si="26"/>
        <v/>
      </c>
      <c r="F41" s="11" t="str">
        <f t="shared" si="26"/>
        <v/>
      </c>
      <c r="G41" s="11" t="str">
        <f t="shared" si="26"/>
        <v/>
      </c>
      <c r="H41" s="11" t="str">
        <f t="shared" si="26"/>
        <v/>
      </c>
      <c r="I41" s="11" t="str">
        <f t="shared" si="26"/>
        <v/>
      </c>
      <c r="J41" s="11" t="str">
        <f t="shared" si="26"/>
        <v/>
      </c>
      <c r="K41" s="11" t="str">
        <f t="shared" si="26"/>
        <v/>
      </c>
      <c r="L41" s="11" t="str">
        <f t="shared" si="26"/>
        <v/>
      </c>
      <c r="M41" s="11" t="str">
        <f t="shared" si="26"/>
        <v/>
      </c>
      <c r="N41" s="6"/>
      <c r="O41" s="11">
        <f t="shared" ref="O41:R41" si="27">IF(O18="","",(O18/$O$23))</f>
        <v>1.0305277582434031</v>
      </c>
      <c r="P41" s="11" t="str">
        <f t="shared" si="27"/>
        <v/>
      </c>
      <c r="Q41" s="11" t="str">
        <f t="shared" si="27"/>
        <v/>
      </c>
      <c r="R41" s="11" t="str">
        <f t="shared" si="27"/>
        <v/>
      </c>
      <c r="S41" s="11" t="str">
        <f t="shared" si="21"/>
        <v/>
      </c>
      <c r="T41" s="11" t="str">
        <f t="shared" si="21"/>
        <v/>
      </c>
      <c r="U41" s="11" t="str">
        <f t="shared" si="21"/>
        <v/>
      </c>
      <c r="V41" s="11" t="str">
        <f t="shared" si="21"/>
        <v/>
      </c>
    </row>
    <row r="42" spans="1:22" s="1" customFormat="1" x14ac:dyDescent="0.25">
      <c r="A42" s="223"/>
      <c r="B42" s="11" t="str">
        <f t="shared" ref="B42:M42" si="28">IF(B19="","",(B19/$O$23))</f>
        <v/>
      </c>
      <c r="C42" s="11" t="str">
        <f t="shared" si="28"/>
        <v/>
      </c>
      <c r="D42" s="11" t="str">
        <f t="shared" si="28"/>
        <v/>
      </c>
      <c r="E42" s="11" t="str">
        <f t="shared" si="28"/>
        <v/>
      </c>
      <c r="F42" s="11" t="str">
        <f t="shared" si="28"/>
        <v/>
      </c>
      <c r="G42" s="11" t="str">
        <f t="shared" si="28"/>
        <v/>
      </c>
      <c r="H42" s="11" t="str">
        <f t="shared" si="28"/>
        <v/>
      </c>
      <c r="I42" s="11" t="str">
        <f t="shared" si="28"/>
        <v/>
      </c>
      <c r="J42" s="11" t="str">
        <f t="shared" si="28"/>
        <v/>
      </c>
      <c r="K42" s="11" t="str">
        <f t="shared" si="28"/>
        <v/>
      </c>
      <c r="L42" s="11" t="str">
        <f t="shared" si="28"/>
        <v/>
      </c>
      <c r="M42" s="11" t="str">
        <f t="shared" si="28"/>
        <v/>
      </c>
      <c r="N42" s="6"/>
      <c r="O42" s="11">
        <f t="shared" ref="O42:R42" si="29">IF(O19="","",(O19/$O$23))</f>
        <v>0.54780563266923532</v>
      </c>
      <c r="P42" s="11" t="str">
        <f t="shared" si="29"/>
        <v/>
      </c>
      <c r="Q42" s="11" t="str">
        <f t="shared" si="29"/>
        <v/>
      </c>
      <c r="R42" s="11" t="str">
        <f t="shared" si="29"/>
        <v/>
      </c>
      <c r="S42" s="11" t="str">
        <f t="shared" si="21"/>
        <v/>
      </c>
      <c r="T42" s="11" t="str">
        <f t="shared" si="21"/>
        <v/>
      </c>
      <c r="U42" s="11" t="str">
        <f t="shared" si="21"/>
        <v/>
      </c>
      <c r="V42" s="11" t="str">
        <f t="shared" si="21"/>
        <v/>
      </c>
    </row>
    <row r="43" spans="1:22" s="1" customFormat="1" x14ac:dyDescent="0.25">
      <c r="A43" s="223"/>
      <c r="B43" s="11" t="str">
        <f t="shared" ref="B43:M43" si="30">IF(B20="","",(B20/$O$23))</f>
        <v/>
      </c>
      <c r="C43" s="11" t="str">
        <f t="shared" si="30"/>
        <v/>
      </c>
      <c r="D43" s="11" t="str">
        <f t="shared" si="30"/>
        <v/>
      </c>
      <c r="E43" s="11" t="str">
        <f t="shared" si="30"/>
        <v/>
      </c>
      <c r="F43" s="11" t="str">
        <f t="shared" si="30"/>
        <v/>
      </c>
      <c r="G43" s="11" t="str">
        <f t="shared" si="30"/>
        <v/>
      </c>
      <c r="H43" s="11" t="str">
        <f t="shared" si="30"/>
        <v/>
      </c>
      <c r="I43" s="11" t="str">
        <f t="shared" si="30"/>
        <v/>
      </c>
      <c r="J43" s="11" t="str">
        <f t="shared" si="30"/>
        <v/>
      </c>
      <c r="K43" s="11" t="str">
        <f t="shared" si="30"/>
        <v/>
      </c>
      <c r="L43" s="11" t="str">
        <f t="shared" si="30"/>
        <v/>
      </c>
      <c r="M43" s="11" t="str">
        <f t="shared" si="30"/>
        <v/>
      </c>
      <c r="N43" s="6"/>
      <c r="O43" s="11">
        <f t="shared" ref="O43:R43" si="31">IF(O20="","",(O20/$O$23))</f>
        <v>1.0841492927560803</v>
      </c>
      <c r="P43" s="11" t="str">
        <f t="shared" si="31"/>
        <v/>
      </c>
      <c r="Q43" s="11" t="str">
        <f t="shared" si="31"/>
        <v/>
      </c>
      <c r="R43" s="11" t="str">
        <f t="shared" si="31"/>
        <v/>
      </c>
      <c r="S43" s="11" t="str">
        <f t="shared" si="21"/>
        <v/>
      </c>
      <c r="T43" s="11" t="str">
        <f t="shared" si="21"/>
        <v/>
      </c>
      <c r="U43" s="11" t="str">
        <f t="shared" si="21"/>
        <v/>
      </c>
      <c r="V43" s="11" t="str">
        <f t="shared" si="21"/>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32">A4</f>
        <v>Noms des groupes</v>
      </c>
      <c r="B45" s="70" t="str">
        <f t="shared" si="32"/>
        <v>Témoin solvant</v>
      </c>
      <c r="C45" s="70" t="str">
        <f t="shared" si="32"/>
        <v>EE2-33,8ng/L</v>
      </c>
      <c r="D45" s="70" t="str">
        <f t="shared" si="32"/>
        <v>EE2-50,6ng/L</v>
      </c>
      <c r="E45" s="70" t="str">
        <f t="shared" si="32"/>
        <v>EE2-76ng/L</v>
      </c>
      <c r="F45" s="70" t="str">
        <f t="shared" si="32"/>
        <v>EE2-114ng/L</v>
      </c>
      <c r="G45" s="70" t="str">
        <f t="shared" si="32"/>
        <v>EE2-170,9ng/L</v>
      </c>
      <c r="H45" s="70" t="str">
        <f t="shared" si="32"/>
        <v>EE2-488ng/L</v>
      </c>
      <c r="I45" s="70" t="str">
        <f t="shared" si="32"/>
        <v>Atenolol-0,01mg/L</v>
      </c>
      <c r="J45" s="70" t="str">
        <f t="shared" si="32"/>
        <v>Atenolol-0,1mg/L</v>
      </c>
      <c r="K45" s="70" t="str">
        <f t="shared" si="32"/>
        <v>Atenolol-1mg/L</v>
      </c>
      <c r="L45" s="70" t="str">
        <f t="shared" si="32"/>
        <v>Atenolol-10mg/L</v>
      </c>
      <c r="M45" s="70" t="str">
        <f t="shared" si="32"/>
        <v>Atenolol-100mg/L</v>
      </c>
      <c r="N45" s="70" t="str">
        <f>N22</f>
        <v>Nom des groupes</v>
      </c>
      <c r="O45" s="70" t="str">
        <f t="shared" ref="O45:V45" si="33">O4</f>
        <v>Testo -30µg/L</v>
      </c>
      <c r="P45" s="70" t="str">
        <f t="shared" si="33"/>
        <v>Testo 30µg/L + EE2 -64ng/L</v>
      </c>
      <c r="Q45" s="70" t="str">
        <f t="shared" si="33"/>
        <v>Testo 30µg/L + FAD-10mg/L</v>
      </c>
      <c r="R45" s="70" t="str">
        <f t="shared" si="33"/>
        <v>Atenolol-0,01mg/L + Testostérone</v>
      </c>
      <c r="S45" s="70" t="str">
        <f t="shared" si="33"/>
        <v>Atenolol-0,1mg/L + Testostérone</v>
      </c>
      <c r="T45" s="70" t="str">
        <f t="shared" si="33"/>
        <v>Atenolol-1mg/L + Testostérone</v>
      </c>
      <c r="U45" s="70" t="str">
        <f t="shared" si="33"/>
        <v>Atenolol-10mg/L + Testostérone</v>
      </c>
      <c r="V45" s="70" t="str">
        <f t="shared" si="33"/>
        <v>Atenolol-100mg/L + Testostérone</v>
      </c>
    </row>
    <row r="46" spans="1:22" x14ac:dyDescent="0.25">
      <c r="A46" s="8" t="s">
        <v>0</v>
      </c>
      <c r="B46" s="10">
        <f t="shared" ref="B46:H46" si="34">AVERAGE(B28:B43)</f>
        <v>0.14418668881977043</v>
      </c>
      <c r="C46" s="10">
        <f t="shared" si="34"/>
        <v>9.6309552158890935E-2</v>
      </c>
      <c r="D46" s="10">
        <f t="shared" si="34"/>
        <v>7.1805086694790077E-2</v>
      </c>
      <c r="E46" s="10">
        <f t="shared" si="34"/>
        <v>0.21927693955505986</v>
      </c>
      <c r="F46" s="10">
        <f t="shared" si="34"/>
        <v>0.70910028857143015</v>
      </c>
      <c r="G46" s="10">
        <f t="shared" si="34"/>
        <v>1.1630866629514198</v>
      </c>
      <c r="H46" s="10">
        <f t="shared" si="34"/>
        <v>1.9605291153285302</v>
      </c>
      <c r="I46" s="10">
        <f>AVERAGE(I28:I43)</f>
        <v>0.11244177143383205</v>
      </c>
      <c r="J46" s="9">
        <f>AVERAGE(J28:J43)</f>
        <v>7.5841473316316507E-2</v>
      </c>
      <c r="K46" s="9">
        <f>AVERAGE(K28:K43)</f>
        <v>0.1278258111959234</v>
      </c>
      <c r="L46" s="9">
        <f t="shared" ref="L46:M46" si="35">AVERAGE(L28:L43)</f>
        <v>6.8319657623815408E-2</v>
      </c>
      <c r="M46" s="9">
        <f t="shared" si="35"/>
        <v>0.14637073583461577</v>
      </c>
      <c r="N46" s="8" t="s">
        <v>0</v>
      </c>
      <c r="O46" s="10">
        <f>AVERAGE(O28:O43)</f>
        <v>0.99999999999999989</v>
      </c>
      <c r="P46" s="10">
        <f>AVERAGE(P28:P43)</f>
        <v>1.2690078891570304</v>
      </c>
      <c r="Q46" s="10">
        <f>AVERAGE(Q28:Q43)</f>
        <v>0.14567865704012237</v>
      </c>
      <c r="R46" s="10">
        <f>AVERAGE(R28:R43)</f>
        <v>0.95390490417785456</v>
      </c>
      <c r="S46" s="10">
        <f t="shared" ref="S46:V46" si="36">AVERAGE(S28:S43)</f>
        <v>0.72264976699295103</v>
      </c>
      <c r="T46" s="10">
        <f t="shared" si="36"/>
        <v>0.66576741947361129</v>
      </c>
      <c r="U46" s="10">
        <f t="shared" si="36"/>
        <v>0.69953835473931036</v>
      </c>
      <c r="V46" s="10">
        <f t="shared" si="36"/>
        <v>0.87383808852261313</v>
      </c>
    </row>
    <row r="47" spans="1:22" x14ac:dyDescent="0.25">
      <c r="A47" s="8" t="s">
        <v>1</v>
      </c>
      <c r="B47" s="8">
        <f t="shared" ref="B47:K47" si="37">STDEV(B28:B43)</f>
        <v>7.4101084721359387E-2</v>
      </c>
      <c r="C47" s="8">
        <f t="shared" si="37"/>
        <v>6.350818228445515E-2</v>
      </c>
      <c r="D47" s="8">
        <f t="shared" si="37"/>
        <v>4.2032714253991868E-2</v>
      </c>
      <c r="E47" s="8">
        <f t="shared" si="37"/>
        <v>0.14251180621123111</v>
      </c>
      <c r="F47" s="8">
        <f t="shared" si="37"/>
        <v>0.65922540602588686</v>
      </c>
      <c r="G47" s="8">
        <f t="shared" si="37"/>
        <v>0.53302735893182973</v>
      </c>
      <c r="H47" s="8">
        <f t="shared" si="37"/>
        <v>0.36437058813347417</v>
      </c>
      <c r="I47" s="8">
        <f>STDEV(I28:I43)</f>
        <v>6.74139812280211E-2</v>
      </c>
      <c r="J47" s="8">
        <f t="shared" si="37"/>
        <v>5.9303144359089476E-2</v>
      </c>
      <c r="K47" s="8">
        <f t="shared" si="37"/>
        <v>7.4622876452042478E-2</v>
      </c>
      <c r="L47" s="8">
        <f t="shared" ref="L47:M47" si="38">STDEV(L28:L43)</f>
        <v>4.0264814474292455E-2</v>
      </c>
      <c r="M47" s="8">
        <f t="shared" si="38"/>
        <v>7.0453278629268201E-2</v>
      </c>
      <c r="N47" s="8" t="s">
        <v>1</v>
      </c>
      <c r="O47" s="8">
        <f>STDEV(O28:O43)</f>
        <v>0.36992606171753911</v>
      </c>
      <c r="P47" s="8">
        <f>STDEV(P28:P43)</f>
        <v>0.44931634213769411</v>
      </c>
      <c r="Q47" s="8">
        <f>STDEV(Q28:Q43)</f>
        <v>4.8408955367212528E-2</v>
      </c>
      <c r="R47" s="8">
        <f>STDEV(R28:R43)</f>
        <v>0.36518315031094789</v>
      </c>
      <c r="S47" s="8">
        <f t="shared" ref="S47:V47" si="39">STDEV(S28:S43)</f>
        <v>0.29134203731040437</v>
      </c>
      <c r="T47" s="8">
        <f t="shared" si="39"/>
        <v>0.28279525089577456</v>
      </c>
      <c r="U47" s="8">
        <f t="shared" si="39"/>
        <v>0.47575068049255165</v>
      </c>
      <c r="V47" s="8">
        <f t="shared" si="39"/>
        <v>0.26269240527749421</v>
      </c>
    </row>
    <row r="48" spans="1:22" x14ac:dyDescent="0.25">
      <c r="A48" s="8" t="s">
        <v>2</v>
      </c>
      <c r="B48" s="8">
        <f t="shared" ref="B48:K48" si="40" xml:space="preserve"> B47/SQRT(COUNT(B28:B43))</f>
        <v>2.6198689749876044E-2</v>
      </c>
      <c r="C48" s="8">
        <f t="shared" si="40"/>
        <v>2.2453533177084799E-2</v>
      </c>
      <c r="D48" s="8">
        <f t="shared" si="40"/>
        <v>1.4860808640337052E-2</v>
      </c>
      <c r="E48" s="8">
        <f t="shared" si="40"/>
        <v>5.0385532285552329E-2</v>
      </c>
      <c r="F48" s="8">
        <f t="shared" si="40"/>
        <v>0.23307137746567985</v>
      </c>
      <c r="G48" s="8">
        <f t="shared" si="40"/>
        <v>0.1884536300293263</v>
      </c>
      <c r="H48" s="8">
        <f t="shared" si="40"/>
        <v>0.12882445686705507</v>
      </c>
      <c r="I48" s="8">
        <f xml:space="preserve"> I47/SQRT(COUNT(I28:I43))</f>
        <v>2.3834441636558169E-2</v>
      </c>
      <c r="J48" s="8">
        <f t="shared" si="40"/>
        <v>2.0966827760998459E-2</v>
      </c>
      <c r="K48" s="8">
        <f t="shared" si="40"/>
        <v>2.6383170985442583E-2</v>
      </c>
      <c r="L48" s="8">
        <f t="shared" ref="L48:M48" si="41" xml:space="preserve"> L47/SQRT(COUNT(L28:L43))</f>
        <v>1.4235761678995222E-2</v>
      </c>
      <c r="M48" s="8">
        <f t="shared" si="41"/>
        <v>2.4908995537790406E-2</v>
      </c>
      <c r="N48" s="8" t="s">
        <v>2</v>
      </c>
      <c r="O48" s="8">
        <f xml:space="preserve"> O47/SQRT(COUNT(O28:O43))</f>
        <v>9.2481515429384778E-2</v>
      </c>
      <c r="P48" s="8">
        <f xml:space="preserve"> P47/SQRT(COUNT(P28:P43))</f>
        <v>0.16982561447050717</v>
      </c>
      <c r="Q48" s="8">
        <f xml:space="preserve"> Q47/SQRT(COUNT(Q28:Q43))</f>
        <v>1.8296865304295685E-2</v>
      </c>
      <c r="R48" s="8">
        <f xml:space="preserve"> R47/SQRT(COUNT(R28:R43))</f>
        <v>0.12911174097996875</v>
      </c>
      <c r="S48" s="8">
        <f t="shared" ref="S48:V48" si="42" xml:space="preserve"> S47/SQRT(COUNT(S28:S43))</f>
        <v>0.10300496511344552</v>
      </c>
      <c r="T48" s="8">
        <f t="shared" si="42"/>
        <v>9.9983219797876624E-2</v>
      </c>
      <c r="U48" s="8">
        <f t="shared" si="42"/>
        <v>0.17981685523614852</v>
      </c>
      <c r="V48" s="8">
        <f t="shared" si="42"/>
        <v>9.2875790568960476E-2</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c r="A51"/>
      <c r="B51"/>
      <c r="C51"/>
      <c r="D51"/>
      <c r="E51"/>
      <c r="F51"/>
      <c r="G51"/>
      <c r="H51"/>
      <c r="I51"/>
      <c r="J51"/>
      <c r="K51"/>
      <c r="L51"/>
      <c r="M51"/>
      <c r="S51"/>
      <c r="T51"/>
      <c r="U51"/>
      <c r="V51"/>
    </row>
    <row r="52" spans="1:22" x14ac:dyDescent="0.2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Atenolol-0,01mg/L</v>
      </c>
      <c r="J52" s="46" t="str">
        <f>J4</f>
        <v>Atenolol-0,1mg/L</v>
      </c>
      <c r="K52" s="46" t="str">
        <f>K27</f>
        <v>Atenolol-1mg/L</v>
      </c>
      <c r="L52" s="46" t="str">
        <f t="shared" ref="L52:M52" si="44">L27</f>
        <v>Atenolol-10mg/L</v>
      </c>
      <c r="M52" s="46" t="str">
        <f t="shared" si="44"/>
        <v>Atenolol-100mg/L</v>
      </c>
      <c r="N52" s="47"/>
      <c r="O52" s="46" t="str">
        <f>O27</f>
        <v>Testo -30µg/L</v>
      </c>
      <c r="P52" s="46" t="str">
        <f>P27</f>
        <v>Testo 30µg/L + EE2 -64ng/L</v>
      </c>
      <c r="Q52" s="46" t="str">
        <f>Q27</f>
        <v>Testo 30µg/L + FAD-10mg/L</v>
      </c>
      <c r="R52" s="46" t="str">
        <f>R27</f>
        <v>Atenolol-0,01mg/L + Testostérone</v>
      </c>
      <c r="S52" s="46" t="str">
        <f t="shared" ref="S52:V52" si="45">S27</f>
        <v>Atenolol-0,1mg/L + Testostérone</v>
      </c>
      <c r="T52" s="46" t="str">
        <f t="shared" si="45"/>
        <v>Atenolol-1mg/L + Testostérone</v>
      </c>
      <c r="U52" s="46" t="str">
        <f t="shared" si="45"/>
        <v>Atenolol-10mg/L + Testostérone</v>
      </c>
      <c r="V52" s="46" t="str">
        <f t="shared" si="45"/>
        <v>Atenolol-100mg/L + Testostérone</v>
      </c>
    </row>
    <row r="53" spans="1:22" s="3" customFormat="1" x14ac:dyDescent="0.25">
      <c r="A53" s="61" t="s">
        <v>32</v>
      </c>
      <c r="B53" s="142">
        <f t="shared" ref="B53:M53" si="46">B46</f>
        <v>0.14418668881977043</v>
      </c>
      <c r="C53" s="142">
        <f t="shared" si="46"/>
        <v>9.6309552158890935E-2</v>
      </c>
      <c r="D53" s="142">
        <f t="shared" si="46"/>
        <v>7.1805086694790077E-2</v>
      </c>
      <c r="E53" s="142">
        <f t="shared" si="46"/>
        <v>0.21927693955505986</v>
      </c>
      <c r="F53" s="142">
        <f t="shared" si="46"/>
        <v>0.70910028857143015</v>
      </c>
      <c r="G53" s="142">
        <f t="shared" si="46"/>
        <v>1.1630866629514198</v>
      </c>
      <c r="H53" s="142">
        <f t="shared" si="46"/>
        <v>1.9605291153285302</v>
      </c>
      <c r="I53" s="142">
        <f t="shared" si="46"/>
        <v>0.11244177143383205</v>
      </c>
      <c r="J53" s="142">
        <f t="shared" si="46"/>
        <v>7.5841473316316507E-2</v>
      </c>
      <c r="K53" s="142">
        <f t="shared" si="46"/>
        <v>0.1278258111959234</v>
      </c>
      <c r="L53" s="142">
        <f t="shared" si="46"/>
        <v>6.8319657623815408E-2</v>
      </c>
      <c r="M53" s="142">
        <f t="shared" si="46"/>
        <v>0.14637073583461577</v>
      </c>
      <c r="N53" s="142"/>
      <c r="O53" s="142">
        <f t="shared" ref="O53:V53" si="47">O46</f>
        <v>0.99999999999999989</v>
      </c>
      <c r="P53" s="142">
        <f t="shared" si="47"/>
        <v>1.2690078891570304</v>
      </c>
      <c r="Q53" s="142">
        <f t="shared" si="47"/>
        <v>0.14567865704012237</v>
      </c>
      <c r="R53" s="142">
        <f t="shared" si="47"/>
        <v>0.95390490417785456</v>
      </c>
      <c r="S53" s="142">
        <f t="shared" si="47"/>
        <v>0.72264976699295103</v>
      </c>
      <c r="T53" s="142">
        <f t="shared" si="47"/>
        <v>0.66576741947361129</v>
      </c>
      <c r="U53" s="142">
        <f t="shared" si="47"/>
        <v>0.69953835473931036</v>
      </c>
      <c r="V53" s="142">
        <f t="shared" si="47"/>
        <v>0.87383808852261313</v>
      </c>
    </row>
    <row r="54" spans="1:22" s="3" customFormat="1" x14ac:dyDescent="0.25">
      <c r="A54" s="61" t="s">
        <v>2</v>
      </c>
      <c r="B54" s="142">
        <f t="shared" ref="B54:M54" si="48">B48</f>
        <v>2.6198689749876044E-2</v>
      </c>
      <c r="C54" s="142">
        <f t="shared" si="48"/>
        <v>2.2453533177084799E-2</v>
      </c>
      <c r="D54" s="142">
        <f t="shared" si="48"/>
        <v>1.4860808640337052E-2</v>
      </c>
      <c r="E54" s="142">
        <f t="shared" si="48"/>
        <v>5.0385532285552329E-2</v>
      </c>
      <c r="F54" s="142">
        <f t="shared" si="48"/>
        <v>0.23307137746567985</v>
      </c>
      <c r="G54" s="142">
        <f t="shared" si="48"/>
        <v>0.1884536300293263</v>
      </c>
      <c r="H54" s="142">
        <f t="shared" si="48"/>
        <v>0.12882445686705507</v>
      </c>
      <c r="I54" s="142">
        <f t="shared" si="48"/>
        <v>2.3834441636558169E-2</v>
      </c>
      <c r="J54" s="142">
        <f t="shared" si="48"/>
        <v>2.0966827760998459E-2</v>
      </c>
      <c r="K54" s="142">
        <f t="shared" si="48"/>
        <v>2.6383170985442583E-2</v>
      </c>
      <c r="L54" s="142">
        <f t="shared" si="48"/>
        <v>1.4235761678995222E-2</v>
      </c>
      <c r="M54" s="142">
        <f t="shared" si="48"/>
        <v>2.4908995537790406E-2</v>
      </c>
      <c r="N54" s="142"/>
      <c r="O54" s="142">
        <f t="shared" ref="O54:V54" si="49">O48</f>
        <v>9.2481515429384778E-2</v>
      </c>
      <c r="P54" s="142">
        <f t="shared" si="49"/>
        <v>0.16982561447050717</v>
      </c>
      <c r="Q54" s="142">
        <f t="shared" si="49"/>
        <v>1.8296865304295685E-2</v>
      </c>
      <c r="R54" s="142">
        <f t="shared" si="49"/>
        <v>0.12911174097996875</v>
      </c>
      <c r="S54" s="142">
        <f t="shared" si="49"/>
        <v>0.10300496511344552</v>
      </c>
      <c r="T54" s="142">
        <f t="shared" si="49"/>
        <v>9.9983219797876624E-2</v>
      </c>
      <c r="U54" s="142">
        <f t="shared" si="49"/>
        <v>0.17981685523614852</v>
      </c>
      <c r="V54" s="142">
        <f t="shared" si="49"/>
        <v>9.2875790568960476E-2</v>
      </c>
    </row>
    <row r="55" spans="1:22" s="3" customFormat="1" x14ac:dyDescent="0.25">
      <c r="A55" s="61" t="s">
        <v>79</v>
      </c>
      <c r="B55" s="142">
        <f t="shared" ref="B55:M55" si="50">(B53*100/$B$53)-100</f>
        <v>0</v>
      </c>
      <c r="C55" s="142">
        <f t="shared" si="50"/>
        <v>-33.204962991226367</v>
      </c>
      <c r="D55" s="142">
        <f t="shared" si="50"/>
        <v>-50.199919782786225</v>
      </c>
      <c r="E55" s="142">
        <f t="shared" si="50"/>
        <v>52.078490289176614</v>
      </c>
      <c r="F55" s="142">
        <f t="shared" si="50"/>
        <v>391.79317062879983</v>
      </c>
      <c r="G55" s="142">
        <f t="shared" si="50"/>
        <v>706.65328573100646</v>
      </c>
      <c r="H55" s="142">
        <f t="shared" si="50"/>
        <v>1259.7157486424701</v>
      </c>
      <c r="I55" s="142">
        <f t="shared" si="50"/>
        <v>-22.016538174074228</v>
      </c>
      <c r="J55" s="142">
        <f t="shared" si="50"/>
        <v>-47.40050282234003</v>
      </c>
      <c r="K55" s="142">
        <f t="shared" si="50"/>
        <v>-11.347009739780972</v>
      </c>
      <c r="L55" s="142">
        <f t="shared" si="50"/>
        <v>-52.617222724898561</v>
      </c>
      <c r="M55" s="142">
        <f t="shared" si="50"/>
        <v>1.5147355367702175</v>
      </c>
      <c r="N55" s="142"/>
      <c r="O55" s="142">
        <f t="shared" ref="O55:V55" si="51">(O53*100/$B$53)-100</f>
        <v>593.54529754821795</v>
      </c>
      <c r="P55" s="142">
        <f t="shared" si="51"/>
        <v>780.11445407644874</v>
      </c>
      <c r="Q55" s="142">
        <f t="shared" si="51"/>
        <v>1.0347475433164703</v>
      </c>
      <c r="R55" s="142">
        <f t="shared" si="51"/>
        <v>561.5762606007346</v>
      </c>
      <c r="S55" s="142">
        <f t="shared" si="51"/>
        <v>401.19034767227663</v>
      </c>
      <c r="T55" s="142">
        <f t="shared" si="51"/>
        <v>361.73986303673502</v>
      </c>
      <c r="U55" s="142">
        <f t="shared" si="51"/>
        <v>385.16153638406587</v>
      </c>
      <c r="V55" s="142">
        <f t="shared" si="51"/>
        <v>506.0462971133818</v>
      </c>
    </row>
    <row r="56" spans="1:22" s="3" customFormat="1" x14ac:dyDescent="0.25">
      <c r="A56" s="61" t="s">
        <v>81</v>
      </c>
      <c r="B56" s="142">
        <f>[1]!SWTEST(B28:B43)</f>
        <v>0.54371815906854803</v>
      </c>
      <c r="C56" s="142">
        <f>[1]!SWTEST(C28:C43)</f>
        <v>0.96688484266498009</v>
      </c>
      <c r="D56" s="142">
        <f>[1]!SWTEST(D28:D43)</f>
        <v>0.96054679862427239</v>
      </c>
      <c r="E56" s="142">
        <f>[1]!SWTEST(E28:E43)</f>
        <v>6.5374796974806415E-3</v>
      </c>
      <c r="F56" s="142">
        <f>[1]!SWTEST(F28:F43)</f>
        <v>4.6765402739985529E-3</v>
      </c>
      <c r="G56" s="142">
        <f>[1]!SWTEST(G28:G43)</f>
        <v>6.8706047865234154E-2</v>
      </c>
      <c r="H56" s="142">
        <f>[1]!SWTEST(H28:H43)</f>
        <v>0.7835110501764857</v>
      </c>
      <c r="I56" s="142">
        <f>[1]!SWTEST(I28:I43)</f>
        <v>0.63803929628098655</v>
      </c>
      <c r="J56" s="142">
        <f>[1]!SWTEST(J28:J43)</f>
        <v>0.27834450213142303</v>
      </c>
      <c r="K56" s="142">
        <f>[1]!SWTEST(K28:K43)</f>
        <v>0.46878804151484377</v>
      </c>
      <c r="L56" s="142">
        <f>[1]!SWTEST(L28:L43)</f>
        <v>0.75403110300788767</v>
      </c>
      <c r="M56" s="142">
        <f>[1]!SWTEST(M28:M43)</f>
        <v>0.67585585643833745</v>
      </c>
      <c r="N56" s="142"/>
      <c r="O56" s="142">
        <f>[1]!SWTEST(O28:O43)</f>
        <v>0.63345995073736094</v>
      </c>
      <c r="P56" s="142">
        <f>[1]!SWTEST(P28:P43)</f>
        <v>7.0955576223045935E-2</v>
      </c>
      <c r="Q56" s="142">
        <f>[1]!SWTEST(Q28:Q43)</f>
        <v>0.46235068314614958</v>
      </c>
      <c r="R56" s="142">
        <f>[1]!SWTEST(R28:R43)</f>
        <v>0.99588690084602649</v>
      </c>
      <c r="S56" s="142">
        <f>[1]!SWTEST(S28:S43)</f>
        <v>0.45362953896786551</v>
      </c>
      <c r="T56" s="142">
        <f>[1]!SWTEST(T28:T43)</f>
        <v>0.10172236050824879</v>
      </c>
      <c r="U56" s="142">
        <f>[1]!SWTEST(U28:U43)</f>
        <v>8.4741086057693482E-2</v>
      </c>
      <c r="V56" s="142">
        <f>[1]!SWTEST(V28:V43)</f>
        <v>0.10261560535524339</v>
      </c>
    </row>
    <row r="57" spans="1:22" s="3" customFormat="1" x14ac:dyDescent="0.25">
      <c r="A57" s="61" t="s">
        <v>85</v>
      </c>
      <c r="B57" s="142" t="str">
        <f t="shared" ref="B57:M57" si="52">IF(B56&gt;0.05,"Oui","Non")</f>
        <v>Oui</v>
      </c>
      <c r="C57" s="142" t="str">
        <f t="shared" si="52"/>
        <v>Oui</v>
      </c>
      <c r="D57" s="142" t="str">
        <f t="shared" si="52"/>
        <v>Oui</v>
      </c>
      <c r="E57" s="142" t="str">
        <f t="shared" si="52"/>
        <v>Non</v>
      </c>
      <c r="F57" s="142" t="str">
        <f t="shared" si="52"/>
        <v>Non</v>
      </c>
      <c r="G57" s="142" t="str">
        <f t="shared" si="52"/>
        <v>Oui</v>
      </c>
      <c r="H57" s="142" t="str">
        <f t="shared" si="52"/>
        <v>Oui</v>
      </c>
      <c r="I57" s="142" t="str">
        <f t="shared" si="52"/>
        <v>Oui</v>
      </c>
      <c r="J57" s="142" t="str">
        <f t="shared" si="52"/>
        <v>Oui</v>
      </c>
      <c r="K57" s="142" t="str">
        <f t="shared" si="52"/>
        <v>Oui</v>
      </c>
      <c r="L57" s="142" t="str">
        <f t="shared" si="52"/>
        <v>Oui</v>
      </c>
      <c r="M57" s="142" t="str">
        <f t="shared" si="52"/>
        <v>Oui</v>
      </c>
      <c r="N57" s="142"/>
      <c r="O57" s="142" t="str">
        <f t="shared" ref="O57:V57" si="53">IF(O56&gt;0.05,"Oui","Non")</f>
        <v>Oui</v>
      </c>
      <c r="P57" s="142" t="str">
        <f t="shared" si="53"/>
        <v>Oui</v>
      </c>
      <c r="Q57" s="142" t="str">
        <f t="shared" si="53"/>
        <v>Oui</v>
      </c>
      <c r="R57" s="142" t="str">
        <f t="shared" si="53"/>
        <v>Oui</v>
      </c>
      <c r="S57" s="142" t="str">
        <f t="shared" si="53"/>
        <v>Oui</v>
      </c>
      <c r="T57" s="142" t="str">
        <f t="shared" si="53"/>
        <v>Oui</v>
      </c>
      <c r="U57" s="142" t="str">
        <f t="shared" si="53"/>
        <v>Oui</v>
      </c>
      <c r="V57" s="142" t="str">
        <f t="shared" si="53"/>
        <v>Oui</v>
      </c>
    </row>
    <row r="58" spans="1:22" s="3" customFormat="1" x14ac:dyDescent="0.2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25">
      <c r="A59" s="61" t="s">
        <v>82</v>
      </c>
      <c r="B59" s="151"/>
      <c r="C59" s="151" t="str">
        <f t="shared" ref="C59:M59" si="54">IF($B57="Non",IF(C$57="Non","Mann Withney",IF(C$57="Oui","Mann Withney","")),IF($B$57="Oui",IF(C$57="Oui","T-Test Welch",IF(C$57="Non","Mann Withney",""))))</f>
        <v>T-Test Welch</v>
      </c>
      <c r="D59" s="151" t="str">
        <f t="shared" si="54"/>
        <v>T-Test Welch</v>
      </c>
      <c r="E59" s="151" t="str">
        <f t="shared" si="54"/>
        <v>Mann Withney</v>
      </c>
      <c r="F59" s="151" t="str">
        <f t="shared" si="54"/>
        <v>Mann Withney</v>
      </c>
      <c r="G59" s="151" t="str">
        <f t="shared" si="54"/>
        <v>T-Test Welch</v>
      </c>
      <c r="H59" s="151" t="str">
        <f t="shared" si="54"/>
        <v>T-Test Welch</v>
      </c>
      <c r="I59" s="151" t="str">
        <f t="shared" si="54"/>
        <v>T-Test Welch</v>
      </c>
      <c r="J59" s="151" t="str">
        <f t="shared" si="54"/>
        <v>T-Test Welch</v>
      </c>
      <c r="K59" s="151" t="str">
        <f t="shared" si="54"/>
        <v>T-Test Welch</v>
      </c>
      <c r="L59" s="151" t="str">
        <f t="shared" si="54"/>
        <v>T-Test Welch</v>
      </c>
      <c r="M59" s="151" t="str">
        <f t="shared" si="54"/>
        <v>T-Test Welch</v>
      </c>
      <c r="N59" s="151"/>
      <c r="O59" s="151" t="str">
        <f>IF($B57="Non",IF(O$57="Non","Mann Withney",IF(O$57="Oui","Mann Withney","")),IF($B$57="Oui",IF(O$57="Oui","T-Test Welch",IF(O$57="Non","Mann Withney",""))))</f>
        <v>T-Test Welch</v>
      </c>
      <c r="P59" s="151" t="str">
        <f t="shared" ref="P59:V59" si="55">IF($O57="Non",IF(P$57="Non","Mann Withney",IF(P$57="Oui","Mann Withney","")),IF($O$57="Oui",IF(P$57="Oui","T-Test Welch",IF(P$57="Non","Mann Withney",""))))</f>
        <v>T-Test Welch</v>
      </c>
      <c r="Q59" s="151" t="str">
        <f t="shared" si="55"/>
        <v>T-Test Welch</v>
      </c>
      <c r="R59" s="151" t="str">
        <f t="shared" si="55"/>
        <v>T-Test Welch</v>
      </c>
      <c r="S59" s="151" t="str">
        <f t="shared" si="55"/>
        <v>T-Test Welch</v>
      </c>
      <c r="T59" s="151" t="str">
        <f t="shared" si="55"/>
        <v>T-Test Welch</v>
      </c>
      <c r="U59" s="151" t="str">
        <f t="shared" si="55"/>
        <v>T-Test Welch</v>
      </c>
      <c r="V59" s="151" t="str">
        <f t="shared" si="55"/>
        <v>T-Test Welch</v>
      </c>
    </row>
    <row r="60" spans="1:22" s="3" customFormat="1" x14ac:dyDescent="0.25">
      <c r="A60" s="61" t="s">
        <v>83</v>
      </c>
      <c r="B60" s="152"/>
      <c r="C60" s="152">
        <f>IF(C59="Mann Withney",[1]!MTEST($B28:$B43,C28:C43,2), IF(C59="T-Test Welch",_xlfn.T.TEST($B28:$B43,C28:C43,2,3),""))</f>
        <v>0.18745493614592057</v>
      </c>
      <c r="D60" s="152">
        <f>IF(D59="Mann Withney",[1]!MTEST($B28:$B43,D28:D43,2), IF(D59="T-Test Welch",_xlfn.T.TEST($B28:$B43,D28:D43,2,3),""))</f>
        <v>3.4886740745920228E-2</v>
      </c>
      <c r="E60" s="152">
        <f>IF(E59="Mann Withney",[1]!MTEST($B28:$B43,E28:E43,2), IF(E59="T-Test Welch",_xlfn.T.TEST($B28:$B43,E28:E43,2,3),""))</f>
        <v>0.29362154392890583</v>
      </c>
      <c r="F60" s="152">
        <f>IF(F59="Mann Withney",[1]!MTEST($B28:$B43,F28:F43,2), IF(F59="T-Test Welch",_xlfn.T.TEST($B28:$B43,F28:F43,2,3),""))</f>
        <v>2.3220945158779482E-3</v>
      </c>
      <c r="G60" s="152">
        <f>IF(G59="Mann Withney",[1]!MTEST($B28:$B43,G28:G43,2), IF(G59="T-Test Welch",_xlfn.T.TEST($B28:$B43,G28:G43,2,3),""))</f>
        <v>9.3495405168541809E-4</v>
      </c>
      <c r="H60" s="152">
        <f>IF(H59="Mann Withney",[1]!MTEST($B28:$B43,H28:H43,2), IF(H59="T-Test Welch",_xlfn.T.TEST($B28:$B43,H28:H43,2,3),""))</f>
        <v>1.2054701058096163E-6</v>
      </c>
      <c r="I60" s="152">
        <f>IF(I59="Mann Withney",[1]!MTEST($B28:$B43,I28:I43,2), IF(I59="T-Test Welch",_xlfn.T.TEST($B28:$B43,I28:I43,2,3),""))</f>
        <v>0.38538446062685006</v>
      </c>
      <c r="J60" s="152">
        <f>IF(J59="Mann Withney",[1]!MTEST($B28:$B43,J28:J43,2), IF(J59="T-Test Welch",_xlfn.T.TEST($B28:$B43,J28:J43,2,3),""))</f>
        <v>6.199592977648704E-2</v>
      </c>
      <c r="K60" s="152">
        <f>IF(K59="Mann Withney",[1]!MTEST($B28:$B43,K28:K43,2), IF(K59="T-Test Welch",_xlfn.T.TEST($B28:$B43,K28:K43,2,3),""))</f>
        <v>0.66663237265952002</v>
      </c>
      <c r="L60" s="152">
        <f>IF(L59="Mann Withney",[1]!MTEST($B28:$B43,L28:L43,2), IF(L59="T-Test Welch",_xlfn.T.TEST($B28:$B43,L28:L43,2,3),""))</f>
        <v>2.7603838464965013E-2</v>
      </c>
      <c r="M60" s="152">
        <f>IF(M59="Mann Withney",[1]!MTEST($B28:$B43,M28:M43,2), IF(M59="T-Test Welch",_xlfn.T.TEST($B28:$B43,M28:M43,2,3),""))</f>
        <v>0.952680386789718</v>
      </c>
      <c r="N60" s="152"/>
      <c r="O60" s="152">
        <f>IF(O59="Mann Withney",[1]!MTEST($B28:$B43,O28:O43,2), IF(O59="T-Test Welch",_xlfn.T.TEST($B28:$B43,O28:O43,2,3),""))</f>
        <v>7.2750512035280779E-8</v>
      </c>
      <c r="P60" s="152">
        <f>IF(P59="Mann Withney",[1]!MTEST($O28:$O43,P28:P43,2), IF(P59="T-Test Welch",_xlfn.T.TEST($O28:$O43,P28:P43,2,3),""))</f>
        <v>0.195133146334806</v>
      </c>
      <c r="Q60" s="152">
        <f>IF(Q59="Mann Withney",[1]!MTEST($O28:$O43,Q28:Q43,2), IF(Q59="T-Test Welch",_xlfn.T.TEST($O28:$O43,Q28:Q43,2,3),""))</f>
        <v>9.9056648642497696E-8</v>
      </c>
      <c r="R60" s="152">
        <f>IF(R59="Mann Withney",[1]!MTEST($O28:$O43,R28:R43,2), IF(R59="T-Test Welch",_xlfn.T.TEST($O28:$O43,R28:R43,2,3),""))</f>
        <v>0.77580605429355698</v>
      </c>
      <c r="S60" s="152">
        <f>IF(S59="Mann Withney",[1]!MTEST($O28:$O43,S28:S43,2), IF(S59="T-Test Welch",_xlfn.T.TEST($O28:$O43,S28:S43,2,3),""))</f>
        <v>6.0833829560576251E-2</v>
      </c>
      <c r="T60" s="152">
        <f>IF(T59="Mann Withney",[1]!MTEST($O28:$O43,T28:T43,2), IF(T59="T-Test Welch",_xlfn.T.TEST($O28:$O43,T28:T43,2,3),""))</f>
        <v>2.4559325947437045E-2</v>
      </c>
      <c r="U60" s="152">
        <f>IF(U59="Mann Withney",[1]!MTEST($O28:$O43,U28:U43,2), IF(U59="T-Test Welch",_xlfn.T.TEST($O28:$O43,U28:U43,2,3),""))</f>
        <v>0.17027693745477004</v>
      </c>
      <c r="V60" s="152">
        <f>IF(V59="Mann Withney",[1]!MTEST($O28:$O43,V28:V43,2), IF(V59="T-Test Welch",_xlfn.T.TEST($O28:$O43,V28:V43,2,3),""))</f>
        <v>0.34783482148387335</v>
      </c>
    </row>
    <row r="61" spans="1:22" s="3" customFormat="1" ht="15.75" thickBot="1" x14ac:dyDescent="0.3">
      <c r="A61" s="62" t="s">
        <v>84</v>
      </c>
      <c r="B61" s="143"/>
      <c r="C61" s="143" t="str">
        <f t="shared" ref="C61:M61" si="56">IF(C60&gt;0.05,"NS",IF(C60&gt;0.01,"*",IF(C60&gt;0.001,"**","***")))</f>
        <v>NS</v>
      </c>
      <c r="D61" s="143" t="str">
        <f t="shared" si="56"/>
        <v>*</v>
      </c>
      <c r="E61" s="143" t="str">
        <f t="shared" si="56"/>
        <v>NS</v>
      </c>
      <c r="F61" s="143" t="str">
        <f t="shared" si="56"/>
        <v>**</v>
      </c>
      <c r="G61" s="143" t="str">
        <f t="shared" si="56"/>
        <v>***</v>
      </c>
      <c r="H61" s="143" t="str">
        <f t="shared" si="56"/>
        <v>***</v>
      </c>
      <c r="I61" s="143" t="str">
        <f t="shared" si="56"/>
        <v>NS</v>
      </c>
      <c r="J61" s="143" t="str">
        <f t="shared" si="56"/>
        <v>NS</v>
      </c>
      <c r="K61" s="143" t="str">
        <f t="shared" si="56"/>
        <v>NS</v>
      </c>
      <c r="L61" s="143" t="str">
        <f t="shared" si="56"/>
        <v>*</v>
      </c>
      <c r="M61" s="143" t="str">
        <f t="shared" si="56"/>
        <v>NS</v>
      </c>
      <c r="N61" s="143"/>
      <c r="O61" s="143" t="str">
        <f>IF(O60&gt;0.05,"NS",IF(O60&gt;0.01,"*",IF(O60&gt;0.001,"**","***")))</f>
        <v>***</v>
      </c>
      <c r="P61" s="143" t="str">
        <f>IF(P60&gt;0.05,"NS",IF(P60&gt;0.01,"*",IF(P60&gt;0.001,"**","***")))</f>
        <v>NS</v>
      </c>
      <c r="Q61" s="143" t="str">
        <f t="shared" ref="Q61" si="57">IF(Q60&gt;0.05,"NS",IF(Q60&gt;0.01,"*",IF(Q60&gt;0.001,"**","***")))</f>
        <v>***</v>
      </c>
      <c r="R61" s="143" t="str">
        <f t="shared" ref="R61" si="58">IF(R60&gt;0.05,"NS",IF(R60&gt;0.01,"*",IF(R60&gt;0.001,"**","***")))</f>
        <v>NS</v>
      </c>
      <c r="S61" s="143" t="str">
        <f t="shared" ref="S61" si="59">IF(S60&gt;0.05,"NS",IF(S60&gt;0.01,"*",IF(S60&gt;0.001,"**","***")))</f>
        <v>NS</v>
      </c>
      <c r="T61" s="143" t="str">
        <f t="shared" ref="T61" si="60">IF(T60&gt;0.05,"NS",IF(T60&gt;0.01,"*",IF(T60&gt;0.001,"**","***")))</f>
        <v>*</v>
      </c>
      <c r="U61" s="143" t="str">
        <f t="shared" ref="U61" si="61">IF(U60&gt;0.05,"NS",IF(U60&gt;0.01,"*",IF(U60&gt;0.001,"**","***")))</f>
        <v>NS</v>
      </c>
      <c r="V61" s="143" t="str">
        <f t="shared" ref="V61" si="62">IF(V60&gt;0.05,"NS",IF(V60&gt;0.01,"*",IF(V60&gt;0.001,"**","***")))</f>
        <v>NS</v>
      </c>
    </row>
    <row r="63" spans="1:22" x14ac:dyDescent="0.25">
      <c r="A63" s="2" t="s">
        <v>39</v>
      </c>
    </row>
    <row r="64" spans="1:22" x14ac:dyDescent="0.25">
      <c r="A64" s="1" t="s">
        <v>23</v>
      </c>
      <c r="B64" s="1">
        <f>B46+(3*B47)</f>
        <v>0.36648994298384857</v>
      </c>
    </row>
    <row r="65" spans="1:22" x14ac:dyDescent="0.25">
      <c r="A65" s="1" t="s">
        <v>24</v>
      </c>
      <c r="B65" s="1">
        <f>B46+(10*B47)</f>
        <v>0.88519753603336437</v>
      </c>
    </row>
    <row r="66" spans="1:22" ht="15.75" thickBot="1" x14ac:dyDescent="0.3"/>
    <row r="67" spans="1:22" s="1" customFormat="1" ht="27" thickBot="1" x14ac:dyDescent="0.4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2"/>
      <c r="C73" s="12"/>
      <c r="D73" s="12"/>
      <c r="E73" s="12"/>
      <c r="F73" s="12"/>
      <c r="N73" s="12"/>
      <c r="O73" s="12"/>
      <c r="P73" s="12"/>
      <c r="Q73" s="12"/>
      <c r="R73" s="12"/>
      <c r="S73" s="12"/>
      <c r="T73" s="12"/>
      <c r="U73" s="12"/>
      <c r="V73" s="12"/>
    </row>
    <row r="74" spans="1:22" ht="16.5" x14ac:dyDescent="0.2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L1" zoomScale="80" zoomScaleNormal="80" workbookViewId="0">
      <selection activeCell="AF5" sqref="AF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106</v>
      </c>
      <c r="B1" s="1" t="s">
        <v>107</v>
      </c>
      <c r="C1" s="1" t="s">
        <v>108</v>
      </c>
      <c r="D1" s="1" t="s">
        <v>109</v>
      </c>
      <c r="E1" s="1" t="s">
        <v>110</v>
      </c>
      <c r="F1" s="1" t="s">
        <v>111</v>
      </c>
      <c r="G1" s="1" t="s">
        <v>112</v>
      </c>
      <c r="H1" s="1" t="s">
        <v>116</v>
      </c>
      <c r="I1" s="1" t="s">
        <v>117</v>
      </c>
      <c r="K1" s="119" t="s">
        <v>111</v>
      </c>
      <c r="L1" s="1" t="s">
        <v>118</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3072</v>
      </c>
      <c r="K2" s="156" t="s">
        <v>119</v>
      </c>
      <c r="L2" s="156" t="s">
        <v>120</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3073</v>
      </c>
      <c r="K3" s="119" t="s">
        <v>152</v>
      </c>
      <c r="L3" s="119" t="s">
        <v>113</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3074</v>
      </c>
      <c r="D4" s="1" t="s">
        <v>3075</v>
      </c>
      <c r="E4" s="1" t="s">
        <v>3076</v>
      </c>
      <c r="F4" s="1" t="s">
        <v>111</v>
      </c>
      <c r="G4" s="1">
        <v>197829</v>
      </c>
      <c r="K4" s="119" t="s">
        <v>100</v>
      </c>
      <c r="L4" s="1" t="s">
        <v>1638</v>
      </c>
      <c r="M4" s="1" t="s">
        <v>1639</v>
      </c>
      <c r="N4" s="1" t="s">
        <v>1640</v>
      </c>
      <c r="O4" s="1" t="s">
        <v>1641</v>
      </c>
      <c r="P4" s="1" t="s">
        <v>1642</v>
      </c>
      <c r="Q4" s="1" t="s">
        <v>1643</v>
      </c>
      <c r="R4" s="1" t="s">
        <v>1644</v>
      </c>
      <c r="S4" s="1" t="s">
        <v>1645</v>
      </c>
      <c r="T4" s="1" t="s">
        <v>1646</v>
      </c>
      <c r="U4" s="1" t="s">
        <v>1647</v>
      </c>
      <c r="V4" s="1" t="s">
        <v>1648</v>
      </c>
      <c r="W4" s="1" t="s">
        <v>1674</v>
      </c>
      <c r="X4" s="1" t="s">
        <v>3069</v>
      </c>
      <c r="Y4" s="1" t="s">
        <v>3070</v>
      </c>
      <c r="Z4" s="1" t="s">
        <v>1675</v>
      </c>
      <c r="AA4" s="1" t="s">
        <v>1676</v>
      </c>
      <c r="AB4" s="1" t="s">
        <v>1677</v>
      </c>
      <c r="AC4" s="1" t="s">
        <v>1678</v>
      </c>
      <c r="AD4" s="1" t="s">
        <v>3067</v>
      </c>
      <c r="AE4" s="1" t="s">
        <v>3068</v>
      </c>
      <c r="AF4" s="1" t="s">
        <v>3071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3077</v>
      </c>
      <c r="D5" s="1" t="s">
        <v>1680</v>
      </c>
      <c r="E5" s="1" t="s">
        <v>274</v>
      </c>
      <c r="F5" s="1" t="s">
        <v>111</v>
      </c>
      <c r="G5" s="1">
        <v>53993</v>
      </c>
      <c r="K5" s="146" t="s">
        <v>162</v>
      </c>
      <c r="L5" s="44">
        <v>197829</v>
      </c>
      <c r="M5" s="44">
        <v>269790</v>
      </c>
      <c r="N5" s="44">
        <v>778124.66666666663</v>
      </c>
      <c r="O5" s="44">
        <v>1050032</v>
      </c>
      <c r="P5" s="44">
        <v>3789533</v>
      </c>
      <c r="Q5" s="44">
        <v>5818520.5</v>
      </c>
      <c r="R5" s="44">
        <v>6675248.333333333</v>
      </c>
      <c r="S5" s="44">
        <v>323079.66666666669</v>
      </c>
      <c r="T5" s="44">
        <v>89661.333333333328</v>
      </c>
      <c r="U5" s="44">
        <v>647754</v>
      </c>
      <c r="V5" s="44">
        <v>209430.66666666666</v>
      </c>
      <c r="W5" s="44">
        <v>770416.33333333337</v>
      </c>
      <c r="X5" s="44">
        <v>3785864</v>
      </c>
      <c r="Y5" s="44">
        <v>35792.333333333336</v>
      </c>
      <c r="Z5" s="44">
        <v>957752.5</v>
      </c>
      <c r="AA5" s="44">
        <v>849680</v>
      </c>
      <c r="AB5" s="44">
        <v>1483867</v>
      </c>
      <c r="AC5" s="44">
        <v>1308988.5</v>
      </c>
      <c r="AD5" s="44">
        <v>3465228</v>
      </c>
      <c r="AE5" s="44">
        <v>1031229.3333333334</v>
      </c>
      <c r="AF5" s="44">
        <v>3538629</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3078</v>
      </c>
      <c r="D6" s="1" t="s">
        <v>3079</v>
      </c>
      <c r="E6" s="1" t="s">
        <v>3080</v>
      </c>
      <c r="F6" s="1" t="s">
        <v>111</v>
      </c>
      <c r="G6" s="1">
        <v>442189</v>
      </c>
      <c r="K6" s="146" t="s">
        <v>1659</v>
      </c>
      <c r="L6" s="44">
        <v>181535.33333333334</v>
      </c>
      <c r="M6" s="44">
        <v>519153.33333333331</v>
      </c>
      <c r="N6" s="44">
        <v>751679</v>
      </c>
      <c r="O6" s="44">
        <v>1306936.6666666667</v>
      </c>
      <c r="P6" s="44">
        <v>2557168.3333333335</v>
      </c>
      <c r="Q6" s="44">
        <v>2925271</v>
      </c>
      <c r="R6" s="44">
        <v>4663642.333333333</v>
      </c>
      <c r="S6" s="44">
        <v>69286</v>
      </c>
      <c r="T6" s="44">
        <v>11072.666666666666</v>
      </c>
      <c r="U6" s="44">
        <v>308569.66666666669</v>
      </c>
      <c r="V6" s="44">
        <v>448511.66666666669</v>
      </c>
      <c r="W6" s="44">
        <v>228139</v>
      </c>
      <c r="X6" s="44">
        <v>4878736.333333333</v>
      </c>
      <c r="Y6" s="44">
        <v>47075</v>
      </c>
      <c r="Z6" s="44">
        <v>2049319.6666666667</v>
      </c>
      <c r="AA6" s="44">
        <v>3665500.3333333335</v>
      </c>
      <c r="AB6" s="44">
        <v>3706586</v>
      </c>
      <c r="AC6" s="44">
        <v>3201913.5</v>
      </c>
      <c r="AD6" s="44">
        <v>940052.33333333337</v>
      </c>
      <c r="AE6" s="44">
        <v>95644</v>
      </c>
      <c r="AF6" s="44">
        <v>1793394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3081</v>
      </c>
      <c r="D7" s="1" t="s">
        <v>1831</v>
      </c>
      <c r="E7" s="1" t="s">
        <v>3082</v>
      </c>
      <c r="F7" s="1" t="s">
        <v>111</v>
      </c>
      <c r="G7" s="1">
        <v>48424</v>
      </c>
      <c r="K7" s="146" t="s">
        <v>1660</v>
      </c>
      <c r="L7" s="44">
        <v>374853.33333333331</v>
      </c>
      <c r="M7" s="44">
        <v>107790</v>
      </c>
      <c r="N7" s="44">
        <v>136602.5</v>
      </c>
      <c r="O7" s="44">
        <v>639038.33333333337</v>
      </c>
      <c r="P7" s="44">
        <v>127259.33333333333</v>
      </c>
      <c r="Q7" s="44">
        <v>4197873</v>
      </c>
      <c r="R7" s="44">
        <v>7916677.333333333</v>
      </c>
      <c r="S7" s="44">
        <v>401835</v>
      </c>
      <c r="T7" s="44"/>
      <c r="U7" s="44">
        <v>168801.66666666666</v>
      </c>
      <c r="V7" s="44">
        <v>222192.66666666666</v>
      </c>
      <c r="W7" s="44">
        <v>302188.66666666669</v>
      </c>
      <c r="X7" s="44">
        <v>3558718.6666666665</v>
      </c>
      <c r="Y7" s="44">
        <v>124511.33333333333</v>
      </c>
      <c r="Z7" s="44">
        <v>4250437.333333333</v>
      </c>
      <c r="AA7" s="44">
        <v>1792694.5</v>
      </c>
      <c r="AB7" s="44">
        <v>3673418.6666666665</v>
      </c>
      <c r="AC7" s="44">
        <v>2897266.6666666665</v>
      </c>
      <c r="AD7" s="44">
        <v>1760611</v>
      </c>
      <c r="AE7" s="44">
        <v>922540.66666666663</v>
      </c>
      <c r="AF7" s="44">
        <v>3601581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3083</v>
      </c>
      <c r="D8" s="1" t="s">
        <v>3084</v>
      </c>
      <c r="E8" s="1" t="s">
        <v>3085</v>
      </c>
      <c r="F8" s="1" t="s">
        <v>111</v>
      </c>
      <c r="G8" s="1">
        <v>95086</v>
      </c>
      <c r="K8" s="146" t="s">
        <v>1661</v>
      </c>
      <c r="L8" s="44">
        <v>129029</v>
      </c>
      <c r="M8" s="44">
        <v>259877.66666666666</v>
      </c>
      <c r="N8" s="44">
        <v>253844.33333333334</v>
      </c>
      <c r="O8" s="44">
        <v>106339.33333333333</v>
      </c>
      <c r="P8" s="44">
        <v>1982876.3333333333</v>
      </c>
      <c r="Q8" s="44">
        <v>2362131.5</v>
      </c>
      <c r="R8" s="44">
        <v>5456378.333333333</v>
      </c>
      <c r="S8" s="44">
        <v>60453.5</v>
      </c>
      <c r="T8" s="44">
        <v>54863</v>
      </c>
      <c r="U8" s="44">
        <v>86855.666666666672</v>
      </c>
      <c r="V8" s="44">
        <v>293842.33333333331</v>
      </c>
      <c r="W8" s="44">
        <v>40686.666666666664</v>
      </c>
      <c r="X8" s="44">
        <v>4123409.6666666665</v>
      </c>
      <c r="Y8" s="44">
        <v>27986.5</v>
      </c>
      <c r="Z8" s="44">
        <v>1831390.6666666667</v>
      </c>
      <c r="AA8" s="44">
        <v>2744910.3333333335</v>
      </c>
      <c r="AB8" s="44">
        <v>3179666.6666666665</v>
      </c>
      <c r="AC8" s="44">
        <v>3354197</v>
      </c>
      <c r="AD8" s="44">
        <v>1552707</v>
      </c>
      <c r="AE8" s="44">
        <v>3173365.3333333335</v>
      </c>
      <c r="AF8" s="44"/>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3086</v>
      </c>
      <c r="D9" s="1" t="s">
        <v>3087</v>
      </c>
      <c r="E9" s="1" t="s">
        <v>3088</v>
      </c>
      <c r="F9" s="1" t="s">
        <v>111</v>
      </c>
      <c r="G9" s="1">
        <v>616501</v>
      </c>
      <c r="K9" s="146" t="s">
        <v>1662</v>
      </c>
      <c r="L9" s="44">
        <v>86993.5</v>
      </c>
      <c r="M9" s="44">
        <v>210685.33333333334</v>
      </c>
      <c r="N9" s="44">
        <v>102960.66666666667</v>
      </c>
      <c r="O9" s="44">
        <v>913085</v>
      </c>
      <c r="P9" s="44">
        <v>387391</v>
      </c>
      <c r="Q9" s="44">
        <v>2181198.3333333335</v>
      </c>
      <c r="R9" s="44">
        <v>8738295</v>
      </c>
      <c r="S9" s="44">
        <v>175016.33333333334</v>
      </c>
      <c r="T9" s="44">
        <v>29498</v>
      </c>
      <c r="U9" s="44">
        <v>331723</v>
      </c>
      <c r="V9" s="44">
        <v>130450</v>
      </c>
      <c r="W9" s="44">
        <v>120334.33333333333</v>
      </c>
      <c r="X9" s="44">
        <v>5156589.666666667</v>
      </c>
      <c r="Y9" s="44">
        <v>34929.333333333336</v>
      </c>
      <c r="Z9" s="44">
        <v>1303746</v>
      </c>
      <c r="AA9" s="44">
        <v>2672042.6666666665</v>
      </c>
      <c r="AB9" s="44">
        <v>2972382.3333333335</v>
      </c>
      <c r="AC9" s="44">
        <v>1503329.6666666667</v>
      </c>
      <c r="AD9" s="44">
        <v>638603.5</v>
      </c>
      <c r="AE9" s="44">
        <v>3114303.6666666665</v>
      </c>
      <c r="AF9" s="44">
        <v>4920641.333333333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3089</v>
      </c>
      <c r="D10" s="1" t="s">
        <v>3090</v>
      </c>
      <c r="E10" s="1" t="s">
        <v>3091</v>
      </c>
      <c r="F10" s="1" t="s">
        <v>111</v>
      </c>
      <c r="G10" s="1">
        <v>412973</v>
      </c>
      <c r="K10" s="146" t="s">
        <v>1663</v>
      </c>
      <c r="L10" s="44">
        <v>36843.666666666664</v>
      </c>
      <c r="M10" s="44">
        <v>203049.66666666666</v>
      </c>
      <c r="N10" s="44">
        <v>1030751</v>
      </c>
      <c r="O10" s="44">
        <v>272930</v>
      </c>
      <c r="P10" s="44">
        <v>817847</v>
      </c>
      <c r="Q10" s="44">
        <v>3109017.6666666665</v>
      </c>
      <c r="R10" s="44">
        <v>6762017</v>
      </c>
      <c r="S10" s="44">
        <v>148998.66666666666</v>
      </c>
      <c r="T10" s="44">
        <v>70185</v>
      </c>
      <c r="U10" s="44">
        <v>283705.33333333331</v>
      </c>
      <c r="V10" s="44">
        <v>599958</v>
      </c>
      <c r="W10" s="44">
        <v>721775</v>
      </c>
      <c r="X10" s="44">
        <v>3209404</v>
      </c>
      <c r="Y10" s="44">
        <v>35578.5</v>
      </c>
      <c r="Z10" s="44">
        <v>1672639.3333333333</v>
      </c>
      <c r="AA10" s="44">
        <v>317119</v>
      </c>
      <c r="AB10" s="44">
        <v>1051206.6666666667</v>
      </c>
      <c r="AC10" s="44">
        <v>2241507</v>
      </c>
      <c r="AD10" s="44">
        <v>1659159</v>
      </c>
      <c r="AE10" s="44">
        <v>6322478.5</v>
      </c>
      <c r="AF10" s="44">
        <v>1375823.3333333333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3092</v>
      </c>
      <c r="D11" s="1" t="s">
        <v>3093</v>
      </c>
      <c r="E11" s="1" t="s">
        <v>3094</v>
      </c>
      <c r="F11" s="1" t="s">
        <v>111</v>
      </c>
      <c r="G11" s="1">
        <v>128804</v>
      </c>
      <c r="K11" s="146" t="s">
        <v>1664</v>
      </c>
      <c r="L11" s="44">
        <v>123641</v>
      </c>
      <c r="M11" s="44">
        <v>85514</v>
      </c>
      <c r="N11" s="44">
        <v>225644.66666666666</v>
      </c>
      <c r="O11" s="44">
        <v>172311.5</v>
      </c>
      <c r="P11" s="44">
        <v>1052272.6666666667</v>
      </c>
      <c r="Q11" s="44">
        <v>2366714.3333333335</v>
      </c>
      <c r="R11" s="44">
        <v>6261318</v>
      </c>
      <c r="S11" s="44">
        <v>132241</v>
      </c>
      <c r="T11" s="44">
        <v>157714.66666666666</v>
      </c>
      <c r="U11" s="44">
        <v>722058</v>
      </c>
      <c r="V11" s="44">
        <v>663577</v>
      </c>
      <c r="W11" s="44">
        <v>27990</v>
      </c>
      <c r="X11" s="44">
        <v>3583409</v>
      </c>
      <c r="Y11" s="44">
        <v>354840.33333333331</v>
      </c>
      <c r="Z11" s="44">
        <v>3060347</v>
      </c>
      <c r="AA11" s="44">
        <v>4865499</v>
      </c>
      <c r="AB11" s="44">
        <v>4497204.666666667</v>
      </c>
      <c r="AC11" s="44">
        <v>3798162</v>
      </c>
      <c r="AD11" s="44">
        <v>3430893.6666666665</v>
      </c>
      <c r="AE11" s="44">
        <v>1808005.6666666667</v>
      </c>
      <c r="AF11" s="44">
        <v>2893151.5</v>
      </c>
      <c r="AG11"/>
    </row>
    <row r="12" spans="1:144" x14ac:dyDescent="0.25">
      <c r="A12" s="1" t="str">
        <f t="shared" si="0"/>
        <v>01 TS</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3095</v>
      </c>
      <c r="D12" s="1" t="s">
        <v>3096</v>
      </c>
      <c r="E12" s="1" t="s">
        <v>3097</v>
      </c>
      <c r="F12" s="1" t="s">
        <v>111</v>
      </c>
      <c r="G12" s="1">
        <v>198895</v>
      </c>
      <c r="K12" s="146" t="s">
        <v>1665</v>
      </c>
      <c r="L12" s="44">
        <v>654962.33333333337</v>
      </c>
      <c r="M12" s="44">
        <v>18679.333333333332</v>
      </c>
      <c r="N12" s="44"/>
      <c r="O12" s="44">
        <v>217617</v>
      </c>
      <c r="P12" s="44"/>
      <c r="Q12" s="44">
        <v>3144092</v>
      </c>
      <c r="R12" s="44"/>
      <c r="S12" s="44">
        <v>271755.33333333331</v>
      </c>
      <c r="T12" s="44">
        <v>65950.333333333328</v>
      </c>
      <c r="U12" s="44">
        <v>45197.333333333336</v>
      </c>
      <c r="V12" s="44">
        <v>446525</v>
      </c>
      <c r="W12" s="44">
        <v>83157.333333333328</v>
      </c>
      <c r="X12" s="44"/>
      <c r="Y12" s="44">
        <v>42884</v>
      </c>
      <c r="Z12" s="44">
        <v>2937170.3333333335</v>
      </c>
      <c r="AA12" s="44">
        <v>1926454.6666666667</v>
      </c>
      <c r="AB12" s="44">
        <v>3774856.3333333335</v>
      </c>
      <c r="AC12" s="44">
        <v>1184020.6666666667</v>
      </c>
      <c r="AD12" s="44"/>
      <c r="AE12" s="44">
        <v>1319583</v>
      </c>
      <c r="AF12" s="44">
        <v>4719484.666666667</v>
      </c>
      <c r="AG12"/>
    </row>
    <row r="13" spans="1:144" x14ac:dyDescent="0.25">
      <c r="A13" s="1" t="str">
        <f t="shared" si="0"/>
        <v>01 TS</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3098</v>
      </c>
      <c r="D13" s="1" t="s">
        <v>2697</v>
      </c>
      <c r="E13" s="1">
        <v>65</v>
      </c>
      <c r="F13" s="1" t="s">
        <v>111</v>
      </c>
      <c r="G13" s="1">
        <v>59388</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3099</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3100</v>
      </c>
      <c r="D15" s="1" t="s">
        <v>3101</v>
      </c>
      <c r="E15" s="1" t="s">
        <v>3102</v>
      </c>
      <c r="F15" s="1" t="s">
        <v>111</v>
      </c>
      <c r="G15" s="1">
        <v>151537</v>
      </c>
    </row>
    <row r="16" spans="1:144" x14ac:dyDescent="0.25">
      <c r="A16" s="1" t="str">
        <f t="shared" si="0"/>
        <v>01 TS</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3103</v>
      </c>
      <c r="D16" s="1" t="s">
        <v>1782</v>
      </c>
      <c r="E16" s="1" t="s">
        <v>1737</v>
      </c>
      <c r="F16" s="1" t="s">
        <v>111</v>
      </c>
      <c r="G16" s="1">
        <v>22450</v>
      </c>
    </row>
    <row r="17" spans="1:9" x14ac:dyDescent="0.25">
      <c r="A17" s="1" t="str">
        <f t="shared" si="0"/>
        <v>01 TS</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3104</v>
      </c>
      <c r="D17" s="1" t="s">
        <v>2346</v>
      </c>
      <c r="E17" s="1" t="s">
        <v>3105</v>
      </c>
      <c r="F17" s="1" t="s">
        <v>111</v>
      </c>
      <c r="G17" s="1">
        <v>68677</v>
      </c>
    </row>
    <row r="18" spans="1:9" x14ac:dyDescent="0.25">
      <c r="A18" s="1" t="str">
        <f t="shared" si="0"/>
        <v>01 TS</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3106</v>
      </c>
      <c r="D18" s="1" t="s">
        <v>1782</v>
      </c>
      <c r="E18" s="1" t="s">
        <v>2249</v>
      </c>
      <c r="F18" s="1" t="s">
        <v>111</v>
      </c>
      <c r="G18" s="1">
        <v>22254</v>
      </c>
    </row>
    <row r="19" spans="1:9" x14ac:dyDescent="0.25">
      <c r="A19" s="1" t="str">
        <f t="shared" si="0"/>
        <v>01 TS</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3107</v>
      </c>
      <c r="D19" s="1" t="s">
        <v>1895</v>
      </c>
      <c r="E19" s="1" t="s">
        <v>3108</v>
      </c>
      <c r="F19" s="1" t="s">
        <v>111</v>
      </c>
      <c r="G19" s="1">
        <v>19600</v>
      </c>
    </row>
    <row r="20" spans="1:9" x14ac:dyDescent="0.25">
      <c r="A20" s="1" t="str">
        <f t="shared" si="0"/>
        <v>01 TS</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3109</v>
      </c>
      <c r="D20" s="1" t="s">
        <v>1909</v>
      </c>
      <c r="E20" s="1" t="s">
        <v>3110</v>
      </c>
      <c r="F20" s="1" t="s">
        <v>111</v>
      </c>
      <c r="G20" s="1">
        <v>265004</v>
      </c>
    </row>
    <row r="21" spans="1:9" x14ac:dyDescent="0.25">
      <c r="A21" s="1" t="str">
        <f t="shared" si="0"/>
        <v>01 TS</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3111</v>
      </c>
      <c r="D21" s="1" t="s">
        <v>2185</v>
      </c>
      <c r="E21" s="1" t="s">
        <v>3112</v>
      </c>
      <c r="F21" s="1" t="s">
        <v>111</v>
      </c>
      <c r="G21" s="1">
        <v>60062</v>
      </c>
    </row>
    <row r="22" spans="1:9" x14ac:dyDescent="0.25">
      <c r="A22" s="1" t="str">
        <f t="shared" si="0"/>
        <v>01 TS</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3113</v>
      </c>
      <c r="D22" s="1" t="s">
        <v>1806</v>
      </c>
      <c r="E22" s="1" t="s">
        <v>3114</v>
      </c>
      <c r="F22" s="1" t="s">
        <v>111</v>
      </c>
      <c r="G22" s="1">
        <v>45857</v>
      </c>
    </row>
    <row r="23" spans="1:9" x14ac:dyDescent="0.25">
      <c r="A23" s="1" t="str">
        <f t="shared" si="0"/>
        <v>01 TS</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3115</v>
      </c>
      <c r="D23" s="1" t="s">
        <v>2654</v>
      </c>
      <c r="E23" s="1" t="s">
        <v>3116</v>
      </c>
      <c r="F23" s="1" t="s">
        <v>111</v>
      </c>
      <c r="G23" s="1">
        <v>377515</v>
      </c>
    </row>
    <row r="24" spans="1:9" x14ac:dyDescent="0.25">
      <c r="A24" s="1" t="str">
        <f t="shared" si="0"/>
        <v>01 TS</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3117</v>
      </c>
      <c r="D24" s="1" t="s">
        <v>3118</v>
      </c>
      <c r="E24" s="1" t="s">
        <v>3119</v>
      </c>
      <c r="F24" s="1" t="s">
        <v>111</v>
      </c>
      <c r="G24" s="1">
        <v>989644</v>
      </c>
    </row>
    <row r="25" spans="1:9" x14ac:dyDescent="0.25">
      <c r="A25" s="1" t="str">
        <f t="shared" si="0"/>
        <v>01 TS</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3120</v>
      </c>
      <c r="D25" s="1" t="s">
        <v>3121</v>
      </c>
      <c r="E25" s="1" t="s">
        <v>3122</v>
      </c>
      <c r="F25" s="1" t="s">
        <v>111</v>
      </c>
      <c r="G25" s="1">
        <v>597728</v>
      </c>
    </row>
    <row r="26" spans="1:9"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111</v>
      </c>
    </row>
    <row r="27" spans="1:9"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230</v>
      </c>
      <c r="D27" s="1" t="s">
        <v>111</v>
      </c>
      <c r="E27" s="1" t="s">
        <v>231</v>
      </c>
      <c r="F27" s="1" t="s">
        <v>232</v>
      </c>
      <c r="G27" s="1" t="s">
        <v>233</v>
      </c>
      <c r="H27" s="1" t="s">
        <v>234</v>
      </c>
      <c r="I27" s="1" t="s">
        <v>235</v>
      </c>
    </row>
    <row r="28" spans="1:9" x14ac:dyDescent="0.25">
      <c r="A28" s="1" t="str">
        <f t="shared" si="0"/>
        <v>01 TS</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3123</v>
      </c>
      <c r="D28" s="1" t="s">
        <v>111</v>
      </c>
      <c r="E28" s="1" t="s">
        <v>3124</v>
      </c>
      <c r="F28" s="1" t="s">
        <v>3125</v>
      </c>
      <c r="G28" s="1">
        <v>210416</v>
      </c>
      <c r="H28" s="1" t="s">
        <v>3126</v>
      </c>
      <c r="I28" s="1">
        <v>24</v>
      </c>
    </row>
    <row r="29" spans="1:9"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111</v>
      </c>
    </row>
    <row r="30" spans="1:9"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111</v>
      </c>
    </row>
    <row r="31" spans="1:9"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111</v>
      </c>
    </row>
    <row r="32" spans="1:9"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111</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111</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240</v>
      </c>
      <c r="D34" s="1" t="s">
        <v>109</v>
      </c>
      <c r="E34" s="1" t="s">
        <v>110</v>
      </c>
      <c r="F34" s="1" t="s">
        <v>111</v>
      </c>
      <c r="G34" s="1" t="s">
        <v>112</v>
      </c>
    </row>
    <row r="35" spans="1:7" x14ac:dyDescent="0.25">
      <c r="A35" s="1" t="str">
        <f t="shared" si="0"/>
        <v>02 EE2 34</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3127</v>
      </c>
      <c r="D35" s="1" t="s">
        <v>3128</v>
      </c>
      <c r="E35" s="1" t="s">
        <v>3129</v>
      </c>
      <c r="F35" s="1" t="s">
        <v>111</v>
      </c>
      <c r="G35" s="1">
        <v>249298</v>
      </c>
    </row>
    <row r="36" spans="1:7" x14ac:dyDescent="0.25">
      <c r="A36" s="1" t="str">
        <f t="shared" si="0"/>
        <v>02 EE2 34</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3130</v>
      </c>
      <c r="D36" s="1" t="s">
        <v>3131</v>
      </c>
      <c r="E36" s="1" t="s">
        <v>3132</v>
      </c>
      <c r="F36" s="1" t="s">
        <v>111</v>
      </c>
      <c r="G36" s="1">
        <v>290282</v>
      </c>
    </row>
    <row r="37" spans="1:7" x14ac:dyDescent="0.25">
      <c r="A37" s="1" t="str">
        <f t="shared" si="0"/>
        <v>02 EE2 34</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3133</v>
      </c>
    </row>
    <row r="38" spans="1:7" x14ac:dyDescent="0.25">
      <c r="A38" s="1" t="str">
        <f t="shared" si="0"/>
        <v>02 EE2 34</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3134</v>
      </c>
      <c r="D38" s="1" t="s">
        <v>3135</v>
      </c>
      <c r="E38" s="1" t="s">
        <v>3136</v>
      </c>
      <c r="F38" s="1" t="s">
        <v>111</v>
      </c>
      <c r="G38" s="1">
        <v>571384</v>
      </c>
    </row>
    <row r="39" spans="1:7" x14ac:dyDescent="0.25">
      <c r="A39" s="1" t="str">
        <f t="shared" si="0"/>
        <v>02 EE2 34</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3137</v>
      </c>
      <c r="D39" s="1" t="s">
        <v>3138</v>
      </c>
      <c r="E39" s="1" t="s">
        <v>3139</v>
      </c>
      <c r="F39" s="1" t="s">
        <v>111</v>
      </c>
      <c r="G39" s="1">
        <v>434836</v>
      </c>
    </row>
    <row r="40" spans="1:7" x14ac:dyDescent="0.25">
      <c r="A40" s="1" t="str">
        <f t="shared" si="0"/>
        <v>02 EE2 34</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3140</v>
      </c>
      <c r="D40" s="1" t="s">
        <v>3141</v>
      </c>
      <c r="E40" s="1" t="s">
        <v>3142</v>
      </c>
      <c r="F40" s="1" t="s">
        <v>111</v>
      </c>
      <c r="G40" s="1">
        <v>551240</v>
      </c>
    </row>
    <row r="41" spans="1:7" x14ac:dyDescent="0.25">
      <c r="A41" s="1" t="str">
        <f t="shared" si="0"/>
        <v>02 EE2 34</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3143</v>
      </c>
      <c r="D41" s="1" t="s">
        <v>1889</v>
      </c>
      <c r="E41" s="1" t="s">
        <v>3144</v>
      </c>
      <c r="F41" s="1" t="s">
        <v>111</v>
      </c>
      <c r="G41" s="1">
        <v>122104</v>
      </c>
    </row>
    <row r="42" spans="1:7" x14ac:dyDescent="0.25">
      <c r="A42" s="1" t="str">
        <f t="shared" si="0"/>
        <v>02 EE2 34</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3145</v>
      </c>
      <c r="D42" s="1" t="s">
        <v>3146</v>
      </c>
      <c r="E42" s="1" t="s">
        <v>3147</v>
      </c>
      <c r="F42" s="1" t="s">
        <v>111</v>
      </c>
      <c r="G42" s="1">
        <v>156714</v>
      </c>
    </row>
    <row r="43" spans="1:7" x14ac:dyDescent="0.25">
      <c r="A43" s="1" t="str">
        <f t="shared" si="0"/>
        <v>02 EE2 34</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3148</v>
      </c>
      <c r="D43" s="1" t="s">
        <v>2248</v>
      </c>
      <c r="E43" s="1">
        <v>64</v>
      </c>
      <c r="F43" s="1" t="s">
        <v>111</v>
      </c>
      <c r="G43" s="1">
        <v>44552</v>
      </c>
    </row>
    <row r="44" spans="1:7" x14ac:dyDescent="0.25">
      <c r="A44" s="1" t="str">
        <f t="shared" si="0"/>
        <v>02 EE2 34</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3149</v>
      </c>
      <c r="D44" s="1" t="s">
        <v>3150</v>
      </c>
      <c r="E44" s="1" t="s">
        <v>3151</v>
      </c>
      <c r="F44" s="1" t="s">
        <v>111</v>
      </c>
      <c r="G44" s="1">
        <v>270356</v>
      </c>
    </row>
    <row r="45" spans="1:7" x14ac:dyDescent="0.25">
      <c r="A45" s="1" t="str">
        <f t="shared" si="0"/>
        <v>02 EE2 34</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3152</v>
      </c>
      <c r="D45" s="1" t="s">
        <v>3153</v>
      </c>
      <c r="E45" s="1" t="s">
        <v>3154</v>
      </c>
      <c r="F45" s="1" t="s">
        <v>111</v>
      </c>
      <c r="G45" s="1">
        <v>243642</v>
      </c>
    </row>
    <row r="46" spans="1:7" x14ac:dyDescent="0.25">
      <c r="A46" s="1" t="str">
        <f t="shared" si="0"/>
        <v>02 EE2 34</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3155</v>
      </c>
      <c r="D46" s="1" t="s">
        <v>3156</v>
      </c>
      <c r="E46" s="1" t="s">
        <v>3157</v>
      </c>
      <c r="F46" s="1" t="s">
        <v>111</v>
      </c>
      <c r="G46" s="1">
        <v>265635</v>
      </c>
    </row>
    <row r="47" spans="1:7" x14ac:dyDescent="0.25">
      <c r="A47" s="1" t="str">
        <f t="shared" si="0"/>
        <v>02 EE2 34</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3158</v>
      </c>
      <c r="D47" s="1" t="s">
        <v>3159</v>
      </c>
      <c r="E47" s="1" t="s">
        <v>3160</v>
      </c>
      <c r="F47" s="1" t="s">
        <v>111</v>
      </c>
      <c r="G47" s="1">
        <v>133764</v>
      </c>
    </row>
    <row r="48" spans="1:7" x14ac:dyDescent="0.25">
      <c r="A48" s="1" t="str">
        <f t="shared" si="0"/>
        <v>02 EE2 34</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3161</v>
      </c>
      <c r="D48" s="1" t="s">
        <v>3162</v>
      </c>
      <c r="E48" s="1" t="s">
        <v>3163</v>
      </c>
      <c r="F48" s="1" t="s">
        <v>111</v>
      </c>
      <c r="G48" s="1">
        <v>324479</v>
      </c>
    </row>
    <row r="49" spans="1:9" x14ac:dyDescent="0.25">
      <c r="A49" s="1" t="str">
        <f t="shared" si="0"/>
        <v>02 EE2 34</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3164</v>
      </c>
      <c r="D49" s="1" t="s">
        <v>1771</v>
      </c>
      <c r="E49" s="1" t="s">
        <v>3165</v>
      </c>
      <c r="F49" s="1" t="s">
        <v>111</v>
      </c>
      <c r="G49" s="1">
        <v>173813</v>
      </c>
    </row>
    <row r="50" spans="1:9" x14ac:dyDescent="0.25">
      <c r="A50" s="1" t="str">
        <f t="shared" si="0"/>
        <v>02 EE2 34</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3166</v>
      </c>
      <c r="D50" s="1" t="s">
        <v>3167</v>
      </c>
      <c r="E50" s="1" t="s">
        <v>3168</v>
      </c>
      <c r="F50" s="1" t="s">
        <v>111</v>
      </c>
      <c r="G50" s="1">
        <v>182166</v>
      </c>
    </row>
    <row r="51" spans="1:9" x14ac:dyDescent="0.25">
      <c r="A51" s="1" t="str">
        <f t="shared" si="0"/>
        <v>02 EE2 34</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3169</v>
      </c>
      <c r="D51" s="1" t="s">
        <v>3170</v>
      </c>
      <c r="E51" s="1" t="s">
        <v>3171</v>
      </c>
      <c r="F51" s="1" t="s">
        <v>111</v>
      </c>
      <c r="G51" s="1">
        <v>245187</v>
      </c>
    </row>
    <row r="52" spans="1:9" x14ac:dyDescent="0.25">
      <c r="A52" s="1" t="str">
        <f t="shared" si="0"/>
        <v>02 EE2 34</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3172</v>
      </c>
      <c r="D52" s="1" t="s">
        <v>3173</v>
      </c>
      <c r="E52" s="1" t="s">
        <v>3174</v>
      </c>
      <c r="F52" s="1" t="s">
        <v>111</v>
      </c>
      <c r="G52" s="1">
        <v>181796</v>
      </c>
    </row>
    <row r="53" spans="1:9" x14ac:dyDescent="0.25">
      <c r="A53" s="1" t="str">
        <f t="shared" si="0"/>
        <v>02 EE2 34</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3175</v>
      </c>
      <c r="D53" s="1" t="s">
        <v>1803</v>
      </c>
      <c r="E53" s="1" t="s">
        <v>3176</v>
      </c>
      <c r="F53" s="1" t="s">
        <v>111</v>
      </c>
      <c r="G53" s="1">
        <v>98871</v>
      </c>
    </row>
    <row r="54" spans="1:9" x14ac:dyDescent="0.25">
      <c r="A54" s="1" t="str">
        <f t="shared" si="0"/>
        <v>02 EE2 34</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3177</v>
      </c>
    </row>
    <row r="55" spans="1:9" x14ac:dyDescent="0.25">
      <c r="A55" s="1" t="str">
        <f t="shared" si="0"/>
        <v>02 EE2 34</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3178</v>
      </c>
      <c r="D55" s="1" t="s">
        <v>1860</v>
      </c>
      <c r="E55" s="1" t="s">
        <v>3179</v>
      </c>
      <c r="F55" s="1" t="s">
        <v>111</v>
      </c>
      <c r="G55" s="1">
        <v>72157</v>
      </c>
    </row>
    <row r="56" spans="1:9" x14ac:dyDescent="0.25">
      <c r="A56" s="1" t="str">
        <f t="shared" si="0"/>
        <v>02 EE2 34</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3180</v>
      </c>
      <c r="D56" s="1" t="s">
        <v>1782</v>
      </c>
      <c r="E56" s="1" t="s">
        <v>3181</v>
      </c>
      <c r="F56" s="1" t="s">
        <v>111</v>
      </c>
      <c r="G56" s="1">
        <v>21667</v>
      </c>
    </row>
    <row r="57" spans="1:9" x14ac:dyDescent="0.25">
      <c r="A57" s="1" t="str">
        <f t="shared" si="0"/>
        <v>02 EE2 34</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3182</v>
      </c>
      <c r="D57" s="1" t="s">
        <v>1758</v>
      </c>
      <c r="E57" s="1" t="s">
        <v>3183</v>
      </c>
      <c r="F57" s="1" t="s">
        <v>111</v>
      </c>
      <c r="G57" s="1">
        <v>19404</v>
      </c>
    </row>
    <row r="58" spans="1:9" x14ac:dyDescent="0.25">
      <c r="A58" s="1" t="str">
        <f t="shared" si="0"/>
        <v>02 EE2 34</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3184</v>
      </c>
      <c r="D58" s="1" t="s">
        <v>1714</v>
      </c>
      <c r="E58" s="1" t="s">
        <v>3185</v>
      </c>
      <c r="F58" s="1" t="s">
        <v>111</v>
      </c>
      <c r="G58" s="1">
        <v>14967</v>
      </c>
    </row>
    <row r="59" spans="1:9"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111</v>
      </c>
    </row>
    <row r="60" spans="1:9"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230</v>
      </c>
      <c r="D60" s="1" t="s">
        <v>111</v>
      </c>
      <c r="E60" s="1" t="s">
        <v>231</v>
      </c>
      <c r="F60" s="1" t="s">
        <v>232</v>
      </c>
      <c r="G60" s="1" t="s">
        <v>233</v>
      </c>
      <c r="H60" s="1" t="s">
        <v>234</v>
      </c>
      <c r="I60" s="1" t="s">
        <v>235</v>
      </c>
    </row>
    <row r="61" spans="1:9" x14ac:dyDescent="0.25">
      <c r="A61" s="1" t="str">
        <f t="shared" si="0"/>
        <v>02 EE2 34</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3186</v>
      </c>
      <c r="D61" s="1" t="s">
        <v>111</v>
      </c>
      <c r="E61" s="1" t="s">
        <v>3187</v>
      </c>
      <c r="F61" s="1" t="s">
        <v>3188</v>
      </c>
      <c r="G61" s="1" t="s">
        <v>3189</v>
      </c>
      <c r="H61" s="1" t="s">
        <v>3190</v>
      </c>
      <c r="I61" s="1">
        <v>24</v>
      </c>
    </row>
    <row r="62" spans="1:9"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111</v>
      </c>
    </row>
    <row r="63" spans="1:9"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111</v>
      </c>
    </row>
    <row r="64" spans="1:9"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111</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111</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111</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240</v>
      </c>
      <c r="D67" s="1" t="s">
        <v>109</v>
      </c>
      <c r="E67" s="1" t="s">
        <v>110</v>
      </c>
      <c r="F67" s="1" t="s">
        <v>111</v>
      </c>
      <c r="G67" s="1" t="s">
        <v>112</v>
      </c>
    </row>
    <row r="68" spans="1:7" x14ac:dyDescent="0.25">
      <c r="A68" s="1" t="str">
        <f t="shared" si="1"/>
        <v>03 EE2 51</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3191</v>
      </c>
      <c r="D68" s="1" t="s">
        <v>2525</v>
      </c>
      <c r="E68" s="1" t="s">
        <v>3192</v>
      </c>
      <c r="F68" s="1" t="s">
        <v>111</v>
      </c>
      <c r="G68" s="1">
        <v>1222409</v>
      </c>
    </row>
    <row r="69" spans="1:7" x14ac:dyDescent="0.25">
      <c r="A69" s="1" t="str">
        <f t="shared" si="1"/>
        <v>03 EE2 51</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3193</v>
      </c>
      <c r="D69" s="1" t="s">
        <v>3194</v>
      </c>
      <c r="E69" s="1" t="s">
        <v>3195</v>
      </c>
      <c r="F69" s="1" t="s">
        <v>111</v>
      </c>
      <c r="G69" s="1">
        <v>521111</v>
      </c>
    </row>
    <row r="70" spans="1:7" x14ac:dyDescent="0.25">
      <c r="A70" s="1" t="str">
        <f t="shared" si="1"/>
        <v>03 EE2 51</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3196</v>
      </c>
      <c r="D70" s="1" t="s">
        <v>3197</v>
      </c>
      <c r="E70" s="1" t="s">
        <v>3198</v>
      </c>
      <c r="F70" s="1" t="s">
        <v>111</v>
      </c>
      <c r="G70" s="1">
        <v>590854</v>
      </c>
    </row>
    <row r="71" spans="1:7" x14ac:dyDescent="0.25">
      <c r="A71" s="1" t="str">
        <f t="shared" si="1"/>
        <v>03 EE2 51</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3199</v>
      </c>
      <c r="D71" s="1" t="s">
        <v>3200</v>
      </c>
      <c r="E71" s="1" t="s">
        <v>3201</v>
      </c>
      <c r="F71" s="1" t="s">
        <v>111</v>
      </c>
      <c r="G71" s="1">
        <v>765362</v>
      </c>
    </row>
    <row r="72" spans="1:7" x14ac:dyDescent="0.25">
      <c r="A72" s="1" t="str">
        <f t="shared" si="1"/>
        <v>03 EE2 51</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3202</v>
      </c>
      <c r="D72" s="1" t="s">
        <v>3203</v>
      </c>
      <c r="E72" s="1" t="s">
        <v>3204</v>
      </c>
      <c r="F72" s="1" t="s">
        <v>111</v>
      </c>
      <c r="G72" s="1">
        <v>698665</v>
      </c>
    </row>
    <row r="73" spans="1:7" x14ac:dyDescent="0.25">
      <c r="A73" s="1" t="str">
        <f t="shared" si="1"/>
        <v>03 EE2 51</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3205</v>
      </c>
      <c r="D73" s="1" t="s">
        <v>3206</v>
      </c>
      <c r="E73" s="1" t="s">
        <v>3207</v>
      </c>
      <c r="F73" s="1" t="s">
        <v>111</v>
      </c>
      <c r="G73" s="1">
        <v>791010</v>
      </c>
    </row>
    <row r="74" spans="1:7" x14ac:dyDescent="0.25">
      <c r="A74" s="1" t="str">
        <f t="shared" si="1"/>
        <v>03 EE2 51</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3208</v>
      </c>
      <c r="D74" s="1" t="s">
        <v>3209</v>
      </c>
      <c r="E74" s="1" t="s">
        <v>3210</v>
      </c>
      <c r="F74" s="1" t="s">
        <v>111</v>
      </c>
      <c r="G74" s="1">
        <v>112728</v>
      </c>
    </row>
    <row r="75" spans="1:7" x14ac:dyDescent="0.25">
      <c r="A75" s="1" t="str">
        <f t="shared" si="1"/>
        <v>03 EE2 51</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3211</v>
      </c>
      <c r="D75" s="1" t="s">
        <v>2223</v>
      </c>
      <c r="E75" s="1" t="s">
        <v>3212</v>
      </c>
      <c r="F75" s="1" t="s">
        <v>111</v>
      </c>
      <c r="G75" s="1">
        <v>160477</v>
      </c>
    </row>
    <row r="76" spans="1:7" x14ac:dyDescent="0.25">
      <c r="A76" s="1" t="str">
        <f t="shared" si="1"/>
        <v>03 EE2 51</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3213</v>
      </c>
    </row>
    <row r="77" spans="1:7" x14ac:dyDescent="0.25">
      <c r="A77" s="1" t="str">
        <f t="shared" si="1"/>
        <v>03 EE2 51</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3214</v>
      </c>
      <c r="D77" s="1" t="s">
        <v>1797</v>
      </c>
      <c r="E77" s="1" t="s">
        <v>3215</v>
      </c>
      <c r="F77" s="1" t="s">
        <v>111</v>
      </c>
      <c r="G77" s="1">
        <v>279927</v>
      </c>
    </row>
    <row r="78" spans="1:7" x14ac:dyDescent="0.25">
      <c r="A78" s="1" t="str">
        <f t="shared" si="1"/>
        <v>03 EE2 51</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3216</v>
      </c>
      <c r="D78" s="1" t="s">
        <v>3217</v>
      </c>
      <c r="E78" s="1" t="s">
        <v>3218</v>
      </c>
      <c r="F78" s="1" t="s">
        <v>111</v>
      </c>
      <c r="G78" s="1">
        <v>325240</v>
      </c>
    </row>
    <row r="79" spans="1:7" x14ac:dyDescent="0.25">
      <c r="A79" s="1" t="str">
        <f t="shared" si="1"/>
        <v>03 EE2 51</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3219</v>
      </c>
      <c r="D79" s="1" t="s">
        <v>3220</v>
      </c>
      <c r="E79" s="1" t="s">
        <v>3221</v>
      </c>
      <c r="F79" s="1" t="s">
        <v>111</v>
      </c>
      <c r="G79" s="1">
        <v>156366</v>
      </c>
    </row>
    <row r="80" spans="1:7" x14ac:dyDescent="0.25">
      <c r="A80" s="1" t="str">
        <f t="shared" si="1"/>
        <v>03 EE2 51</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3222</v>
      </c>
      <c r="D80" s="1" t="s">
        <v>1909</v>
      </c>
      <c r="E80" s="1" t="s">
        <v>3223</v>
      </c>
      <c r="F80" s="1" t="s">
        <v>111</v>
      </c>
      <c r="G80" s="1">
        <v>259675</v>
      </c>
    </row>
    <row r="81" spans="1:9" x14ac:dyDescent="0.25">
      <c r="A81" s="1" t="str">
        <f t="shared" si="1"/>
        <v>03 EE2 51</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3224</v>
      </c>
      <c r="D81" s="1" t="s">
        <v>1736</v>
      </c>
      <c r="E81" s="1" t="s">
        <v>3225</v>
      </c>
      <c r="F81" s="1" t="s">
        <v>111</v>
      </c>
      <c r="G81" s="1">
        <v>27257</v>
      </c>
    </row>
    <row r="82" spans="1:9" x14ac:dyDescent="0.25">
      <c r="A82" s="1" t="str">
        <f t="shared" si="1"/>
        <v>03 EE2 51</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3226</v>
      </c>
      <c r="D82" s="1" t="s">
        <v>1782</v>
      </c>
      <c r="E82" s="1" t="s">
        <v>3227</v>
      </c>
      <c r="F82" s="1" t="s">
        <v>111</v>
      </c>
      <c r="G82" s="1">
        <v>21950</v>
      </c>
    </row>
    <row r="83" spans="1:9" x14ac:dyDescent="0.25">
      <c r="A83" s="1" t="str">
        <f t="shared" si="1"/>
        <v>03 EE2 51</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3228</v>
      </c>
      <c r="D83" s="1" t="s">
        <v>3229</v>
      </c>
      <c r="E83" s="1" t="s">
        <v>3230</v>
      </c>
      <c r="F83" s="1" t="s">
        <v>111</v>
      </c>
      <c r="G83" s="1">
        <v>992733</v>
      </c>
    </row>
    <row r="84" spans="1:9" x14ac:dyDescent="0.25">
      <c r="A84" s="1" t="str">
        <f t="shared" si="1"/>
        <v>03 EE2 51</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3231</v>
      </c>
      <c r="D84" s="1" t="s">
        <v>3232</v>
      </c>
      <c r="E84" s="1" t="s">
        <v>3233</v>
      </c>
      <c r="F84" s="1" t="s">
        <v>111</v>
      </c>
      <c r="G84" s="1">
        <v>1089406</v>
      </c>
    </row>
    <row r="85" spans="1:9" x14ac:dyDescent="0.25">
      <c r="A85" s="1" t="str">
        <f t="shared" si="1"/>
        <v>03 EE2 51</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3234</v>
      </c>
      <c r="D85" s="1" t="s">
        <v>3235</v>
      </c>
      <c r="E85" s="1" t="s">
        <v>3236</v>
      </c>
      <c r="F85" s="1" t="s">
        <v>111</v>
      </c>
      <c r="G85" s="1">
        <v>1010114</v>
      </c>
    </row>
    <row r="86" spans="1:9" x14ac:dyDescent="0.25">
      <c r="A86" s="1" t="str">
        <f t="shared" si="1"/>
        <v>03 EE2 51</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3237</v>
      </c>
      <c r="D86" s="1" t="s">
        <v>3238</v>
      </c>
      <c r="E86" s="1" t="s">
        <v>3239</v>
      </c>
      <c r="F86" s="1" t="s">
        <v>111</v>
      </c>
      <c r="G86" s="1">
        <v>425460</v>
      </c>
    </row>
    <row r="87" spans="1:9" x14ac:dyDescent="0.25">
      <c r="A87" s="1" t="str">
        <f t="shared" si="1"/>
        <v>03 EE2 51</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3240</v>
      </c>
      <c r="D87" s="1" t="s">
        <v>2674</v>
      </c>
      <c r="E87" s="1" t="s">
        <v>3241</v>
      </c>
      <c r="F87" s="1" t="s">
        <v>111</v>
      </c>
      <c r="G87" s="1">
        <v>72288</v>
      </c>
    </row>
    <row r="88" spans="1:9" x14ac:dyDescent="0.25">
      <c r="A88" s="1" t="str">
        <f t="shared" si="1"/>
        <v>03 EE2 51</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3242</v>
      </c>
      <c r="D88" s="1" t="s">
        <v>3243</v>
      </c>
      <c r="E88" s="1" t="s">
        <v>3244</v>
      </c>
      <c r="F88" s="1" t="s">
        <v>111</v>
      </c>
      <c r="G88" s="1">
        <v>179186</v>
      </c>
    </row>
    <row r="89" spans="1:9" x14ac:dyDescent="0.25">
      <c r="A89" s="1" t="str">
        <f t="shared" si="1"/>
        <v>03 EE2 51</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3245</v>
      </c>
    </row>
    <row r="90" spans="1:9" x14ac:dyDescent="0.25">
      <c r="A90" s="1" t="str">
        <f t="shared" si="1"/>
        <v>03 EE2 51</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3246</v>
      </c>
    </row>
    <row r="91" spans="1:9" x14ac:dyDescent="0.25">
      <c r="A91" s="1" t="str">
        <f t="shared" si="1"/>
        <v>03 EE2 51</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3247</v>
      </c>
    </row>
    <row r="92" spans="1:9"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111</v>
      </c>
    </row>
    <row r="93" spans="1:9"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230</v>
      </c>
      <c r="D93" s="1" t="s">
        <v>111</v>
      </c>
      <c r="E93" s="1" t="s">
        <v>231</v>
      </c>
      <c r="F93" s="1" t="s">
        <v>232</v>
      </c>
      <c r="G93" s="1" t="s">
        <v>233</v>
      </c>
      <c r="H93" s="1" t="s">
        <v>234</v>
      </c>
      <c r="I93" s="1" t="s">
        <v>235</v>
      </c>
    </row>
    <row r="94" spans="1:9" x14ac:dyDescent="0.25">
      <c r="A94" s="1" t="str">
        <f t="shared" si="1"/>
        <v>03 EE2 51</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3248</v>
      </c>
      <c r="D94" s="1" t="s">
        <v>111</v>
      </c>
      <c r="E94" s="1" t="s">
        <v>3249</v>
      </c>
      <c r="F94" s="1" t="s">
        <v>3250</v>
      </c>
      <c r="G94" s="1" t="s">
        <v>3251</v>
      </c>
      <c r="H94" s="1" t="s">
        <v>3252</v>
      </c>
      <c r="I94" s="1">
        <v>24</v>
      </c>
    </row>
    <row r="95" spans="1:9"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111</v>
      </c>
    </row>
    <row r="96" spans="1:9"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111</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111</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111</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111</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240</v>
      </c>
      <c r="D100" s="1" t="s">
        <v>109</v>
      </c>
      <c r="E100" s="1" t="s">
        <v>110</v>
      </c>
      <c r="F100" s="1" t="s">
        <v>111</v>
      </c>
      <c r="G100" s="1" t="s">
        <v>112</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3253</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3254</v>
      </c>
      <c r="D102" s="1" t="s">
        <v>3255</v>
      </c>
      <c r="E102" s="1" t="s">
        <v>3256</v>
      </c>
      <c r="F102" s="1" t="s">
        <v>111</v>
      </c>
      <c r="G102" s="1">
        <v>1004697</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3257</v>
      </c>
      <c r="D103" s="1" t="s">
        <v>3258</v>
      </c>
      <c r="E103" s="1" t="s">
        <v>3259</v>
      </c>
      <c r="F103" s="1" t="s">
        <v>111</v>
      </c>
      <c r="G103" s="1">
        <v>1095367</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3260</v>
      </c>
      <c r="D104" s="1" t="s">
        <v>3261</v>
      </c>
      <c r="E104" s="1" t="s">
        <v>3262</v>
      </c>
      <c r="F104" s="1" t="s">
        <v>111</v>
      </c>
      <c r="G104" s="1">
        <v>1168873</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3263</v>
      </c>
      <c r="D105" s="1" t="s">
        <v>3264</v>
      </c>
      <c r="E105" s="1" t="s">
        <v>3265</v>
      </c>
      <c r="F105" s="1" t="s">
        <v>111</v>
      </c>
      <c r="G105" s="1">
        <v>1205767</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3266</v>
      </c>
      <c r="D106" s="1" t="s">
        <v>3267</v>
      </c>
      <c r="E106" s="1" t="s">
        <v>3268</v>
      </c>
      <c r="F106" s="1" t="s">
        <v>111</v>
      </c>
      <c r="G106" s="1">
        <v>1546170</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3269</v>
      </c>
      <c r="D107" s="1" t="s">
        <v>3270</v>
      </c>
      <c r="E107" s="1" t="s">
        <v>3271</v>
      </c>
      <c r="F107" s="1" t="s">
        <v>111</v>
      </c>
      <c r="G107" s="1">
        <v>637559</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3272</v>
      </c>
      <c r="D108" s="1" t="s">
        <v>2530</v>
      </c>
      <c r="E108" s="1" t="s">
        <v>3273</v>
      </c>
      <c r="F108" s="1" t="s">
        <v>111</v>
      </c>
      <c r="G108" s="1">
        <v>713632</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3274</v>
      </c>
      <c r="D109" s="1" t="s">
        <v>3275</v>
      </c>
      <c r="E109" s="1" t="s">
        <v>3276</v>
      </c>
      <c r="F109" s="1" t="s">
        <v>111</v>
      </c>
      <c r="G109" s="1">
        <v>565924</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3277</v>
      </c>
      <c r="D110" s="1" t="s">
        <v>1822</v>
      </c>
      <c r="E110" s="1" t="s">
        <v>3278</v>
      </c>
      <c r="F110" s="1" t="s">
        <v>111</v>
      </c>
      <c r="G110" s="1">
        <v>87341</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3279</v>
      </c>
      <c r="D111" s="1" t="s">
        <v>3280</v>
      </c>
      <c r="E111" s="1" t="s">
        <v>3281</v>
      </c>
      <c r="F111" s="1" t="s">
        <v>111</v>
      </c>
      <c r="G111" s="1">
        <v>145989</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3282</v>
      </c>
      <c r="D112" s="1" t="s">
        <v>3283</v>
      </c>
      <c r="E112" s="1" t="s">
        <v>3284</v>
      </c>
      <c r="F112" s="1" t="s">
        <v>111</v>
      </c>
      <c r="G112" s="1">
        <v>85688</v>
      </c>
    </row>
    <row r="113" spans="1:9"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3285</v>
      </c>
      <c r="D113" s="1" t="s">
        <v>3286</v>
      </c>
      <c r="E113" s="1" t="s">
        <v>3287</v>
      </c>
      <c r="F113" s="1" t="s">
        <v>111</v>
      </c>
      <c r="G113" s="1">
        <v>708629</v>
      </c>
    </row>
    <row r="114" spans="1:9"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3288</v>
      </c>
      <c r="D114" s="1" t="s">
        <v>3289</v>
      </c>
      <c r="E114" s="1" t="s">
        <v>3290</v>
      </c>
      <c r="F114" s="1" t="s">
        <v>111</v>
      </c>
      <c r="G114" s="1">
        <v>1544908</v>
      </c>
    </row>
    <row r="115" spans="1:9"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3291</v>
      </c>
      <c r="D115" s="1" t="s">
        <v>3292</v>
      </c>
      <c r="E115" s="1" t="s">
        <v>3293</v>
      </c>
      <c r="F115" s="1" t="s">
        <v>111</v>
      </c>
      <c r="G115" s="1">
        <v>485718</v>
      </c>
    </row>
    <row r="116" spans="1:9"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3294</v>
      </c>
      <c r="D116" s="1" t="s">
        <v>2005</v>
      </c>
      <c r="E116" s="1" t="s">
        <v>3295</v>
      </c>
      <c r="F116" s="1" t="s">
        <v>111</v>
      </c>
      <c r="G116" s="1">
        <v>193152</v>
      </c>
    </row>
    <row r="117" spans="1:9"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3296</v>
      </c>
      <c r="D117" s="1" t="s">
        <v>3297</v>
      </c>
      <c r="E117" s="1" t="s">
        <v>3298</v>
      </c>
      <c r="F117" s="1" t="s">
        <v>111</v>
      </c>
      <c r="G117" s="1">
        <v>343514</v>
      </c>
    </row>
    <row r="118" spans="1:9"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3299</v>
      </c>
      <c r="D118" s="1" t="s">
        <v>1695</v>
      </c>
      <c r="E118" s="1" t="s">
        <v>3300</v>
      </c>
      <c r="F118" s="1" t="s">
        <v>111</v>
      </c>
      <c r="G118" s="1">
        <v>282124</v>
      </c>
    </row>
    <row r="119" spans="1:9"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3301</v>
      </c>
      <c r="D119" s="1" t="s">
        <v>1797</v>
      </c>
      <c r="E119" s="1" t="s">
        <v>3302</v>
      </c>
      <c r="F119" s="1" t="s">
        <v>111</v>
      </c>
      <c r="G119" s="1">
        <v>265178</v>
      </c>
    </row>
    <row r="120" spans="1:9"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3303</v>
      </c>
      <c r="D120" s="1" t="s">
        <v>3304</v>
      </c>
      <c r="E120" s="1" t="s">
        <v>3305</v>
      </c>
      <c r="F120" s="1" t="s">
        <v>111</v>
      </c>
      <c r="G120" s="1">
        <v>79445</v>
      </c>
    </row>
    <row r="121" spans="1:9"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3306</v>
      </c>
    </row>
    <row r="122" spans="1:9"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3307</v>
      </c>
      <c r="D122" s="1" t="s">
        <v>2204</v>
      </c>
      <c r="E122" s="1" t="s">
        <v>3308</v>
      </c>
      <c r="F122" s="1" t="s">
        <v>111</v>
      </c>
      <c r="G122" s="1">
        <v>395483</v>
      </c>
    </row>
    <row r="123" spans="1:9"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3309</v>
      </c>
      <c r="D123" s="1" t="s">
        <v>3220</v>
      </c>
      <c r="E123" s="1" t="s">
        <v>3310</v>
      </c>
      <c r="F123" s="1" t="s">
        <v>111</v>
      </c>
      <c r="G123" s="1">
        <v>154473</v>
      </c>
    </row>
    <row r="124" spans="1:9"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3311</v>
      </c>
      <c r="D124" s="1" t="s">
        <v>3312</v>
      </c>
      <c r="E124" s="1" t="s">
        <v>3313</v>
      </c>
      <c r="F124" s="1" t="s">
        <v>111</v>
      </c>
      <c r="G124" s="1">
        <v>102895</v>
      </c>
    </row>
    <row r="125" spans="1:9"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111</v>
      </c>
    </row>
    <row r="126" spans="1:9"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230</v>
      </c>
      <c r="D126" s="1" t="s">
        <v>111</v>
      </c>
      <c r="E126" s="1" t="s">
        <v>231</v>
      </c>
      <c r="F126" s="1" t="s">
        <v>232</v>
      </c>
      <c r="G126" s="1" t="s">
        <v>233</v>
      </c>
      <c r="H126" s="1" t="s">
        <v>234</v>
      </c>
      <c r="I126" s="1" t="s">
        <v>235</v>
      </c>
    </row>
    <row r="127" spans="1:9"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3314</v>
      </c>
      <c r="D127" s="1" t="s">
        <v>111</v>
      </c>
      <c r="E127" s="1" t="s">
        <v>3315</v>
      </c>
      <c r="F127" s="1" t="s">
        <v>3316</v>
      </c>
      <c r="G127" s="1" t="s">
        <v>3317</v>
      </c>
      <c r="H127" s="1" t="s">
        <v>3318</v>
      </c>
      <c r="I127" s="1">
        <v>24</v>
      </c>
    </row>
    <row r="128" spans="1:9"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111</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111</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111</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111</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111</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240</v>
      </c>
      <c r="D133" s="1" t="s">
        <v>109</v>
      </c>
      <c r="E133" s="1" t="s">
        <v>110</v>
      </c>
      <c r="F133" s="1" t="s">
        <v>111</v>
      </c>
      <c r="G133" s="1" t="s">
        <v>112</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3319</v>
      </c>
      <c r="D134" s="1" t="s">
        <v>3320</v>
      </c>
      <c r="E134" s="1" t="s">
        <v>3321</v>
      </c>
      <c r="F134" s="1" t="s">
        <v>111</v>
      </c>
      <c r="G134" s="1">
        <v>4065146</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3322</v>
      </c>
      <c r="D135" s="1" t="s">
        <v>2997</v>
      </c>
      <c r="E135" s="1" t="s">
        <v>3323</v>
      </c>
      <c r="F135" s="1" t="s">
        <v>111</v>
      </c>
      <c r="G135" s="1">
        <v>3994881</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3324</v>
      </c>
      <c r="D136" s="1" t="s">
        <v>3325</v>
      </c>
      <c r="E136" s="1" t="s">
        <v>3326</v>
      </c>
      <c r="F136" s="1" t="s">
        <v>111</v>
      </c>
      <c r="G136" s="1">
        <v>3308572</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3327</v>
      </c>
      <c r="D137" s="1" t="s">
        <v>3328</v>
      </c>
      <c r="E137" s="1" t="s">
        <v>3329</v>
      </c>
      <c r="F137" s="1" t="s">
        <v>111</v>
      </c>
      <c r="G137" s="1">
        <v>2527177</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3330</v>
      </c>
      <c r="D138" s="1" t="s">
        <v>3331</v>
      </c>
      <c r="E138" s="1" t="s">
        <v>3332</v>
      </c>
      <c r="F138" s="1" t="s">
        <v>111</v>
      </c>
      <c r="G138" s="1">
        <v>2339421</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3333</v>
      </c>
      <c r="D139" s="1" t="s">
        <v>3334</v>
      </c>
      <c r="E139" s="1" t="s">
        <v>3335</v>
      </c>
      <c r="F139" s="1" t="s">
        <v>111</v>
      </c>
      <c r="G139" s="1">
        <v>2804907</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3336</v>
      </c>
      <c r="D140" s="1" t="s">
        <v>3084</v>
      </c>
      <c r="E140" s="1" t="s">
        <v>3337</v>
      </c>
      <c r="F140" s="1" t="s">
        <v>111</v>
      </c>
      <c r="G140" s="1">
        <v>91931</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3338</v>
      </c>
      <c r="D141" s="1" t="s">
        <v>1683</v>
      </c>
      <c r="E141" s="1" t="s">
        <v>3339</v>
      </c>
      <c r="F141" s="1" t="s">
        <v>111</v>
      </c>
      <c r="G141" s="1">
        <v>105027</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3340</v>
      </c>
      <c r="D142" s="1" t="s">
        <v>1892</v>
      </c>
      <c r="E142" s="1" t="s">
        <v>3341</v>
      </c>
      <c r="F142" s="1" t="s">
        <v>111</v>
      </c>
      <c r="G142" s="1">
        <v>184820</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3342</v>
      </c>
      <c r="D143" s="1" t="s">
        <v>3343</v>
      </c>
      <c r="E143" s="1" t="s">
        <v>3344</v>
      </c>
      <c r="F143" s="1" t="s">
        <v>111</v>
      </c>
      <c r="G143" s="1">
        <v>2001476</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3345</v>
      </c>
      <c r="D144" s="1" t="s">
        <v>3346</v>
      </c>
      <c r="E144" s="1" t="s">
        <v>3347</v>
      </c>
      <c r="F144" s="1" t="s">
        <v>111</v>
      </c>
      <c r="G144" s="1">
        <v>2158777</v>
      </c>
    </row>
    <row r="145" spans="1:9"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3348</v>
      </c>
      <c r="D145" s="1" t="s">
        <v>3349</v>
      </c>
      <c r="E145" s="1" t="s">
        <v>3350</v>
      </c>
      <c r="F145" s="1" t="s">
        <v>111</v>
      </c>
      <c r="G145" s="1">
        <v>1788376</v>
      </c>
    </row>
    <row r="146" spans="1:9"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3351</v>
      </c>
      <c r="D146" s="1" t="s">
        <v>3352</v>
      </c>
      <c r="E146" s="1" t="s">
        <v>3353</v>
      </c>
      <c r="F146" s="1" t="s">
        <v>111</v>
      </c>
      <c r="G146" s="1">
        <v>545954</v>
      </c>
    </row>
    <row r="147" spans="1:9"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3354</v>
      </c>
      <c r="D147" s="1" t="s">
        <v>1695</v>
      </c>
      <c r="E147" s="1" t="s">
        <v>3355</v>
      </c>
      <c r="F147" s="1" t="s">
        <v>111</v>
      </c>
      <c r="G147" s="1">
        <v>264004</v>
      </c>
    </row>
    <row r="148" spans="1:9"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3356</v>
      </c>
      <c r="D148" s="1" t="s">
        <v>3357</v>
      </c>
      <c r="E148" s="1" t="s">
        <v>3358</v>
      </c>
      <c r="F148" s="1" t="s">
        <v>111</v>
      </c>
      <c r="G148" s="1">
        <v>352215</v>
      </c>
    </row>
    <row r="149" spans="1:9"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3359</v>
      </c>
      <c r="D149" s="1" t="s">
        <v>3360</v>
      </c>
      <c r="E149" s="1" t="s">
        <v>3361</v>
      </c>
      <c r="F149" s="1" t="s">
        <v>111</v>
      </c>
      <c r="G149" s="1">
        <v>1002892</v>
      </c>
    </row>
    <row r="150" spans="1:9"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3362</v>
      </c>
      <c r="D150" s="1" t="s">
        <v>3363</v>
      </c>
      <c r="E150" s="1" t="s">
        <v>3364</v>
      </c>
      <c r="F150" s="1" t="s">
        <v>111</v>
      </c>
      <c r="G150" s="1">
        <v>859360</v>
      </c>
    </row>
    <row r="151" spans="1:9"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3365</v>
      </c>
      <c r="D151" s="1" t="s">
        <v>3366</v>
      </c>
      <c r="E151" s="1" t="s">
        <v>3367</v>
      </c>
      <c r="F151" s="1" t="s">
        <v>111</v>
      </c>
      <c r="G151" s="1">
        <v>591289</v>
      </c>
    </row>
    <row r="152" spans="1:9"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3368</v>
      </c>
      <c r="D152" s="1" t="s">
        <v>3005</v>
      </c>
      <c r="E152" s="1" t="s">
        <v>3369</v>
      </c>
      <c r="F152" s="1" t="s">
        <v>111</v>
      </c>
      <c r="G152" s="1">
        <v>1340445</v>
      </c>
    </row>
    <row r="153" spans="1:9"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3370</v>
      </c>
      <c r="D153" s="1" t="s">
        <v>3371</v>
      </c>
      <c r="E153" s="1" t="s">
        <v>3372</v>
      </c>
      <c r="F153" s="1" t="s">
        <v>111</v>
      </c>
      <c r="G153" s="1">
        <v>834104</v>
      </c>
    </row>
    <row r="154" spans="1:9"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3373</v>
      </c>
      <c r="D154" s="1" t="s">
        <v>3374</v>
      </c>
      <c r="E154" s="1" t="s">
        <v>3375</v>
      </c>
      <c r="F154" s="1" t="s">
        <v>111</v>
      </c>
      <c r="G154" s="1">
        <v>982269</v>
      </c>
    </row>
    <row r="155" spans="1:9"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3376</v>
      </c>
    </row>
    <row r="156" spans="1:9"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3377</v>
      </c>
    </row>
    <row r="157" spans="1:9"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3378</v>
      </c>
    </row>
    <row r="158" spans="1:9"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111</v>
      </c>
    </row>
    <row r="159" spans="1:9"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230</v>
      </c>
      <c r="D159" s="1" t="s">
        <v>111</v>
      </c>
      <c r="E159" s="1" t="s">
        <v>231</v>
      </c>
      <c r="F159" s="1" t="s">
        <v>232</v>
      </c>
      <c r="G159" s="1" t="s">
        <v>233</v>
      </c>
      <c r="H159" s="1" t="s">
        <v>234</v>
      </c>
      <c r="I159" s="1" t="s">
        <v>235</v>
      </c>
    </row>
    <row r="160" spans="1:9"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3379</v>
      </c>
      <c r="D160" s="1" t="s">
        <v>111</v>
      </c>
      <c r="E160" s="1" t="s">
        <v>3380</v>
      </c>
      <c r="F160" s="1" t="s">
        <v>3381</v>
      </c>
      <c r="G160" s="1" t="s">
        <v>3382</v>
      </c>
      <c r="H160" s="1" t="s">
        <v>3383</v>
      </c>
      <c r="I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111</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111</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111</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111</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111</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240</v>
      </c>
      <c r="D166" s="1" t="s">
        <v>109</v>
      </c>
      <c r="E166" s="1" t="s">
        <v>110</v>
      </c>
      <c r="F166" s="1" t="s">
        <v>111</v>
      </c>
      <c r="G166" s="1" t="s">
        <v>112</v>
      </c>
    </row>
    <row r="167" spans="1:7" x14ac:dyDescent="0.25">
      <c r="A167" s="1" t="str">
        <f t="shared" si="2"/>
        <v>06 EE2 171</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3384</v>
      </c>
    </row>
    <row r="168" spans="1:7" x14ac:dyDescent="0.25">
      <c r="A168" s="1" t="str">
        <f t="shared" si="2"/>
        <v>06 EE2 171</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3385</v>
      </c>
      <c r="D168" s="1" t="s">
        <v>3386</v>
      </c>
      <c r="E168" s="1" t="s">
        <v>3387</v>
      </c>
      <c r="F168" s="1" t="s">
        <v>111</v>
      </c>
      <c r="G168" s="1">
        <v>5693828</v>
      </c>
    </row>
    <row r="169" spans="1:7" x14ac:dyDescent="0.25">
      <c r="A169" s="1" t="str">
        <f t="shared" si="2"/>
        <v>06 EE2 171</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3388</v>
      </c>
      <c r="D169" s="1" t="s">
        <v>3389</v>
      </c>
      <c r="E169" s="1" t="s">
        <v>3390</v>
      </c>
      <c r="F169" s="1" t="s">
        <v>111</v>
      </c>
      <c r="G169" s="1">
        <v>5943213</v>
      </c>
    </row>
    <row r="170" spans="1:7" x14ac:dyDescent="0.25">
      <c r="A170" s="1" t="str">
        <f t="shared" si="2"/>
        <v>06 EE2 171</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3391</v>
      </c>
      <c r="D170" s="1" t="s">
        <v>3392</v>
      </c>
      <c r="E170" s="1" t="s">
        <v>3393</v>
      </c>
      <c r="F170" s="1" t="s">
        <v>111</v>
      </c>
      <c r="G170" s="1">
        <v>3388713</v>
      </c>
    </row>
    <row r="171" spans="1:7" x14ac:dyDescent="0.25">
      <c r="A171" s="1" t="str">
        <f t="shared" si="2"/>
        <v>06 EE2 171</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3394</v>
      </c>
      <c r="D171" s="1" t="s">
        <v>2636</v>
      </c>
      <c r="E171" s="1" t="s">
        <v>3395</v>
      </c>
      <c r="F171" s="1" t="s">
        <v>111</v>
      </c>
      <c r="G171" s="1">
        <v>2914351</v>
      </c>
    </row>
    <row r="172" spans="1:7" x14ac:dyDescent="0.25">
      <c r="A172" s="1" t="str">
        <f t="shared" si="2"/>
        <v>06 EE2 171</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3396</v>
      </c>
      <c r="D172" s="1" t="s">
        <v>3397</v>
      </c>
      <c r="E172" s="1" t="s">
        <v>3398</v>
      </c>
      <c r="F172" s="1" t="s">
        <v>111</v>
      </c>
      <c r="G172" s="1">
        <v>2472749</v>
      </c>
    </row>
    <row r="173" spans="1:7" x14ac:dyDescent="0.25">
      <c r="A173" s="1" t="str">
        <f t="shared" si="2"/>
        <v>06 EE2 171</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3399</v>
      </c>
      <c r="D173" s="1" t="s">
        <v>3400</v>
      </c>
      <c r="E173" s="1" t="s">
        <v>3401</v>
      </c>
      <c r="F173" s="1" t="s">
        <v>111</v>
      </c>
      <c r="G173" s="1">
        <v>4287317</v>
      </c>
    </row>
    <row r="174" spans="1:7" x14ac:dyDescent="0.25">
      <c r="A174" s="1" t="str">
        <f t="shared" si="2"/>
        <v>06 EE2 171</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3402</v>
      </c>
      <c r="D174" s="1" t="s">
        <v>3403</v>
      </c>
      <c r="E174" s="1" t="s">
        <v>3404</v>
      </c>
      <c r="F174" s="1" t="s">
        <v>111</v>
      </c>
      <c r="G174" s="1">
        <v>4121989</v>
      </c>
    </row>
    <row r="175" spans="1:7" x14ac:dyDescent="0.25">
      <c r="A175" s="1" t="str">
        <f t="shared" si="2"/>
        <v>06 EE2 171</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3405</v>
      </c>
      <c r="D175" s="1" t="s">
        <v>3406</v>
      </c>
      <c r="E175" s="1" t="s">
        <v>3407</v>
      </c>
      <c r="F175" s="1" t="s">
        <v>111</v>
      </c>
      <c r="G175" s="1">
        <v>4184313</v>
      </c>
    </row>
    <row r="176" spans="1:7" x14ac:dyDescent="0.25">
      <c r="A176" s="1" t="str">
        <f t="shared" si="2"/>
        <v>06 EE2 171</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3408</v>
      </c>
      <c r="D176" s="1" t="s">
        <v>2539</v>
      </c>
      <c r="E176" s="1" t="s">
        <v>3409</v>
      </c>
      <c r="F176" s="1" t="s">
        <v>111</v>
      </c>
      <c r="G176" s="1">
        <v>2519498</v>
      </c>
    </row>
    <row r="177" spans="1:9" x14ac:dyDescent="0.25">
      <c r="A177" s="1" t="str">
        <f t="shared" si="2"/>
        <v>06 EE2 171</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3410</v>
      </c>
      <c r="D177" s="1" t="s">
        <v>3411</v>
      </c>
      <c r="E177" s="1" t="s">
        <v>3412</v>
      </c>
      <c r="F177" s="1" t="s">
        <v>111</v>
      </c>
      <c r="G177" s="1">
        <v>2204765</v>
      </c>
    </row>
    <row r="178" spans="1:9" x14ac:dyDescent="0.25">
      <c r="A178" s="1" t="str">
        <f t="shared" si="2"/>
        <v>06 EE2 171</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3413</v>
      </c>
    </row>
    <row r="179" spans="1:9" x14ac:dyDescent="0.25">
      <c r="A179" s="1" t="str">
        <f t="shared" si="2"/>
        <v>06 EE2 171</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3414</v>
      </c>
      <c r="D179" s="1" t="s">
        <v>3415</v>
      </c>
      <c r="E179" s="1" t="s">
        <v>3416</v>
      </c>
      <c r="F179" s="1" t="s">
        <v>111</v>
      </c>
      <c r="G179" s="1">
        <v>2114400</v>
      </c>
    </row>
    <row r="180" spans="1:9" x14ac:dyDescent="0.25">
      <c r="A180" s="1" t="str">
        <f t="shared" si="2"/>
        <v>06 EE2 171</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3417</v>
      </c>
      <c r="D180" s="1" t="s">
        <v>3418</v>
      </c>
      <c r="E180" s="1" t="s">
        <v>3419</v>
      </c>
      <c r="F180" s="1" t="s">
        <v>111</v>
      </c>
      <c r="G180" s="1">
        <v>2099955</v>
      </c>
    </row>
    <row r="181" spans="1:9" x14ac:dyDescent="0.25">
      <c r="A181" s="1" t="str">
        <f t="shared" si="2"/>
        <v>06 EE2 171</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3420</v>
      </c>
      <c r="D181" s="1" t="s">
        <v>3421</v>
      </c>
      <c r="E181" s="1" t="s">
        <v>3422</v>
      </c>
      <c r="F181" s="1" t="s">
        <v>111</v>
      </c>
      <c r="G181" s="1">
        <v>2329240</v>
      </c>
    </row>
    <row r="182" spans="1:9" x14ac:dyDescent="0.25">
      <c r="A182" s="1" t="str">
        <f t="shared" si="2"/>
        <v>06 EE2 171</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3423</v>
      </c>
      <c r="D182" s="1" t="s">
        <v>3403</v>
      </c>
      <c r="E182" s="1" t="s">
        <v>3424</v>
      </c>
      <c r="F182" s="1" t="s">
        <v>111</v>
      </c>
      <c r="G182" s="1">
        <v>3330239</v>
      </c>
    </row>
    <row r="183" spans="1:9" x14ac:dyDescent="0.25">
      <c r="A183" s="1" t="str">
        <f t="shared" si="2"/>
        <v>06 EE2 171</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3425</v>
      </c>
      <c r="D183" s="1" t="s">
        <v>3426</v>
      </c>
      <c r="E183" s="1" t="s">
        <v>3427</v>
      </c>
      <c r="F183" s="1" t="s">
        <v>111</v>
      </c>
      <c r="G183" s="1">
        <v>2794422</v>
      </c>
    </row>
    <row r="184" spans="1:9" x14ac:dyDescent="0.25">
      <c r="A184" s="1" t="str">
        <f t="shared" si="2"/>
        <v>06 EE2 171</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3428</v>
      </c>
      <c r="D184" s="1" t="s">
        <v>3429</v>
      </c>
      <c r="E184" s="1" t="s">
        <v>3430</v>
      </c>
      <c r="F184" s="1" t="s">
        <v>111</v>
      </c>
      <c r="G184" s="1">
        <v>3202392</v>
      </c>
    </row>
    <row r="185" spans="1:9" x14ac:dyDescent="0.25">
      <c r="A185" s="1" t="str">
        <f t="shared" si="2"/>
        <v>06 EE2 171</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3431</v>
      </c>
      <c r="D185" s="1" t="s">
        <v>3432</v>
      </c>
      <c r="E185" s="1" t="s">
        <v>3433</v>
      </c>
      <c r="F185" s="1" t="s">
        <v>111</v>
      </c>
      <c r="G185" s="1">
        <v>2538185</v>
      </c>
    </row>
    <row r="186" spans="1:9" x14ac:dyDescent="0.25">
      <c r="A186" s="1" t="str">
        <f t="shared" si="2"/>
        <v>06 EE2 171</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3434</v>
      </c>
      <c r="D186" s="1" t="s">
        <v>3435</v>
      </c>
      <c r="E186" s="1" t="s">
        <v>3436</v>
      </c>
      <c r="F186" s="1" t="s">
        <v>111</v>
      </c>
      <c r="G186" s="1">
        <v>2251057</v>
      </c>
    </row>
    <row r="187" spans="1:9" x14ac:dyDescent="0.25">
      <c r="A187" s="1" t="str">
        <f t="shared" si="2"/>
        <v>06 EE2 171</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3437</v>
      </c>
      <c r="D187" s="1" t="s">
        <v>3438</v>
      </c>
      <c r="E187" s="1" t="s">
        <v>3439</v>
      </c>
      <c r="F187" s="1" t="s">
        <v>111</v>
      </c>
      <c r="G187" s="1">
        <v>2310901</v>
      </c>
    </row>
    <row r="188" spans="1:9" x14ac:dyDescent="0.25">
      <c r="A188" s="1" t="str">
        <f t="shared" si="2"/>
        <v>06 EE2 171</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3440</v>
      </c>
      <c r="D188" s="1" t="s">
        <v>3441</v>
      </c>
      <c r="E188" s="1" t="s">
        <v>3442</v>
      </c>
      <c r="F188" s="1" t="s">
        <v>111</v>
      </c>
      <c r="G188" s="1">
        <v>2768818</v>
      </c>
    </row>
    <row r="189" spans="1:9" x14ac:dyDescent="0.25">
      <c r="A189" s="1" t="str">
        <f t="shared" si="2"/>
        <v>06 EE2 171</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3443</v>
      </c>
      <c r="D189" s="1" t="s">
        <v>3444</v>
      </c>
      <c r="E189" s="1" t="s">
        <v>3445</v>
      </c>
      <c r="F189" s="1" t="s">
        <v>111</v>
      </c>
      <c r="G189" s="1">
        <v>3367373</v>
      </c>
    </row>
    <row r="190" spans="1:9" x14ac:dyDescent="0.25">
      <c r="A190" s="1" t="str">
        <f t="shared" si="2"/>
        <v>06 EE2 171</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3446</v>
      </c>
      <c r="D190" s="1" t="s">
        <v>3447</v>
      </c>
      <c r="E190" s="1" t="s">
        <v>3448</v>
      </c>
      <c r="F190" s="1" t="s">
        <v>111</v>
      </c>
      <c r="G190" s="1">
        <v>3296085</v>
      </c>
    </row>
    <row r="191" spans="1:9"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111</v>
      </c>
    </row>
    <row r="192" spans="1:9"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230</v>
      </c>
      <c r="D192" s="1" t="s">
        <v>111</v>
      </c>
      <c r="E192" s="1" t="s">
        <v>231</v>
      </c>
      <c r="F192" s="1" t="s">
        <v>232</v>
      </c>
      <c r="G192" s="1" t="s">
        <v>233</v>
      </c>
      <c r="H192" s="1" t="s">
        <v>234</v>
      </c>
      <c r="I192" s="1" t="s">
        <v>235</v>
      </c>
    </row>
    <row r="193" spans="1:9" x14ac:dyDescent="0.25">
      <c r="A193" s="1" t="str">
        <f t="shared" si="2"/>
        <v>06 EE2 171</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3449</v>
      </c>
      <c r="D193" s="1" t="s">
        <v>111</v>
      </c>
      <c r="E193" s="1" t="s">
        <v>3450</v>
      </c>
      <c r="F193" s="1" t="s">
        <v>3451</v>
      </c>
      <c r="G193" s="1" t="s">
        <v>3452</v>
      </c>
      <c r="H193" s="1" t="s">
        <v>3453</v>
      </c>
      <c r="I193" s="1">
        <v>24</v>
      </c>
    </row>
    <row r="194" spans="1:9"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111</v>
      </c>
    </row>
    <row r="195" spans="1:9"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111</v>
      </c>
    </row>
    <row r="196" spans="1:9"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111</v>
      </c>
    </row>
    <row r="197" spans="1:9"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111</v>
      </c>
    </row>
    <row r="198" spans="1:9"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111</v>
      </c>
    </row>
    <row r="199" spans="1:9"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240</v>
      </c>
      <c r="D199" s="1" t="s">
        <v>109</v>
      </c>
      <c r="E199" s="1" t="s">
        <v>110</v>
      </c>
      <c r="F199" s="1" t="s">
        <v>111</v>
      </c>
      <c r="G199" s="1" t="s">
        <v>112</v>
      </c>
    </row>
    <row r="200" spans="1:9"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3454</v>
      </c>
      <c r="D200" s="1" t="s">
        <v>3455</v>
      </c>
      <c r="E200" s="1" t="s">
        <v>3456</v>
      </c>
      <c r="F200" s="1" t="s">
        <v>111</v>
      </c>
      <c r="G200" s="1">
        <v>6638593</v>
      </c>
    </row>
    <row r="201" spans="1:9"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3457</v>
      </c>
      <c r="D201" s="1" t="s">
        <v>3458</v>
      </c>
      <c r="E201" s="1" t="s">
        <v>3459</v>
      </c>
      <c r="F201" s="1" t="s">
        <v>111</v>
      </c>
      <c r="G201" s="1">
        <v>6599067</v>
      </c>
    </row>
    <row r="202" spans="1:9"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3460</v>
      </c>
      <c r="D202" s="1" t="s">
        <v>3461</v>
      </c>
      <c r="E202" s="1" t="s">
        <v>3462</v>
      </c>
      <c r="F202" s="1" t="s">
        <v>111</v>
      </c>
      <c r="G202" s="1">
        <v>6788085</v>
      </c>
    </row>
    <row r="203" spans="1:9"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3463</v>
      </c>
      <c r="D203" s="1" t="s">
        <v>3464</v>
      </c>
      <c r="E203" s="1" t="s">
        <v>3465</v>
      </c>
      <c r="F203" s="1" t="s">
        <v>111</v>
      </c>
      <c r="G203" s="1">
        <v>4650452</v>
      </c>
    </row>
    <row r="204" spans="1:9"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3466</v>
      </c>
      <c r="D204" s="1" t="s">
        <v>3467</v>
      </c>
      <c r="E204" s="1" t="s">
        <v>3468</v>
      </c>
      <c r="F204" s="1" t="s">
        <v>111</v>
      </c>
      <c r="G204" s="1">
        <v>4814693</v>
      </c>
    </row>
    <row r="205" spans="1:9"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3469</v>
      </c>
      <c r="D205" s="1" t="s">
        <v>3470</v>
      </c>
      <c r="E205" s="1" t="s">
        <v>3471</v>
      </c>
      <c r="F205" s="1" t="s">
        <v>111</v>
      </c>
      <c r="G205" s="1">
        <v>4525782</v>
      </c>
    </row>
    <row r="206" spans="1:9"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3472</v>
      </c>
      <c r="D206" s="1" t="s">
        <v>3473</v>
      </c>
      <c r="E206" s="1" t="s">
        <v>3474</v>
      </c>
      <c r="F206" s="1" t="s">
        <v>111</v>
      </c>
      <c r="G206" s="1">
        <v>8123657</v>
      </c>
    </row>
    <row r="207" spans="1:9"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3475</v>
      </c>
      <c r="D207" s="1" t="s">
        <v>3476</v>
      </c>
      <c r="E207" s="1" t="s">
        <v>3477</v>
      </c>
      <c r="F207" s="1" t="s">
        <v>111</v>
      </c>
      <c r="G207" s="1">
        <v>7398800</v>
      </c>
    </row>
    <row r="208" spans="1:9"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3478</v>
      </c>
      <c r="D208" s="1" t="s">
        <v>3479</v>
      </c>
      <c r="E208" s="1" t="s">
        <v>3480</v>
      </c>
      <c r="F208" s="1" t="s">
        <v>111</v>
      </c>
      <c r="G208" s="1">
        <v>8227575</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3481</v>
      </c>
      <c r="D209" s="1" t="s">
        <v>3482</v>
      </c>
      <c r="E209" s="1" t="s">
        <v>3483</v>
      </c>
      <c r="F209" s="1" t="s">
        <v>111</v>
      </c>
      <c r="G209" s="1">
        <v>5597720</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3484</v>
      </c>
      <c r="D210" s="1" t="s">
        <v>3485</v>
      </c>
      <c r="E210" s="1" t="s">
        <v>3486</v>
      </c>
      <c r="F210" s="1" t="s">
        <v>111</v>
      </c>
      <c r="G210" s="1">
        <v>5296365</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3487</v>
      </c>
      <c r="D211" s="1" t="s">
        <v>3488</v>
      </c>
      <c r="E211" s="1" t="s">
        <v>3489</v>
      </c>
      <c r="F211" s="1" t="s">
        <v>111</v>
      </c>
      <c r="G211" s="1">
        <v>5475050</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3490</v>
      </c>
      <c r="D212" s="1" t="s">
        <v>3491</v>
      </c>
      <c r="E212" s="1" t="s">
        <v>3492</v>
      </c>
      <c r="F212" s="1" t="s">
        <v>111</v>
      </c>
      <c r="G212" s="1">
        <v>9091677</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3493</v>
      </c>
      <c r="D213" s="1" t="s">
        <v>3494</v>
      </c>
      <c r="E213" s="1" t="s">
        <v>3495</v>
      </c>
      <c r="F213" s="1" t="s">
        <v>111</v>
      </c>
      <c r="G213" s="1">
        <v>8654884</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3496</v>
      </c>
      <c r="D214" s="1" t="s">
        <v>3497</v>
      </c>
      <c r="E214" s="1" t="s">
        <v>3498</v>
      </c>
      <c r="F214" s="1" t="s">
        <v>111</v>
      </c>
      <c r="G214" s="1">
        <v>8468324</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3499</v>
      </c>
      <c r="D215" s="1" t="s">
        <v>3500</v>
      </c>
      <c r="E215" s="1" t="s">
        <v>3501</v>
      </c>
      <c r="F215" s="1" t="s">
        <v>111</v>
      </c>
      <c r="G215" s="1">
        <v>6842274</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3502</v>
      </c>
      <c r="D216" s="1" t="s">
        <v>3503</v>
      </c>
      <c r="E216" s="1" t="s">
        <v>3504</v>
      </c>
      <c r="F216" s="1" t="s">
        <v>111</v>
      </c>
      <c r="G216" s="1">
        <v>6639725</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3505</v>
      </c>
      <c r="D217" s="1" t="s">
        <v>3506</v>
      </c>
      <c r="E217" s="1" t="s">
        <v>3507</v>
      </c>
      <c r="F217" s="1" t="s">
        <v>111</v>
      </c>
      <c r="G217" s="1">
        <v>6804052</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3508</v>
      </c>
      <c r="D218" s="1" t="s">
        <v>3509</v>
      </c>
      <c r="E218" s="1" t="s">
        <v>3510</v>
      </c>
      <c r="F218" s="1" t="s">
        <v>111</v>
      </c>
      <c r="G218" s="1">
        <v>6382073</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3511</v>
      </c>
      <c r="D219" s="1" t="s">
        <v>3512</v>
      </c>
      <c r="E219" s="1" t="s">
        <v>3513</v>
      </c>
      <c r="F219" s="1" t="s">
        <v>111</v>
      </c>
      <c r="G219" s="1">
        <v>6581316</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3514</v>
      </c>
      <c r="D220" s="1" t="s">
        <v>3515</v>
      </c>
      <c r="E220" s="1" t="s">
        <v>3516</v>
      </c>
      <c r="F220" s="1" t="s">
        <v>111</v>
      </c>
      <c r="G220" s="1">
        <v>5820565</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3517</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3518</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3519</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111</v>
      </c>
    </row>
    <row r="225" spans="1:9"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230</v>
      </c>
      <c r="D225" s="1" t="s">
        <v>111</v>
      </c>
      <c r="E225" s="1" t="s">
        <v>231</v>
      </c>
      <c r="F225" s="1" t="s">
        <v>232</v>
      </c>
      <c r="G225" s="1" t="s">
        <v>233</v>
      </c>
      <c r="H225" s="1" t="s">
        <v>234</v>
      </c>
      <c r="I225" s="1" t="s">
        <v>235</v>
      </c>
    </row>
    <row r="226" spans="1:9"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3520</v>
      </c>
      <c r="D226" s="1" t="s">
        <v>111</v>
      </c>
      <c r="E226" s="1" t="s">
        <v>3521</v>
      </c>
      <c r="F226" s="1" t="s">
        <v>3522</v>
      </c>
      <c r="G226" s="1" t="s">
        <v>3523</v>
      </c>
      <c r="H226" s="1" t="s">
        <v>3524</v>
      </c>
      <c r="I226" s="1">
        <v>24</v>
      </c>
    </row>
    <row r="227" spans="1:9"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111</v>
      </c>
    </row>
    <row r="228" spans="1:9"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111</v>
      </c>
    </row>
    <row r="229" spans="1:9"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111</v>
      </c>
    </row>
    <row r="230" spans="1:9"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111</v>
      </c>
    </row>
    <row r="231" spans="1:9"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111</v>
      </c>
    </row>
    <row r="232" spans="1:9"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240</v>
      </c>
      <c r="D232" s="1" t="s">
        <v>109</v>
      </c>
      <c r="E232" s="1" t="s">
        <v>110</v>
      </c>
      <c r="F232" s="1" t="s">
        <v>111</v>
      </c>
      <c r="G232" s="1" t="s">
        <v>112</v>
      </c>
    </row>
    <row r="233" spans="1:9" x14ac:dyDescent="0.25">
      <c r="A233" s="1" t="str">
        <f t="shared" si="3"/>
        <v>08 Atenolol 0.01</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3525</v>
      </c>
      <c r="D233" s="1" t="s">
        <v>3526</v>
      </c>
      <c r="E233" s="1" t="s">
        <v>3527</v>
      </c>
      <c r="F233" s="1" t="s">
        <v>111</v>
      </c>
      <c r="G233" s="1">
        <v>452848</v>
      </c>
    </row>
    <row r="234" spans="1:9" x14ac:dyDescent="0.25">
      <c r="A234" s="1" t="str">
        <f t="shared" si="3"/>
        <v>08 Atenolol 0.01</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3528</v>
      </c>
      <c r="D234" s="1" t="s">
        <v>3529</v>
      </c>
      <c r="E234" s="1" t="s">
        <v>3530</v>
      </c>
      <c r="F234" s="1" t="s">
        <v>111</v>
      </c>
      <c r="G234" s="1">
        <v>484326</v>
      </c>
    </row>
    <row r="235" spans="1:9" x14ac:dyDescent="0.25">
      <c r="A235" s="1" t="str">
        <f t="shared" si="3"/>
        <v>08 Atenolol 0.01</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3531</v>
      </c>
      <c r="D235" s="1" t="s">
        <v>1733</v>
      </c>
      <c r="E235" s="1" t="s">
        <v>3532</v>
      </c>
      <c r="F235" s="1" t="s">
        <v>111</v>
      </c>
      <c r="G235" s="1">
        <v>32065</v>
      </c>
    </row>
    <row r="236" spans="1:9" x14ac:dyDescent="0.25">
      <c r="A236" s="1" t="str">
        <f t="shared" si="3"/>
        <v>08 Atenolol 0.01</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3533</v>
      </c>
      <c r="D236" s="1" t="s">
        <v>1698</v>
      </c>
      <c r="E236" s="1" t="s">
        <v>3534</v>
      </c>
      <c r="F236" s="1" t="s">
        <v>111</v>
      </c>
      <c r="G236" s="1">
        <v>39962</v>
      </c>
    </row>
    <row r="237" spans="1:9" x14ac:dyDescent="0.25">
      <c r="A237" s="1" t="str">
        <f t="shared" si="3"/>
        <v>08 Atenolol 0.01</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3535</v>
      </c>
      <c r="D237" s="1" t="s">
        <v>1863</v>
      </c>
      <c r="E237" s="1" t="s">
        <v>3536</v>
      </c>
      <c r="F237" s="1" t="s">
        <v>111</v>
      </c>
      <c r="G237" s="1">
        <v>85993</v>
      </c>
    </row>
    <row r="238" spans="1:9" x14ac:dyDescent="0.25">
      <c r="A238" s="1" t="str">
        <f t="shared" si="3"/>
        <v>08 Atenolol 0.01</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3537</v>
      </c>
      <c r="D238" s="1" t="s">
        <v>2679</v>
      </c>
      <c r="E238" s="1" t="s">
        <v>3538</v>
      </c>
      <c r="F238" s="1" t="s">
        <v>111</v>
      </c>
      <c r="G238" s="1">
        <v>81903</v>
      </c>
    </row>
    <row r="239" spans="1:9" x14ac:dyDescent="0.25">
      <c r="A239" s="1" t="str">
        <f t="shared" si="3"/>
        <v>08 Atenolol 0.01</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3539</v>
      </c>
      <c r="D239" s="1" t="s">
        <v>3526</v>
      </c>
      <c r="E239" s="1" t="s">
        <v>3540</v>
      </c>
      <c r="F239" s="1" t="s">
        <v>111</v>
      </c>
      <c r="G239" s="1">
        <v>390893</v>
      </c>
    </row>
    <row r="240" spans="1:9" x14ac:dyDescent="0.25">
      <c r="A240" s="1" t="str">
        <f t="shared" si="3"/>
        <v>08 Atenolol 0.01</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3541</v>
      </c>
      <c r="D240" s="1" t="s">
        <v>3542</v>
      </c>
      <c r="E240" s="1" t="s">
        <v>3543</v>
      </c>
      <c r="F240" s="1" t="s">
        <v>111</v>
      </c>
      <c r="G240" s="1">
        <v>623832</v>
      </c>
    </row>
    <row r="241" spans="1:7" x14ac:dyDescent="0.25">
      <c r="A241" s="1" t="str">
        <f t="shared" si="3"/>
        <v>08 Atenolol 0.01</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3544</v>
      </c>
      <c r="D241" s="1" t="s">
        <v>2188</v>
      </c>
      <c r="E241" s="1" t="s">
        <v>3545</v>
      </c>
      <c r="F241" s="1" t="s">
        <v>111</v>
      </c>
      <c r="G241" s="1">
        <v>190780</v>
      </c>
    </row>
    <row r="242" spans="1:7" x14ac:dyDescent="0.25">
      <c r="A242" s="1" t="str">
        <f t="shared" si="3"/>
        <v>08 Atenolol 0.01</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3546</v>
      </c>
      <c r="D242" s="1" t="s">
        <v>3547</v>
      </c>
      <c r="E242" s="1" t="s">
        <v>3548</v>
      </c>
      <c r="F242" s="1" t="s">
        <v>111</v>
      </c>
      <c r="G242" s="1">
        <v>66523</v>
      </c>
    </row>
    <row r="243" spans="1:7" x14ac:dyDescent="0.25">
      <c r="A243" s="1" t="str">
        <f t="shared" si="3"/>
        <v>08 Atenolol 0.01</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3549</v>
      </c>
    </row>
    <row r="244" spans="1:7" x14ac:dyDescent="0.25">
      <c r="A244" s="1" t="str">
        <f t="shared" si="3"/>
        <v>08 Atenolol 0.01</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3550</v>
      </c>
      <c r="D244" s="1" t="s">
        <v>3551</v>
      </c>
      <c r="E244" s="1" t="s">
        <v>3552</v>
      </c>
      <c r="F244" s="1" t="s">
        <v>111</v>
      </c>
      <c r="G244" s="1">
        <v>54384</v>
      </c>
    </row>
    <row r="245" spans="1:7" x14ac:dyDescent="0.25">
      <c r="A245" s="1" t="str">
        <f t="shared" si="3"/>
        <v>08 Atenolol 0.01</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3553</v>
      </c>
      <c r="D245" s="1" t="s">
        <v>3554</v>
      </c>
      <c r="E245" s="1" t="s">
        <v>3555</v>
      </c>
      <c r="F245" s="1" t="s">
        <v>111</v>
      </c>
      <c r="G245" s="1">
        <v>391024</v>
      </c>
    </row>
    <row r="246" spans="1:7" x14ac:dyDescent="0.25">
      <c r="A246" s="1" t="str">
        <f t="shared" si="3"/>
        <v>08 Atenolol 0.01</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3556</v>
      </c>
      <c r="D246" s="1" t="s">
        <v>2697</v>
      </c>
      <c r="E246" s="1" t="s">
        <v>2698</v>
      </c>
      <c r="F246" s="1" t="s">
        <v>111</v>
      </c>
      <c r="G246" s="1">
        <v>58452</v>
      </c>
    </row>
    <row r="247" spans="1:7" x14ac:dyDescent="0.25">
      <c r="A247" s="1" t="str">
        <f t="shared" si="3"/>
        <v>08 Atenolol 0.01</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3557</v>
      </c>
      <c r="D247" s="1" t="s">
        <v>2395</v>
      </c>
      <c r="E247" s="1" t="s">
        <v>3558</v>
      </c>
      <c r="F247" s="1" t="s">
        <v>111</v>
      </c>
      <c r="G247" s="1">
        <v>75573</v>
      </c>
    </row>
    <row r="248" spans="1:7" x14ac:dyDescent="0.25">
      <c r="A248" s="1" t="str">
        <f t="shared" si="3"/>
        <v>08 Atenolol 0.01</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3559</v>
      </c>
      <c r="D248" s="1" t="s">
        <v>2424</v>
      </c>
      <c r="E248" s="1" t="s">
        <v>3560</v>
      </c>
      <c r="F248" s="1" t="s">
        <v>111</v>
      </c>
      <c r="G248" s="1">
        <v>138049</v>
      </c>
    </row>
    <row r="249" spans="1:7" x14ac:dyDescent="0.25">
      <c r="A249" s="1" t="str">
        <f t="shared" si="3"/>
        <v>08 Atenolol 0.01</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3561</v>
      </c>
      <c r="D249" s="1" t="s">
        <v>3128</v>
      </c>
      <c r="E249" s="1" t="s">
        <v>3562</v>
      </c>
      <c r="F249" s="1" t="s">
        <v>111</v>
      </c>
      <c r="G249" s="1">
        <v>257804</v>
      </c>
    </row>
    <row r="250" spans="1:7" x14ac:dyDescent="0.25">
      <c r="A250" s="1" t="str">
        <f t="shared" si="3"/>
        <v>08 Atenolol 0.01</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3563</v>
      </c>
      <c r="D250" s="1" t="s">
        <v>1785</v>
      </c>
      <c r="E250" s="1" t="s">
        <v>3564</v>
      </c>
      <c r="F250" s="1" t="s">
        <v>111</v>
      </c>
      <c r="G250" s="1">
        <v>51143</v>
      </c>
    </row>
    <row r="251" spans="1:7" x14ac:dyDescent="0.25">
      <c r="A251" s="1" t="str">
        <f t="shared" si="3"/>
        <v>08 Atenolol 0.01</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3565</v>
      </c>
      <c r="D251" s="1" t="s">
        <v>2237</v>
      </c>
      <c r="E251" s="1" t="s">
        <v>3566</v>
      </c>
      <c r="F251" s="1" t="s">
        <v>111</v>
      </c>
      <c r="G251" s="1">
        <v>15097</v>
      </c>
    </row>
    <row r="252" spans="1:7" x14ac:dyDescent="0.25">
      <c r="A252" s="1" t="str">
        <f t="shared" si="3"/>
        <v>08 Atenolol 0.01</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3567</v>
      </c>
      <c r="D252" s="1" t="s">
        <v>3568</v>
      </c>
      <c r="E252" s="1" t="s">
        <v>3569</v>
      </c>
      <c r="F252" s="1" t="s">
        <v>111</v>
      </c>
      <c r="G252" s="1">
        <v>362287</v>
      </c>
    </row>
    <row r="253" spans="1:7" x14ac:dyDescent="0.25">
      <c r="A253" s="1" t="str">
        <f t="shared" si="3"/>
        <v>08 Atenolol 0.01</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3570</v>
      </c>
      <c r="D253" s="1" t="s">
        <v>1895</v>
      </c>
      <c r="E253" s="1" t="s">
        <v>1669</v>
      </c>
      <c r="F253" s="1" t="s">
        <v>111</v>
      </c>
      <c r="G253" s="1">
        <v>19339</v>
      </c>
    </row>
    <row r="254" spans="1:7" x14ac:dyDescent="0.25">
      <c r="A254" s="1" t="str">
        <f t="shared" si="3"/>
        <v>08 Atenolol 0.01</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3571</v>
      </c>
      <c r="D254" s="1" t="s">
        <v>2685</v>
      </c>
      <c r="E254" s="1" t="s">
        <v>3572</v>
      </c>
      <c r="F254" s="1" t="s">
        <v>111</v>
      </c>
      <c r="G254" s="1">
        <v>218060</v>
      </c>
    </row>
    <row r="255" spans="1:7" x14ac:dyDescent="0.25">
      <c r="A255" s="1" t="str">
        <f t="shared" si="3"/>
        <v>08 Atenolol 0.01</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3573</v>
      </c>
      <c r="D255" s="1" t="s">
        <v>3574</v>
      </c>
      <c r="E255" s="1" t="s">
        <v>3575</v>
      </c>
      <c r="F255" s="1" t="s">
        <v>111</v>
      </c>
      <c r="G255" s="1">
        <v>270834</v>
      </c>
    </row>
    <row r="256" spans="1:7" x14ac:dyDescent="0.25">
      <c r="A256" s="1" t="str">
        <f t="shared" si="3"/>
        <v>08 Atenolol 0.01</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3576</v>
      </c>
      <c r="D256" s="1" t="s">
        <v>3577</v>
      </c>
      <c r="E256" s="1" t="s">
        <v>3578</v>
      </c>
      <c r="F256" s="1" t="s">
        <v>111</v>
      </c>
      <c r="G256" s="1">
        <v>326372</v>
      </c>
    </row>
    <row r="257" spans="1:9"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111</v>
      </c>
    </row>
    <row r="258" spans="1:9"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230</v>
      </c>
      <c r="D258" s="1" t="s">
        <v>111</v>
      </c>
      <c r="E258" s="1" t="s">
        <v>231</v>
      </c>
      <c r="F258" s="1" t="s">
        <v>232</v>
      </c>
      <c r="G258" s="1" t="s">
        <v>233</v>
      </c>
      <c r="H258" s="1" t="s">
        <v>234</v>
      </c>
      <c r="I258" s="1" t="s">
        <v>235</v>
      </c>
    </row>
    <row r="259" spans="1:9" x14ac:dyDescent="0.25">
      <c r="A259" s="1" t="str">
        <f t="shared" si="4"/>
        <v>08 Atenolol 0.01</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3579</v>
      </c>
      <c r="D259" s="1" t="s">
        <v>111</v>
      </c>
      <c r="E259" s="1" t="s">
        <v>3580</v>
      </c>
      <c r="F259" s="1" t="s">
        <v>3581</v>
      </c>
      <c r="G259" s="1" t="s">
        <v>3582</v>
      </c>
      <c r="H259" s="1" t="s">
        <v>3583</v>
      </c>
      <c r="I259" s="1">
        <v>24</v>
      </c>
    </row>
    <row r="260" spans="1:9"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111</v>
      </c>
    </row>
    <row r="261" spans="1:9"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111</v>
      </c>
    </row>
    <row r="262" spans="1:9"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111</v>
      </c>
    </row>
    <row r="263" spans="1:9"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111</v>
      </c>
    </row>
    <row r="264" spans="1:9"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111</v>
      </c>
    </row>
    <row r="265" spans="1:9"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240</v>
      </c>
      <c r="D265" s="1" t="s">
        <v>109</v>
      </c>
      <c r="E265" s="1" t="s">
        <v>110</v>
      </c>
      <c r="F265" s="1" t="s">
        <v>111</v>
      </c>
      <c r="G265" s="1" t="s">
        <v>112</v>
      </c>
    </row>
    <row r="266" spans="1:9" x14ac:dyDescent="0.25">
      <c r="A266" s="1" t="str">
        <f t="shared" si="4"/>
        <v>09 Atenolol 0.1</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3584</v>
      </c>
      <c r="D266" s="1" t="s">
        <v>3585</v>
      </c>
      <c r="E266" s="1" t="s">
        <v>3586</v>
      </c>
      <c r="F266" s="1" t="s">
        <v>111</v>
      </c>
      <c r="G266" s="1">
        <v>92105</v>
      </c>
    </row>
    <row r="267" spans="1:9" x14ac:dyDescent="0.25">
      <c r="A267" s="1" t="str">
        <f t="shared" si="4"/>
        <v>09 Atenolol 0.1</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3587</v>
      </c>
      <c r="D267" s="1" t="s">
        <v>3084</v>
      </c>
      <c r="E267" s="1" t="s">
        <v>3588</v>
      </c>
      <c r="F267" s="1" t="s">
        <v>111</v>
      </c>
      <c r="G267" s="1">
        <v>96173</v>
      </c>
    </row>
    <row r="268" spans="1:9" x14ac:dyDescent="0.25">
      <c r="A268" s="1" t="str">
        <f t="shared" si="4"/>
        <v>09 Atenolol 0.1</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3589</v>
      </c>
      <c r="D268" s="1" t="s">
        <v>2679</v>
      </c>
      <c r="E268" s="1" t="s">
        <v>3590</v>
      </c>
      <c r="F268" s="1" t="s">
        <v>111</v>
      </c>
      <c r="G268" s="1">
        <v>80706</v>
      </c>
    </row>
    <row r="269" spans="1:9" x14ac:dyDescent="0.25">
      <c r="A269" s="1" t="str">
        <f t="shared" si="4"/>
        <v>09 Atenolol 0.1</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3591</v>
      </c>
      <c r="D269" s="1" t="s">
        <v>2191</v>
      </c>
      <c r="E269" s="1">
        <v>63</v>
      </c>
      <c r="F269" s="1" t="s">
        <v>111</v>
      </c>
      <c r="G269" s="1">
        <v>9593</v>
      </c>
    </row>
    <row r="270" spans="1:9" x14ac:dyDescent="0.25">
      <c r="A270" s="1" t="str">
        <f t="shared" si="4"/>
        <v>09 Atenolol 0.1</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3592</v>
      </c>
      <c r="D270" s="1" t="s">
        <v>2237</v>
      </c>
      <c r="E270" s="1" t="s">
        <v>3593</v>
      </c>
      <c r="F270" s="1" t="s">
        <v>111</v>
      </c>
      <c r="G270" s="1">
        <v>15054</v>
      </c>
    </row>
    <row r="271" spans="1:9" x14ac:dyDescent="0.25">
      <c r="A271" s="1" t="str">
        <f t="shared" si="4"/>
        <v>09 Atenolol 0.1</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3594</v>
      </c>
      <c r="D271" s="1" t="s">
        <v>1720</v>
      </c>
      <c r="E271" s="1" t="s">
        <v>3595</v>
      </c>
      <c r="F271" s="1" t="s">
        <v>111</v>
      </c>
      <c r="G271" s="1">
        <v>8571</v>
      </c>
    </row>
    <row r="272" spans="1:9" x14ac:dyDescent="0.25">
      <c r="A272" s="1" t="str">
        <f t="shared" si="4"/>
        <v>09 Atenolol 0.1</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3596</v>
      </c>
    </row>
    <row r="273" spans="1:7" x14ac:dyDescent="0.25">
      <c r="A273" s="1" t="str">
        <f t="shared" si="4"/>
        <v>09 Atenolol 0.1</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3597</v>
      </c>
    </row>
    <row r="274" spans="1:7" x14ac:dyDescent="0.25">
      <c r="A274" s="1" t="str">
        <f t="shared" si="4"/>
        <v>09 Atenolol 0.1</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3598</v>
      </c>
    </row>
    <row r="275" spans="1:7" x14ac:dyDescent="0.25">
      <c r="A275" s="1" t="str">
        <f t="shared" si="4"/>
        <v>09 Atenolol 0.1</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3599</v>
      </c>
      <c r="D275" s="1" t="s">
        <v>2377</v>
      </c>
      <c r="E275" s="1" t="s">
        <v>3600</v>
      </c>
      <c r="F275" s="1" t="s">
        <v>111</v>
      </c>
      <c r="G275" s="1">
        <v>35959</v>
      </c>
    </row>
    <row r="276" spans="1:7" x14ac:dyDescent="0.25">
      <c r="A276" s="1" t="str">
        <f t="shared" si="4"/>
        <v>09 Atenolol 0.1</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3601</v>
      </c>
      <c r="D276" s="1" t="s">
        <v>2336</v>
      </c>
      <c r="E276" s="1" t="s">
        <v>3602</v>
      </c>
      <c r="F276" s="1" t="s">
        <v>111</v>
      </c>
      <c r="G276" s="1">
        <v>67197</v>
      </c>
    </row>
    <row r="277" spans="1:7" x14ac:dyDescent="0.25">
      <c r="A277" s="1" t="str">
        <f t="shared" si="4"/>
        <v>09 Atenolol 0.1</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3603</v>
      </c>
      <c r="D277" s="1" t="s">
        <v>2185</v>
      </c>
      <c r="E277" s="1" t="s">
        <v>3604</v>
      </c>
      <c r="F277" s="1" t="s">
        <v>111</v>
      </c>
      <c r="G277" s="1">
        <v>61433</v>
      </c>
    </row>
    <row r="278" spans="1:7" x14ac:dyDescent="0.25">
      <c r="A278" s="1" t="str">
        <f t="shared" si="4"/>
        <v>09 Atenolol 0.1</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3605</v>
      </c>
      <c r="D278" s="1" t="s">
        <v>1780</v>
      </c>
      <c r="E278" s="1" t="s">
        <v>3606</v>
      </c>
      <c r="F278" s="1" t="s">
        <v>111</v>
      </c>
      <c r="G278" s="1">
        <v>16511</v>
      </c>
    </row>
    <row r="279" spans="1:7" x14ac:dyDescent="0.25">
      <c r="A279" s="1" t="str">
        <f t="shared" si="4"/>
        <v>09 Atenolol 0.1</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3607</v>
      </c>
      <c r="D279" s="1" t="s">
        <v>1758</v>
      </c>
      <c r="E279" s="1" t="s">
        <v>1668</v>
      </c>
      <c r="F279" s="1" t="s">
        <v>111</v>
      </c>
      <c r="G279" s="1">
        <v>18534</v>
      </c>
    </row>
    <row r="280" spans="1:7" x14ac:dyDescent="0.25">
      <c r="A280" s="1" t="str">
        <f t="shared" si="4"/>
        <v>09 Atenolol 0.1</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3608</v>
      </c>
      <c r="D280" s="1" t="s">
        <v>3551</v>
      </c>
      <c r="E280" s="1">
        <v>63</v>
      </c>
      <c r="F280" s="1" t="s">
        <v>111</v>
      </c>
      <c r="G280" s="1">
        <v>53449</v>
      </c>
    </row>
    <row r="281" spans="1:7" x14ac:dyDescent="0.25">
      <c r="A281" s="1" t="str">
        <f t="shared" si="4"/>
        <v>09 Atenolol 0.1</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3609</v>
      </c>
      <c r="D281" s="1" t="s">
        <v>1889</v>
      </c>
      <c r="E281" s="1" t="s">
        <v>3610</v>
      </c>
      <c r="F281" s="1" t="s">
        <v>111</v>
      </c>
      <c r="G281" s="1">
        <v>123366</v>
      </c>
    </row>
    <row r="282" spans="1:7" x14ac:dyDescent="0.25">
      <c r="A282" s="1" t="str">
        <f t="shared" si="4"/>
        <v>09 Atenolol 0.1</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3611</v>
      </c>
      <c r="D282" s="1" t="s">
        <v>2377</v>
      </c>
      <c r="E282" s="1" t="s">
        <v>3612</v>
      </c>
      <c r="F282" s="1" t="s">
        <v>111</v>
      </c>
      <c r="G282" s="1">
        <v>35698</v>
      </c>
    </row>
    <row r="283" spans="1:7" x14ac:dyDescent="0.25">
      <c r="A283" s="1" t="str">
        <f t="shared" si="4"/>
        <v>09 Atenolol 0.1</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3613</v>
      </c>
      <c r="D283" s="1" t="s">
        <v>1739</v>
      </c>
      <c r="E283" s="1" t="s">
        <v>3614</v>
      </c>
      <c r="F283" s="1" t="s">
        <v>111</v>
      </c>
      <c r="G283" s="1">
        <v>51491</v>
      </c>
    </row>
    <row r="284" spans="1:7" x14ac:dyDescent="0.25">
      <c r="A284" s="1" t="str">
        <f t="shared" si="4"/>
        <v>09 Atenolol 0.1</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3615</v>
      </c>
      <c r="D284" s="1" t="s">
        <v>2679</v>
      </c>
      <c r="E284" s="1" t="s">
        <v>3616</v>
      </c>
      <c r="F284" s="1" t="s">
        <v>111</v>
      </c>
      <c r="G284" s="1">
        <v>79227</v>
      </c>
    </row>
    <row r="285" spans="1:7" x14ac:dyDescent="0.25">
      <c r="A285" s="1" t="str">
        <f t="shared" si="4"/>
        <v>09 Atenolol 0.1</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3617</v>
      </c>
      <c r="D285" s="1" t="s">
        <v>3618</v>
      </c>
      <c r="E285" s="1" t="s">
        <v>3619</v>
      </c>
      <c r="F285" s="1" t="s">
        <v>111</v>
      </c>
      <c r="G285" s="1">
        <v>195457</v>
      </c>
    </row>
    <row r="286" spans="1:7" x14ac:dyDescent="0.25">
      <c r="A286" s="1" t="str">
        <f t="shared" si="4"/>
        <v>09 Atenolol 0.1</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3620</v>
      </c>
      <c r="D286" s="1" t="s">
        <v>3621</v>
      </c>
      <c r="E286" s="1" t="s">
        <v>3622</v>
      </c>
      <c r="F286" s="1" t="s">
        <v>111</v>
      </c>
      <c r="G286" s="1">
        <v>198460</v>
      </c>
    </row>
    <row r="287" spans="1:7" x14ac:dyDescent="0.25">
      <c r="A287" s="1" t="str">
        <f t="shared" si="4"/>
        <v>09 Atenolol 0.1</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3623</v>
      </c>
      <c r="D287" s="1" t="s">
        <v>1897</v>
      </c>
      <c r="E287" s="1" t="s">
        <v>3624</v>
      </c>
      <c r="F287" s="1" t="s">
        <v>111</v>
      </c>
      <c r="G287" s="1">
        <v>47206</v>
      </c>
    </row>
    <row r="288" spans="1:7" x14ac:dyDescent="0.25">
      <c r="A288" s="1" t="str">
        <f t="shared" si="4"/>
        <v>09 Atenolol 0.1</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3625</v>
      </c>
      <c r="D288" s="1" t="s">
        <v>2674</v>
      </c>
      <c r="E288" s="1" t="s">
        <v>3626</v>
      </c>
      <c r="F288" s="1" t="s">
        <v>111</v>
      </c>
      <c r="G288" s="1">
        <v>74550</v>
      </c>
    </row>
    <row r="289" spans="1:9" x14ac:dyDescent="0.25">
      <c r="A289" s="1" t="str">
        <f t="shared" si="4"/>
        <v>09 Atenolol 0.1</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3627</v>
      </c>
      <c r="D289" s="1" t="s">
        <v>2395</v>
      </c>
      <c r="E289" s="1">
        <v>66</v>
      </c>
      <c r="F289" s="1" t="s">
        <v>111</v>
      </c>
      <c r="G289" s="1">
        <v>76095</v>
      </c>
    </row>
    <row r="290" spans="1:9"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111</v>
      </c>
    </row>
    <row r="291" spans="1:9"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230</v>
      </c>
      <c r="D291" s="1" t="s">
        <v>111</v>
      </c>
      <c r="E291" s="1" t="s">
        <v>231</v>
      </c>
      <c r="F291" s="1" t="s">
        <v>232</v>
      </c>
      <c r="G291" s="1" t="s">
        <v>233</v>
      </c>
      <c r="H291" s="1" t="s">
        <v>234</v>
      </c>
      <c r="I291" s="1" t="s">
        <v>235</v>
      </c>
    </row>
    <row r="292" spans="1:9" x14ac:dyDescent="0.25">
      <c r="A292" s="1" t="str">
        <f t="shared" si="4"/>
        <v>09 Atenolol 0.1</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3628</v>
      </c>
      <c r="D292" s="1" t="s">
        <v>111</v>
      </c>
      <c r="E292" s="1" t="s">
        <v>3629</v>
      </c>
      <c r="F292" s="1" t="s">
        <v>3630</v>
      </c>
      <c r="G292" s="1" t="s">
        <v>3631</v>
      </c>
      <c r="H292" s="1" t="s">
        <v>3632</v>
      </c>
      <c r="I292" s="1">
        <v>24</v>
      </c>
    </row>
    <row r="293" spans="1:9"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111</v>
      </c>
    </row>
    <row r="294" spans="1:9"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111</v>
      </c>
    </row>
    <row r="295" spans="1:9"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111</v>
      </c>
    </row>
    <row r="296" spans="1:9"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111</v>
      </c>
    </row>
    <row r="297" spans="1:9"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111</v>
      </c>
    </row>
    <row r="298" spans="1:9"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240</v>
      </c>
      <c r="D298" s="1" t="s">
        <v>109</v>
      </c>
      <c r="E298" s="1" t="s">
        <v>110</v>
      </c>
      <c r="F298" s="1" t="s">
        <v>111</v>
      </c>
      <c r="G298" s="1" t="s">
        <v>112</v>
      </c>
    </row>
    <row r="299" spans="1:9" x14ac:dyDescent="0.25">
      <c r="A299" s="1" t="str">
        <f t="shared" si="4"/>
        <v>10 Atenolol 1</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3633</v>
      </c>
      <c r="D299" s="1" t="s">
        <v>3634</v>
      </c>
      <c r="E299" s="1" t="s">
        <v>3635</v>
      </c>
      <c r="F299" s="1" t="s">
        <v>111</v>
      </c>
      <c r="G299" s="1">
        <v>1014834</v>
      </c>
    </row>
    <row r="300" spans="1:9" x14ac:dyDescent="0.25">
      <c r="A300" s="1" t="str">
        <f t="shared" si="4"/>
        <v>10 Atenolol 1</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3636</v>
      </c>
      <c r="D300" s="1" t="s">
        <v>3637</v>
      </c>
      <c r="E300" s="1" t="s">
        <v>3638</v>
      </c>
      <c r="F300" s="1" t="s">
        <v>111</v>
      </c>
      <c r="G300" s="1">
        <v>502294</v>
      </c>
    </row>
    <row r="301" spans="1:9" x14ac:dyDescent="0.25">
      <c r="A301" s="1" t="str">
        <f t="shared" si="4"/>
        <v>10 Atenolol 1</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3639</v>
      </c>
      <c r="D301" s="1" t="s">
        <v>3640</v>
      </c>
      <c r="E301" s="1" t="s">
        <v>3641</v>
      </c>
      <c r="F301" s="1" t="s">
        <v>111</v>
      </c>
      <c r="G301" s="1">
        <v>426134</v>
      </c>
    </row>
    <row r="302" spans="1:9" x14ac:dyDescent="0.25">
      <c r="A302" s="1" t="str">
        <f t="shared" si="4"/>
        <v>10 Atenolol 1</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3642</v>
      </c>
      <c r="D302" s="1" t="s">
        <v>3643</v>
      </c>
      <c r="E302" s="1" t="s">
        <v>3644</v>
      </c>
      <c r="F302" s="1" t="s">
        <v>111</v>
      </c>
      <c r="G302" s="1">
        <v>170810</v>
      </c>
    </row>
    <row r="303" spans="1:9" x14ac:dyDescent="0.25">
      <c r="A303" s="1" t="str">
        <f t="shared" si="4"/>
        <v>10 Atenolol 1</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3645</v>
      </c>
      <c r="D303" s="1" t="s">
        <v>3646</v>
      </c>
      <c r="E303" s="1" t="s">
        <v>3647</v>
      </c>
      <c r="F303" s="1" t="s">
        <v>111</v>
      </c>
      <c r="G303" s="1">
        <v>366986</v>
      </c>
    </row>
    <row r="304" spans="1:9" x14ac:dyDescent="0.25">
      <c r="A304" s="1" t="str">
        <f t="shared" si="4"/>
        <v>10 Atenolol 1</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3648</v>
      </c>
      <c r="D304" s="1" t="s">
        <v>1906</v>
      </c>
      <c r="E304" s="1" t="s">
        <v>3649</v>
      </c>
      <c r="F304" s="1" t="s">
        <v>111</v>
      </c>
      <c r="G304" s="1">
        <v>387913</v>
      </c>
    </row>
    <row r="305" spans="1:7" x14ac:dyDescent="0.25">
      <c r="A305" s="1" t="str">
        <f t="shared" si="4"/>
        <v>10 Atenolol 1</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3650</v>
      </c>
      <c r="D305" s="1" t="s">
        <v>2002</v>
      </c>
      <c r="E305" s="1" t="s">
        <v>3651</v>
      </c>
      <c r="F305" s="1" t="s">
        <v>111</v>
      </c>
      <c r="G305" s="1">
        <v>322695</v>
      </c>
    </row>
    <row r="306" spans="1:7" x14ac:dyDescent="0.25">
      <c r="A306" s="1" t="str">
        <f t="shared" si="4"/>
        <v>10 Atenolol 1</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3652</v>
      </c>
      <c r="D306" s="1" t="s">
        <v>1680</v>
      </c>
      <c r="E306" s="1" t="s">
        <v>3653</v>
      </c>
      <c r="F306" s="1" t="s">
        <v>111</v>
      </c>
      <c r="G306" s="1">
        <v>54667</v>
      </c>
    </row>
    <row r="307" spans="1:7" x14ac:dyDescent="0.25">
      <c r="A307" s="1" t="str">
        <f t="shared" si="4"/>
        <v>10 Atenolol 1</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3654</v>
      </c>
      <c r="D307" s="1" t="s">
        <v>1889</v>
      </c>
      <c r="E307" s="1" t="s">
        <v>3655</v>
      </c>
      <c r="F307" s="1" t="s">
        <v>111</v>
      </c>
      <c r="G307" s="1">
        <v>129043</v>
      </c>
    </row>
    <row r="308" spans="1:7" x14ac:dyDescent="0.25">
      <c r="A308" s="1" t="str">
        <f t="shared" si="4"/>
        <v>10 Atenolol 1</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3656</v>
      </c>
      <c r="D308" s="1" t="s">
        <v>3159</v>
      </c>
      <c r="E308" s="1" t="s">
        <v>3657</v>
      </c>
      <c r="F308" s="1" t="s">
        <v>111</v>
      </c>
      <c r="G308" s="1">
        <v>129587</v>
      </c>
    </row>
    <row r="309" spans="1:7" x14ac:dyDescent="0.25">
      <c r="A309" s="1" t="str">
        <f t="shared" si="4"/>
        <v>10 Atenolol 1</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3658</v>
      </c>
      <c r="D309" s="1" t="s">
        <v>2395</v>
      </c>
      <c r="E309" s="1" t="s">
        <v>3659</v>
      </c>
      <c r="F309" s="1" t="s">
        <v>111</v>
      </c>
      <c r="G309" s="1">
        <v>74159</v>
      </c>
    </row>
    <row r="310" spans="1:7" x14ac:dyDescent="0.25">
      <c r="A310" s="1" t="str">
        <f t="shared" si="4"/>
        <v>10 Atenolol 1</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3660</v>
      </c>
      <c r="D310" s="1" t="s">
        <v>2697</v>
      </c>
      <c r="E310" s="1" t="s">
        <v>3661</v>
      </c>
      <c r="F310" s="1" t="s">
        <v>111</v>
      </c>
      <c r="G310" s="1">
        <v>56821</v>
      </c>
    </row>
    <row r="311" spans="1:7" x14ac:dyDescent="0.25">
      <c r="A311" s="1" t="str">
        <f t="shared" si="4"/>
        <v>10 Atenolol 1</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3662</v>
      </c>
    </row>
    <row r="312" spans="1:7" x14ac:dyDescent="0.25">
      <c r="A312" s="1" t="str">
        <f t="shared" si="4"/>
        <v>10 Atenolol 1</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3663</v>
      </c>
      <c r="D312" s="1" t="s">
        <v>3664</v>
      </c>
      <c r="E312" s="1" t="s">
        <v>3665</v>
      </c>
      <c r="F312" s="1" t="s">
        <v>111</v>
      </c>
      <c r="G312" s="1">
        <v>306793</v>
      </c>
    </row>
    <row r="313" spans="1:7" x14ac:dyDescent="0.25">
      <c r="A313" s="1" t="str">
        <f t="shared" si="4"/>
        <v>10 Atenolol 1</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3666</v>
      </c>
      <c r="D313" s="1" t="s">
        <v>3667</v>
      </c>
      <c r="E313" s="1" t="s">
        <v>3668</v>
      </c>
      <c r="F313" s="1" t="s">
        <v>111</v>
      </c>
      <c r="G313" s="1">
        <v>356653</v>
      </c>
    </row>
    <row r="314" spans="1:7" x14ac:dyDescent="0.25">
      <c r="A314" s="1" t="str">
        <f t="shared" si="4"/>
        <v>10 Atenolol 1</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3669</v>
      </c>
      <c r="D314" s="1" t="s">
        <v>3670</v>
      </c>
      <c r="E314" s="1" t="s">
        <v>3671</v>
      </c>
      <c r="F314" s="1" t="s">
        <v>111</v>
      </c>
      <c r="G314" s="1">
        <v>322347</v>
      </c>
    </row>
    <row r="315" spans="1:7" x14ac:dyDescent="0.25">
      <c r="A315" s="1" t="str">
        <f t="shared" si="4"/>
        <v>10 Atenolol 1</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3672</v>
      </c>
      <c r="D315" s="1" t="s">
        <v>3673</v>
      </c>
      <c r="E315" s="1" t="s">
        <v>3674</v>
      </c>
      <c r="F315" s="1" t="s">
        <v>111</v>
      </c>
      <c r="G315" s="1">
        <v>287411</v>
      </c>
    </row>
    <row r="316" spans="1:7" x14ac:dyDescent="0.25">
      <c r="A316" s="1" t="str">
        <f t="shared" si="4"/>
        <v>10 Atenolol 1</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3675</v>
      </c>
      <c r="D316" s="1" t="s">
        <v>1689</v>
      </c>
      <c r="E316" s="1" t="s">
        <v>3676</v>
      </c>
      <c r="F316" s="1" t="s">
        <v>111</v>
      </c>
      <c r="G316" s="1">
        <v>241358</v>
      </c>
    </row>
    <row r="317" spans="1:7" x14ac:dyDescent="0.25">
      <c r="A317" s="1" t="str">
        <f t="shared" si="4"/>
        <v>10 Atenolol 1</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3677</v>
      </c>
      <c r="D317" s="1" t="s">
        <v>3203</v>
      </c>
      <c r="E317" s="1" t="s">
        <v>3678</v>
      </c>
      <c r="F317" s="1" t="s">
        <v>111</v>
      </c>
      <c r="G317" s="1">
        <v>784179</v>
      </c>
    </row>
    <row r="318" spans="1:7" x14ac:dyDescent="0.25">
      <c r="A318" s="1" t="str">
        <f t="shared" si="4"/>
        <v>10 Atenolol 1</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3679</v>
      </c>
      <c r="D318" s="1" t="s">
        <v>3680</v>
      </c>
      <c r="E318" s="1" t="s">
        <v>3681</v>
      </c>
      <c r="F318" s="1" t="s">
        <v>111</v>
      </c>
      <c r="G318" s="1">
        <v>675498</v>
      </c>
    </row>
    <row r="319" spans="1:7" x14ac:dyDescent="0.25">
      <c r="A319" s="1" t="str">
        <f t="shared" si="4"/>
        <v>10 Atenolol 1</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3682</v>
      </c>
      <c r="D319" s="1" t="s">
        <v>3683</v>
      </c>
      <c r="E319" s="1" t="s">
        <v>3684</v>
      </c>
      <c r="F319" s="1" t="s">
        <v>111</v>
      </c>
      <c r="G319" s="1">
        <v>706497</v>
      </c>
    </row>
    <row r="320" spans="1:7" x14ac:dyDescent="0.25">
      <c r="A320" s="1" t="str">
        <f t="shared" si="4"/>
        <v>10 Atenolol 1</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3685</v>
      </c>
      <c r="D320" s="1" t="s">
        <v>2234</v>
      </c>
      <c r="E320" s="1" t="s">
        <v>3686</v>
      </c>
      <c r="F320" s="1" t="s">
        <v>111</v>
      </c>
      <c r="G320" s="1">
        <v>20427</v>
      </c>
    </row>
    <row r="321" spans="1:9" x14ac:dyDescent="0.25">
      <c r="A321" s="1" t="str">
        <f t="shared" si="4"/>
        <v>10 Atenolol 1</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3687</v>
      </c>
      <c r="D321" s="1" t="s">
        <v>1928</v>
      </c>
      <c r="E321" s="1" t="s">
        <v>3688</v>
      </c>
      <c r="F321" s="1" t="s">
        <v>111</v>
      </c>
      <c r="G321" s="1">
        <v>91475</v>
      </c>
    </row>
    <row r="322" spans="1:9" x14ac:dyDescent="0.25">
      <c r="A322" s="1" t="str">
        <f t="shared" ref="A322:A385" si="5">IFERROR(LEFT(RIGHT(C322,LEN(C322)-SEARCH("@",C322)),SEARCH("/",RIGHT(C322,LEN(C322)-SEARCH("@",C322)-1))),"")</f>
        <v>10 Atenolol 1</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3689</v>
      </c>
      <c r="D322" s="1" t="s">
        <v>2177</v>
      </c>
      <c r="E322" s="1" t="s">
        <v>3690</v>
      </c>
      <c r="F322" s="1" t="s">
        <v>111</v>
      </c>
      <c r="G322" s="1">
        <v>23690</v>
      </c>
    </row>
    <row r="323" spans="1:9"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111</v>
      </c>
    </row>
    <row r="324" spans="1:9"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230</v>
      </c>
      <c r="D324" s="1" t="s">
        <v>111</v>
      </c>
      <c r="E324" s="1" t="s">
        <v>231</v>
      </c>
      <c r="F324" s="1" t="s">
        <v>232</v>
      </c>
      <c r="G324" s="1" t="s">
        <v>233</v>
      </c>
      <c r="H324" s="1" t="s">
        <v>234</v>
      </c>
      <c r="I324" s="1" t="s">
        <v>235</v>
      </c>
    </row>
    <row r="325" spans="1:9" x14ac:dyDescent="0.25">
      <c r="A325" s="1" t="str">
        <f t="shared" si="5"/>
        <v>10 Atenolol 1</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3691</v>
      </c>
      <c r="D325" s="1" t="s">
        <v>111</v>
      </c>
      <c r="E325" s="1" t="s">
        <v>3692</v>
      </c>
      <c r="F325" s="1" t="s">
        <v>3693</v>
      </c>
      <c r="G325" s="1" t="s">
        <v>3694</v>
      </c>
      <c r="H325" s="1" t="s">
        <v>3695</v>
      </c>
      <c r="I325" s="1">
        <v>24</v>
      </c>
    </row>
    <row r="326" spans="1:9"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111</v>
      </c>
    </row>
    <row r="327" spans="1:9"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111</v>
      </c>
    </row>
    <row r="328" spans="1:9"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111</v>
      </c>
    </row>
    <row r="329" spans="1:9"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111</v>
      </c>
    </row>
    <row r="330" spans="1:9"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111</v>
      </c>
    </row>
    <row r="331" spans="1:9"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240</v>
      </c>
      <c r="D331" s="1" t="s">
        <v>109</v>
      </c>
      <c r="E331" s="1" t="s">
        <v>110</v>
      </c>
      <c r="F331" s="1" t="s">
        <v>111</v>
      </c>
      <c r="G331" s="1" t="s">
        <v>112</v>
      </c>
    </row>
    <row r="332" spans="1:9" x14ac:dyDescent="0.25">
      <c r="A332" s="1" t="str">
        <f t="shared" si="5"/>
        <v>11 Atenolol 10</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3696</v>
      </c>
      <c r="D332" s="1" t="s">
        <v>1817</v>
      </c>
      <c r="E332" s="1" t="s">
        <v>3697</v>
      </c>
      <c r="F332" s="1" t="s">
        <v>111</v>
      </c>
      <c r="G332" s="1">
        <v>126846</v>
      </c>
    </row>
    <row r="333" spans="1:9" x14ac:dyDescent="0.25">
      <c r="A333" s="1" t="str">
        <f t="shared" si="5"/>
        <v>11 Atenolol 10</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3698</v>
      </c>
      <c r="D333" s="1" t="s">
        <v>3699</v>
      </c>
      <c r="E333" s="1" t="s">
        <v>3700</v>
      </c>
      <c r="F333" s="1" t="s">
        <v>111</v>
      </c>
      <c r="G333" s="1">
        <v>453740</v>
      </c>
    </row>
    <row r="334" spans="1:9" x14ac:dyDescent="0.25">
      <c r="A334" s="1" t="str">
        <f t="shared" si="5"/>
        <v>11 Atenolol 10</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3701</v>
      </c>
      <c r="D334" s="1" t="s">
        <v>1897</v>
      </c>
      <c r="E334" s="1" t="s">
        <v>1737</v>
      </c>
      <c r="F334" s="1" t="s">
        <v>111</v>
      </c>
      <c r="G334" s="1">
        <v>47706</v>
      </c>
    </row>
    <row r="335" spans="1:9" x14ac:dyDescent="0.25">
      <c r="A335" s="1" t="str">
        <f t="shared" si="5"/>
        <v>11 Atenolol 10</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3702</v>
      </c>
      <c r="D335" s="1" t="s">
        <v>1800</v>
      </c>
      <c r="E335" s="1" t="s">
        <v>3703</v>
      </c>
      <c r="F335" s="1" t="s">
        <v>111</v>
      </c>
      <c r="G335" s="1">
        <v>82229</v>
      </c>
    </row>
    <row r="336" spans="1:9" x14ac:dyDescent="0.25">
      <c r="A336" s="1" t="str">
        <f t="shared" si="5"/>
        <v>11 Atenolol 10</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3704</v>
      </c>
      <c r="D336" s="1" t="s">
        <v>3705</v>
      </c>
      <c r="E336" s="1" t="s">
        <v>3706</v>
      </c>
      <c r="F336" s="1" t="s">
        <v>111</v>
      </c>
      <c r="G336" s="1">
        <v>942634</v>
      </c>
    </row>
    <row r="337" spans="1:7" x14ac:dyDescent="0.25">
      <c r="A337" s="1" t="str">
        <f t="shared" si="5"/>
        <v>11 Atenolol 10</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3707</v>
      </c>
      <c r="D337" s="1" t="s">
        <v>3708</v>
      </c>
      <c r="E337" s="1" t="s">
        <v>3709</v>
      </c>
      <c r="F337" s="1" t="s">
        <v>111</v>
      </c>
      <c r="G337" s="1">
        <v>320672</v>
      </c>
    </row>
    <row r="338" spans="1:7" x14ac:dyDescent="0.25">
      <c r="A338" s="1" t="str">
        <f t="shared" si="5"/>
        <v>11 Atenolol 10</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3710</v>
      </c>
      <c r="D338" s="1" t="s">
        <v>3711</v>
      </c>
      <c r="E338" s="1" t="s">
        <v>3712</v>
      </c>
      <c r="F338" s="1" t="s">
        <v>111</v>
      </c>
      <c r="G338" s="1">
        <v>527550</v>
      </c>
    </row>
    <row r="339" spans="1:7" x14ac:dyDescent="0.25">
      <c r="A339" s="1" t="str">
        <f t="shared" si="5"/>
        <v>11 Atenolol 10</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3713</v>
      </c>
      <c r="D339" s="1" t="s">
        <v>1850</v>
      </c>
      <c r="E339" s="1" t="s">
        <v>3714</v>
      </c>
      <c r="F339" s="1" t="s">
        <v>111</v>
      </c>
      <c r="G339" s="1">
        <v>69264</v>
      </c>
    </row>
    <row r="340" spans="1:7" x14ac:dyDescent="0.25">
      <c r="A340" s="1" t="str">
        <f t="shared" si="5"/>
        <v>11 Atenolol 10</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3715</v>
      </c>
      <c r="D340" s="1" t="s">
        <v>1850</v>
      </c>
      <c r="E340" s="1" t="s">
        <v>3716</v>
      </c>
      <c r="F340" s="1" t="s">
        <v>111</v>
      </c>
      <c r="G340" s="1">
        <v>69764</v>
      </c>
    </row>
    <row r="341" spans="1:7" x14ac:dyDescent="0.25">
      <c r="A341" s="1" t="str">
        <f t="shared" si="5"/>
        <v>11 Atenolol 10</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3717</v>
      </c>
      <c r="D341" s="1" t="s">
        <v>3718</v>
      </c>
      <c r="E341" s="1" t="s">
        <v>3719</v>
      </c>
      <c r="F341" s="1" t="s">
        <v>111</v>
      </c>
      <c r="G341" s="1">
        <v>339119</v>
      </c>
    </row>
    <row r="342" spans="1:7" x14ac:dyDescent="0.25">
      <c r="A342" s="1" t="str">
        <f t="shared" si="5"/>
        <v>11 Atenolol 10</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3720</v>
      </c>
      <c r="D342" s="1" t="s">
        <v>1695</v>
      </c>
      <c r="E342" s="1" t="s">
        <v>3721</v>
      </c>
      <c r="F342" s="1" t="s">
        <v>111</v>
      </c>
      <c r="G342" s="1">
        <v>289455</v>
      </c>
    </row>
    <row r="343" spans="1:7" x14ac:dyDescent="0.25">
      <c r="A343" s="1" t="str">
        <f t="shared" si="5"/>
        <v>11 Atenolol 10</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3722</v>
      </c>
      <c r="D343" s="1" t="s">
        <v>3723</v>
      </c>
      <c r="E343" s="1" t="s">
        <v>3724</v>
      </c>
      <c r="F343" s="1" t="s">
        <v>111</v>
      </c>
      <c r="G343" s="1">
        <v>252953</v>
      </c>
    </row>
    <row r="344" spans="1:7" x14ac:dyDescent="0.25">
      <c r="A344" s="1" t="str">
        <f t="shared" si="5"/>
        <v>11 Atenolol 10</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3725</v>
      </c>
      <c r="D344" s="1" t="s">
        <v>1991</v>
      </c>
      <c r="E344" s="1" t="s">
        <v>3726</v>
      </c>
      <c r="F344" s="1" t="s">
        <v>111</v>
      </c>
      <c r="G344" s="1">
        <v>163284</v>
      </c>
    </row>
    <row r="345" spans="1:7" x14ac:dyDescent="0.25">
      <c r="A345" s="1" t="str">
        <f t="shared" si="5"/>
        <v>11 Atenolol 10</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3727</v>
      </c>
      <c r="D345" s="1" t="s">
        <v>3173</v>
      </c>
      <c r="E345" s="1" t="s">
        <v>3728</v>
      </c>
      <c r="F345" s="1" t="s">
        <v>111</v>
      </c>
      <c r="G345" s="1">
        <v>177728</v>
      </c>
    </row>
    <row r="346" spans="1:7" x14ac:dyDescent="0.25">
      <c r="A346" s="1" t="str">
        <f t="shared" si="5"/>
        <v>11 Atenolol 10</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3729</v>
      </c>
      <c r="D346" s="1" t="s">
        <v>1785</v>
      </c>
      <c r="E346" s="1" t="s">
        <v>3730</v>
      </c>
      <c r="F346" s="1" t="s">
        <v>111</v>
      </c>
      <c r="G346" s="1">
        <v>50338</v>
      </c>
    </row>
    <row r="347" spans="1:7" x14ac:dyDescent="0.25">
      <c r="A347" s="1" t="str">
        <f t="shared" si="5"/>
        <v>11 Atenolol 10</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3731</v>
      </c>
      <c r="D347" s="1" t="s">
        <v>3732</v>
      </c>
      <c r="E347" s="1" t="s">
        <v>3733</v>
      </c>
      <c r="F347" s="1" t="s">
        <v>111</v>
      </c>
      <c r="G347" s="1">
        <v>508451</v>
      </c>
    </row>
    <row r="348" spans="1:7" x14ac:dyDescent="0.25">
      <c r="A348" s="1" t="str">
        <f t="shared" si="5"/>
        <v>11 Atenolol 10</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3734</v>
      </c>
      <c r="D348" s="1" t="s">
        <v>3203</v>
      </c>
      <c r="E348" s="1" t="s">
        <v>3735</v>
      </c>
      <c r="F348" s="1" t="s">
        <v>111</v>
      </c>
      <c r="G348" s="1">
        <v>691465</v>
      </c>
    </row>
    <row r="349" spans="1:7" x14ac:dyDescent="0.25">
      <c r="A349" s="1" t="str">
        <f t="shared" si="5"/>
        <v>11 Atenolol 10</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3736</v>
      </c>
    </row>
    <row r="350" spans="1:7" x14ac:dyDescent="0.25">
      <c r="A350" s="1" t="str">
        <f t="shared" si="5"/>
        <v>11 Atenolol 10</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3737</v>
      </c>
    </row>
    <row r="351" spans="1:7" x14ac:dyDescent="0.25">
      <c r="A351" s="1" t="str">
        <f t="shared" si="5"/>
        <v>11 Atenolol 10</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3738</v>
      </c>
    </row>
    <row r="352" spans="1:7" x14ac:dyDescent="0.25">
      <c r="A352" s="1" t="str">
        <f t="shared" si="5"/>
        <v>11 Atenolol 10</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3739</v>
      </c>
      <c r="D352" s="1" t="s">
        <v>3740</v>
      </c>
      <c r="E352" s="1" t="s">
        <v>3741</v>
      </c>
      <c r="F352" s="1" t="s">
        <v>111</v>
      </c>
      <c r="G352" s="1">
        <v>663577</v>
      </c>
    </row>
    <row r="353" spans="1:9" x14ac:dyDescent="0.25">
      <c r="A353" s="1" t="str">
        <f t="shared" si="5"/>
        <v>11 Atenolol 10</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3742</v>
      </c>
      <c r="D353" s="1" t="s">
        <v>3743</v>
      </c>
      <c r="E353" s="1" t="s">
        <v>3744</v>
      </c>
      <c r="F353" s="1" t="s">
        <v>111</v>
      </c>
      <c r="G353" s="1">
        <v>519219</v>
      </c>
    </row>
    <row r="354" spans="1:9" x14ac:dyDescent="0.25">
      <c r="A354" s="1" t="str">
        <f t="shared" si="5"/>
        <v>11 Atenolol 10</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3745</v>
      </c>
      <c r="D354" s="1" t="s">
        <v>3746</v>
      </c>
      <c r="E354" s="1" t="s">
        <v>3747</v>
      </c>
      <c r="F354" s="1" t="s">
        <v>111</v>
      </c>
      <c r="G354" s="1">
        <v>355261</v>
      </c>
    </row>
    <row r="355" spans="1:9" x14ac:dyDescent="0.25">
      <c r="A355" s="1" t="str">
        <f t="shared" si="5"/>
        <v>11 Atenolol 10</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3748</v>
      </c>
      <c r="D355" s="1" t="s">
        <v>3749</v>
      </c>
      <c r="E355" s="1" t="s">
        <v>3750</v>
      </c>
      <c r="F355" s="1" t="s">
        <v>111</v>
      </c>
      <c r="G355" s="1">
        <v>465095</v>
      </c>
    </row>
    <row r="356" spans="1:9"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111</v>
      </c>
    </row>
    <row r="357" spans="1:9"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230</v>
      </c>
      <c r="D357" s="1" t="s">
        <v>111</v>
      </c>
      <c r="E357" s="1" t="s">
        <v>231</v>
      </c>
      <c r="F357" s="1" t="s">
        <v>232</v>
      </c>
      <c r="G357" s="1" t="s">
        <v>233</v>
      </c>
      <c r="H357" s="1" t="s">
        <v>234</v>
      </c>
      <c r="I357" s="1" t="s">
        <v>235</v>
      </c>
    </row>
    <row r="358" spans="1:9" x14ac:dyDescent="0.25">
      <c r="A358" s="1" t="str">
        <f t="shared" si="5"/>
        <v>11 Atenolol 10</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3751</v>
      </c>
      <c r="D358" s="1" t="s">
        <v>111</v>
      </c>
      <c r="E358" s="1" t="s">
        <v>3752</v>
      </c>
      <c r="F358" s="1" t="s">
        <v>3753</v>
      </c>
      <c r="G358" s="1" t="s">
        <v>3754</v>
      </c>
      <c r="H358" s="1" t="s">
        <v>3755</v>
      </c>
      <c r="I358" s="1">
        <v>24</v>
      </c>
    </row>
    <row r="359" spans="1:9"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111</v>
      </c>
    </row>
    <row r="360" spans="1:9"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111</v>
      </c>
    </row>
    <row r="361" spans="1:9"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111</v>
      </c>
    </row>
    <row r="362" spans="1:9"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111</v>
      </c>
    </row>
    <row r="363" spans="1:9"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111</v>
      </c>
    </row>
    <row r="364" spans="1:9"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240</v>
      </c>
      <c r="D364" s="1" t="s">
        <v>109</v>
      </c>
      <c r="E364" s="1" t="s">
        <v>110</v>
      </c>
      <c r="F364" s="1" t="s">
        <v>111</v>
      </c>
      <c r="G364" s="1" t="s">
        <v>112</v>
      </c>
    </row>
    <row r="365" spans="1:9" x14ac:dyDescent="0.25">
      <c r="A365" s="1" t="str">
        <f t="shared" si="5"/>
        <v>12 Atenolol 100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3756</v>
      </c>
      <c r="D365" s="1" t="s">
        <v>3757</v>
      </c>
      <c r="E365" s="1" t="s">
        <v>3758</v>
      </c>
      <c r="F365" s="1" t="s">
        <v>111</v>
      </c>
      <c r="G365" s="1">
        <v>875067</v>
      </c>
    </row>
    <row r="366" spans="1:9" x14ac:dyDescent="0.25">
      <c r="A366" s="1" t="str">
        <f t="shared" si="5"/>
        <v>12 Atenolol 100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3759</v>
      </c>
      <c r="D366" s="1" t="s">
        <v>3760</v>
      </c>
      <c r="E366" s="1" t="s">
        <v>3761</v>
      </c>
      <c r="F366" s="1" t="s">
        <v>111</v>
      </c>
      <c r="G366" s="1">
        <v>667557</v>
      </c>
    </row>
    <row r="367" spans="1:9" x14ac:dyDescent="0.25">
      <c r="A367" s="1" t="str">
        <f t="shared" si="5"/>
        <v>12 Atenolol 100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3762</v>
      </c>
      <c r="D367" s="1" t="s">
        <v>3763</v>
      </c>
      <c r="E367" s="1" t="s">
        <v>3764</v>
      </c>
      <c r="F367" s="1" t="s">
        <v>111</v>
      </c>
      <c r="G367" s="1">
        <v>768625</v>
      </c>
    </row>
    <row r="368" spans="1:9" x14ac:dyDescent="0.25">
      <c r="A368" s="1" t="str">
        <f t="shared" si="5"/>
        <v>12 Atenolol 100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3765</v>
      </c>
      <c r="D368" s="1" t="s">
        <v>1695</v>
      </c>
      <c r="E368" s="1" t="s">
        <v>3766</v>
      </c>
      <c r="F368" s="1" t="s">
        <v>111</v>
      </c>
      <c r="G368" s="1">
        <v>281167</v>
      </c>
    </row>
    <row r="369" spans="1:7" x14ac:dyDescent="0.25">
      <c r="A369" s="1" t="str">
        <f t="shared" si="5"/>
        <v>12 Atenolol 100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3767</v>
      </c>
      <c r="D369" s="1" t="s">
        <v>2268</v>
      </c>
      <c r="E369" s="1" t="s">
        <v>3768</v>
      </c>
      <c r="F369" s="1" t="s">
        <v>111</v>
      </c>
      <c r="G369" s="1">
        <v>100111</v>
      </c>
    </row>
    <row r="370" spans="1:7" x14ac:dyDescent="0.25">
      <c r="A370" s="1" t="str">
        <f t="shared" si="5"/>
        <v>12 Atenolol 100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3769</v>
      </c>
      <c r="D370" s="1" t="s">
        <v>1768</v>
      </c>
      <c r="E370" s="1" t="s">
        <v>3770</v>
      </c>
      <c r="F370" s="1" t="s">
        <v>111</v>
      </c>
      <c r="G370" s="1">
        <v>303139</v>
      </c>
    </row>
    <row r="371" spans="1:7" x14ac:dyDescent="0.25">
      <c r="A371" s="1" t="str">
        <f t="shared" si="5"/>
        <v>12 Atenolol 100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3771</v>
      </c>
      <c r="D371" s="1" t="s">
        <v>3772</v>
      </c>
      <c r="E371" s="1" t="s">
        <v>3773</v>
      </c>
      <c r="F371" s="1" t="s">
        <v>111</v>
      </c>
      <c r="G371" s="1">
        <v>334725</v>
      </c>
    </row>
    <row r="372" spans="1:7" x14ac:dyDescent="0.25">
      <c r="A372" s="1" t="str">
        <f t="shared" si="5"/>
        <v>12 Atenolol 100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3774</v>
      </c>
      <c r="D372" s="1" t="s">
        <v>3775</v>
      </c>
      <c r="E372" s="1" t="s">
        <v>3776</v>
      </c>
      <c r="F372" s="1" t="s">
        <v>111</v>
      </c>
      <c r="G372" s="1">
        <v>488916</v>
      </c>
    </row>
    <row r="373" spans="1:7" x14ac:dyDescent="0.25">
      <c r="A373" s="1" t="str">
        <f t="shared" si="5"/>
        <v>12 Atenolol 100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3777</v>
      </c>
      <c r="D373" s="1" t="s">
        <v>3778</v>
      </c>
      <c r="E373" s="1" t="s">
        <v>3779</v>
      </c>
      <c r="F373" s="1" t="s">
        <v>111</v>
      </c>
      <c r="G373" s="1">
        <v>82925</v>
      </c>
    </row>
    <row r="374" spans="1:7" x14ac:dyDescent="0.25">
      <c r="A374" s="1" t="str">
        <f t="shared" si="5"/>
        <v>12 Atenolol 100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3780</v>
      </c>
      <c r="D374" s="1" t="s">
        <v>1785</v>
      </c>
      <c r="E374" s="1" t="s">
        <v>3781</v>
      </c>
      <c r="F374" s="1" t="s">
        <v>111</v>
      </c>
      <c r="G374" s="1">
        <v>52427</v>
      </c>
    </row>
    <row r="375" spans="1:7" x14ac:dyDescent="0.25">
      <c r="A375" s="1" t="str">
        <f t="shared" si="5"/>
        <v>12 Atenolol 100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3782</v>
      </c>
      <c r="D375" s="1" t="s">
        <v>2255</v>
      </c>
      <c r="E375" s="1" t="s">
        <v>3783</v>
      </c>
      <c r="F375" s="1" t="s">
        <v>111</v>
      </c>
      <c r="G375" s="1">
        <v>30085</v>
      </c>
    </row>
    <row r="376" spans="1:7" x14ac:dyDescent="0.25">
      <c r="A376" s="1" t="str">
        <f t="shared" si="5"/>
        <v>12 Atenolol 100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3784</v>
      </c>
      <c r="D376" s="1" t="s">
        <v>1698</v>
      </c>
      <c r="E376" s="1" t="s">
        <v>3785</v>
      </c>
      <c r="F376" s="1" t="s">
        <v>111</v>
      </c>
      <c r="G376" s="1">
        <v>39548</v>
      </c>
    </row>
    <row r="377" spans="1:7" x14ac:dyDescent="0.25">
      <c r="A377" s="1" t="str">
        <f t="shared" si="5"/>
        <v>12 Atenolol 100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3786</v>
      </c>
      <c r="D377" s="1" t="s">
        <v>2271</v>
      </c>
      <c r="E377" s="1" t="s">
        <v>3787</v>
      </c>
      <c r="F377" s="1" t="s">
        <v>111</v>
      </c>
      <c r="G377" s="1">
        <v>122495</v>
      </c>
    </row>
    <row r="378" spans="1:7" x14ac:dyDescent="0.25">
      <c r="A378" s="1" t="str">
        <f t="shared" si="5"/>
        <v>12 Atenolol 100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3788</v>
      </c>
      <c r="D378" s="1" t="s">
        <v>3789</v>
      </c>
      <c r="E378" s="1" t="s">
        <v>3790</v>
      </c>
      <c r="F378" s="1" t="s">
        <v>111</v>
      </c>
      <c r="G378" s="1">
        <v>183449</v>
      </c>
    </row>
    <row r="379" spans="1:7" x14ac:dyDescent="0.25">
      <c r="A379" s="1" t="str">
        <f t="shared" si="5"/>
        <v>12 Atenolol 100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3791</v>
      </c>
      <c r="D379" s="1" t="s">
        <v>3551</v>
      </c>
      <c r="E379" s="1" t="s">
        <v>3792</v>
      </c>
      <c r="F379" s="1" t="s">
        <v>111</v>
      </c>
      <c r="G379" s="1">
        <v>55059</v>
      </c>
    </row>
    <row r="380" spans="1:7" x14ac:dyDescent="0.25">
      <c r="A380" s="1" t="str">
        <f t="shared" si="5"/>
        <v>12 Atenolol 100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3793</v>
      </c>
      <c r="D380" s="1" t="s">
        <v>3794</v>
      </c>
      <c r="E380" s="1" t="s">
        <v>3795</v>
      </c>
      <c r="F380" s="1" t="s">
        <v>111</v>
      </c>
      <c r="G380" s="1">
        <v>1042440</v>
      </c>
    </row>
    <row r="381" spans="1:7" x14ac:dyDescent="0.25">
      <c r="A381" s="1" t="str">
        <f t="shared" si="5"/>
        <v>12 Atenolol 100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3796</v>
      </c>
      <c r="D381" s="1" t="s">
        <v>3797</v>
      </c>
      <c r="E381" s="1" t="s">
        <v>3798</v>
      </c>
      <c r="F381" s="1" t="s">
        <v>111</v>
      </c>
      <c r="G381" s="1">
        <v>511387</v>
      </c>
    </row>
    <row r="382" spans="1:7" x14ac:dyDescent="0.25">
      <c r="A382" s="1" t="str">
        <f t="shared" si="5"/>
        <v>12 Atenolol 100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3799</v>
      </c>
      <c r="D382" s="1" t="s">
        <v>3800</v>
      </c>
      <c r="E382" s="1" t="s">
        <v>3801</v>
      </c>
      <c r="F382" s="1" t="s">
        <v>111</v>
      </c>
      <c r="G382" s="1">
        <v>611498</v>
      </c>
    </row>
    <row r="383" spans="1:7" x14ac:dyDescent="0.25">
      <c r="A383" s="1" t="str">
        <f t="shared" si="5"/>
        <v>12 Atenolol 100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3802</v>
      </c>
      <c r="D383" s="1" t="s">
        <v>2237</v>
      </c>
      <c r="E383" s="1" t="s">
        <v>3803</v>
      </c>
      <c r="F383" s="1" t="s">
        <v>111</v>
      </c>
      <c r="G383" s="1">
        <v>14749</v>
      </c>
    </row>
    <row r="384" spans="1:7" x14ac:dyDescent="0.25">
      <c r="A384" s="1" t="str">
        <f t="shared" si="5"/>
        <v>12 Atenolol 100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3804</v>
      </c>
      <c r="D384" s="1" t="s">
        <v>2377</v>
      </c>
      <c r="E384" s="1">
        <v>63</v>
      </c>
      <c r="F384" s="1" t="s">
        <v>111</v>
      </c>
      <c r="G384" s="1">
        <v>35633</v>
      </c>
    </row>
    <row r="385" spans="1:9" x14ac:dyDescent="0.25">
      <c r="A385" s="1" t="str">
        <f t="shared" si="5"/>
        <v>12 Atenolol 100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3805</v>
      </c>
      <c r="D385" s="1" t="s">
        <v>1733</v>
      </c>
      <c r="E385" s="1" t="s">
        <v>3806</v>
      </c>
      <c r="F385" s="1" t="s">
        <v>111</v>
      </c>
      <c r="G385" s="1">
        <v>33588</v>
      </c>
    </row>
    <row r="386" spans="1:9" x14ac:dyDescent="0.25">
      <c r="A386" s="1" t="str">
        <f t="shared" ref="A386:A449" si="6">IFERROR(LEFT(RIGHT(C386,LEN(C386)-SEARCH("@",C386)),SEARCH("/",RIGHT(C386,LEN(C386)-SEARCH("@",C386)-1))),"")</f>
        <v>12 Atenolol 100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3807</v>
      </c>
      <c r="D386" s="1" t="s">
        <v>1683</v>
      </c>
      <c r="E386" s="1" t="s">
        <v>3808</v>
      </c>
      <c r="F386" s="1" t="s">
        <v>111</v>
      </c>
      <c r="G386" s="1">
        <v>109639</v>
      </c>
    </row>
    <row r="387" spans="1:9" x14ac:dyDescent="0.25">
      <c r="A387" s="1" t="str">
        <f t="shared" si="6"/>
        <v>12 Atenolol 100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3809</v>
      </c>
      <c r="D387" s="1" t="s">
        <v>1834</v>
      </c>
      <c r="E387" s="1" t="s">
        <v>3810</v>
      </c>
      <c r="F387" s="1" t="s">
        <v>111</v>
      </c>
      <c r="G387" s="1">
        <v>64065</v>
      </c>
    </row>
    <row r="388" spans="1:9" x14ac:dyDescent="0.25">
      <c r="A388" s="1" t="str">
        <f t="shared" si="6"/>
        <v>12 Atenolol 100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3811</v>
      </c>
      <c r="D388" s="1" t="s">
        <v>1914</v>
      </c>
      <c r="E388" s="1" t="s">
        <v>1737</v>
      </c>
      <c r="F388" s="1" t="s">
        <v>111</v>
      </c>
      <c r="G388" s="1">
        <v>75768</v>
      </c>
    </row>
    <row r="389" spans="1:9"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111</v>
      </c>
    </row>
    <row r="390" spans="1:9"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230</v>
      </c>
      <c r="D390" s="1" t="s">
        <v>111</v>
      </c>
      <c r="E390" s="1" t="s">
        <v>231</v>
      </c>
      <c r="F390" s="1" t="s">
        <v>232</v>
      </c>
      <c r="G390" s="1" t="s">
        <v>233</v>
      </c>
      <c r="H390" s="1" t="s">
        <v>234</v>
      </c>
      <c r="I390" s="1" t="s">
        <v>235</v>
      </c>
    </row>
    <row r="391" spans="1:9" x14ac:dyDescent="0.25">
      <c r="A391" s="1" t="str">
        <f t="shared" si="6"/>
        <v>12 Atenolol 100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3812</v>
      </c>
      <c r="D391" s="1" t="s">
        <v>111</v>
      </c>
      <c r="E391" s="1" t="s">
        <v>3813</v>
      </c>
      <c r="F391" s="1" t="s">
        <v>3814</v>
      </c>
      <c r="G391" s="1" t="s">
        <v>3815</v>
      </c>
      <c r="H391" s="1" t="s">
        <v>3816</v>
      </c>
      <c r="I391" s="1">
        <v>24</v>
      </c>
    </row>
    <row r="392" spans="1:9"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111</v>
      </c>
    </row>
    <row r="393" spans="1:9"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111</v>
      </c>
    </row>
    <row r="394" spans="1:9"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111</v>
      </c>
    </row>
    <row r="395" spans="1:9"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111</v>
      </c>
    </row>
    <row r="396" spans="1:9"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111</v>
      </c>
    </row>
    <row r="397" spans="1:9"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240</v>
      </c>
      <c r="D397" s="1" t="s">
        <v>109</v>
      </c>
      <c r="E397" s="1" t="s">
        <v>110</v>
      </c>
      <c r="F397" s="1" t="s">
        <v>111</v>
      </c>
      <c r="G397" s="1" t="s">
        <v>112</v>
      </c>
    </row>
    <row r="398" spans="1:9" x14ac:dyDescent="0.25">
      <c r="A398" s="1" t="str">
        <f t="shared" si="6"/>
        <v>13 TESTO</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3817</v>
      </c>
      <c r="D398" s="1" t="s">
        <v>3818</v>
      </c>
      <c r="E398" s="1" t="s">
        <v>3819</v>
      </c>
      <c r="F398" s="1" t="s">
        <v>111</v>
      </c>
      <c r="G398" s="1">
        <v>3647561</v>
      </c>
    </row>
    <row r="399" spans="1:9" x14ac:dyDescent="0.25">
      <c r="A399" s="1" t="str">
        <f t="shared" si="6"/>
        <v>13 TESTO</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3820</v>
      </c>
      <c r="D399" s="1" t="s">
        <v>3821</v>
      </c>
      <c r="E399" s="1" t="s">
        <v>3822</v>
      </c>
      <c r="F399" s="1" t="s">
        <v>111</v>
      </c>
      <c r="G399" s="1">
        <v>3396196</v>
      </c>
    </row>
    <row r="400" spans="1:9" x14ac:dyDescent="0.25">
      <c r="A400" s="1" t="str">
        <f t="shared" si="6"/>
        <v>13 TESTO</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3823</v>
      </c>
      <c r="D400" s="1" t="s">
        <v>3824</v>
      </c>
      <c r="E400" s="1" t="s">
        <v>3825</v>
      </c>
      <c r="F400" s="1" t="s">
        <v>111</v>
      </c>
      <c r="G400" s="1">
        <v>3351927</v>
      </c>
    </row>
    <row r="401" spans="1:7" x14ac:dyDescent="0.25">
      <c r="A401" s="1" t="str">
        <f t="shared" si="6"/>
        <v>13 TESTO</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3826</v>
      </c>
      <c r="D401" s="1" t="s">
        <v>3827</v>
      </c>
      <c r="E401" s="1" t="s">
        <v>3828</v>
      </c>
      <c r="F401" s="1" t="s">
        <v>111</v>
      </c>
      <c r="G401" s="1">
        <v>1047443</v>
      </c>
    </row>
    <row r="402" spans="1:7" x14ac:dyDescent="0.25">
      <c r="A402" s="1" t="str">
        <f t="shared" si="6"/>
        <v>13 TESTO</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3829</v>
      </c>
      <c r="D402" s="1" t="s">
        <v>3830</v>
      </c>
      <c r="E402" s="1" t="s">
        <v>3831</v>
      </c>
      <c r="F402" s="1" t="s">
        <v>111</v>
      </c>
      <c r="G402" s="1">
        <v>807913</v>
      </c>
    </row>
    <row r="403" spans="1:7" x14ac:dyDescent="0.25">
      <c r="A403" s="1" t="str">
        <f t="shared" si="6"/>
        <v>13 TESTO</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3832</v>
      </c>
      <c r="D403" s="1" t="s">
        <v>3833</v>
      </c>
      <c r="E403" s="1" t="s">
        <v>3834</v>
      </c>
      <c r="F403" s="1" t="s">
        <v>111</v>
      </c>
      <c r="G403" s="1">
        <v>964801</v>
      </c>
    </row>
    <row r="404" spans="1:7" x14ac:dyDescent="0.25">
      <c r="A404" s="1" t="str">
        <f t="shared" si="6"/>
        <v>13 TESTO</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3835</v>
      </c>
      <c r="D404" s="1" t="s">
        <v>3836</v>
      </c>
      <c r="E404" s="1" t="s">
        <v>3837</v>
      </c>
      <c r="F404" s="1" t="s">
        <v>111</v>
      </c>
      <c r="G404" s="1">
        <v>1912568</v>
      </c>
    </row>
    <row r="405" spans="1:7" x14ac:dyDescent="0.25">
      <c r="A405" s="1" t="str">
        <f t="shared" si="6"/>
        <v>13 TESTO</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3838</v>
      </c>
      <c r="D405" s="1" t="s">
        <v>3839</v>
      </c>
      <c r="E405" s="1" t="s">
        <v>3840</v>
      </c>
      <c r="F405" s="1" t="s">
        <v>111</v>
      </c>
      <c r="G405" s="1">
        <v>1701644</v>
      </c>
    </row>
    <row r="406" spans="1:7" x14ac:dyDescent="0.25">
      <c r="A406" s="1" t="str">
        <f t="shared" si="6"/>
        <v>13 TESTO</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3841</v>
      </c>
      <c r="D406" s="1" t="s">
        <v>3842</v>
      </c>
      <c r="E406" s="1" t="s">
        <v>3843</v>
      </c>
      <c r="F406" s="1" t="s">
        <v>111</v>
      </c>
      <c r="G406" s="1">
        <v>1667621</v>
      </c>
    </row>
    <row r="407" spans="1:7" x14ac:dyDescent="0.25">
      <c r="A407" s="1" t="str">
        <f t="shared" si="6"/>
        <v>13 TESTO</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3844</v>
      </c>
      <c r="D407" s="1" t="s">
        <v>3845</v>
      </c>
      <c r="E407" s="1" t="s">
        <v>3846</v>
      </c>
      <c r="F407" s="1" t="s">
        <v>111</v>
      </c>
      <c r="G407" s="1">
        <v>1636426</v>
      </c>
    </row>
    <row r="408" spans="1:7" x14ac:dyDescent="0.25">
      <c r="A408" s="1" t="str">
        <f t="shared" si="6"/>
        <v>13 TESTO</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3847</v>
      </c>
      <c r="D408" s="1" t="s">
        <v>3848</v>
      </c>
      <c r="E408" s="1" t="s">
        <v>3849</v>
      </c>
      <c r="F408" s="1" t="s">
        <v>111</v>
      </c>
      <c r="G408" s="1">
        <v>1468988</v>
      </c>
    </row>
    <row r="409" spans="1:7" x14ac:dyDescent="0.25">
      <c r="A409" s="1" t="str">
        <f t="shared" si="6"/>
        <v>13 TESTO</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3850</v>
      </c>
    </row>
    <row r="410" spans="1:7" x14ac:dyDescent="0.25">
      <c r="A410" s="1" t="str">
        <f t="shared" si="6"/>
        <v>13 TESTO</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3851</v>
      </c>
    </row>
    <row r="411" spans="1:7" x14ac:dyDescent="0.25">
      <c r="A411" s="1" t="str">
        <f t="shared" si="6"/>
        <v>13 TESTO</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3852</v>
      </c>
      <c r="D411" s="1" t="s">
        <v>3853</v>
      </c>
      <c r="E411" s="1" t="s">
        <v>3854</v>
      </c>
      <c r="F411" s="1" t="s">
        <v>111</v>
      </c>
      <c r="G411" s="1">
        <v>559594</v>
      </c>
    </row>
    <row r="412" spans="1:7" x14ac:dyDescent="0.25">
      <c r="A412" s="1" t="str">
        <f t="shared" si="6"/>
        <v>13 TESTO</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3855</v>
      </c>
      <c r="D412" s="1" t="s">
        <v>3856</v>
      </c>
      <c r="E412" s="1" t="s">
        <v>3857</v>
      </c>
      <c r="F412" s="1" t="s">
        <v>111</v>
      </c>
      <c r="G412" s="1">
        <v>717613</v>
      </c>
    </row>
    <row r="413" spans="1:7" x14ac:dyDescent="0.25">
      <c r="A413" s="1" t="str">
        <f t="shared" si="6"/>
        <v>13 TESTO</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3858</v>
      </c>
      <c r="D413" s="1" t="s">
        <v>3859</v>
      </c>
      <c r="E413" s="1" t="s">
        <v>3860</v>
      </c>
      <c r="F413" s="1" t="s">
        <v>111</v>
      </c>
      <c r="G413" s="1">
        <v>1734144</v>
      </c>
    </row>
    <row r="414" spans="1:7" x14ac:dyDescent="0.25">
      <c r="A414" s="1" t="str">
        <f t="shared" si="6"/>
        <v>13 TESTO</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3861</v>
      </c>
      <c r="D414" s="1" t="s">
        <v>3862</v>
      </c>
      <c r="E414" s="1" t="s">
        <v>3863</v>
      </c>
      <c r="F414" s="1" t="s">
        <v>111</v>
      </c>
      <c r="G414" s="1">
        <v>1645672</v>
      </c>
    </row>
    <row r="415" spans="1:7" x14ac:dyDescent="0.25">
      <c r="A415" s="1" t="str">
        <f t="shared" si="6"/>
        <v>13 TESTO</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3864</v>
      </c>
      <c r="D415" s="1" t="s">
        <v>3865</v>
      </c>
      <c r="E415" s="1" t="s">
        <v>3866</v>
      </c>
      <c r="F415" s="1" t="s">
        <v>111</v>
      </c>
      <c r="G415" s="1">
        <v>1597661</v>
      </c>
    </row>
    <row r="416" spans="1:7" x14ac:dyDescent="0.25">
      <c r="A416" s="1" t="str">
        <f t="shared" si="6"/>
        <v>13 TESTO</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3867</v>
      </c>
      <c r="D416" s="1" t="s">
        <v>3400</v>
      </c>
      <c r="E416" s="1" t="s">
        <v>3868</v>
      </c>
      <c r="F416" s="1" t="s">
        <v>111</v>
      </c>
      <c r="G416" s="1">
        <v>3354473</v>
      </c>
    </row>
    <row r="417" spans="1:9" x14ac:dyDescent="0.25">
      <c r="A417" s="1" t="str">
        <f t="shared" si="6"/>
        <v>13 TESTO</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3869</v>
      </c>
      <c r="D417" s="1" t="s">
        <v>3870</v>
      </c>
      <c r="E417" s="1" t="s">
        <v>3871</v>
      </c>
      <c r="F417" s="1" t="s">
        <v>111</v>
      </c>
      <c r="G417" s="1">
        <v>3436397</v>
      </c>
    </row>
    <row r="418" spans="1:9" x14ac:dyDescent="0.25">
      <c r="A418" s="1" t="str">
        <f t="shared" si="6"/>
        <v>13 TESTO</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3872</v>
      </c>
      <c r="D418" s="1" t="s">
        <v>3873</v>
      </c>
      <c r="E418" s="1" t="s">
        <v>3874</v>
      </c>
      <c r="F418" s="1" t="s">
        <v>111</v>
      </c>
      <c r="G418" s="1">
        <v>3501811</v>
      </c>
    </row>
    <row r="419" spans="1:9" x14ac:dyDescent="0.25">
      <c r="A419" s="1" t="str">
        <f t="shared" si="6"/>
        <v>13 TESTO</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3875</v>
      </c>
    </row>
    <row r="420" spans="1:9" x14ac:dyDescent="0.25">
      <c r="A420" s="1" t="str">
        <f t="shared" si="6"/>
        <v>13 TESTO</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3876</v>
      </c>
    </row>
    <row r="421" spans="1:9" x14ac:dyDescent="0.25">
      <c r="A421" s="1" t="str">
        <f t="shared" si="6"/>
        <v>13 TESTO</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3877</v>
      </c>
    </row>
    <row r="422" spans="1:9"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111</v>
      </c>
    </row>
    <row r="423" spans="1:9"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230</v>
      </c>
      <c r="D423" s="1" t="s">
        <v>111</v>
      </c>
      <c r="E423" s="1" t="s">
        <v>231</v>
      </c>
      <c r="F423" s="1" t="s">
        <v>232</v>
      </c>
      <c r="G423" s="1" t="s">
        <v>233</v>
      </c>
      <c r="H423" s="1" t="s">
        <v>234</v>
      </c>
      <c r="I423" s="1" t="s">
        <v>235</v>
      </c>
    </row>
    <row r="424" spans="1:9" x14ac:dyDescent="0.25">
      <c r="A424" s="1" t="str">
        <f t="shared" si="6"/>
        <v>13 TESTO</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3878</v>
      </c>
      <c r="D424" s="1" t="s">
        <v>111</v>
      </c>
      <c r="E424" s="1" t="s">
        <v>3879</v>
      </c>
      <c r="F424" s="1" t="s">
        <v>3880</v>
      </c>
      <c r="G424" s="1" t="s">
        <v>3881</v>
      </c>
      <c r="H424" s="1" t="s">
        <v>3882</v>
      </c>
      <c r="I424" s="1">
        <v>24</v>
      </c>
    </row>
    <row r="425" spans="1:9"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111</v>
      </c>
    </row>
    <row r="426" spans="1:9"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111</v>
      </c>
    </row>
    <row r="427" spans="1:9"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111</v>
      </c>
    </row>
    <row r="428" spans="1:9"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111</v>
      </c>
    </row>
    <row r="429" spans="1:9"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111</v>
      </c>
    </row>
    <row r="430" spans="1:9"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240</v>
      </c>
      <c r="D430" s="1" t="s">
        <v>109</v>
      </c>
      <c r="E430" s="1" t="s">
        <v>110</v>
      </c>
      <c r="F430" s="1" t="s">
        <v>111</v>
      </c>
      <c r="G430" s="1" t="s">
        <v>112</v>
      </c>
    </row>
    <row r="431" spans="1:9" x14ac:dyDescent="0.25">
      <c r="A431" s="1" t="str">
        <f t="shared" si="6"/>
        <v>14 TESTO</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3883</v>
      </c>
      <c r="D431" s="1" t="s">
        <v>3884</v>
      </c>
      <c r="E431" s="1" t="s">
        <v>3885</v>
      </c>
      <c r="F431" s="1" t="s">
        <v>111</v>
      </c>
      <c r="G431" s="1">
        <v>1214773</v>
      </c>
    </row>
    <row r="432" spans="1:9" x14ac:dyDescent="0.25">
      <c r="A432" s="1" t="str">
        <f t="shared" si="6"/>
        <v>14 TESTO</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3886</v>
      </c>
      <c r="D432" s="1" t="s">
        <v>3887</v>
      </c>
      <c r="E432" s="1" t="s">
        <v>3888</v>
      </c>
      <c r="F432" s="1" t="s">
        <v>111</v>
      </c>
      <c r="G432" s="1">
        <v>979180</v>
      </c>
    </row>
    <row r="433" spans="1:7" x14ac:dyDescent="0.25">
      <c r="A433" s="1" t="str">
        <f t="shared" si="6"/>
        <v>14 TESTO</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3889</v>
      </c>
      <c r="D433" s="1" t="s">
        <v>3890</v>
      </c>
      <c r="E433" s="1" t="s">
        <v>3891</v>
      </c>
      <c r="F433" s="1" t="s">
        <v>111</v>
      </c>
      <c r="G433" s="1">
        <v>899735</v>
      </c>
    </row>
    <row r="434" spans="1:7" x14ac:dyDescent="0.25">
      <c r="A434" s="1" t="str">
        <f t="shared" si="6"/>
        <v>14 TESTO</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3892</v>
      </c>
      <c r="D434" s="1" t="s">
        <v>1803</v>
      </c>
      <c r="E434" s="1" t="s">
        <v>3893</v>
      </c>
      <c r="F434" s="1" t="s">
        <v>111</v>
      </c>
      <c r="G434" s="1">
        <v>98740</v>
      </c>
    </row>
    <row r="435" spans="1:7" x14ac:dyDescent="0.25">
      <c r="A435" s="1" t="str">
        <f t="shared" si="6"/>
        <v>14 TESTO</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3894</v>
      </c>
      <c r="D435" s="1" t="s">
        <v>1822</v>
      </c>
      <c r="E435" s="1" t="s">
        <v>3895</v>
      </c>
      <c r="F435" s="1" t="s">
        <v>111</v>
      </c>
      <c r="G435" s="1">
        <v>88538</v>
      </c>
    </row>
    <row r="436" spans="1:7" x14ac:dyDescent="0.25">
      <c r="A436" s="1" t="str">
        <f t="shared" si="6"/>
        <v>14 TESTO</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3896</v>
      </c>
      <c r="D436" s="1" t="s">
        <v>2229</v>
      </c>
      <c r="E436" s="1" t="s">
        <v>3897</v>
      </c>
      <c r="F436" s="1" t="s">
        <v>111</v>
      </c>
      <c r="G436" s="1">
        <v>99654</v>
      </c>
    </row>
    <row r="437" spans="1:7" x14ac:dyDescent="0.25">
      <c r="A437" s="1" t="str">
        <f t="shared" si="6"/>
        <v>14 TESTO</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3898</v>
      </c>
      <c r="D437" s="1" t="s">
        <v>3899</v>
      </c>
      <c r="E437" s="1" t="s">
        <v>3900</v>
      </c>
      <c r="F437" s="1" t="s">
        <v>111</v>
      </c>
      <c r="G437" s="1">
        <v>770779</v>
      </c>
    </row>
    <row r="438" spans="1:7" x14ac:dyDescent="0.25">
      <c r="A438" s="1" t="str">
        <f t="shared" si="6"/>
        <v>14 TESTO</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3901</v>
      </c>
      <c r="D438" s="1" t="s">
        <v>3902</v>
      </c>
      <c r="E438" s="1" t="s">
        <v>3903</v>
      </c>
      <c r="F438" s="1" t="s">
        <v>111</v>
      </c>
      <c r="G438" s="1">
        <v>1072156</v>
      </c>
    </row>
    <row r="439" spans="1:7" x14ac:dyDescent="0.25">
      <c r="A439" s="1" t="str">
        <f t="shared" si="6"/>
        <v>14 TESTO</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3904</v>
      </c>
      <c r="D439" s="1" t="s">
        <v>3905</v>
      </c>
      <c r="E439" s="1" t="s">
        <v>3906</v>
      </c>
      <c r="F439" s="1" t="s">
        <v>111</v>
      </c>
      <c r="G439" s="1">
        <v>924687</v>
      </c>
    </row>
    <row r="440" spans="1:7" x14ac:dyDescent="0.25">
      <c r="A440" s="1" t="str">
        <f t="shared" si="6"/>
        <v>14 TESTO</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3907</v>
      </c>
      <c r="D440" s="1" t="s">
        <v>3908</v>
      </c>
      <c r="E440" s="1" t="s">
        <v>3909</v>
      </c>
      <c r="F440" s="1" t="s">
        <v>111</v>
      </c>
      <c r="G440" s="1">
        <v>3111983</v>
      </c>
    </row>
    <row r="441" spans="1:7" x14ac:dyDescent="0.25">
      <c r="A441" s="1" t="str">
        <f t="shared" si="6"/>
        <v>14 TESTO</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3910</v>
      </c>
      <c r="D441" s="1" t="s">
        <v>3911</v>
      </c>
      <c r="E441" s="1" t="s">
        <v>3912</v>
      </c>
      <c r="F441" s="1" t="s">
        <v>111</v>
      </c>
      <c r="G441" s="1">
        <v>3385472</v>
      </c>
    </row>
    <row r="442" spans="1:7" x14ac:dyDescent="0.25">
      <c r="A442" s="1" t="str">
        <f t="shared" si="6"/>
        <v>14 TESTO</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3913</v>
      </c>
      <c r="D442" s="1" t="s">
        <v>3039</v>
      </c>
      <c r="E442" s="1" t="s">
        <v>3914</v>
      </c>
      <c r="F442" s="1" t="s">
        <v>111</v>
      </c>
      <c r="G442" s="1">
        <v>3022641</v>
      </c>
    </row>
    <row r="443" spans="1:7" x14ac:dyDescent="0.25">
      <c r="A443" s="1" t="str">
        <f t="shared" si="6"/>
        <v>14 TESTO</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3915</v>
      </c>
      <c r="D443" s="1" t="s">
        <v>3916</v>
      </c>
      <c r="E443" s="1" t="s">
        <v>3917</v>
      </c>
      <c r="F443" s="1" t="s">
        <v>111</v>
      </c>
      <c r="G443" s="1">
        <v>3041153</v>
      </c>
    </row>
    <row r="444" spans="1:7" x14ac:dyDescent="0.25">
      <c r="A444" s="1" t="str">
        <f t="shared" si="6"/>
        <v>14 TESTO</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3918</v>
      </c>
      <c r="D444" s="1" t="s">
        <v>3919</v>
      </c>
      <c r="E444" s="1" t="s">
        <v>3920</v>
      </c>
      <c r="F444" s="1" t="s">
        <v>111</v>
      </c>
      <c r="G444" s="1">
        <v>2909325</v>
      </c>
    </row>
    <row r="445" spans="1:7" x14ac:dyDescent="0.25">
      <c r="A445" s="1" t="str">
        <f t="shared" si="6"/>
        <v>14 TESTO</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3921</v>
      </c>
      <c r="D445" s="1" t="s">
        <v>3922</v>
      </c>
      <c r="E445" s="1" t="s">
        <v>3923</v>
      </c>
      <c r="F445" s="1" t="s">
        <v>111</v>
      </c>
      <c r="G445" s="1">
        <v>3392433</v>
      </c>
    </row>
    <row r="446" spans="1:7" x14ac:dyDescent="0.25">
      <c r="A446" s="1" t="str">
        <f t="shared" si="6"/>
        <v>14 TESTO</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3924</v>
      </c>
      <c r="D446" s="1" t="s">
        <v>3925</v>
      </c>
      <c r="E446" s="1" t="s">
        <v>3926</v>
      </c>
      <c r="F446" s="1" t="s">
        <v>111</v>
      </c>
      <c r="G446" s="1">
        <v>6783908</v>
      </c>
    </row>
    <row r="447" spans="1:7" x14ac:dyDescent="0.25">
      <c r="A447" s="1" t="str">
        <f t="shared" si="6"/>
        <v>14 TESTO</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3927</v>
      </c>
    </row>
    <row r="448" spans="1:7" x14ac:dyDescent="0.25">
      <c r="A448" s="1" t="str">
        <f t="shared" si="6"/>
        <v>14 TESTO</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3928</v>
      </c>
      <c r="D448" s="1" t="s">
        <v>3929</v>
      </c>
      <c r="E448" s="1" t="s">
        <v>3930</v>
      </c>
      <c r="F448" s="1" t="s">
        <v>111</v>
      </c>
      <c r="G448" s="1">
        <v>5861049</v>
      </c>
    </row>
    <row r="449" spans="1:9" x14ac:dyDescent="0.25">
      <c r="A449" s="1" t="str">
        <f t="shared" si="6"/>
        <v>14 TESTO</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3931</v>
      </c>
      <c r="D449" s="1" t="s">
        <v>3932</v>
      </c>
      <c r="E449" s="1" t="s">
        <v>3933</v>
      </c>
      <c r="F449" s="1" t="s">
        <v>111</v>
      </c>
      <c r="G449" s="1">
        <v>1868974</v>
      </c>
    </row>
    <row r="450" spans="1:9" x14ac:dyDescent="0.25">
      <c r="A450" s="1" t="str">
        <f t="shared" ref="A450:A513" si="7">IFERROR(LEFT(RIGHT(C450,LEN(C450)-SEARCH("@",C450)),SEARCH("/",RIGHT(C450,LEN(C450)-SEARCH("@",C450)-1))),"")</f>
        <v>14 TESTO</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3934</v>
      </c>
      <c r="D450" s="1" t="s">
        <v>3935</v>
      </c>
      <c r="E450" s="1" t="s">
        <v>3936</v>
      </c>
      <c r="F450" s="1" t="s">
        <v>111</v>
      </c>
      <c r="G450" s="1">
        <v>1654069</v>
      </c>
    </row>
    <row r="451" spans="1:9" x14ac:dyDescent="0.25">
      <c r="A451" s="1" t="str">
        <f t="shared" si="7"/>
        <v>14 TESTO</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3937</v>
      </c>
      <c r="D451" s="1" t="s">
        <v>3938</v>
      </c>
      <c r="E451" s="1" t="s">
        <v>3939</v>
      </c>
      <c r="F451" s="1" t="s">
        <v>111</v>
      </c>
      <c r="G451" s="1">
        <v>1900974</v>
      </c>
    </row>
    <row r="452" spans="1:9" x14ac:dyDescent="0.25">
      <c r="A452" s="1" t="str">
        <f t="shared" si="7"/>
        <v>14 TESTO</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3940</v>
      </c>
    </row>
    <row r="453" spans="1:9" x14ac:dyDescent="0.25">
      <c r="A453" s="1" t="str">
        <f t="shared" si="7"/>
        <v>14 TESTO</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3941</v>
      </c>
      <c r="D453" s="1" t="s">
        <v>3942</v>
      </c>
      <c r="E453" s="1" t="s">
        <v>3943</v>
      </c>
      <c r="F453" s="1" t="s">
        <v>111</v>
      </c>
      <c r="G453" s="1">
        <v>1426024</v>
      </c>
    </row>
    <row r="454" spans="1:9" x14ac:dyDescent="0.25">
      <c r="A454" s="1" t="str">
        <f t="shared" si="7"/>
        <v>14 TESTO</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3944</v>
      </c>
      <c r="D454" s="1" t="s">
        <v>3945</v>
      </c>
      <c r="E454" s="1" t="s">
        <v>3946</v>
      </c>
      <c r="F454" s="1" t="s">
        <v>111</v>
      </c>
      <c r="G454" s="1">
        <v>1213142</v>
      </c>
    </row>
    <row r="455" spans="1:9"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111</v>
      </c>
    </row>
    <row r="456" spans="1:9"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230</v>
      </c>
      <c r="D456" s="1" t="s">
        <v>111</v>
      </c>
      <c r="E456" s="1" t="s">
        <v>231</v>
      </c>
      <c r="F456" s="1" t="s">
        <v>232</v>
      </c>
      <c r="G456" s="1" t="s">
        <v>233</v>
      </c>
      <c r="H456" s="1" t="s">
        <v>234</v>
      </c>
      <c r="I456" s="1" t="s">
        <v>235</v>
      </c>
    </row>
    <row r="457" spans="1:9" x14ac:dyDescent="0.25">
      <c r="A457" s="1" t="str">
        <f t="shared" si="7"/>
        <v>14 TESTO</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3947</v>
      </c>
      <c r="D457" s="1" t="s">
        <v>111</v>
      </c>
      <c r="E457" s="1" t="s">
        <v>3948</v>
      </c>
      <c r="F457" s="1" t="s">
        <v>3949</v>
      </c>
      <c r="G457" s="1" t="s">
        <v>3950</v>
      </c>
      <c r="H457" s="1" t="s">
        <v>3951</v>
      </c>
      <c r="I457" s="1">
        <v>24</v>
      </c>
    </row>
    <row r="458" spans="1:9"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111</v>
      </c>
    </row>
    <row r="459" spans="1:9"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111</v>
      </c>
    </row>
    <row r="460" spans="1:9"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111</v>
      </c>
    </row>
    <row r="461" spans="1:9"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111</v>
      </c>
    </row>
    <row r="462" spans="1:9"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111</v>
      </c>
    </row>
    <row r="463" spans="1:9"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240</v>
      </c>
      <c r="D463" s="1" t="s">
        <v>109</v>
      </c>
      <c r="E463" s="1" t="s">
        <v>110</v>
      </c>
      <c r="F463" s="1" t="s">
        <v>111</v>
      </c>
      <c r="G463" s="1" t="s">
        <v>112</v>
      </c>
    </row>
    <row r="464" spans="1:9" x14ac:dyDescent="0.25">
      <c r="A464" s="1" t="str">
        <f t="shared" si="7"/>
        <v>15 TESTO + EE2</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3952</v>
      </c>
      <c r="D464" s="1" t="s">
        <v>3953</v>
      </c>
      <c r="E464" s="1" t="s">
        <v>3954</v>
      </c>
      <c r="F464" s="1" t="s">
        <v>111</v>
      </c>
      <c r="G464" s="1">
        <v>3945261</v>
      </c>
    </row>
    <row r="465" spans="1:7" x14ac:dyDescent="0.25">
      <c r="A465" s="1" t="str">
        <f t="shared" si="7"/>
        <v>15 TESTO + EE2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3955</v>
      </c>
      <c r="D465" s="1" t="s">
        <v>3956</v>
      </c>
      <c r="E465" s="1" t="s">
        <v>3957</v>
      </c>
      <c r="F465" s="1" t="s">
        <v>111</v>
      </c>
      <c r="G465" s="1">
        <v>3611558</v>
      </c>
    </row>
    <row r="466" spans="1:7" x14ac:dyDescent="0.25">
      <c r="A466" s="1" t="str">
        <f t="shared" si="7"/>
        <v>15 TESTO + EE2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3958</v>
      </c>
      <c r="D466" s="1" t="s">
        <v>3959</v>
      </c>
      <c r="E466" s="1" t="s">
        <v>3960</v>
      </c>
      <c r="F466" s="1" t="s">
        <v>111</v>
      </c>
      <c r="G466" s="1">
        <v>3800773</v>
      </c>
    </row>
    <row r="467" spans="1:7" x14ac:dyDescent="0.25">
      <c r="A467" s="1" t="str">
        <f t="shared" si="7"/>
        <v>15 TESTO + EE2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3961</v>
      </c>
      <c r="D467" s="1" t="s">
        <v>3962</v>
      </c>
      <c r="E467" s="1" t="s">
        <v>3963</v>
      </c>
      <c r="F467" s="1" t="s">
        <v>111</v>
      </c>
      <c r="G467" s="1">
        <v>5050439</v>
      </c>
    </row>
    <row r="468" spans="1:7" x14ac:dyDescent="0.25">
      <c r="A468" s="1" t="str">
        <f t="shared" si="7"/>
        <v>15 TESTO + EE2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3964</v>
      </c>
      <c r="D468" s="1" t="s">
        <v>3965</v>
      </c>
      <c r="E468" s="1" t="s">
        <v>3966</v>
      </c>
      <c r="F468" s="1" t="s">
        <v>111</v>
      </c>
      <c r="G468" s="1">
        <v>4774514</v>
      </c>
    </row>
    <row r="469" spans="1:7" x14ac:dyDescent="0.25">
      <c r="A469" s="1" t="str">
        <f t="shared" si="7"/>
        <v>15 TESTO + EE2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3967</v>
      </c>
      <c r="D469" s="1" t="s">
        <v>3968</v>
      </c>
      <c r="E469" s="1" t="s">
        <v>3969</v>
      </c>
      <c r="F469" s="1" t="s">
        <v>111</v>
      </c>
      <c r="G469" s="1">
        <v>4811256</v>
      </c>
    </row>
    <row r="470" spans="1:7" x14ac:dyDescent="0.25">
      <c r="A470" s="1" t="str">
        <f t="shared" si="7"/>
        <v>15 TESTO + EE2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3970</v>
      </c>
      <c r="D470" s="1" t="s">
        <v>3971</v>
      </c>
      <c r="E470" s="1" t="s">
        <v>3972</v>
      </c>
      <c r="F470" s="1" t="s">
        <v>111</v>
      </c>
      <c r="G470" s="1">
        <v>4038933</v>
      </c>
    </row>
    <row r="471" spans="1:7" x14ac:dyDescent="0.25">
      <c r="A471" s="1" t="str">
        <f t="shared" si="7"/>
        <v>15 TESTO + EE2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3973</v>
      </c>
      <c r="D471" s="1" t="s">
        <v>3974</v>
      </c>
      <c r="E471" s="1" t="s">
        <v>3975</v>
      </c>
      <c r="F471" s="1" t="s">
        <v>111</v>
      </c>
      <c r="G471" s="1">
        <v>3431633</v>
      </c>
    </row>
    <row r="472" spans="1:7" x14ac:dyDescent="0.25">
      <c r="A472" s="1" t="str">
        <f t="shared" si="7"/>
        <v>15 TESTO + EE2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3976</v>
      </c>
      <c r="D472" s="1" t="s">
        <v>3977</v>
      </c>
      <c r="E472" s="1" t="s">
        <v>3978</v>
      </c>
      <c r="F472" s="1" t="s">
        <v>111</v>
      </c>
      <c r="G472" s="1">
        <v>3205590</v>
      </c>
    </row>
    <row r="473" spans="1:7" x14ac:dyDescent="0.25">
      <c r="A473" s="1" t="str">
        <f t="shared" si="7"/>
        <v>15 TESTO + EE2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3979</v>
      </c>
      <c r="D473" s="1" t="s">
        <v>3980</v>
      </c>
      <c r="E473" s="1" t="s">
        <v>3981</v>
      </c>
      <c r="F473" s="1" t="s">
        <v>111</v>
      </c>
      <c r="G473" s="1">
        <v>4446337</v>
      </c>
    </row>
    <row r="474" spans="1:7" x14ac:dyDescent="0.25">
      <c r="A474" s="1" t="str">
        <f t="shared" si="7"/>
        <v>15 TESTO + EE2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3982</v>
      </c>
      <c r="D474" s="1" t="s">
        <v>3983</v>
      </c>
      <c r="E474" s="1" t="s">
        <v>3984</v>
      </c>
      <c r="F474" s="1" t="s">
        <v>111</v>
      </c>
      <c r="G474" s="1">
        <v>4117942</v>
      </c>
    </row>
    <row r="475" spans="1:7" x14ac:dyDescent="0.25">
      <c r="A475" s="1" t="str">
        <f t="shared" si="7"/>
        <v>15 TESTO + EE2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3985</v>
      </c>
      <c r="D475" s="1" t="s">
        <v>3986</v>
      </c>
      <c r="E475" s="1" t="s">
        <v>3987</v>
      </c>
      <c r="F475" s="1" t="s">
        <v>111</v>
      </c>
      <c r="G475" s="1">
        <v>3805950</v>
      </c>
    </row>
    <row r="476" spans="1:7" x14ac:dyDescent="0.25">
      <c r="A476" s="1" t="str">
        <f t="shared" si="7"/>
        <v>15 TESTO + EE2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3988</v>
      </c>
      <c r="D476" s="1" t="s">
        <v>2121</v>
      </c>
      <c r="E476" s="1" t="s">
        <v>3989</v>
      </c>
      <c r="F476" s="1" t="s">
        <v>111</v>
      </c>
      <c r="G476" s="1">
        <v>4819283</v>
      </c>
    </row>
    <row r="477" spans="1:7" x14ac:dyDescent="0.25">
      <c r="A477" s="1" t="str">
        <f t="shared" si="7"/>
        <v>15 TESTO + EE2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3990</v>
      </c>
      <c r="D477" s="1" t="s">
        <v>3509</v>
      </c>
      <c r="E477" s="1" t="s">
        <v>3991</v>
      </c>
      <c r="F477" s="1" t="s">
        <v>111</v>
      </c>
      <c r="G477" s="1">
        <v>5580360</v>
      </c>
    </row>
    <row r="478" spans="1:7" x14ac:dyDescent="0.25">
      <c r="A478" s="1" t="str">
        <f t="shared" si="7"/>
        <v>15 TESTO + EE2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3992</v>
      </c>
      <c r="D478" s="1" t="s">
        <v>3993</v>
      </c>
      <c r="E478" s="1" t="s">
        <v>3994</v>
      </c>
      <c r="F478" s="1" t="s">
        <v>111</v>
      </c>
      <c r="G478" s="1">
        <v>5070126</v>
      </c>
    </row>
    <row r="479" spans="1:7" x14ac:dyDescent="0.25">
      <c r="A479" s="1" t="str">
        <f t="shared" si="7"/>
        <v>15 TESTO + EE2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3995</v>
      </c>
      <c r="D479" s="1" t="s">
        <v>3996</v>
      </c>
      <c r="E479" s="1" t="s">
        <v>3997</v>
      </c>
      <c r="F479" s="1" t="s">
        <v>111</v>
      </c>
      <c r="G479" s="1">
        <v>3328760</v>
      </c>
    </row>
    <row r="480" spans="1:7" x14ac:dyDescent="0.25">
      <c r="A480" s="1" t="str">
        <f t="shared" si="7"/>
        <v>15 TESTO + EE2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3998</v>
      </c>
      <c r="D480" s="1" t="s">
        <v>3999</v>
      </c>
      <c r="E480" s="1" t="s">
        <v>4000</v>
      </c>
      <c r="F480" s="1" t="s">
        <v>111</v>
      </c>
      <c r="G480" s="1">
        <v>3170066</v>
      </c>
    </row>
    <row r="481" spans="1:9" x14ac:dyDescent="0.25">
      <c r="A481" s="1" t="str">
        <f t="shared" si="7"/>
        <v>15 TESTO + EE2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4001</v>
      </c>
      <c r="D481" s="1" t="s">
        <v>2762</v>
      </c>
      <c r="E481" s="1" t="s">
        <v>4002</v>
      </c>
      <c r="F481" s="1" t="s">
        <v>111</v>
      </c>
      <c r="G481" s="1">
        <v>3129386</v>
      </c>
    </row>
    <row r="482" spans="1:9" x14ac:dyDescent="0.25">
      <c r="A482" s="1" t="str">
        <f t="shared" si="7"/>
        <v>15 TESTO + EE2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4003</v>
      </c>
      <c r="D482" s="1" t="s">
        <v>2486</v>
      </c>
      <c r="E482" s="1" t="s">
        <v>4004</v>
      </c>
      <c r="F482" s="1" t="s">
        <v>111</v>
      </c>
      <c r="G482" s="1">
        <v>3529699</v>
      </c>
    </row>
    <row r="483" spans="1:9" x14ac:dyDescent="0.25">
      <c r="A483" s="1" t="str">
        <f t="shared" si="7"/>
        <v>15 TESTO + EE2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4005</v>
      </c>
      <c r="D483" s="1" t="s">
        <v>4006</v>
      </c>
      <c r="E483" s="1" t="s">
        <v>4007</v>
      </c>
      <c r="F483" s="1" t="s">
        <v>111</v>
      </c>
      <c r="G483" s="1">
        <v>3637119</v>
      </c>
    </row>
    <row r="484" spans="1:9" x14ac:dyDescent="0.25">
      <c r="A484" s="1" t="str">
        <f t="shared" si="7"/>
        <v>15 TESTO + EE2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4008</v>
      </c>
    </row>
    <row r="485" spans="1:9" x14ac:dyDescent="0.25">
      <c r="A485" s="1" t="str">
        <f t="shared" si="7"/>
        <v>15 TESTO + EE2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4009</v>
      </c>
    </row>
    <row r="486" spans="1:9" x14ac:dyDescent="0.25">
      <c r="A486" s="1" t="str">
        <f t="shared" si="7"/>
        <v>15 TESTO + EE2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4010</v>
      </c>
    </row>
    <row r="487" spans="1:9" x14ac:dyDescent="0.25">
      <c r="A487" s="1" t="str">
        <f t="shared" si="7"/>
        <v>15 TESTO + EE2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4011</v>
      </c>
    </row>
    <row r="488" spans="1:9"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111</v>
      </c>
    </row>
    <row r="489" spans="1:9"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230</v>
      </c>
      <c r="D489" s="1" t="s">
        <v>111</v>
      </c>
      <c r="E489" s="1" t="s">
        <v>231</v>
      </c>
      <c r="F489" s="1" t="s">
        <v>232</v>
      </c>
      <c r="G489" s="1" t="s">
        <v>233</v>
      </c>
      <c r="H489" s="1" t="s">
        <v>234</v>
      </c>
      <c r="I489" s="1" t="s">
        <v>235</v>
      </c>
    </row>
    <row r="490" spans="1:9" x14ac:dyDescent="0.25">
      <c r="A490" s="1" t="str">
        <f t="shared" si="7"/>
        <v>15 TESTO + EE2</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4012</v>
      </c>
      <c r="D490" s="1" t="s">
        <v>111</v>
      </c>
      <c r="E490" s="1" t="s">
        <v>4013</v>
      </c>
      <c r="F490" s="1" t="s">
        <v>4014</v>
      </c>
      <c r="G490" s="1" t="s">
        <v>4015</v>
      </c>
      <c r="H490" s="1" t="s">
        <v>4016</v>
      </c>
      <c r="I490" s="1">
        <v>24</v>
      </c>
    </row>
    <row r="491" spans="1:9"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111</v>
      </c>
    </row>
    <row r="492" spans="1:9"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111</v>
      </c>
    </row>
    <row r="493" spans="1:9"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111</v>
      </c>
    </row>
    <row r="494" spans="1:9"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111</v>
      </c>
    </row>
    <row r="495" spans="1:9"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111</v>
      </c>
    </row>
    <row r="496" spans="1:9"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240</v>
      </c>
      <c r="D496" s="1" t="s">
        <v>109</v>
      </c>
      <c r="E496" s="1" t="s">
        <v>110</v>
      </c>
      <c r="F496" s="1" t="s">
        <v>111</v>
      </c>
      <c r="G496" s="1" t="s">
        <v>112</v>
      </c>
    </row>
    <row r="497" spans="1:7" x14ac:dyDescent="0.25">
      <c r="A497" s="1" t="str">
        <f t="shared" si="7"/>
        <v>16 TESTO +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4017</v>
      </c>
      <c r="D497" s="1" t="s">
        <v>2377</v>
      </c>
      <c r="E497" s="1" t="s">
        <v>4018</v>
      </c>
      <c r="F497" s="1" t="s">
        <v>111</v>
      </c>
      <c r="G497" s="1">
        <v>35480</v>
      </c>
    </row>
    <row r="498" spans="1:7" x14ac:dyDescent="0.25">
      <c r="A498" s="1" t="str">
        <f t="shared" si="7"/>
        <v>16 TESTO +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4019</v>
      </c>
      <c r="D498" s="1" t="s">
        <v>1703</v>
      </c>
      <c r="E498" s="1" t="s">
        <v>2317</v>
      </c>
      <c r="F498" s="1" t="s">
        <v>111</v>
      </c>
      <c r="G498" s="1">
        <v>32544</v>
      </c>
    </row>
    <row r="499" spans="1:7" x14ac:dyDescent="0.25">
      <c r="A499" s="1" t="str">
        <f t="shared" si="7"/>
        <v>16 TESTO +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4020</v>
      </c>
      <c r="D499" s="1" t="s">
        <v>1698</v>
      </c>
      <c r="E499" s="1" t="s">
        <v>4021</v>
      </c>
      <c r="F499" s="1" t="s">
        <v>111</v>
      </c>
      <c r="G499" s="1">
        <v>39353</v>
      </c>
    </row>
    <row r="500" spans="1:7" x14ac:dyDescent="0.25">
      <c r="A500" s="1" t="str">
        <f t="shared" si="7"/>
        <v>16 TESTO +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4022</v>
      </c>
    </row>
    <row r="501" spans="1:7" x14ac:dyDescent="0.25">
      <c r="A501" s="1" t="str">
        <f t="shared" si="7"/>
        <v>16 TESTO +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4023</v>
      </c>
      <c r="D501" s="1" t="s">
        <v>2377</v>
      </c>
      <c r="E501" s="1" t="s">
        <v>4024</v>
      </c>
      <c r="F501" s="1" t="s">
        <v>111</v>
      </c>
      <c r="G501" s="1">
        <v>36242</v>
      </c>
    </row>
    <row r="502" spans="1:7" x14ac:dyDescent="0.25">
      <c r="A502" s="1" t="str">
        <f t="shared" si="7"/>
        <v>16 TESTO +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4025</v>
      </c>
      <c r="D502" s="1" t="s">
        <v>2697</v>
      </c>
      <c r="E502" s="1" t="s">
        <v>4026</v>
      </c>
      <c r="F502" s="1" t="s">
        <v>111</v>
      </c>
      <c r="G502" s="1">
        <v>57908</v>
      </c>
    </row>
    <row r="503" spans="1:7" x14ac:dyDescent="0.25">
      <c r="A503" s="1" t="str">
        <f t="shared" si="7"/>
        <v>16 TESTO +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4027</v>
      </c>
      <c r="D503" s="1" t="s">
        <v>1928</v>
      </c>
      <c r="E503" s="1" t="s">
        <v>4028</v>
      </c>
      <c r="F503" s="1" t="s">
        <v>111</v>
      </c>
      <c r="G503" s="1">
        <v>88016</v>
      </c>
    </row>
    <row r="504" spans="1:7" x14ac:dyDescent="0.25">
      <c r="A504" s="1" t="str">
        <f t="shared" si="7"/>
        <v>16 TESTO +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4029</v>
      </c>
      <c r="D504" s="1" t="s">
        <v>3209</v>
      </c>
      <c r="E504" s="1" t="s">
        <v>4030</v>
      </c>
      <c r="F504" s="1" t="s">
        <v>111</v>
      </c>
      <c r="G504" s="1">
        <v>114555</v>
      </c>
    </row>
    <row r="505" spans="1:7" x14ac:dyDescent="0.25">
      <c r="A505" s="1" t="str">
        <f t="shared" si="7"/>
        <v>16 TESTO +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4031</v>
      </c>
      <c r="D505" s="1" t="s">
        <v>1771</v>
      </c>
      <c r="E505" s="1" t="s">
        <v>4032</v>
      </c>
      <c r="F505" s="1" t="s">
        <v>111</v>
      </c>
      <c r="G505" s="1">
        <v>170963</v>
      </c>
    </row>
    <row r="506" spans="1:7" x14ac:dyDescent="0.25">
      <c r="A506" s="1" t="str">
        <f t="shared" si="7"/>
        <v>16 TESTO +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4033</v>
      </c>
      <c r="D506" s="1" t="s">
        <v>2377</v>
      </c>
      <c r="E506" s="1" t="s">
        <v>4034</v>
      </c>
      <c r="F506" s="1" t="s">
        <v>111</v>
      </c>
      <c r="G506" s="1">
        <v>36612</v>
      </c>
    </row>
    <row r="507" spans="1:7" x14ac:dyDescent="0.25">
      <c r="A507" s="1" t="str">
        <f t="shared" si="7"/>
        <v>16 TESTO +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4035</v>
      </c>
    </row>
    <row r="508" spans="1:7" x14ac:dyDescent="0.25">
      <c r="A508" s="1" t="str">
        <f t="shared" si="7"/>
        <v>16 TESTO +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4036</v>
      </c>
      <c r="D508" s="1" t="s">
        <v>1895</v>
      </c>
      <c r="E508" s="1" t="s">
        <v>2326</v>
      </c>
      <c r="F508" s="1" t="s">
        <v>111</v>
      </c>
      <c r="G508" s="1">
        <v>19361</v>
      </c>
    </row>
    <row r="509" spans="1:7" x14ac:dyDescent="0.25">
      <c r="A509" s="1" t="str">
        <f t="shared" si="7"/>
        <v>16 TESTO +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4037</v>
      </c>
      <c r="D509" s="1" t="s">
        <v>2177</v>
      </c>
      <c r="E509" s="1" t="s">
        <v>4038</v>
      </c>
      <c r="F509" s="1" t="s">
        <v>111</v>
      </c>
      <c r="G509" s="1">
        <v>23102</v>
      </c>
    </row>
    <row r="510" spans="1:7" x14ac:dyDescent="0.25">
      <c r="A510" s="1" t="str">
        <f t="shared" si="7"/>
        <v>16 TESTO +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4039</v>
      </c>
      <c r="D510" s="1" t="s">
        <v>1806</v>
      </c>
      <c r="E510" s="1" t="s">
        <v>4040</v>
      </c>
      <c r="F510" s="1" t="s">
        <v>111</v>
      </c>
      <c r="G510" s="1">
        <v>44378</v>
      </c>
    </row>
    <row r="511" spans="1:7" x14ac:dyDescent="0.25">
      <c r="A511" s="1" t="str">
        <f t="shared" si="7"/>
        <v>16 TESTO +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4041</v>
      </c>
      <c r="D511" s="1" t="s">
        <v>1828</v>
      </c>
      <c r="E511" s="1" t="s">
        <v>4042</v>
      </c>
      <c r="F511" s="1" t="s">
        <v>111</v>
      </c>
      <c r="G511" s="1">
        <v>37308</v>
      </c>
    </row>
    <row r="512" spans="1:7" x14ac:dyDescent="0.25">
      <c r="A512" s="1" t="str">
        <f t="shared" si="7"/>
        <v>16 TESTO +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4043</v>
      </c>
      <c r="D512" s="1" t="s">
        <v>1739</v>
      </c>
      <c r="E512" s="1" t="s">
        <v>4044</v>
      </c>
      <c r="F512" s="1" t="s">
        <v>111</v>
      </c>
      <c r="G512" s="1">
        <v>49512</v>
      </c>
    </row>
    <row r="513" spans="1:9" x14ac:dyDescent="0.25">
      <c r="A513" s="1" t="str">
        <f t="shared" si="7"/>
        <v>16 TESTO +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4045</v>
      </c>
      <c r="D513" s="1" t="s">
        <v>1782</v>
      </c>
      <c r="E513" s="1" t="s">
        <v>4046</v>
      </c>
      <c r="F513" s="1" t="s">
        <v>111</v>
      </c>
      <c r="G513" s="1">
        <v>21645</v>
      </c>
    </row>
    <row r="514" spans="1:9" x14ac:dyDescent="0.25">
      <c r="A514" s="1" t="str">
        <f t="shared" ref="A514:A577" si="8">IFERROR(LEFT(RIGHT(C514,LEN(C514)-SEARCH("@",C514)),SEARCH("/",RIGHT(C514,LEN(C514)-SEARCH("@",C514)-1))),"")</f>
        <v>16 TESTO +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4047</v>
      </c>
    </row>
    <row r="515" spans="1:9" x14ac:dyDescent="0.25">
      <c r="A515" s="1" t="str">
        <f t="shared" si="8"/>
        <v>16 TESTO +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4048</v>
      </c>
      <c r="D515" s="1" t="s">
        <v>4049</v>
      </c>
      <c r="E515" s="1" t="s">
        <v>4050</v>
      </c>
      <c r="F515" s="1" t="s">
        <v>111</v>
      </c>
      <c r="G515" s="1">
        <v>424438</v>
      </c>
    </row>
    <row r="516" spans="1:9" x14ac:dyDescent="0.25">
      <c r="A516" s="1" t="str">
        <f t="shared" si="8"/>
        <v>16 TESTO +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4051</v>
      </c>
      <c r="D516" s="1" t="s">
        <v>2283</v>
      </c>
      <c r="E516" s="1" t="s">
        <v>4052</v>
      </c>
      <c r="F516" s="1" t="s">
        <v>111</v>
      </c>
      <c r="G516" s="1">
        <v>314712</v>
      </c>
    </row>
    <row r="517" spans="1:9" x14ac:dyDescent="0.25">
      <c r="A517" s="1" t="str">
        <f t="shared" si="8"/>
        <v>16 TESTO +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4053</v>
      </c>
      <c r="D517" s="1" t="s">
        <v>2158</v>
      </c>
      <c r="E517" s="1" t="s">
        <v>4054</v>
      </c>
      <c r="F517" s="1" t="s">
        <v>111</v>
      </c>
      <c r="G517" s="1">
        <v>325371</v>
      </c>
    </row>
    <row r="518" spans="1:9" x14ac:dyDescent="0.25">
      <c r="A518" s="1" t="str">
        <f t="shared" si="8"/>
        <v>16 TESTO +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4055</v>
      </c>
      <c r="D518" s="1" t="s">
        <v>1736</v>
      </c>
      <c r="E518" s="1" t="s">
        <v>4056</v>
      </c>
      <c r="F518" s="1" t="s">
        <v>111</v>
      </c>
      <c r="G518" s="1">
        <v>27475</v>
      </c>
    </row>
    <row r="519" spans="1:9" x14ac:dyDescent="0.25">
      <c r="A519" s="1" t="str">
        <f t="shared" si="8"/>
        <v>16 TESTO +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4057</v>
      </c>
      <c r="D519" s="1" t="s">
        <v>1831</v>
      </c>
      <c r="E519" s="1" t="s">
        <v>4058</v>
      </c>
      <c r="F519" s="1" t="s">
        <v>111</v>
      </c>
      <c r="G519" s="1">
        <v>48511</v>
      </c>
    </row>
    <row r="520" spans="1:9" x14ac:dyDescent="0.25">
      <c r="A520" s="1" t="str">
        <f t="shared" si="8"/>
        <v>16 TESTO +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4059</v>
      </c>
      <c r="D520" s="1" t="s">
        <v>1680</v>
      </c>
      <c r="E520" s="1" t="s">
        <v>4060</v>
      </c>
      <c r="F520" s="1" t="s">
        <v>111</v>
      </c>
      <c r="G520" s="1">
        <v>52666</v>
      </c>
    </row>
    <row r="521" spans="1:9"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111</v>
      </c>
    </row>
    <row r="522" spans="1:9"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230</v>
      </c>
      <c r="D522" s="1" t="s">
        <v>111</v>
      </c>
      <c r="E522" s="1" t="s">
        <v>231</v>
      </c>
      <c r="F522" s="1" t="s">
        <v>232</v>
      </c>
      <c r="G522" s="1" t="s">
        <v>233</v>
      </c>
      <c r="H522" s="1" t="s">
        <v>234</v>
      </c>
      <c r="I522" s="1" t="s">
        <v>235</v>
      </c>
    </row>
    <row r="523" spans="1:9" x14ac:dyDescent="0.25">
      <c r="A523" s="1" t="str">
        <f t="shared" si="8"/>
        <v>16 TESTO +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4061</v>
      </c>
      <c r="D523" s="1" t="s">
        <v>111</v>
      </c>
      <c r="E523" s="1" t="s">
        <v>4062</v>
      </c>
      <c r="F523" s="1" t="s">
        <v>4063</v>
      </c>
      <c r="G523" s="1" t="s">
        <v>4064</v>
      </c>
      <c r="H523" s="1" t="s">
        <v>4065</v>
      </c>
      <c r="I523" s="1">
        <v>24</v>
      </c>
    </row>
    <row r="524" spans="1:9"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111</v>
      </c>
    </row>
    <row r="525" spans="1:9"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111</v>
      </c>
    </row>
    <row r="526" spans="1:9"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111</v>
      </c>
    </row>
    <row r="527" spans="1:9"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111</v>
      </c>
    </row>
    <row r="528" spans="1:9"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111</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240</v>
      </c>
      <c r="D529" s="1" t="s">
        <v>109</v>
      </c>
      <c r="E529" s="1" t="s">
        <v>110</v>
      </c>
      <c r="F529" s="1" t="s">
        <v>111</v>
      </c>
      <c r="G529" s="1" t="s">
        <v>112</v>
      </c>
    </row>
    <row r="530" spans="1:7" x14ac:dyDescent="0.25">
      <c r="A530" s="1" t="str">
        <f t="shared" si="8"/>
        <v>17 Atenolol 0.01</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4066</v>
      </c>
    </row>
    <row r="531" spans="1:7" x14ac:dyDescent="0.25">
      <c r="A531" s="1" t="str">
        <f t="shared" si="8"/>
        <v>17 Atenolol 0.01</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4067</v>
      </c>
      <c r="D531" s="1" t="s">
        <v>4068</v>
      </c>
      <c r="E531" s="1" t="s">
        <v>4069</v>
      </c>
      <c r="F531" s="1" t="s">
        <v>111</v>
      </c>
      <c r="G531" s="1">
        <v>1056797</v>
      </c>
    </row>
    <row r="532" spans="1:7" x14ac:dyDescent="0.25">
      <c r="A532" s="1" t="str">
        <f t="shared" si="8"/>
        <v>17 Atenolol 0.01</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4070</v>
      </c>
      <c r="D532" s="1" t="s">
        <v>4071</v>
      </c>
      <c r="E532" s="1" t="s">
        <v>4072</v>
      </c>
      <c r="F532" s="1" t="s">
        <v>111</v>
      </c>
      <c r="G532" s="1">
        <v>858708</v>
      </c>
    </row>
    <row r="533" spans="1:7" x14ac:dyDescent="0.25">
      <c r="A533" s="1" t="str">
        <f t="shared" si="8"/>
        <v>17 Atenolol 0.01</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4073</v>
      </c>
      <c r="D533" s="1" t="s">
        <v>4074</v>
      </c>
      <c r="E533" s="1" t="s">
        <v>4075</v>
      </c>
      <c r="F533" s="1" t="s">
        <v>111</v>
      </c>
      <c r="G533" s="1">
        <v>2139699</v>
      </c>
    </row>
    <row r="534" spans="1:7" x14ac:dyDescent="0.25">
      <c r="A534" s="1" t="str">
        <f t="shared" si="8"/>
        <v>17 Atenolol 0.01</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4076</v>
      </c>
      <c r="D534" s="1" t="s">
        <v>4077</v>
      </c>
      <c r="E534" s="1" t="s">
        <v>4078</v>
      </c>
      <c r="F534" s="1" t="s">
        <v>111</v>
      </c>
      <c r="G534" s="1">
        <v>2115814</v>
      </c>
    </row>
    <row r="535" spans="1:7" x14ac:dyDescent="0.25">
      <c r="A535" s="1" t="str">
        <f t="shared" si="8"/>
        <v>17 Atenolol 0.01</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4079</v>
      </c>
      <c r="D535" s="1" t="s">
        <v>4080</v>
      </c>
      <c r="E535" s="1" t="s">
        <v>4081</v>
      </c>
      <c r="F535" s="1" t="s">
        <v>111</v>
      </c>
      <c r="G535" s="1">
        <v>1892446</v>
      </c>
    </row>
    <row r="536" spans="1:7" x14ac:dyDescent="0.25">
      <c r="A536" s="1" t="str">
        <f t="shared" si="8"/>
        <v>17 Atenolol 0.01</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4082</v>
      </c>
      <c r="D536" s="1" t="s">
        <v>4083</v>
      </c>
      <c r="E536" s="1" t="s">
        <v>4084</v>
      </c>
      <c r="F536" s="1" t="s">
        <v>111</v>
      </c>
      <c r="G536" s="1">
        <v>4394781</v>
      </c>
    </row>
    <row r="537" spans="1:7" x14ac:dyDescent="0.25">
      <c r="A537" s="1" t="str">
        <f t="shared" si="8"/>
        <v>17 Atenolol 0.01</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4085</v>
      </c>
      <c r="D537" s="1" t="s">
        <v>4086</v>
      </c>
      <c r="E537" s="1" t="s">
        <v>4087</v>
      </c>
      <c r="F537" s="1" t="s">
        <v>111</v>
      </c>
      <c r="G537" s="1">
        <v>4009174</v>
      </c>
    </row>
    <row r="538" spans="1:7" x14ac:dyDescent="0.25">
      <c r="A538" s="1" t="str">
        <f t="shared" si="8"/>
        <v>17 Atenolol 0.01</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4088</v>
      </c>
      <c r="D538" s="1" t="s">
        <v>2465</v>
      </c>
      <c r="E538" s="1" t="s">
        <v>4089</v>
      </c>
      <c r="F538" s="1" t="s">
        <v>111</v>
      </c>
      <c r="G538" s="1">
        <v>4347357</v>
      </c>
    </row>
    <row r="539" spans="1:7" x14ac:dyDescent="0.25">
      <c r="A539" s="1" t="str">
        <f t="shared" si="8"/>
        <v>17 Atenolol 0.01</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4090</v>
      </c>
      <c r="D539" s="1" t="s">
        <v>4091</v>
      </c>
      <c r="E539" s="1" t="s">
        <v>4092</v>
      </c>
      <c r="F539" s="1" t="s">
        <v>111</v>
      </c>
      <c r="G539" s="1">
        <v>1885572</v>
      </c>
    </row>
    <row r="540" spans="1:7" x14ac:dyDescent="0.25">
      <c r="A540" s="1" t="str">
        <f t="shared" si="8"/>
        <v>17 Atenolol 0.01</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4093</v>
      </c>
      <c r="D540" s="1" t="s">
        <v>4094</v>
      </c>
      <c r="E540" s="1" t="s">
        <v>4095</v>
      </c>
      <c r="F540" s="1" t="s">
        <v>111</v>
      </c>
      <c r="G540" s="1">
        <v>1686677</v>
      </c>
    </row>
    <row r="541" spans="1:7" x14ac:dyDescent="0.25">
      <c r="A541" s="1" t="str">
        <f t="shared" si="8"/>
        <v>17 Atenolol 0.01</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4096</v>
      </c>
      <c r="D541" s="1" t="s">
        <v>4097</v>
      </c>
      <c r="E541" s="1" t="s">
        <v>4098</v>
      </c>
      <c r="F541" s="1" t="s">
        <v>111</v>
      </c>
      <c r="G541" s="1">
        <v>1921923</v>
      </c>
    </row>
    <row r="542" spans="1:7" x14ac:dyDescent="0.25">
      <c r="A542" s="1" t="str">
        <f t="shared" si="8"/>
        <v>17 Atenolol 0.01</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4099</v>
      </c>
      <c r="D542" s="1" t="s">
        <v>4100</v>
      </c>
      <c r="E542" s="1" t="s">
        <v>4101</v>
      </c>
      <c r="F542" s="1" t="s">
        <v>111</v>
      </c>
      <c r="G542" s="1">
        <v>1385083</v>
      </c>
    </row>
    <row r="543" spans="1:7" x14ac:dyDescent="0.25">
      <c r="A543" s="1" t="str">
        <f t="shared" si="8"/>
        <v>17 Atenolol 0.01</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4102</v>
      </c>
      <c r="D543" s="1" t="s">
        <v>4103</v>
      </c>
      <c r="E543" s="1" t="s">
        <v>1023</v>
      </c>
      <c r="F543" s="1" t="s">
        <v>111</v>
      </c>
      <c r="G543" s="1">
        <v>1455065</v>
      </c>
    </row>
    <row r="544" spans="1:7" x14ac:dyDescent="0.25">
      <c r="A544" s="1" t="str">
        <f t="shared" si="8"/>
        <v>17 Atenolol 0.01</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4104</v>
      </c>
      <c r="D544" s="1" t="s">
        <v>4105</v>
      </c>
      <c r="E544" s="1" t="s">
        <v>4106</v>
      </c>
      <c r="F544" s="1" t="s">
        <v>111</v>
      </c>
      <c r="G544" s="1">
        <v>1071090</v>
      </c>
    </row>
    <row r="545" spans="1:9" x14ac:dyDescent="0.25">
      <c r="A545" s="1" t="str">
        <f t="shared" si="8"/>
        <v>17 Atenolol 0.01</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4107</v>
      </c>
      <c r="D545" s="1" t="s">
        <v>4108</v>
      </c>
      <c r="E545" s="1" t="s">
        <v>4109</v>
      </c>
      <c r="F545" s="1" t="s">
        <v>111</v>
      </c>
      <c r="G545" s="1">
        <v>1721810</v>
      </c>
    </row>
    <row r="546" spans="1:9" x14ac:dyDescent="0.25">
      <c r="A546" s="1" t="str">
        <f t="shared" si="8"/>
        <v>17 Atenolol 0.01</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4110</v>
      </c>
      <c r="D546" s="1" t="s">
        <v>4111</v>
      </c>
      <c r="E546" s="1" t="s">
        <v>4112</v>
      </c>
      <c r="F546" s="1" t="s">
        <v>111</v>
      </c>
      <c r="G546" s="1">
        <v>1597074</v>
      </c>
    </row>
    <row r="547" spans="1:9" x14ac:dyDescent="0.25">
      <c r="A547" s="1" t="str">
        <f t="shared" si="8"/>
        <v>17 Atenolol 0.01</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4113</v>
      </c>
      <c r="D547" s="1" t="s">
        <v>3839</v>
      </c>
      <c r="E547" s="1" t="s">
        <v>4114</v>
      </c>
      <c r="F547" s="1" t="s">
        <v>111</v>
      </c>
      <c r="G547" s="1">
        <v>1699034</v>
      </c>
    </row>
    <row r="548" spans="1:9" x14ac:dyDescent="0.25">
      <c r="A548" s="1" t="str">
        <f t="shared" si="8"/>
        <v>17 Atenolol 0.01</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4115</v>
      </c>
      <c r="D548" s="1" t="s">
        <v>4116</v>
      </c>
      <c r="E548" s="1" t="s">
        <v>4117</v>
      </c>
      <c r="F548" s="1" t="s">
        <v>111</v>
      </c>
      <c r="G548" s="1">
        <v>3417841</v>
      </c>
    </row>
    <row r="549" spans="1:9" x14ac:dyDescent="0.25">
      <c r="A549" s="1" t="str">
        <f t="shared" si="8"/>
        <v>17 Atenolol 0.01</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4118</v>
      </c>
      <c r="D549" s="1" t="s">
        <v>4119</v>
      </c>
      <c r="E549" s="1" t="s">
        <v>4120</v>
      </c>
      <c r="F549" s="1" t="s">
        <v>111</v>
      </c>
      <c r="G549" s="1">
        <v>2981939</v>
      </c>
    </row>
    <row r="550" spans="1:9" x14ac:dyDescent="0.25">
      <c r="A550" s="1" t="str">
        <f t="shared" si="8"/>
        <v>17 Atenolol 0.01</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4121</v>
      </c>
      <c r="D550" s="1" t="s">
        <v>4122</v>
      </c>
      <c r="E550" s="1" t="s">
        <v>4123</v>
      </c>
      <c r="F550" s="1" t="s">
        <v>111</v>
      </c>
      <c r="G550" s="1">
        <v>2781261</v>
      </c>
    </row>
    <row r="551" spans="1:9" x14ac:dyDescent="0.25">
      <c r="A551" s="1" t="str">
        <f t="shared" si="8"/>
        <v>17 Atenolol 0.01</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4124</v>
      </c>
      <c r="D551" s="1" t="s">
        <v>4125</v>
      </c>
      <c r="E551" s="1" t="s">
        <v>4126</v>
      </c>
      <c r="F551" s="1" t="s">
        <v>111</v>
      </c>
      <c r="G551" s="1">
        <v>2980547</v>
      </c>
    </row>
    <row r="552" spans="1:9" x14ac:dyDescent="0.25">
      <c r="A552" s="1" t="str">
        <f t="shared" si="8"/>
        <v>17 Atenolol 0.01</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4127</v>
      </c>
      <c r="D552" s="1" t="s">
        <v>4128</v>
      </c>
      <c r="E552" s="1" t="s">
        <v>4129</v>
      </c>
      <c r="F552" s="1" t="s">
        <v>111</v>
      </c>
      <c r="G552" s="1">
        <v>2854267</v>
      </c>
    </row>
    <row r="553" spans="1:9" x14ac:dyDescent="0.25">
      <c r="A553" s="1" t="str">
        <f t="shared" si="8"/>
        <v>17 Atenolol 0.01</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4130</v>
      </c>
      <c r="D553" s="1" t="s">
        <v>4131</v>
      </c>
      <c r="E553" s="1" t="s">
        <v>4132</v>
      </c>
      <c r="F553" s="1" t="s">
        <v>111</v>
      </c>
      <c r="G553" s="1">
        <v>2976697</v>
      </c>
    </row>
    <row r="554" spans="1:9"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111</v>
      </c>
    </row>
    <row r="555" spans="1:9"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230</v>
      </c>
      <c r="D555" s="1" t="s">
        <v>111</v>
      </c>
      <c r="E555" s="1" t="s">
        <v>231</v>
      </c>
      <c r="F555" s="1" t="s">
        <v>232</v>
      </c>
      <c r="G555" s="1" t="s">
        <v>233</v>
      </c>
      <c r="H555" s="1" t="s">
        <v>234</v>
      </c>
      <c r="I555" s="1" t="s">
        <v>235</v>
      </c>
    </row>
    <row r="556" spans="1:9" x14ac:dyDescent="0.25">
      <c r="A556" s="1" t="str">
        <f t="shared" si="8"/>
        <v>17 Atenolol 0.01</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4133</v>
      </c>
      <c r="D556" s="1" t="s">
        <v>111</v>
      </c>
      <c r="E556" s="1" t="s">
        <v>4134</v>
      </c>
      <c r="F556" s="1" t="s">
        <v>4135</v>
      </c>
      <c r="G556" s="1" t="s">
        <v>4136</v>
      </c>
      <c r="H556" s="1" t="s">
        <v>4137</v>
      </c>
      <c r="I556" s="1">
        <v>24</v>
      </c>
    </row>
    <row r="557" spans="1:9"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111</v>
      </c>
    </row>
    <row r="558" spans="1:9"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111</v>
      </c>
    </row>
    <row r="559" spans="1:9"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111</v>
      </c>
    </row>
    <row r="560" spans="1:9"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111</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111</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240</v>
      </c>
      <c r="D562" s="1" t="s">
        <v>109</v>
      </c>
      <c r="E562" s="1" t="s">
        <v>110</v>
      </c>
      <c r="F562" s="1" t="s">
        <v>111</v>
      </c>
      <c r="G562" s="1" t="s">
        <v>112</v>
      </c>
    </row>
    <row r="563" spans="1:7" x14ac:dyDescent="0.25">
      <c r="A563" s="1" t="str">
        <f t="shared" si="8"/>
        <v>18 Atenolol 0.1</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4138</v>
      </c>
      <c r="D563" s="1" t="s">
        <v>4139</v>
      </c>
      <c r="E563" s="1" t="s">
        <v>4140</v>
      </c>
      <c r="F563" s="1" t="s">
        <v>111</v>
      </c>
      <c r="G563" s="1">
        <v>905326</v>
      </c>
    </row>
    <row r="564" spans="1:7" x14ac:dyDescent="0.25">
      <c r="A564" s="1" t="str">
        <f t="shared" si="8"/>
        <v>18 Atenolol 0.1</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4141</v>
      </c>
      <c r="D564" s="1" t="s">
        <v>4142</v>
      </c>
      <c r="E564" s="1" t="s">
        <v>4143</v>
      </c>
      <c r="F564" s="1" t="s">
        <v>111</v>
      </c>
      <c r="G564" s="1">
        <v>667405</v>
      </c>
    </row>
    <row r="565" spans="1:7" x14ac:dyDescent="0.25">
      <c r="A565" s="1" t="str">
        <f t="shared" si="8"/>
        <v>18 Atenolol 0.1</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4144</v>
      </c>
      <c r="D565" s="1" t="s">
        <v>2727</v>
      </c>
      <c r="E565" s="1" t="s">
        <v>2728</v>
      </c>
      <c r="F565" s="1" t="s">
        <v>111</v>
      </c>
      <c r="G565" s="1">
        <v>976309</v>
      </c>
    </row>
    <row r="566" spans="1:7" x14ac:dyDescent="0.25">
      <c r="A566" s="1" t="str">
        <f t="shared" si="8"/>
        <v>18 Atenolol 0.1</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4145</v>
      </c>
      <c r="D566" s="1" t="s">
        <v>4146</v>
      </c>
      <c r="E566" s="1" t="s">
        <v>4147</v>
      </c>
      <c r="F566" s="1" t="s">
        <v>111</v>
      </c>
      <c r="G566" s="1">
        <v>3627526</v>
      </c>
    </row>
    <row r="567" spans="1:7" x14ac:dyDescent="0.25">
      <c r="A567" s="1" t="str">
        <f t="shared" si="8"/>
        <v>18 Atenolol 0.1</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4148</v>
      </c>
      <c r="D567" s="1" t="s">
        <v>4149</v>
      </c>
      <c r="E567" s="1" t="s">
        <v>4150</v>
      </c>
      <c r="F567" s="1" t="s">
        <v>111</v>
      </c>
      <c r="G567" s="1">
        <v>3809887</v>
      </c>
    </row>
    <row r="568" spans="1:7" x14ac:dyDescent="0.25">
      <c r="A568" s="1" t="str">
        <f t="shared" si="8"/>
        <v>18 Atenolol 0.1</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4151</v>
      </c>
      <c r="D568" s="1" t="s">
        <v>4152</v>
      </c>
      <c r="E568" s="1" t="s">
        <v>4153</v>
      </c>
      <c r="F568" s="1" t="s">
        <v>111</v>
      </c>
      <c r="G568" s="1">
        <v>3559088</v>
      </c>
    </row>
    <row r="569" spans="1:7" x14ac:dyDescent="0.25">
      <c r="A569" s="1" t="str">
        <f t="shared" si="8"/>
        <v>18 Atenolol 0.1</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4154</v>
      </c>
      <c r="D569" s="1" t="s">
        <v>4155</v>
      </c>
      <c r="E569" s="1" t="s">
        <v>4156</v>
      </c>
      <c r="F569" s="1" t="s">
        <v>111</v>
      </c>
      <c r="G569" s="1">
        <v>1761880</v>
      </c>
    </row>
    <row r="570" spans="1:7" x14ac:dyDescent="0.25">
      <c r="A570" s="1" t="str">
        <f t="shared" si="8"/>
        <v>18 Atenolol 0.1</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4157</v>
      </c>
      <c r="D570" s="1" t="s">
        <v>4158</v>
      </c>
      <c r="E570" s="1" t="s">
        <v>4159</v>
      </c>
      <c r="F570" s="1" t="s">
        <v>111</v>
      </c>
      <c r="G570" s="1">
        <v>1823509</v>
      </c>
    </row>
    <row r="571" spans="1:7" x14ac:dyDescent="0.25">
      <c r="A571" s="1" t="str">
        <f t="shared" si="8"/>
        <v>18 Atenolol 0.1</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4160</v>
      </c>
    </row>
    <row r="572" spans="1:7" x14ac:dyDescent="0.25">
      <c r="A572" s="1" t="str">
        <f t="shared" si="8"/>
        <v>18 Atenolol 0.1</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4161</v>
      </c>
      <c r="D572" s="1" t="s">
        <v>4162</v>
      </c>
      <c r="E572" s="1" t="s">
        <v>4163</v>
      </c>
      <c r="F572" s="1" t="s">
        <v>111</v>
      </c>
      <c r="G572" s="1">
        <v>2953899</v>
      </c>
    </row>
    <row r="573" spans="1:7" x14ac:dyDescent="0.25">
      <c r="A573" s="1" t="str">
        <f t="shared" si="8"/>
        <v>18 Atenolol 0.1</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4164</v>
      </c>
      <c r="D573" s="1" t="s">
        <v>4165</v>
      </c>
      <c r="E573" s="1" t="s">
        <v>4166</v>
      </c>
      <c r="F573" s="1" t="s">
        <v>111</v>
      </c>
      <c r="G573" s="1">
        <v>2820374</v>
      </c>
    </row>
    <row r="574" spans="1:7" x14ac:dyDescent="0.25">
      <c r="A574" s="1" t="str">
        <f t="shared" si="8"/>
        <v>18 Atenolol 0.1</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4167</v>
      </c>
      <c r="D574" s="1" t="s">
        <v>4168</v>
      </c>
      <c r="E574" s="1" t="s">
        <v>4169</v>
      </c>
      <c r="F574" s="1" t="s">
        <v>111</v>
      </c>
      <c r="G574" s="1">
        <v>2460458</v>
      </c>
    </row>
    <row r="575" spans="1:7" x14ac:dyDescent="0.25">
      <c r="A575" s="1" t="str">
        <f t="shared" si="8"/>
        <v>18 Atenolol 0.1</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4170</v>
      </c>
      <c r="D575" s="1" t="s">
        <v>4171</v>
      </c>
      <c r="E575" s="1" t="s">
        <v>4172</v>
      </c>
      <c r="F575" s="1" t="s">
        <v>111</v>
      </c>
      <c r="G575" s="1">
        <v>2716043</v>
      </c>
    </row>
    <row r="576" spans="1:7" x14ac:dyDescent="0.25">
      <c r="A576" s="1" t="str">
        <f t="shared" si="8"/>
        <v>18 Atenolol 0.1</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4173</v>
      </c>
      <c r="D576" s="1" t="s">
        <v>4174</v>
      </c>
      <c r="E576" s="1" t="s">
        <v>4175</v>
      </c>
      <c r="F576" s="1" t="s">
        <v>111</v>
      </c>
      <c r="G576" s="1">
        <v>2826596</v>
      </c>
    </row>
    <row r="577" spans="1:9" x14ac:dyDescent="0.25">
      <c r="A577" s="1" t="str">
        <f t="shared" si="8"/>
        <v>18 Atenolol 0.1</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4176</v>
      </c>
      <c r="D577" s="1" t="s">
        <v>4177</v>
      </c>
      <c r="E577" s="1" t="s">
        <v>4178</v>
      </c>
      <c r="F577" s="1" t="s">
        <v>111</v>
      </c>
      <c r="G577" s="1">
        <v>2473489</v>
      </c>
    </row>
    <row r="578" spans="1:9" x14ac:dyDescent="0.25">
      <c r="A578" s="1" t="str">
        <f t="shared" ref="A578:A641" si="9">IFERROR(LEFT(RIGHT(C578,LEN(C578)-SEARCH("@",C578)),SEARCH("/",RIGHT(C578,LEN(C578)-SEARCH("@",C578)-1))),"")</f>
        <v>18 Atenolol 0.1</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4179</v>
      </c>
      <c r="D578" s="1" t="s">
        <v>1750</v>
      </c>
      <c r="E578" s="1" t="s">
        <v>4180</v>
      </c>
      <c r="F578" s="1" t="s">
        <v>111</v>
      </c>
      <c r="G578" s="1">
        <v>248602</v>
      </c>
    </row>
    <row r="579" spans="1:9" x14ac:dyDescent="0.25">
      <c r="A579" s="1" t="str">
        <f t="shared" si="9"/>
        <v>18 Atenolol 0.1</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4181</v>
      </c>
      <c r="D579" s="1" t="s">
        <v>2339</v>
      </c>
      <c r="E579" s="1" t="s">
        <v>4182</v>
      </c>
      <c r="F579" s="1" t="s">
        <v>111</v>
      </c>
      <c r="G579" s="1">
        <v>225608</v>
      </c>
    </row>
    <row r="580" spans="1:9" x14ac:dyDescent="0.25">
      <c r="A580" s="1" t="str">
        <f t="shared" si="9"/>
        <v>18 Atenolol 0.1</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4183</v>
      </c>
      <c r="D580" s="1" t="s">
        <v>2975</v>
      </c>
      <c r="E580" s="1" t="s">
        <v>4184</v>
      </c>
      <c r="F580" s="1" t="s">
        <v>111</v>
      </c>
      <c r="G580" s="1">
        <v>477147</v>
      </c>
    </row>
    <row r="581" spans="1:9" x14ac:dyDescent="0.25">
      <c r="A581" s="1" t="str">
        <f t="shared" si="9"/>
        <v>18 Atenolol 0.1</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4185</v>
      </c>
      <c r="D581" s="1" t="s">
        <v>4186</v>
      </c>
      <c r="E581" s="1" t="s">
        <v>4187</v>
      </c>
      <c r="F581" s="1" t="s">
        <v>111</v>
      </c>
      <c r="G581" s="1">
        <v>5031948</v>
      </c>
    </row>
    <row r="582" spans="1:9" x14ac:dyDescent="0.25">
      <c r="A582" s="1" t="str">
        <f t="shared" si="9"/>
        <v>18 Atenolol 0.1</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4188</v>
      </c>
    </row>
    <row r="583" spans="1:9" x14ac:dyDescent="0.25">
      <c r="A583" s="1" t="str">
        <f t="shared" si="9"/>
        <v>18 Atenolol 0.1</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4189</v>
      </c>
      <c r="D583" s="1" t="s">
        <v>4190</v>
      </c>
      <c r="E583" s="1" t="s">
        <v>4191</v>
      </c>
      <c r="F583" s="1" t="s">
        <v>111</v>
      </c>
      <c r="G583" s="1">
        <v>4699050</v>
      </c>
    </row>
    <row r="584" spans="1:9" x14ac:dyDescent="0.25">
      <c r="A584" s="1" t="str">
        <f t="shared" si="9"/>
        <v>18 Atenolol 0.1</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4192</v>
      </c>
      <c r="D584" s="1" t="s">
        <v>4193</v>
      </c>
      <c r="E584" s="1" t="s">
        <v>4194</v>
      </c>
      <c r="F584" s="1" t="s">
        <v>111</v>
      </c>
      <c r="G584" s="1">
        <v>2210160</v>
      </c>
    </row>
    <row r="585" spans="1:9" x14ac:dyDescent="0.25">
      <c r="A585" s="1" t="str">
        <f t="shared" si="9"/>
        <v>18 Atenolol 0.1</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4195</v>
      </c>
      <c r="D585" s="1" t="s">
        <v>4196</v>
      </c>
      <c r="E585" s="1" t="s">
        <v>4197</v>
      </c>
      <c r="F585" s="1" t="s">
        <v>111</v>
      </c>
      <c r="G585" s="1">
        <v>1736776</v>
      </c>
    </row>
    <row r="586" spans="1:9" x14ac:dyDescent="0.25">
      <c r="A586" s="1" t="str">
        <f t="shared" si="9"/>
        <v>18 Atenolol 0.1</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4198</v>
      </c>
      <c r="D586" s="1" t="s">
        <v>3438</v>
      </c>
      <c r="E586" s="1" t="s">
        <v>4199</v>
      </c>
      <c r="F586" s="1" t="s">
        <v>111</v>
      </c>
      <c r="G586" s="1">
        <v>1832428</v>
      </c>
    </row>
    <row r="587" spans="1:9"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111</v>
      </c>
    </row>
    <row r="588" spans="1:9"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230</v>
      </c>
      <c r="D588" s="1" t="s">
        <v>111</v>
      </c>
      <c r="E588" s="1" t="s">
        <v>231</v>
      </c>
      <c r="F588" s="1" t="s">
        <v>232</v>
      </c>
      <c r="G588" s="1" t="s">
        <v>233</v>
      </c>
      <c r="H588" s="1" t="s">
        <v>234</v>
      </c>
      <c r="I588" s="1" t="s">
        <v>235</v>
      </c>
    </row>
    <row r="589" spans="1:9" x14ac:dyDescent="0.25">
      <c r="A589" s="1" t="str">
        <f t="shared" si="9"/>
        <v>18 Atenolol 0.1</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4200</v>
      </c>
      <c r="D589" s="1" t="s">
        <v>111</v>
      </c>
      <c r="E589" s="1" t="s">
        <v>4201</v>
      </c>
      <c r="F589" s="1" t="s">
        <v>4202</v>
      </c>
      <c r="G589" s="1" t="s">
        <v>4203</v>
      </c>
      <c r="H589" s="1" t="s">
        <v>4204</v>
      </c>
      <c r="I589" s="1">
        <v>24</v>
      </c>
    </row>
    <row r="590" spans="1:9"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111</v>
      </c>
    </row>
    <row r="591" spans="1:9"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111</v>
      </c>
    </row>
    <row r="592" spans="1:9"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111</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111</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111</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240</v>
      </c>
      <c r="D595" s="1" t="s">
        <v>109</v>
      </c>
      <c r="E595" s="1" t="s">
        <v>110</v>
      </c>
      <c r="F595" s="1" t="s">
        <v>111</v>
      </c>
      <c r="G595" s="1" t="s">
        <v>112</v>
      </c>
    </row>
    <row r="596" spans="1:7" x14ac:dyDescent="0.25">
      <c r="A596" s="1" t="str">
        <f t="shared" si="9"/>
        <v>19 Atenolol 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4205</v>
      </c>
      <c r="D596" s="1" t="s">
        <v>4206</v>
      </c>
      <c r="E596" s="1" t="s">
        <v>4207</v>
      </c>
      <c r="F596" s="1" t="s">
        <v>111</v>
      </c>
      <c r="G596" s="1">
        <v>1595921</v>
      </c>
    </row>
    <row r="597" spans="1:7" x14ac:dyDescent="0.25">
      <c r="A597" s="1" t="str">
        <f t="shared" si="9"/>
        <v>19 Atenolol 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4208</v>
      </c>
      <c r="D597" s="1" t="s">
        <v>4209</v>
      </c>
      <c r="E597" s="1" t="s">
        <v>4210</v>
      </c>
      <c r="F597" s="1" t="s">
        <v>111</v>
      </c>
      <c r="G597" s="1">
        <v>1293043</v>
      </c>
    </row>
    <row r="598" spans="1:7" x14ac:dyDescent="0.25">
      <c r="A598" s="1" t="str">
        <f t="shared" si="9"/>
        <v>19 Atenolol 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4211</v>
      </c>
      <c r="D598" s="1" t="s">
        <v>2551</v>
      </c>
      <c r="E598" s="1" t="s">
        <v>4212</v>
      </c>
      <c r="F598" s="1" t="s">
        <v>111</v>
      </c>
      <c r="G598" s="1">
        <v>1562637</v>
      </c>
    </row>
    <row r="599" spans="1:7" x14ac:dyDescent="0.25">
      <c r="A599" s="1" t="str">
        <f t="shared" si="9"/>
        <v>19 Atenolol 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4213</v>
      </c>
      <c r="D599" s="1" t="s">
        <v>4214</v>
      </c>
      <c r="E599" s="1" t="s">
        <v>4215</v>
      </c>
      <c r="F599" s="1" t="s">
        <v>111</v>
      </c>
      <c r="G599" s="1">
        <v>4316467</v>
      </c>
    </row>
    <row r="600" spans="1:7" x14ac:dyDescent="0.25">
      <c r="A600" s="1" t="str">
        <f t="shared" si="9"/>
        <v>19 Atenolol 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4216</v>
      </c>
      <c r="D600" s="1" t="s">
        <v>4217</v>
      </c>
      <c r="E600" s="1" t="s">
        <v>4218</v>
      </c>
      <c r="F600" s="1" t="s">
        <v>111</v>
      </c>
      <c r="G600" s="1">
        <v>3475358</v>
      </c>
    </row>
    <row r="601" spans="1:7" x14ac:dyDescent="0.25">
      <c r="A601" s="1" t="str">
        <f t="shared" si="9"/>
        <v>19 Atenolol 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4219</v>
      </c>
      <c r="D601" s="1" t="s">
        <v>4220</v>
      </c>
      <c r="E601" s="1" t="s">
        <v>4221</v>
      </c>
      <c r="F601" s="1" t="s">
        <v>111</v>
      </c>
      <c r="G601" s="1">
        <v>3327933</v>
      </c>
    </row>
    <row r="602" spans="1:7" x14ac:dyDescent="0.25">
      <c r="A602" s="1" t="str">
        <f t="shared" si="9"/>
        <v>19 Atenolol 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4222</v>
      </c>
      <c r="D602" s="1" t="s">
        <v>3403</v>
      </c>
      <c r="E602" s="1" t="s">
        <v>4223</v>
      </c>
      <c r="F602" s="1" t="s">
        <v>111</v>
      </c>
      <c r="G602" s="1">
        <v>3600420</v>
      </c>
    </row>
    <row r="603" spans="1:7" x14ac:dyDescent="0.25">
      <c r="A603" s="1" t="str">
        <f t="shared" si="9"/>
        <v>19 Atenolol 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4224</v>
      </c>
      <c r="D603" s="1" t="s">
        <v>4225</v>
      </c>
      <c r="E603" s="1" t="s">
        <v>4226</v>
      </c>
      <c r="F603" s="1" t="s">
        <v>111</v>
      </c>
      <c r="G603" s="1">
        <v>3684346</v>
      </c>
    </row>
    <row r="604" spans="1:7" x14ac:dyDescent="0.25">
      <c r="A604" s="1" t="str">
        <f t="shared" si="9"/>
        <v>19 Atenolol 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4227</v>
      </c>
      <c r="D604" s="1" t="s">
        <v>4228</v>
      </c>
      <c r="E604" s="1" t="s">
        <v>4229</v>
      </c>
      <c r="F604" s="1" t="s">
        <v>111</v>
      </c>
      <c r="G604" s="1">
        <v>3735490</v>
      </c>
    </row>
    <row r="605" spans="1:7" x14ac:dyDescent="0.25">
      <c r="A605" s="1" t="str">
        <f t="shared" si="9"/>
        <v>19 Atenolol 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4230</v>
      </c>
      <c r="D605" s="1" t="s">
        <v>4162</v>
      </c>
      <c r="E605" s="1" t="s">
        <v>4231</v>
      </c>
      <c r="F605" s="1" t="s">
        <v>111</v>
      </c>
      <c r="G605" s="1">
        <v>3303808</v>
      </c>
    </row>
    <row r="606" spans="1:7" x14ac:dyDescent="0.25">
      <c r="A606" s="1" t="str">
        <f t="shared" si="9"/>
        <v>19 Atenolol 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4232</v>
      </c>
      <c r="D606" s="1" t="s">
        <v>2749</v>
      </c>
      <c r="E606" s="1" t="s">
        <v>4233</v>
      </c>
      <c r="F606" s="1" t="s">
        <v>111</v>
      </c>
      <c r="G606" s="1">
        <v>3072218</v>
      </c>
    </row>
    <row r="607" spans="1:7" x14ac:dyDescent="0.25">
      <c r="A607" s="1" t="str">
        <f t="shared" si="9"/>
        <v>19 Atenolol 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4234</v>
      </c>
      <c r="D607" s="1" t="s">
        <v>4235</v>
      </c>
      <c r="E607" s="1" t="s">
        <v>4236</v>
      </c>
      <c r="F607" s="1" t="s">
        <v>111</v>
      </c>
      <c r="G607" s="1">
        <v>3162974</v>
      </c>
    </row>
    <row r="608" spans="1:7" x14ac:dyDescent="0.25">
      <c r="A608" s="1" t="str">
        <f t="shared" si="9"/>
        <v>19 Atenolol 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4237</v>
      </c>
      <c r="D608" s="1" t="s">
        <v>4238</v>
      </c>
      <c r="E608" s="1" t="s">
        <v>4239</v>
      </c>
      <c r="F608" s="1" t="s">
        <v>111</v>
      </c>
      <c r="G608" s="1">
        <v>3343226</v>
      </c>
    </row>
    <row r="609" spans="1:9" x14ac:dyDescent="0.25">
      <c r="A609" s="1" t="str">
        <f t="shared" si="9"/>
        <v>19 Atenolol 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4240</v>
      </c>
      <c r="D609" s="1" t="s">
        <v>4241</v>
      </c>
      <c r="E609" s="1" t="s">
        <v>4242</v>
      </c>
      <c r="F609" s="1" t="s">
        <v>111</v>
      </c>
      <c r="G609" s="1">
        <v>2906911</v>
      </c>
    </row>
    <row r="610" spans="1:9" x14ac:dyDescent="0.25">
      <c r="A610" s="1" t="str">
        <f t="shared" si="9"/>
        <v>19 Atenolol 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4243</v>
      </c>
      <c r="D610" s="1" t="s">
        <v>4244</v>
      </c>
      <c r="E610" s="1" t="s">
        <v>4245</v>
      </c>
      <c r="F610" s="1" t="s">
        <v>111</v>
      </c>
      <c r="G610" s="1">
        <v>2667010</v>
      </c>
    </row>
    <row r="611" spans="1:9" x14ac:dyDescent="0.25">
      <c r="A611" s="1" t="str">
        <f t="shared" si="9"/>
        <v>19 Atenolol 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4246</v>
      </c>
      <c r="D611" s="1" t="s">
        <v>4247</v>
      </c>
      <c r="E611" s="1" t="s">
        <v>4248</v>
      </c>
      <c r="F611" s="1" t="s">
        <v>111</v>
      </c>
      <c r="G611" s="1">
        <v>898278</v>
      </c>
    </row>
    <row r="612" spans="1:9" x14ac:dyDescent="0.25">
      <c r="A612" s="1" t="str">
        <f t="shared" si="9"/>
        <v>19 Atenolol 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4249</v>
      </c>
      <c r="D612" s="1" t="s">
        <v>4250</v>
      </c>
      <c r="E612" s="1" t="s">
        <v>4251</v>
      </c>
      <c r="F612" s="1" t="s">
        <v>111</v>
      </c>
      <c r="G612" s="1">
        <v>1240312</v>
      </c>
    </row>
    <row r="613" spans="1:9" x14ac:dyDescent="0.25">
      <c r="A613" s="1" t="str">
        <f t="shared" si="9"/>
        <v>19 Atenolol 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4252</v>
      </c>
      <c r="D613" s="1" t="s">
        <v>4253</v>
      </c>
      <c r="E613" s="1" t="s">
        <v>4254</v>
      </c>
      <c r="F613" s="1" t="s">
        <v>111</v>
      </c>
      <c r="G613" s="1">
        <v>1015030</v>
      </c>
    </row>
    <row r="614" spans="1:9" x14ac:dyDescent="0.25">
      <c r="A614" s="1" t="str">
        <f t="shared" si="9"/>
        <v>19 Atenolol 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4255</v>
      </c>
      <c r="D614" s="1" t="s">
        <v>4256</v>
      </c>
      <c r="E614" s="1" t="s">
        <v>4257</v>
      </c>
      <c r="F614" s="1" t="s">
        <v>111</v>
      </c>
      <c r="G614" s="1">
        <v>4524999</v>
      </c>
    </row>
    <row r="615" spans="1:9" x14ac:dyDescent="0.25">
      <c r="A615" s="1" t="str">
        <f t="shared" si="9"/>
        <v>19 Atenolol 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4258</v>
      </c>
      <c r="D615" s="1" t="s">
        <v>4259</v>
      </c>
      <c r="E615" s="1" t="s">
        <v>4260</v>
      </c>
      <c r="F615" s="1" t="s">
        <v>111</v>
      </c>
      <c r="G615" s="1">
        <v>4350577</v>
      </c>
    </row>
    <row r="616" spans="1:9" x14ac:dyDescent="0.25">
      <c r="A616" s="1" t="str">
        <f t="shared" si="9"/>
        <v>19 Atenolol 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4261</v>
      </c>
      <c r="D616" s="1" t="s">
        <v>4262</v>
      </c>
      <c r="E616" s="1" t="s">
        <v>4263</v>
      </c>
      <c r="F616" s="1" t="s">
        <v>111</v>
      </c>
      <c r="G616" s="1">
        <v>4616038</v>
      </c>
    </row>
    <row r="617" spans="1:9" x14ac:dyDescent="0.25">
      <c r="A617" s="1" t="str">
        <f t="shared" si="9"/>
        <v>19 Atenolol 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4264</v>
      </c>
      <c r="D617" s="1" t="s">
        <v>4265</v>
      </c>
      <c r="E617" s="1" t="s">
        <v>4266</v>
      </c>
      <c r="F617" s="1" t="s">
        <v>111</v>
      </c>
      <c r="G617" s="1">
        <v>3653369</v>
      </c>
    </row>
    <row r="618" spans="1:9" x14ac:dyDescent="0.25">
      <c r="A618" s="1" t="str">
        <f t="shared" si="9"/>
        <v>19 Atenolol 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4267</v>
      </c>
      <c r="D618" s="1" t="s">
        <v>4268</v>
      </c>
      <c r="E618" s="1" t="s">
        <v>4269</v>
      </c>
      <c r="F618" s="1" t="s">
        <v>111</v>
      </c>
      <c r="G618" s="1">
        <v>3584888</v>
      </c>
    </row>
    <row r="619" spans="1:9" x14ac:dyDescent="0.25">
      <c r="A619" s="1" t="str">
        <f t="shared" si="9"/>
        <v>19 Atenolol 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4270</v>
      </c>
      <c r="D619" s="1" t="s">
        <v>4271</v>
      </c>
      <c r="E619" s="1" t="s">
        <v>4272</v>
      </c>
      <c r="F619" s="1" t="s">
        <v>111</v>
      </c>
      <c r="G619" s="1">
        <v>4086312</v>
      </c>
    </row>
    <row r="620" spans="1:9"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111</v>
      </c>
    </row>
    <row r="621" spans="1:9"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230</v>
      </c>
      <c r="D621" s="1" t="s">
        <v>111</v>
      </c>
      <c r="E621" s="1" t="s">
        <v>231</v>
      </c>
      <c r="F621" s="1" t="s">
        <v>232</v>
      </c>
      <c r="G621" s="1" t="s">
        <v>233</v>
      </c>
      <c r="H621" s="1" t="s">
        <v>234</v>
      </c>
      <c r="I621" s="1" t="s">
        <v>235</v>
      </c>
    </row>
    <row r="622" spans="1:9" x14ac:dyDescent="0.25">
      <c r="A622" s="1" t="str">
        <f t="shared" si="9"/>
        <v>19 Atenolol 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4273</v>
      </c>
      <c r="D622" s="1" t="s">
        <v>111</v>
      </c>
      <c r="E622" s="1" t="s">
        <v>4274</v>
      </c>
      <c r="F622" s="1" t="s">
        <v>4275</v>
      </c>
      <c r="G622" s="1" t="s">
        <v>4276</v>
      </c>
      <c r="H622" s="1" t="s">
        <v>4277</v>
      </c>
      <c r="I622" s="1">
        <v>24</v>
      </c>
    </row>
    <row r="623" spans="1:9"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111</v>
      </c>
    </row>
    <row r="624" spans="1:9"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111</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111</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111</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111</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240</v>
      </c>
      <c r="D628" s="1" t="s">
        <v>109</v>
      </c>
      <c r="E628" s="1" t="s">
        <v>110</v>
      </c>
      <c r="F628" s="1" t="s">
        <v>111</v>
      </c>
      <c r="G628" s="1" t="s">
        <v>112</v>
      </c>
    </row>
    <row r="629" spans="1:7" x14ac:dyDescent="0.25">
      <c r="A629" s="1" t="str">
        <f t="shared" si="9"/>
        <v>20 Atenolol 10</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4278</v>
      </c>
      <c r="D629" s="1" t="s">
        <v>4279</v>
      </c>
      <c r="E629" s="1" t="s">
        <v>4280</v>
      </c>
      <c r="F629" s="1" t="s">
        <v>111</v>
      </c>
      <c r="G629" s="1">
        <v>1799579</v>
      </c>
    </row>
    <row r="630" spans="1:7" x14ac:dyDescent="0.25">
      <c r="A630" s="1" t="str">
        <f t="shared" si="9"/>
        <v>20 Atenolol 10</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4281</v>
      </c>
      <c r="D630" s="1" t="s">
        <v>4282</v>
      </c>
      <c r="E630" s="1" t="s">
        <v>4283</v>
      </c>
      <c r="F630" s="1" t="s">
        <v>111</v>
      </c>
      <c r="G630" s="1">
        <v>818398</v>
      </c>
    </row>
    <row r="631" spans="1:7" x14ac:dyDescent="0.25">
      <c r="A631" s="1" t="str">
        <f t="shared" si="9"/>
        <v>20 Atenolol 10</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4284</v>
      </c>
    </row>
    <row r="632" spans="1:7" x14ac:dyDescent="0.25">
      <c r="A632" s="1" t="str">
        <f t="shared" si="9"/>
        <v>20 Atenolol 10</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4285</v>
      </c>
      <c r="D632" s="1" t="s">
        <v>4286</v>
      </c>
      <c r="E632" s="1" t="s">
        <v>4287</v>
      </c>
      <c r="F632" s="1" t="s">
        <v>111</v>
      </c>
      <c r="G632" s="1">
        <v>3228018</v>
      </c>
    </row>
    <row r="633" spans="1:7" x14ac:dyDescent="0.25">
      <c r="A633" s="1" t="str">
        <f t="shared" si="9"/>
        <v>20 Atenolol 10</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4288</v>
      </c>
      <c r="D633" s="1" t="s">
        <v>4289</v>
      </c>
      <c r="E633" s="1" t="s">
        <v>4290</v>
      </c>
      <c r="F633" s="1" t="s">
        <v>111</v>
      </c>
      <c r="G633" s="1">
        <v>3175809</v>
      </c>
    </row>
    <row r="634" spans="1:7" x14ac:dyDescent="0.25">
      <c r="A634" s="1" t="str">
        <f t="shared" si="9"/>
        <v>20 Atenolol 10</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4291</v>
      </c>
    </row>
    <row r="635" spans="1:7" x14ac:dyDescent="0.25">
      <c r="A635" s="1" t="str">
        <f t="shared" si="9"/>
        <v>20 Atenolol 10</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4292</v>
      </c>
      <c r="D635" s="1" t="s">
        <v>4293</v>
      </c>
      <c r="E635" s="1" t="s">
        <v>4294</v>
      </c>
      <c r="F635" s="1" t="s">
        <v>111</v>
      </c>
      <c r="G635" s="1">
        <v>2874476</v>
      </c>
    </row>
    <row r="636" spans="1:7" x14ac:dyDescent="0.25">
      <c r="A636" s="1" t="str">
        <f t="shared" si="9"/>
        <v>20 Atenolol 10</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4295</v>
      </c>
      <c r="D636" s="1" t="s">
        <v>4296</v>
      </c>
      <c r="E636" s="1" t="s">
        <v>4297</v>
      </c>
      <c r="F636" s="1" t="s">
        <v>111</v>
      </c>
      <c r="G636" s="1">
        <v>3023054</v>
      </c>
    </row>
    <row r="637" spans="1:7" x14ac:dyDescent="0.25">
      <c r="A637" s="1" t="str">
        <f t="shared" si="9"/>
        <v>20 Atenolol 10</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4298</v>
      </c>
      <c r="D637" s="1" t="s">
        <v>4299</v>
      </c>
      <c r="E637" s="1" t="s">
        <v>4300</v>
      </c>
      <c r="F637" s="1" t="s">
        <v>111</v>
      </c>
      <c r="G637" s="1">
        <v>2794270</v>
      </c>
    </row>
    <row r="638" spans="1:7" x14ac:dyDescent="0.25">
      <c r="A638" s="1" t="str">
        <f t="shared" si="9"/>
        <v>20 Atenolol 10</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4301</v>
      </c>
      <c r="D638" s="1" t="s">
        <v>2594</v>
      </c>
      <c r="E638" s="1" t="s">
        <v>4302</v>
      </c>
      <c r="F638" s="1" t="s">
        <v>111</v>
      </c>
      <c r="G638" s="1">
        <v>3319471</v>
      </c>
    </row>
    <row r="639" spans="1:7" x14ac:dyDescent="0.25">
      <c r="A639" s="1" t="str">
        <f t="shared" si="9"/>
        <v>20 Atenolol 10</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4303</v>
      </c>
      <c r="D639" s="1" t="s">
        <v>4304</v>
      </c>
      <c r="E639" s="1" t="s">
        <v>4305</v>
      </c>
      <c r="F639" s="1" t="s">
        <v>111</v>
      </c>
      <c r="G639" s="1">
        <v>3398045</v>
      </c>
    </row>
    <row r="640" spans="1:7" x14ac:dyDescent="0.25">
      <c r="A640" s="1" t="str">
        <f t="shared" si="9"/>
        <v>20 Atenolol 10</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4306</v>
      </c>
      <c r="D640" s="1" t="s">
        <v>4307</v>
      </c>
      <c r="E640" s="1" t="s">
        <v>4308</v>
      </c>
      <c r="F640" s="1" t="s">
        <v>111</v>
      </c>
      <c r="G640" s="1">
        <v>3345075</v>
      </c>
    </row>
    <row r="641" spans="1:9" x14ac:dyDescent="0.25">
      <c r="A641" s="1" t="str">
        <f t="shared" si="9"/>
        <v>20 Atenolol 10</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4309</v>
      </c>
      <c r="D641" s="1" t="s">
        <v>2822</v>
      </c>
      <c r="E641" s="1" t="s">
        <v>4310</v>
      </c>
      <c r="F641" s="1" t="s">
        <v>111</v>
      </c>
      <c r="G641" s="1">
        <v>1735275</v>
      </c>
    </row>
    <row r="642" spans="1:9" x14ac:dyDescent="0.25">
      <c r="A642" s="1" t="str">
        <f t="shared" ref="A642:A705" si="10">IFERROR(LEFT(RIGHT(C642,LEN(C642)-SEARCH("@",C642)),SEARCH("/",RIGHT(C642,LEN(C642)-SEARCH("@",C642)-1))),"")</f>
        <v>20 Atenolol 10</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4311</v>
      </c>
      <c r="D642" s="1" t="s">
        <v>4312</v>
      </c>
      <c r="E642" s="1" t="s">
        <v>4313</v>
      </c>
      <c r="F642" s="1" t="s">
        <v>111</v>
      </c>
      <c r="G642" s="1">
        <v>1094954</v>
      </c>
    </row>
    <row r="643" spans="1:9" x14ac:dyDescent="0.25">
      <c r="A643" s="1" t="str">
        <f t="shared" si="10"/>
        <v>20 Atenolol 10</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4314</v>
      </c>
      <c r="D643" s="1" t="s">
        <v>4315</v>
      </c>
      <c r="E643" s="1" t="s">
        <v>4316</v>
      </c>
      <c r="F643" s="1" t="s">
        <v>111</v>
      </c>
      <c r="G643" s="1">
        <v>1679760</v>
      </c>
    </row>
    <row r="644" spans="1:9" x14ac:dyDescent="0.25">
      <c r="A644" s="1" t="str">
        <f t="shared" si="10"/>
        <v>20 Atenolol 10</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4317</v>
      </c>
      <c r="D644" s="1" t="s">
        <v>4318</v>
      </c>
      <c r="E644" s="1" t="s">
        <v>4319</v>
      </c>
      <c r="F644" s="1" t="s">
        <v>111</v>
      </c>
      <c r="G644" s="1">
        <v>2303070</v>
      </c>
    </row>
    <row r="645" spans="1:9" x14ac:dyDescent="0.25">
      <c r="A645" s="1" t="str">
        <f t="shared" si="10"/>
        <v>20 Atenolol 10</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4320</v>
      </c>
      <c r="D645" s="1" t="s">
        <v>4321</v>
      </c>
      <c r="E645" s="1" t="s">
        <v>4322</v>
      </c>
      <c r="F645" s="1" t="s">
        <v>111</v>
      </c>
      <c r="G645" s="1">
        <v>2029669</v>
      </c>
    </row>
    <row r="646" spans="1:9" x14ac:dyDescent="0.25">
      <c r="A646" s="1" t="str">
        <f t="shared" si="10"/>
        <v>20 Atenolol 10</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4323</v>
      </c>
      <c r="D646" s="1" t="s">
        <v>4324</v>
      </c>
      <c r="E646" s="1" t="s">
        <v>4325</v>
      </c>
      <c r="F646" s="1" t="s">
        <v>111</v>
      </c>
      <c r="G646" s="1">
        <v>2391782</v>
      </c>
    </row>
    <row r="647" spans="1:9" x14ac:dyDescent="0.25">
      <c r="A647" s="1" t="str">
        <f t="shared" si="10"/>
        <v>20 Atenolol 10</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4326</v>
      </c>
    </row>
    <row r="648" spans="1:9" x14ac:dyDescent="0.25">
      <c r="A648" s="1" t="str">
        <f t="shared" si="10"/>
        <v>20 Atenolol 10</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4327</v>
      </c>
    </row>
    <row r="649" spans="1:9" x14ac:dyDescent="0.25">
      <c r="A649" s="1" t="str">
        <f t="shared" si="10"/>
        <v>20 Atenolol 10</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4328</v>
      </c>
      <c r="D649" s="1" t="s">
        <v>4329</v>
      </c>
      <c r="E649" s="1" t="s">
        <v>4330</v>
      </c>
      <c r="F649" s="1" t="s">
        <v>111</v>
      </c>
      <c r="G649" s="1">
        <v>3798162</v>
      </c>
    </row>
    <row r="650" spans="1:9" x14ac:dyDescent="0.25">
      <c r="A650" s="1" t="str">
        <f t="shared" si="10"/>
        <v>20 Atenolol 10</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4331</v>
      </c>
      <c r="D650" s="1" t="s">
        <v>4332</v>
      </c>
      <c r="E650" s="1" t="s">
        <v>4333</v>
      </c>
      <c r="F650" s="1" t="s">
        <v>111</v>
      </c>
      <c r="G650" s="1">
        <v>1095758</v>
      </c>
    </row>
    <row r="651" spans="1:9" x14ac:dyDescent="0.25">
      <c r="A651" s="1" t="str">
        <f t="shared" si="10"/>
        <v>20 Atenolol 10</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4334</v>
      </c>
      <c r="D651" s="1" t="s">
        <v>4335</v>
      </c>
      <c r="E651" s="1" t="s">
        <v>4336</v>
      </c>
      <c r="F651" s="1" t="s">
        <v>111</v>
      </c>
      <c r="G651" s="1">
        <v>1448474</v>
      </c>
    </row>
    <row r="652" spans="1:9" x14ac:dyDescent="0.25">
      <c r="A652" s="1" t="str">
        <f t="shared" si="10"/>
        <v>20 Atenolol 10</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4337</v>
      </c>
      <c r="D652" s="1" t="s">
        <v>4338</v>
      </c>
      <c r="E652" s="1" t="s">
        <v>4339</v>
      </c>
      <c r="F652" s="1" t="s">
        <v>111</v>
      </c>
      <c r="G652" s="1">
        <v>1007830</v>
      </c>
    </row>
    <row r="653" spans="1:9"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111</v>
      </c>
    </row>
    <row r="654" spans="1:9"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230</v>
      </c>
      <c r="D654" s="1" t="s">
        <v>111</v>
      </c>
      <c r="E654" s="1" t="s">
        <v>231</v>
      </c>
      <c r="F654" s="1" t="s">
        <v>232</v>
      </c>
      <c r="G654" s="1" t="s">
        <v>233</v>
      </c>
      <c r="H654" s="1" t="s">
        <v>234</v>
      </c>
      <c r="I654" s="1" t="s">
        <v>235</v>
      </c>
    </row>
    <row r="655" spans="1:9" x14ac:dyDescent="0.25">
      <c r="A655" s="1" t="str">
        <f t="shared" si="10"/>
        <v>20 Atenolol 10</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4340</v>
      </c>
      <c r="D655" s="1" t="s">
        <v>111</v>
      </c>
      <c r="E655" s="1" t="s">
        <v>4341</v>
      </c>
      <c r="F655" s="1" t="s">
        <v>4342</v>
      </c>
      <c r="G655" s="1" t="s">
        <v>4343</v>
      </c>
      <c r="H655" s="1" t="s">
        <v>4344</v>
      </c>
      <c r="I655" s="1">
        <v>24</v>
      </c>
    </row>
    <row r="656" spans="1:9"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111</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111</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111</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111</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111</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240</v>
      </c>
      <c r="D661" s="1" t="s">
        <v>109</v>
      </c>
      <c r="E661" s="1" t="s">
        <v>110</v>
      </c>
      <c r="F661" s="1" t="s">
        <v>111</v>
      </c>
      <c r="G661" s="1" t="s">
        <v>112</v>
      </c>
    </row>
    <row r="662" spans="1:7" x14ac:dyDescent="0.25">
      <c r="A662" s="1" t="str">
        <f t="shared" si="10"/>
        <v>21Atenolol 100</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4345</v>
      </c>
    </row>
    <row r="663" spans="1:7" x14ac:dyDescent="0.25">
      <c r="A663" s="1" t="str">
        <f t="shared" si="10"/>
        <v>21Atenolol 100</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4346</v>
      </c>
      <c r="D663" s="1" t="s">
        <v>4347</v>
      </c>
      <c r="E663" s="1" t="s">
        <v>4348</v>
      </c>
      <c r="F663" s="1" t="s">
        <v>111</v>
      </c>
      <c r="G663" s="1">
        <v>3201761</v>
      </c>
    </row>
    <row r="664" spans="1:7" x14ac:dyDescent="0.25">
      <c r="A664" s="1" t="str">
        <f t="shared" si="10"/>
        <v>21Atenolol 100</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4349</v>
      </c>
      <c r="D664" s="1" t="s">
        <v>4350</v>
      </c>
      <c r="E664" s="1" t="s">
        <v>4351</v>
      </c>
      <c r="F664" s="1" t="s">
        <v>111</v>
      </c>
      <c r="G664" s="1">
        <v>3875497</v>
      </c>
    </row>
    <row r="665" spans="1:7" x14ac:dyDescent="0.25">
      <c r="A665" s="1" t="str">
        <f t="shared" si="10"/>
        <v>21Atenolol 100</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4352</v>
      </c>
      <c r="D665" s="1" t="s">
        <v>4353</v>
      </c>
      <c r="E665" s="1" t="s">
        <v>4354</v>
      </c>
      <c r="F665" s="1" t="s">
        <v>111</v>
      </c>
      <c r="G665" s="1">
        <v>1679216</v>
      </c>
    </row>
    <row r="666" spans="1:7" x14ac:dyDescent="0.25">
      <c r="A666" s="1" t="str">
        <f t="shared" si="10"/>
        <v>21Atenolol 100</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4355</v>
      </c>
      <c r="D666" s="1" t="s">
        <v>4356</v>
      </c>
      <c r="E666" s="1" t="s">
        <v>4357</v>
      </c>
      <c r="F666" s="1" t="s">
        <v>111</v>
      </c>
      <c r="G666" s="1">
        <v>1836452</v>
      </c>
    </row>
    <row r="667" spans="1:7" x14ac:dyDescent="0.25">
      <c r="A667" s="1" t="str">
        <f t="shared" si="10"/>
        <v>21Atenolol 100</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4358</v>
      </c>
      <c r="D667" s="1" t="s">
        <v>4359</v>
      </c>
      <c r="E667" s="1" t="s">
        <v>4360</v>
      </c>
      <c r="F667" s="1" t="s">
        <v>111</v>
      </c>
      <c r="G667" s="1">
        <v>1864514</v>
      </c>
    </row>
    <row r="668" spans="1:7" x14ac:dyDescent="0.25">
      <c r="A668" s="1" t="str">
        <f t="shared" si="10"/>
        <v>21Atenolol 100</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4361</v>
      </c>
      <c r="D668" s="1" t="s">
        <v>4217</v>
      </c>
      <c r="E668" s="1" t="s">
        <v>4362</v>
      </c>
      <c r="F668" s="1" t="s">
        <v>111</v>
      </c>
      <c r="G668" s="1">
        <v>3476642</v>
      </c>
    </row>
    <row r="669" spans="1:7" x14ac:dyDescent="0.25">
      <c r="A669" s="1" t="str">
        <f t="shared" si="10"/>
        <v>21Atenolol 100</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4363</v>
      </c>
      <c r="D669" s="1" t="s">
        <v>4364</v>
      </c>
      <c r="E669" s="1" t="s">
        <v>4365</v>
      </c>
      <c r="F669" s="1" t="s">
        <v>111</v>
      </c>
      <c r="G669" s="1">
        <v>3763465</v>
      </c>
    </row>
    <row r="670" spans="1:7" x14ac:dyDescent="0.25">
      <c r="A670" s="1" t="str">
        <f t="shared" si="10"/>
        <v>21Atenolol 100</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4366</v>
      </c>
      <c r="D670" s="1" t="s">
        <v>4367</v>
      </c>
      <c r="E670" s="1" t="s">
        <v>4368</v>
      </c>
      <c r="F670" s="1" t="s">
        <v>111</v>
      </c>
      <c r="G670" s="1">
        <v>3564636</v>
      </c>
    </row>
    <row r="671" spans="1:7" x14ac:dyDescent="0.25">
      <c r="A671" s="1" t="str">
        <f t="shared" si="10"/>
        <v>21Atenolol 100</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4369</v>
      </c>
    </row>
    <row r="672" spans="1:7" x14ac:dyDescent="0.25">
      <c r="A672" s="1" t="str">
        <f t="shared" si="10"/>
        <v>21Atenolol 100</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4370</v>
      </c>
    </row>
    <row r="673" spans="1:9" x14ac:dyDescent="0.25">
      <c r="A673" s="1" t="str">
        <f t="shared" si="10"/>
        <v>21Atenolol 100</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4371</v>
      </c>
    </row>
    <row r="674" spans="1:9" x14ac:dyDescent="0.25">
      <c r="A674" s="1" t="str">
        <f t="shared" si="10"/>
        <v>21Atenolol 100</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4372</v>
      </c>
      <c r="D674" s="1" t="s">
        <v>4373</v>
      </c>
      <c r="E674" s="1" t="s">
        <v>4374</v>
      </c>
      <c r="F674" s="1" t="s">
        <v>111</v>
      </c>
      <c r="G674" s="1">
        <v>5345420</v>
      </c>
    </row>
    <row r="675" spans="1:9" x14ac:dyDescent="0.25">
      <c r="A675" s="1" t="str">
        <f t="shared" si="10"/>
        <v>21Atenolol 100</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4375</v>
      </c>
      <c r="D675" s="1" t="s">
        <v>4376</v>
      </c>
      <c r="E675" s="1" t="s">
        <v>4377</v>
      </c>
      <c r="F675" s="1" t="s">
        <v>111</v>
      </c>
      <c r="G675" s="1">
        <v>4530959</v>
      </c>
    </row>
    <row r="676" spans="1:9" x14ac:dyDescent="0.25">
      <c r="A676" s="1" t="str">
        <f t="shared" si="10"/>
        <v>21Atenolol 100</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4378</v>
      </c>
      <c r="D676" s="1" t="s">
        <v>4379</v>
      </c>
      <c r="E676" s="1" t="s">
        <v>4380</v>
      </c>
      <c r="F676" s="1" t="s">
        <v>111</v>
      </c>
      <c r="G676" s="1">
        <v>4885545</v>
      </c>
    </row>
    <row r="677" spans="1:9" x14ac:dyDescent="0.25">
      <c r="A677" s="1" t="str">
        <f t="shared" si="10"/>
        <v>21Atenolol 100</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4381</v>
      </c>
      <c r="D677" s="1" t="s">
        <v>4382</v>
      </c>
      <c r="E677" s="1" t="s">
        <v>4383</v>
      </c>
      <c r="F677" s="1" t="s">
        <v>111</v>
      </c>
      <c r="G677" s="1">
        <v>1525243</v>
      </c>
    </row>
    <row r="678" spans="1:9" x14ac:dyDescent="0.25">
      <c r="A678" s="1" t="str">
        <f t="shared" si="10"/>
        <v>21Atenolol 100</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4384</v>
      </c>
      <c r="D678" s="1" t="s">
        <v>4385</v>
      </c>
      <c r="E678" s="1" t="s">
        <v>4386</v>
      </c>
      <c r="F678" s="1" t="s">
        <v>111</v>
      </c>
      <c r="G678" s="1">
        <v>1178640</v>
      </c>
    </row>
    <row r="679" spans="1:9" x14ac:dyDescent="0.25">
      <c r="A679" s="1" t="str">
        <f t="shared" si="10"/>
        <v>21Atenolol 100</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4387</v>
      </c>
      <c r="D679" s="1" t="s">
        <v>4388</v>
      </c>
      <c r="E679" s="1" t="s">
        <v>4389</v>
      </c>
      <c r="F679" s="1" t="s">
        <v>111</v>
      </c>
      <c r="G679" s="1">
        <v>1423587</v>
      </c>
    </row>
    <row r="680" spans="1:9" x14ac:dyDescent="0.25">
      <c r="A680" s="1" t="str">
        <f t="shared" si="10"/>
        <v>21Atenolol 100</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4390</v>
      </c>
    </row>
    <row r="681" spans="1:9" x14ac:dyDescent="0.25">
      <c r="A681" s="1" t="str">
        <f t="shared" si="10"/>
        <v>21Atenolol 100</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4391</v>
      </c>
      <c r="D681" s="1" t="s">
        <v>4392</v>
      </c>
      <c r="E681" s="1" t="s">
        <v>4393</v>
      </c>
      <c r="F681" s="1" t="s">
        <v>111</v>
      </c>
      <c r="G681" s="1">
        <v>3033931</v>
      </c>
    </row>
    <row r="682" spans="1:9" x14ac:dyDescent="0.25">
      <c r="A682" s="1" t="str">
        <f t="shared" si="10"/>
        <v>21Atenolol 100</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4394</v>
      </c>
      <c r="D682" s="1" t="s">
        <v>4395</v>
      </c>
      <c r="E682" s="1" t="s">
        <v>4396</v>
      </c>
      <c r="F682" s="1" t="s">
        <v>111</v>
      </c>
      <c r="G682" s="1">
        <v>2752372</v>
      </c>
    </row>
    <row r="683" spans="1:9" x14ac:dyDescent="0.25">
      <c r="A683" s="1" t="str">
        <f t="shared" si="10"/>
        <v>21Atenolol 100</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4397</v>
      </c>
      <c r="D683" s="1" t="s">
        <v>4398</v>
      </c>
      <c r="E683" s="1" t="s">
        <v>4399</v>
      </c>
      <c r="F683" s="1" t="s">
        <v>111</v>
      </c>
      <c r="G683" s="1">
        <v>4972626</v>
      </c>
    </row>
    <row r="684" spans="1:9" x14ac:dyDescent="0.25">
      <c r="A684" s="1" t="str">
        <f t="shared" si="10"/>
        <v>21Atenolol 100</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4400</v>
      </c>
      <c r="D684" s="1" t="s">
        <v>4401</v>
      </c>
      <c r="E684" s="1" t="s">
        <v>4402</v>
      </c>
      <c r="F684" s="1" t="s">
        <v>111</v>
      </c>
      <c r="G684" s="1">
        <v>4423017</v>
      </c>
    </row>
    <row r="685" spans="1:9" x14ac:dyDescent="0.25">
      <c r="A685" s="1" t="str">
        <f t="shared" si="10"/>
        <v>21Atenolol 100</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4403</v>
      </c>
      <c r="D685" s="1" t="s">
        <v>4404</v>
      </c>
      <c r="E685" s="1" t="s">
        <v>4405</v>
      </c>
      <c r="F685" s="1" t="s">
        <v>111</v>
      </c>
      <c r="G685" s="1">
        <v>4762811</v>
      </c>
    </row>
    <row r="686" spans="1:9"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111</v>
      </c>
    </row>
    <row r="687" spans="1:9"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230</v>
      </c>
      <c r="D687" s="1" t="s">
        <v>111</v>
      </c>
      <c r="E687" s="1" t="s">
        <v>231</v>
      </c>
      <c r="F687" s="1" t="s">
        <v>232</v>
      </c>
      <c r="G687" s="1" t="s">
        <v>233</v>
      </c>
      <c r="H687" s="1" t="s">
        <v>234</v>
      </c>
      <c r="I687" s="1" t="s">
        <v>235</v>
      </c>
    </row>
    <row r="688" spans="1:9" x14ac:dyDescent="0.25">
      <c r="A688" s="1" t="str">
        <f t="shared" si="10"/>
        <v>21Atenolol 100</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4406</v>
      </c>
      <c r="D688" s="1" t="s">
        <v>111</v>
      </c>
      <c r="E688" s="1" t="s">
        <v>4407</v>
      </c>
      <c r="F688" s="1" t="s">
        <v>4408</v>
      </c>
      <c r="G688" s="1" t="s">
        <v>4409</v>
      </c>
      <c r="H688" s="1" t="s">
        <v>4410</v>
      </c>
      <c r="I688" s="1">
        <v>24</v>
      </c>
    </row>
    <row r="689" spans="1:2"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A19" zoomScale="70" zoomScaleNormal="70" zoomScaleSheetLayoutView="40" zoomScalePageLayoutView="30" workbookViewId="0">
      <selection activeCell="X61" sqref="X61"/>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75" thickBot="1" x14ac:dyDescent="0.3"/>
    <row r="3" spans="1:22" ht="15.75" thickBot="1" x14ac:dyDescent="0.3">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Atenolol-0,01mg/L</v>
      </c>
      <c r="J4" s="35" t="str">
        <f>'Page de garde'!A15</f>
        <v>Atenolol-0,1mg/L</v>
      </c>
      <c r="K4" s="35" t="str">
        <f>'Page de garde'!A16</f>
        <v>Atenolol-1mg/L</v>
      </c>
      <c r="L4" s="35" t="str">
        <f>'Page de garde'!A17</f>
        <v>Atenolol-10mg/L</v>
      </c>
      <c r="M4" s="35" t="str">
        <f>'Page de garde'!A18</f>
        <v>Atenolol-100mg/L</v>
      </c>
      <c r="N4" s="3"/>
      <c r="O4" s="36" t="str">
        <f>'Page de garde'!A35</f>
        <v>Testo -30µg/L</v>
      </c>
      <c r="P4" s="36" t="str">
        <f>'Page de garde'!A36</f>
        <v>Testo 30µg/L + EE2 -64ng/L</v>
      </c>
      <c r="Q4" s="36" t="str">
        <f>'Page de garde'!A37</f>
        <v>Testo 30µg/L + FAD-10mg/L</v>
      </c>
      <c r="R4" s="36" t="str">
        <f>'Page de garde'!A38</f>
        <v>Atenolol-0,01mg/L + Testostérone</v>
      </c>
      <c r="S4" s="36" t="str">
        <f>'Page de garde'!A39</f>
        <v>Atenolol-0,1mg/L + Testostérone</v>
      </c>
      <c r="T4" s="36" t="str">
        <f>'Page de garde'!A40</f>
        <v>Atenolol-1mg/L + Testostérone</v>
      </c>
      <c r="U4" s="36" t="str">
        <f>'Page de garde'!A41</f>
        <v>Atenolol-10mg/L + Testostérone</v>
      </c>
      <c r="V4" s="36" t="str">
        <f>'Page de garde'!A42</f>
        <v>Atenolol-100mg/L + Testostérone</v>
      </c>
    </row>
    <row r="5" spans="1:22" x14ac:dyDescent="0.25">
      <c r="A5" s="226" t="s">
        <v>33</v>
      </c>
      <c r="B5" s="32">
        <v>197829</v>
      </c>
      <c r="C5" s="32">
        <v>269790</v>
      </c>
      <c r="D5" s="32">
        <v>778124.66666666663</v>
      </c>
      <c r="E5" s="32">
        <v>1050032</v>
      </c>
      <c r="F5" s="32">
        <v>3789533</v>
      </c>
      <c r="G5" s="32">
        <v>5818520.5</v>
      </c>
      <c r="H5" s="32">
        <v>6675248.333333333</v>
      </c>
      <c r="I5" s="32">
        <v>323079.66666666669</v>
      </c>
      <c r="J5" s="32">
        <v>89661.333333333328</v>
      </c>
      <c r="K5" s="13">
        <v>647754</v>
      </c>
      <c r="L5" s="13">
        <v>209430.66666666666</v>
      </c>
      <c r="M5" s="13">
        <v>770416.33333333337</v>
      </c>
      <c r="N5" s="3"/>
      <c r="O5" s="196">
        <v>3465228</v>
      </c>
      <c r="P5" s="196">
        <v>3785864</v>
      </c>
      <c r="Q5" s="196">
        <v>35792.333333333336</v>
      </c>
      <c r="R5" s="196">
        <v>957752.5</v>
      </c>
      <c r="S5" s="196">
        <v>849680</v>
      </c>
      <c r="T5" s="196">
        <v>1483867</v>
      </c>
      <c r="U5" s="196">
        <v>1308988.5</v>
      </c>
      <c r="V5" s="196">
        <v>3538629</v>
      </c>
    </row>
    <row r="6" spans="1:22" ht="16.5" x14ac:dyDescent="0.25">
      <c r="A6" s="226"/>
      <c r="B6" s="14">
        <v>181535.33333333334</v>
      </c>
      <c r="C6" s="13">
        <v>519153.33333333331</v>
      </c>
      <c r="D6" s="32">
        <v>751679</v>
      </c>
      <c r="E6" s="32">
        <v>1306936.6666666667</v>
      </c>
      <c r="F6" s="32">
        <v>2557168.3333333335</v>
      </c>
      <c r="G6" s="32">
        <v>2925271</v>
      </c>
      <c r="H6" s="32">
        <v>4663642.333333333</v>
      </c>
      <c r="I6" s="32">
        <v>69286</v>
      </c>
      <c r="J6" s="32">
        <v>11072.666666666666</v>
      </c>
      <c r="K6" s="13">
        <v>308569.66666666669</v>
      </c>
      <c r="L6" s="13">
        <v>448511.66666666669</v>
      </c>
      <c r="M6" s="13">
        <v>228139</v>
      </c>
      <c r="N6" s="3"/>
      <c r="O6" s="196">
        <v>940052.33333333337</v>
      </c>
      <c r="P6" s="196">
        <v>4878736.333333333</v>
      </c>
      <c r="Q6" s="196">
        <v>47075</v>
      </c>
      <c r="R6" s="196">
        <v>2049319.6666666667</v>
      </c>
      <c r="S6" s="196">
        <v>3665500.3333333335</v>
      </c>
      <c r="T6" s="196">
        <v>3706586</v>
      </c>
      <c r="U6" s="196">
        <v>3201913.5</v>
      </c>
      <c r="V6" s="196">
        <v>1793394</v>
      </c>
    </row>
    <row r="7" spans="1:22" ht="16.5" x14ac:dyDescent="0.25">
      <c r="A7" s="226"/>
      <c r="B7" s="14">
        <v>374853.33333333331</v>
      </c>
      <c r="C7" s="13">
        <v>107790</v>
      </c>
      <c r="D7" s="32">
        <v>136602.5</v>
      </c>
      <c r="E7" s="32">
        <v>639038.33333333337</v>
      </c>
      <c r="F7" s="32">
        <v>127259.33333333333</v>
      </c>
      <c r="G7" s="32">
        <v>4197873</v>
      </c>
      <c r="H7" s="32">
        <v>7916677.333333333</v>
      </c>
      <c r="I7" s="32">
        <v>401835</v>
      </c>
      <c r="J7" s="32"/>
      <c r="K7" s="13">
        <v>168801.66666666666</v>
      </c>
      <c r="L7" s="13">
        <v>222192.66666666666</v>
      </c>
      <c r="M7" s="13">
        <v>302188.66666666669</v>
      </c>
      <c r="N7" s="3"/>
      <c r="O7" s="196">
        <v>1760611</v>
      </c>
      <c r="P7" s="196">
        <v>3558718.6666666665</v>
      </c>
      <c r="Q7" s="196">
        <v>124511.33333333333</v>
      </c>
      <c r="R7" s="196">
        <v>4250437.333333333</v>
      </c>
      <c r="S7" s="196">
        <v>1792694.5</v>
      </c>
      <c r="T7" s="196">
        <v>3673418.6666666665</v>
      </c>
      <c r="U7" s="196">
        <v>2897266.6666666665</v>
      </c>
      <c r="V7" s="196">
        <v>3601581</v>
      </c>
    </row>
    <row r="8" spans="1:22" ht="16.5" x14ac:dyDescent="0.25">
      <c r="A8" s="226"/>
      <c r="B8" s="14">
        <v>129029</v>
      </c>
      <c r="C8" s="13">
        <v>259877.66666666666</v>
      </c>
      <c r="D8" s="32">
        <v>253844.33333333334</v>
      </c>
      <c r="E8" s="32">
        <v>106339.33333333333</v>
      </c>
      <c r="F8" s="32">
        <v>1982876.3333333333</v>
      </c>
      <c r="G8" s="32">
        <v>2362131.5</v>
      </c>
      <c r="H8" s="32">
        <v>5456378.333333333</v>
      </c>
      <c r="I8" s="32">
        <v>60453.5</v>
      </c>
      <c r="J8" s="32">
        <v>54863</v>
      </c>
      <c r="K8" s="13">
        <v>86855.666666666672</v>
      </c>
      <c r="L8" s="13">
        <v>293842.33333333331</v>
      </c>
      <c r="M8" s="13">
        <v>40686.666666666664</v>
      </c>
      <c r="N8" s="3"/>
      <c r="O8" s="196">
        <v>1552707</v>
      </c>
      <c r="P8" s="196">
        <v>4123409.6666666665</v>
      </c>
      <c r="Q8" s="196">
        <v>27986.5</v>
      </c>
      <c r="R8" s="196">
        <v>1831390.6666666667</v>
      </c>
      <c r="S8" s="196">
        <v>2744910.3333333335</v>
      </c>
      <c r="T8" s="196">
        <v>3179666.6666666665</v>
      </c>
      <c r="U8" s="196">
        <v>3354197</v>
      </c>
      <c r="V8" s="196"/>
    </row>
    <row r="9" spans="1:22" ht="16.5" x14ac:dyDescent="0.25">
      <c r="A9" s="226"/>
      <c r="B9" s="14">
        <v>86993.5</v>
      </c>
      <c r="C9" s="13">
        <v>210685.33333333334</v>
      </c>
      <c r="D9" s="32">
        <v>102960.66666666667</v>
      </c>
      <c r="E9" s="32">
        <v>913085</v>
      </c>
      <c r="F9" s="32">
        <v>387391</v>
      </c>
      <c r="G9" s="32">
        <v>2181198.3333333335</v>
      </c>
      <c r="H9" s="32">
        <v>8738295</v>
      </c>
      <c r="I9" s="32">
        <v>175016.33333333334</v>
      </c>
      <c r="J9" s="32">
        <v>29498</v>
      </c>
      <c r="K9" s="13">
        <v>331723</v>
      </c>
      <c r="L9" s="13">
        <v>130450</v>
      </c>
      <c r="M9" s="13">
        <v>120334.33333333333</v>
      </c>
      <c r="N9" s="3"/>
      <c r="O9" s="196">
        <v>638603.5</v>
      </c>
      <c r="P9" s="196">
        <v>5156589.666666667</v>
      </c>
      <c r="Q9" s="196">
        <v>34929.333333333336</v>
      </c>
      <c r="R9" s="196">
        <v>1303746</v>
      </c>
      <c r="S9" s="196">
        <v>2672042.6666666665</v>
      </c>
      <c r="T9" s="196">
        <v>2972382.3333333335</v>
      </c>
      <c r="U9" s="196">
        <v>1503329.6666666667</v>
      </c>
      <c r="V9" s="196">
        <v>4920641.333333333</v>
      </c>
    </row>
    <row r="10" spans="1:22" ht="16.5" x14ac:dyDescent="0.25">
      <c r="A10" s="226"/>
      <c r="B10" s="14">
        <v>36843.666666666664</v>
      </c>
      <c r="C10" s="13">
        <v>203049.66666666666</v>
      </c>
      <c r="D10" s="32">
        <v>1030751</v>
      </c>
      <c r="E10" s="32">
        <v>272930</v>
      </c>
      <c r="F10" s="32">
        <v>817847</v>
      </c>
      <c r="G10" s="32">
        <v>3109017.6666666665</v>
      </c>
      <c r="H10" s="32">
        <v>6762017</v>
      </c>
      <c r="I10" s="32">
        <v>148998.66666666666</v>
      </c>
      <c r="J10" s="32">
        <v>70185</v>
      </c>
      <c r="K10" s="13">
        <v>283705.33333333331</v>
      </c>
      <c r="L10" s="13">
        <v>599958</v>
      </c>
      <c r="M10" s="13">
        <v>721775</v>
      </c>
      <c r="N10" s="3"/>
      <c r="O10" s="196">
        <v>1659159</v>
      </c>
      <c r="P10" s="196">
        <v>3209404</v>
      </c>
      <c r="Q10" s="196">
        <v>35578.5</v>
      </c>
      <c r="R10" s="196">
        <v>1672639.3333333333</v>
      </c>
      <c r="S10" s="196">
        <v>317119</v>
      </c>
      <c r="T10" s="196">
        <v>1051206.6666666667</v>
      </c>
      <c r="U10" s="196">
        <v>2241507</v>
      </c>
      <c r="V10" s="196">
        <v>1375823.3333333333</v>
      </c>
    </row>
    <row r="11" spans="1:22" ht="16.5" x14ac:dyDescent="0.25">
      <c r="A11" s="226"/>
      <c r="B11" s="14">
        <v>123641</v>
      </c>
      <c r="C11" s="13">
        <v>85514</v>
      </c>
      <c r="D11" s="32">
        <v>225644.66666666666</v>
      </c>
      <c r="E11" s="32">
        <v>172311.5</v>
      </c>
      <c r="F11" s="32">
        <v>1052272.6666666667</v>
      </c>
      <c r="G11" s="32">
        <v>2366714.3333333335</v>
      </c>
      <c r="H11" s="32">
        <v>6261318</v>
      </c>
      <c r="I11" s="32">
        <v>132241</v>
      </c>
      <c r="J11" s="32">
        <v>157714.66666666666</v>
      </c>
      <c r="K11" s="13">
        <v>722058</v>
      </c>
      <c r="L11" s="13">
        <v>663577</v>
      </c>
      <c r="M11" s="13">
        <v>27990</v>
      </c>
      <c r="N11" s="3"/>
      <c r="O11" s="196">
        <v>3430893.6666666665</v>
      </c>
      <c r="P11" s="196">
        <v>3583409</v>
      </c>
      <c r="Q11" s="196">
        <v>354840.33333333331</v>
      </c>
      <c r="R11" s="196">
        <v>3060347</v>
      </c>
      <c r="S11" s="196">
        <v>4865499</v>
      </c>
      <c r="T11" s="196">
        <v>4497204.666666667</v>
      </c>
      <c r="U11" s="196">
        <v>3798162</v>
      </c>
      <c r="V11" s="196">
        <v>2893151.5</v>
      </c>
    </row>
    <row r="12" spans="1:22" ht="16.5" x14ac:dyDescent="0.25">
      <c r="A12" s="226"/>
      <c r="B12" s="14">
        <v>654962.33333333337</v>
      </c>
      <c r="C12" s="13">
        <v>18679.333333333332</v>
      </c>
      <c r="D12" s="32"/>
      <c r="E12" s="32">
        <v>217617</v>
      </c>
      <c r="F12" s="32"/>
      <c r="G12" s="32">
        <v>3144092</v>
      </c>
      <c r="H12" s="32"/>
      <c r="I12" s="32">
        <v>271755.33333333331</v>
      </c>
      <c r="J12" s="32">
        <v>65950.333333333328</v>
      </c>
      <c r="K12" s="13">
        <v>45197.333333333336</v>
      </c>
      <c r="L12" s="13">
        <v>446525</v>
      </c>
      <c r="M12" s="13">
        <v>83157.333333333328</v>
      </c>
      <c r="N12" s="3"/>
      <c r="O12" s="196"/>
      <c r="P12" s="196"/>
      <c r="Q12" s="196">
        <v>42884</v>
      </c>
      <c r="R12" s="196">
        <v>2937170.3333333335</v>
      </c>
      <c r="S12" s="196">
        <v>1926454.6666666667</v>
      </c>
      <c r="T12" s="196">
        <v>3774856.3333333335</v>
      </c>
      <c r="U12" s="196">
        <v>1184020.6666666667</v>
      </c>
      <c r="V12" s="196">
        <v>4719484.666666667</v>
      </c>
    </row>
    <row r="13" spans="1:22" ht="16.5" x14ac:dyDescent="0.25">
      <c r="A13" s="226"/>
      <c r="B13" s="14"/>
      <c r="C13" s="13"/>
      <c r="D13" s="32"/>
      <c r="E13" s="32"/>
      <c r="F13" s="32"/>
      <c r="G13" s="32"/>
      <c r="H13" s="32"/>
      <c r="I13" s="32"/>
      <c r="J13" s="32"/>
      <c r="K13" s="13"/>
      <c r="L13" s="13"/>
      <c r="M13" s="13"/>
      <c r="N13" s="3"/>
      <c r="O13" s="196">
        <v>1031229.3333333334</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95644</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922540.66666666663</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3173365.3333333335</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3114303.6666666665</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6322478.5</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1808005.6666666667</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1319583</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Atenolol-0,01mg/L</v>
      </c>
      <c r="J22" s="3" t="str">
        <f t="shared" si="0"/>
        <v>Atenolol-0,1mg/L</v>
      </c>
      <c r="K22" s="3" t="str">
        <f t="shared" si="0"/>
        <v>Atenolol-1mg/L</v>
      </c>
      <c r="L22" s="3" t="str">
        <f t="shared" si="0"/>
        <v>Atenolol-10mg/L</v>
      </c>
      <c r="M22" s="3" t="str">
        <f t="shared" si="0"/>
        <v>Atenolol-100mg/L</v>
      </c>
      <c r="N22" s="3" t="s">
        <v>41</v>
      </c>
      <c r="O22" s="3" t="str">
        <f t="shared" si="0"/>
        <v>Testo -30µg/L</v>
      </c>
      <c r="P22" s="3" t="str">
        <f t="shared" si="0"/>
        <v>Testo 30µg/L + EE2 -64ng/L</v>
      </c>
      <c r="Q22" s="3" t="str">
        <f t="shared" si="0"/>
        <v>Testo 30µg/L + FAD-10mg/L</v>
      </c>
      <c r="R22" s="3" t="str">
        <f t="shared" si="0"/>
        <v>Atenolol-0,01mg/L + Testostérone</v>
      </c>
      <c r="S22" s="3" t="str">
        <f t="shared" si="0"/>
        <v>Atenolol-0,1mg/L + Testostérone</v>
      </c>
      <c r="T22" s="3" t="str">
        <f t="shared" si="0"/>
        <v>Atenolol-1mg/L + Testostérone</v>
      </c>
      <c r="U22" s="3" t="str">
        <f t="shared" si="0"/>
        <v>Atenolol-10mg/L + Testostérone</v>
      </c>
      <c r="V22" s="3" t="str">
        <f t="shared" si="0"/>
        <v>Atenolol-100mg/L + Testostérone</v>
      </c>
    </row>
    <row r="23" spans="1:22" x14ac:dyDescent="0.25">
      <c r="A23" s="5" t="s">
        <v>0</v>
      </c>
      <c r="B23" s="5">
        <f t="shared" ref="B23:J23" si="1">AVERAGE(B5:B20)</f>
        <v>223210.89583333337</v>
      </c>
      <c r="C23" s="5">
        <f t="shared" si="1"/>
        <v>209317.41666666666</v>
      </c>
      <c r="D23" s="5">
        <f t="shared" si="1"/>
        <v>468515.26190476184</v>
      </c>
      <c r="E23" s="5">
        <f t="shared" si="1"/>
        <v>584786.22916666674</v>
      </c>
      <c r="F23" s="5">
        <f t="shared" si="1"/>
        <v>1530621.0952380951</v>
      </c>
      <c r="G23" s="5">
        <f t="shared" si="1"/>
        <v>3263102.2916666665</v>
      </c>
      <c r="H23" s="5">
        <f t="shared" si="1"/>
        <v>6639082.333333333</v>
      </c>
      <c r="I23" s="5">
        <f t="shared" si="1"/>
        <v>197833.1875</v>
      </c>
      <c r="J23" s="5">
        <f t="shared" si="1"/>
        <v>68420.714285714275</v>
      </c>
      <c r="K23" s="5"/>
      <c r="L23" s="5">
        <f>AVERAGE(L5:L20)</f>
        <v>376810.91666666663</v>
      </c>
      <c r="M23" s="5"/>
      <c r="N23" s="5" t="s">
        <v>0</v>
      </c>
      <c r="O23" s="5">
        <f>AVERAGE(O5:O20)</f>
        <v>2082293.6444444444</v>
      </c>
      <c r="P23" s="5">
        <f>AVERAGE(P5:P20)</f>
        <v>4042304.4761904762</v>
      </c>
      <c r="Q23" s="5">
        <f>AVERAGE(Q5:Q20)</f>
        <v>87949.666666666657</v>
      </c>
      <c r="R23" s="5">
        <f>AVERAGE(R5:R20)</f>
        <v>2257850.3541666665</v>
      </c>
      <c r="S23" s="5">
        <f>AVERAGE(S5:S20)</f>
        <v>2354237.5625000005</v>
      </c>
      <c r="T23" s="5">
        <f t="shared" ref="T23:V23" si="2">AVERAGE(T5:T20)</f>
        <v>3042398.5416666665</v>
      </c>
      <c r="U23" s="5">
        <f t="shared" si="2"/>
        <v>2436173.125</v>
      </c>
      <c r="V23" s="5">
        <f t="shared" si="2"/>
        <v>3263243.5476190476</v>
      </c>
    </row>
    <row r="24" spans="1:22" x14ac:dyDescent="0.25">
      <c r="A24" s="3" t="s">
        <v>1</v>
      </c>
      <c r="B24" s="3">
        <f t="shared" ref="B24:J24" si="3">STDEV(B5:B20)</f>
        <v>201373.19387287623</v>
      </c>
      <c r="C24" s="3">
        <f t="shared" si="3"/>
        <v>153171.56789886049</v>
      </c>
      <c r="D24" s="3">
        <f t="shared" si="3"/>
        <v>374391.65956267156</v>
      </c>
      <c r="E24" s="3">
        <f t="shared" si="3"/>
        <v>459781.41394230491</v>
      </c>
      <c r="F24" s="3">
        <f t="shared" si="3"/>
        <v>1314932.218867471</v>
      </c>
      <c r="G24" s="3">
        <f t="shared" si="3"/>
        <v>1215481.6748804625</v>
      </c>
      <c r="H24" s="3">
        <f t="shared" si="3"/>
        <v>1384390.4526600665</v>
      </c>
      <c r="I24" s="3">
        <f t="shared" si="3"/>
        <v>122691.95803393915</v>
      </c>
      <c r="J24" s="3">
        <f t="shared" si="3"/>
        <v>47295.837000040432</v>
      </c>
      <c r="K24" s="3"/>
      <c r="L24" s="3">
        <f>STDEV(L5:L20)</f>
        <v>193291.37765130991</v>
      </c>
      <c r="M24" s="3"/>
      <c r="N24" s="3" t="s">
        <v>1</v>
      </c>
      <c r="O24" s="3">
        <f>STDEV(O5:O20)</f>
        <v>1580490.9200150978</v>
      </c>
      <c r="P24" s="3">
        <f>STDEV(P5:P20)</f>
        <v>724770.42383412726</v>
      </c>
      <c r="Q24" s="3">
        <f>STDEV(Q5:Q20)</f>
        <v>112210.834549705</v>
      </c>
      <c r="R24" s="3">
        <f>STDEV(R5:R20)</f>
        <v>1085243.4730681062</v>
      </c>
      <c r="S24" s="3">
        <f>STDEV(S5:S20)</f>
        <v>1473157.1380309358</v>
      </c>
      <c r="T24" s="3">
        <f t="shared" ref="T24:V24" si="4">STDEV(T5:T20)</f>
        <v>1189831.7475820645</v>
      </c>
      <c r="U24" s="3">
        <f t="shared" si="4"/>
        <v>1017228.0178778606</v>
      </c>
      <c r="V24" s="3">
        <f t="shared" si="4"/>
        <v>1348931.4213853055</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Atenolol-0,01mg/L</v>
      </c>
      <c r="J27" s="35" t="str">
        <f t="shared" si="5"/>
        <v>Atenolol-0,1mg/L</v>
      </c>
      <c r="K27" s="35" t="str">
        <f t="shared" si="5"/>
        <v>Atenolol-1mg/L</v>
      </c>
      <c r="L27" s="35" t="str">
        <f t="shared" si="5"/>
        <v>Atenolol-10mg/L</v>
      </c>
      <c r="M27" s="35" t="str">
        <f t="shared" si="5"/>
        <v>Atenolol-100mg/L</v>
      </c>
      <c r="N27" s="3"/>
      <c r="O27" s="36" t="str">
        <f>O4</f>
        <v>Testo -30µg/L</v>
      </c>
      <c r="P27" s="36" t="str">
        <f t="shared" ref="P27:R27" si="6">P4</f>
        <v>Testo 30µg/L + EE2 -64ng/L</v>
      </c>
      <c r="Q27" s="36" t="str">
        <f t="shared" si="6"/>
        <v>Testo 30µg/L + FAD-10mg/L</v>
      </c>
      <c r="R27" s="36" t="str">
        <f t="shared" si="6"/>
        <v>Atenolol-0,01mg/L + Testostérone</v>
      </c>
      <c r="S27" s="36" t="str">
        <f t="shared" ref="S27:V27" si="7">S4</f>
        <v>Atenolol-0,1mg/L + Testostérone</v>
      </c>
      <c r="T27" s="36" t="str">
        <f t="shared" si="7"/>
        <v>Atenolol-1mg/L + Testostérone</v>
      </c>
      <c r="U27" s="36" t="str">
        <f t="shared" si="7"/>
        <v>Atenolol-10mg/L + Testostérone</v>
      </c>
      <c r="V27" s="36" t="str">
        <f t="shared" si="7"/>
        <v>Atenolol-100mg/L + Testostérone</v>
      </c>
    </row>
    <row r="28" spans="1:22" x14ac:dyDescent="0.25">
      <c r="A28" s="227" t="s">
        <v>34</v>
      </c>
      <c r="B28" s="11">
        <f t="shared" ref="B28:M28" si="8">IF(B5="","",(B5/$O$23))</f>
        <v>9.5005332474508292E-2</v>
      </c>
      <c r="C28" s="11">
        <f t="shared" si="8"/>
        <v>0.129563858930175</v>
      </c>
      <c r="D28" s="11">
        <f t="shared" si="8"/>
        <v>0.37368632841131788</v>
      </c>
      <c r="E28" s="11">
        <f t="shared" si="8"/>
        <v>0.50426701478990887</v>
      </c>
      <c r="F28" s="11">
        <f t="shared" si="8"/>
        <v>1.8198840543505796</v>
      </c>
      <c r="G28" s="11">
        <f t="shared" si="8"/>
        <v>2.7942843294574722</v>
      </c>
      <c r="H28" s="11">
        <f t="shared" si="8"/>
        <v>3.2057190162121865</v>
      </c>
      <c r="I28" s="11">
        <f t="shared" si="8"/>
        <v>0.15515567054082052</v>
      </c>
      <c r="J28" s="11">
        <f t="shared" si="8"/>
        <v>4.3058928587017299E-2</v>
      </c>
      <c r="K28" s="11">
        <f t="shared" si="8"/>
        <v>0.31107716326571255</v>
      </c>
      <c r="L28" s="11">
        <f t="shared" si="8"/>
        <v>0.10057691297547168</v>
      </c>
      <c r="M28" s="11">
        <f t="shared" si="8"/>
        <v>0.36998448100190034</v>
      </c>
      <c r="N28" s="6"/>
      <c r="O28" s="11">
        <f t="shared" ref="O28:S37" si="9">IF(O5="","",(O5/$O$23))</f>
        <v>1.6641399301415638</v>
      </c>
      <c r="P28" s="11">
        <f t="shared" si="9"/>
        <v>1.818122055023641</v>
      </c>
      <c r="Q28" s="11">
        <f t="shared" si="9"/>
        <v>1.7188898131071578E-2</v>
      </c>
      <c r="R28" s="11">
        <f t="shared" si="9"/>
        <v>0.45995073872279346</v>
      </c>
      <c r="S28" s="11">
        <f t="shared" si="9"/>
        <v>0.40805003764331926</v>
      </c>
      <c r="T28" s="11">
        <f t="shared" ref="T28:V43" si="10">IF(T5="","",(T5/$O$23))</f>
        <v>0.71261178938856884</v>
      </c>
      <c r="U28" s="11">
        <f t="shared" si="10"/>
        <v>0.62862819732095854</v>
      </c>
      <c r="V28" s="11">
        <f t="shared" si="10"/>
        <v>1.6993900017132817</v>
      </c>
    </row>
    <row r="29" spans="1:22" x14ac:dyDescent="0.25">
      <c r="A29" s="227"/>
      <c r="B29" s="11">
        <f t="shared" ref="B29:M29" si="11">IF(B6="","",(B6/$O$23))</f>
        <v>8.718046747041143E-2</v>
      </c>
      <c r="C29" s="11">
        <f t="shared" si="11"/>
        <v>0.24931802232525344</v>
      </c>
      <c r="D29" s="11">
        <f t="shared" si="11"/>
        <v>0.36098607033906011</v>
      </c>
      <c r="E29" s="11">
        <f t="shared" si="11"/>
        <v>0.62764282557052953</v>
      </c>
      <c r="F29" s="11">
        <f t="shared" si="11"/>
        <v>1.2280536609982238</v>
      </c>
      <c r="G29" s="11">
        <f t="shared" si="11"/>
        <v>1.4048311619279141</v>
      </c>
      <c r="H29" s="11">
        <f t="shared" si="11"/>
        <v>2.2396660268237971</v>
      </c>
      <c r="I29" s="11">
        <f t="shared" si="11"/>
        <v>3.3273885354668839E-2</v>
      </c>
      <c r="J29" s="11">
        <f t="shared" si="11"/>
        <v>5.317533718747363E-3</v>
      </c>
      <c r="K29" s="11">
        <f t="shared" si="11"/>
        <v>0.14818739301727687</v>
      </c>
      <c r="L29" s="11">
        <f t="shared" si="11"/>
        <v>0.21539309206619103</v>
      </c>
      <c r="M29" s="11">
        <f t="shared" si="11"/>
        <v>0.1095613966880581</v>
      </c>
      <c r="N29" s="6"/>
      <c r="O29" s="11">
        <f t="shared" si="9"/>
        <v>0.45145041663138685</v>
      </c>
      <c r="P29" s="11">
        <f t="shared" si="9"/>
        <v>2.3429626970959605</v>
      </c>
      <c r="Q29" s="11">
        <f t="shared" si="9"/>
        <v>2.2607282179243071E-2</v>
      </c>
      <c r="R29" s="11">
        <f t="shared" si="9"/>
        <v>0.98416458799374806</v>
      </c>
      <c r="S29" s="11">
        <f t="shared" si="9"/>
        <v>1.7603186481949276</v>
      </c>
      <c r="T29" s="11">
        <f t="shared" si="10"/>
        <v>1.7800496149470391</v>
      </c>
      <c r="U29" s="11">
        <f t="shared" si="10"/>
        <v>1.5376858631551316</v>
      </c>
      <c r="V29" s="11">
        <f t="shared" si="10"/>
        <v>0.8612589318441094</v>
      </c>
    </row>
    <row r="30" spans="1:22" x14ac:dyDescent="0.25">
      <c r="A30" s="227"/>
      <c r="B30" s="11">
        <f t="shared" ref="B30:M30" si="12">IF(B7="","",(B7/$O$23))</f>
        <v>0.18001943882095656</v>
      </c>
      <c r="C30" s="11">
        <f t="shared" si="12"/>
        <v>5.1765033374415521E-2</v>
      </c>
      <c r="D30" s="11">
        <f t="shared" si="12"/>
        <v>6.5601938691238482E-2</v>
      </c>
      <c r="E30" s="11">
        <f t="shared" si="12"/>
        <v>0.30689155443483507</v>
      </c>
      <c r="F30" s="11">
        <f t="shared" si="12"/>
        <v>6.1114979471248443E-2</v>
      </c>
      <c r="G30" s="11">
        <f t="shared" si="12"/>
        <v>2.0159851187174862</v>
      </c>
      <c r="H30" s="11">
        <f t="shared" si="12"/>
        <v>3.8019024619582416</v>
      </c>
      <c r="I30" s="11">
        <f t="shared" si="12"/>
        <v>0.19297710535307785</v>
      </c>
      <c r="J30" s="11" t="str">
        <f t="shared" si="12"/>
        <v/>
      </c>
      <c r="K30" s="11">
        <f t="shared" si="12"/>
        <v>8.1065255669885553E-2</v>
      </c>
      <c r="L30" s="11">
        <f t="shared" si="12"/>
        <v>0.10670573156647539</v>
      </c>
      <c r="M30" s="11">
        <f t="shared" si="12"/>
        <v>0.14512298372177501</v>
      </c>
      <c r="N30" s="6"/>
      <c r="O30" s="11">
        <f t="shared" si="9"/>
        <v>0.84551523494167447</v>
      </c>
      <c r="P30" s="11">
        <f t="shared" si="9"/>
        <v>1.7090378564816358</v>
      </c>
      <c r="Q30" s="11">
        <f t="shared" si="9"/>
        <v>5.9795280874784078E-2</v>
      </c>
      <c r="R30" s="11">
        <f t="shared" si="9"/>
        <v>2.0412285964918984</v>
      </c>
      <c r="S30" s="11">
        <f t="shared" si="9"/>
        <v>0.86092300419919432</v>
      </c>
      <c r="T30" s="11">
        <f t="shared" si="10"/>
        <v>1.764121345933769</v>
      </c>
      <c r="U30" s="11">
        <f t="shared" si="10"/>
        <v>1.3913823702994861</v>
      </c>
      <c r="V30" s="11">
        <f t="shared" si="10"/>
        <v>1.7296220490366532</v>
      </c>
    </row>
    <row r="31" spans="1:22" x14ac:dyDescent="0.25">
      <c r="A31" s="227"/>
      <c r="B31" s="11">
        <f t="shared" ref="B31:M31" si="13">IF(B8="","",(B8/$O$23))</f>
        <v>6.1964843596506732E-2</v>
      </c>
      <c r="C31" s="11">
        <f t="shared" si="13"/>
        <v>0.12480356330146797</v>
      </c>
      <c r="D31" s="11">
        <f t="shared" si="13"/>
        <v>0.12190611732912385</v>
      </c>
      <c r="E31" s="11">
        <f t="shared" si="13"/>
        <v>5.1068365701949135E-2</v>
      </c>
      <c r="F31" s="11">
        <f t="shared" si="13"/>
        <v>0.9522558639237283</v>
      </c>
      <c r="G31" s="11">
        <f t="shared" si="13"/>
        <v>1.1343892377053364</v>
      </c>
      <c r="H31" s="11">
        <f t="shared" si="13"/>
        <v>2.6203692970446029</v>
      </c>
      <c r="I31" s="11">
        <f t="shared" si="13"/>
        <v>2.903216852305621E-2</v>
      </c>
      <c r="J31" s="11">
        <f t="shared" si="13"/>
        <v>2.6347388681886623E-2</v>
      </c>
      <c r="K31" s="11">
        <f t="shared" si="13"/>
        <v>4.1711536169933297E-2</v>
      </c>
      <c r="L31" s="11">
        <f t="shared" si="13"/>
        <v>0.14111474340677363</v>
      </c>
      <c r="M31" s="11">
        <f t="shared" si="13"/>
        <v>1.9539351126205765E-2</v>
      </c>
      <c r="N31" s="6"/>
      <c r="O31" s="11">
        <f t="shared" si="9"/>
        <v>0.74567148785312742</v>
      </c>
      <c r="P31" s="11">
        <f t="shared" si="9"/>
        <v>1.9802248725427922</v>
      </c>
      <c r="Q31" s="11">
        <f t="shared" si="9"/>
        <v>1.3440227354421375E-2</v>
      </c>
      <c r="R31" s="11">
        <f t="shared" si="9"/>
        <v>0.87950643827435848</v>
      </c>
      <c r="S31" s="11">
        <f t="shared" si="9"/>
        <v>1.3182148159827261</v>
      </c>
      <c r="T31" s="11">
        <f t="shared" si="10"/>
        <v>1.5270020513917484</v>
      </c>
      <c r="U31" s="11">
        <f t="shared" si="10"/>
        <v>1.6108184400163692</v>
      </c>
      <c r="V31" s="11" t="str">
        <f t="shared" si="10"/>
        <v/>
      </c>
    </row>
    <row r="32" spans="1:22" x14ac:dyDescent="0.25">
      <c r="A32" s="227"/>
      <c r="B32" s="11">
        <f t="shared" ref="B32:M32" si="14">IF(B9="","",(B9/$O$23))</f>
        <v>4.1777729203610885E-2</v>
      </c>
      <c r="C32" s="11">
        <f t="shared" si="14"/>
        <v>0.10117945367380889</v>
      </c>
      <c r="D32" s="11">
        <f t="shared" si="14"/>
        <v>4.9445795957436423E-2</v>
      </c>
      <c r="E32" s="11">
        <f t="shared" si="14"/>
        <v>0.43849963353444843</v>
      </c>
      <c r="F32" s="11">
        <f t="shared" si="14"/>
        <v>0.18604052364735324</v>
      </c>
      <c r="G32" s="11">
        <f t="shared" si="14"/>
        <v>1.0474979545525516</v>
      </c>
      <c r="H32" s="11">
        <f t="shared" si="14"/>
        <v>4.1964758540726255</v>
      </c>
      <c r="I32" s="11">
        <f t="shared" si="14"/>
        <v>8.4049785101287994E-2</v>
      </c>
      <c r="J32" s="11">
        <f t="shared" si="14"/>
        <v>1.4166109606443168E-2</v>
      </c>
      <c r="K32" s="11">
        <f t="shared" si="14"/>
        <v>0.15930654203600744</v>
      </c>
      <c r="L32" s="11">
        <f t="shared" si="14"/>
        <v>6.2647264158943367E-2</v>
      </c>
      <c r="M32" s="11">
        <f t="shared" si="14"/>
        <v>5.7789319798571687E-2</v>
      </c>
      <c r="N32" s="6"/>
      <c r="O32" s="11">
        <f t="shared" si="9"/>
        <v>0.30668273022097192</v>
      </c>
      <c r="P32" s="11">
        <f t="shared" si="9"/>
        <v>2.4763988885162469</v>
      </c>
      <c r="Q32" s="11">
        <f t="shared" si="9"/>
        <v>1.6774451301104786E-2</v>
      </c>
      <c r="R32" s="11">
        <f t="shared" si="9"/>
        <v>0.62611054088283458</v>
      </c>
      <c r="S32" s="11">
        <f t="shared" si="9"/>
        <v>1.2832208722317677</v>
      </c>
      <c r="T32" s="11">
        <f t="shared" si="10"/>
        <v>1.4274558928149466</v>
      </c>
      <c r="U32" s="11">
        <f t="shared" si="10"/>
        <v>0.72195853388764231</v>
      </c>
      <c r="V32" s="11">
        <f t="shared" si="10"/>
        <v>2.3630871402127145</v>
      </c>
    </row>
    <row r="33" spans="1:22" x14ac:dyDescent="0.25">
      <c r="A33" s="227"/>
      <c r="B33" s="11">
        <f t="shared" ref="B33:M33" si="15">IF(B10="","",(B10/$O$23))</f>
        <v>1.7693790097744137E-2</v>
      </c>
      <c r="C33" s="11">
        <f t="shared" si="15"/>
        <v>9.7512503679969817E-2</v>
      </c>
      <c r="D33" s="11">
        <f t="shared" si="15"/>
        <v>0.49500751382978175</v>
      </c>
      <c r="E33" s="11">
        <f t="shared" si="15"/>
        <v>0.13107181147489774</v>
      </c>
      <c r="F33" s="11">
        <f t="shared" si="15"/>
        <v>0.3927625684216125</v>
      </c>
      <c r="G33" s="11">
        <f t="shared" si="15"/>
        <v>1.4930735993751505</v>
      </c>
      <c r="H33" s="11">
        <f t="shared" si="15"/>
        <v>3.2473887715313587</v>
      </c>
      <c r="I33" s="11">
        <f t="shared" si="15"/>
        <v>7.1555069605189842E-2</v>
      </c>
      <c r="J33" s="11">
        <f t="shared" si="15"/>
        <v>3.3705620812536911E-2</v>
      </c>
      <c r="K33" s="11">
        <f t="shared" si="15"/>
        <v>0.13624655393357157</v>
      </c>
      <c r="L33" s="11">
        <f t="shared" si="15"/>
        <v>0.28812362828877991</v>
      </c>
      <c r="M33" s="11">
        <f t="shared" si="15"/>
        <v>0.34662498342906362</v>
      </c>
      <c r="N33" s="6"/>
      <c r="O33" s="11">
        <f t="shared" si="9"/>
        <v>0.79679396055721208</v>
      </c>
      <c r="P33" s="11">
        <f t="shared" si="9"/>
        <v>1.5412830983577575</v>
      </c>
      <c r="Q33" s="11">
        <f t="shared" si="9"/>
        <v>1.7086206882935735E-2</v>
      </c>
      <c r="R33" s="11">
        <f t="shared" si="9"/>
        <v>0.8032677513068015</v>
      </c>
      <c r="S33" s="11">
        <f t="shared" si="9"/>
        <v>0.1522931219840549</v>
      </c>
      <c r="T33" s="11">
        <f t="shared" si="10"/>
        <v>0.50483113631513221</v>
      </c>
      <c r="U33" s="11">
        <f t="shared" si="10"/>
        <v>1.0764605683642825</v>
      </c>
      <c r="V33" s="11">
        <f t="shared" si="10"/>
        <v>0.66072493521940445</v>
      </c>
    </row>
    <row r="34" spans="1:22" x14ac:dyDescent="0.25">
      <c r="A34" s="227"/>
      <c r="B34" s="11">
        <f t="shared" ref="B34:M34" si="16">IF(B11="","",(B11/$O$23))</f>
        <v>5.9377312287281846E-2</v>
      </c>
      <c r="C34" s="11">
        <f t="shared" si="16"/>
        <v>4.1067214620834673E-2</v>
      </c>
      <c r="D34" s="11">
        <f t="shared" si="16"/>
        <v>0.10836351888634257</v>
      </c>
      <c r="E34" s="11">
        <f t="shared" si="16"/>
        <v>8.2750816850316364E-2</v>
      </c>
      <c r="F34" s="11">
        <f t="shared" si="16"/>
        <v>0.50534307179687565</v>
      </c>
      <c r="G34" s="11">
        <f t="shared" si="16"/>
        <v>1.136590096045158</v>
      </c>
      <c r="H34" s="11">
        <f t="shared" si="16"/>
        <v>3.0069332520440546</v>
      </c>
      <c r="I34" s="11">
        <f t="shared" si="16"/>
        <v>6.3507373397032038E-2</v>
      </c>
      <c r="J34" s="11">
        <f t="shared" si="16"/>
        <v>7.5740838515955269E-2</v>
      </c>
      <c r="K34" s="11">
        <f t="shared" si="16"/>
        <v>0.34676089125395421</v>
      </c>
      <c r="L34" s="11">
        <f t="shared" si="16"/>
        <v>0.31867599546798897</v>
      </c>
      <c r="M34" s="11">
        <f t="shared" si="16"/>
        <v>1.3441908193245112E-2</v>
      </c>
      <c r="N34" s="6"/>
      <c r="O34" s="11">
        <f t="shared" si="9"/>
        <v>1.6476512214404939</v>
      </c>
      <c r="P34" s="11">
        <f t="shared" si="9"/>
        <v>1.7208951338638181</v>
      </c>
      <c r="Q34" s="11">
        <f t="shared" si="9"/>
        <v>0.17040840242683669</v>
      </c>
      <c r="R34" s="11">
        <f t="shared" si="9"/>
        <v>1.4697000147721722</v>
      </c>
      <c r="S34" s="11">
        <f t="shared" si="9"/>
        <v>2.336605604584705</v>
      </c>
      <c r="T34" s="11">
        <f t="shared" si="10"/>
        <v>2.1597360577194289</v>
      </c>
      <c r="U34" s="11">
        <f t="shared" si="10"/>
        <v>1.8240280424105837</v>
      </c>
      <c r="V34" s="11">
        <f t="shared" si="10"/>
        <v>1.3894061040424932</v>
      </c>
    </row>
    <row r="35" spans="1:22" x14ac:dyDescent="0.25">
      <c r="A35" s="227"/>
      <c r="B35" s="11">
        <f t="shared" ref="B35:M35" si="17">IF(B12="","",(B12/$O$23))</f>
        <v>0.31453889084316788</v>
      </c>
      <c r="C35" s="11">
        <f t="shared" si="17"/>
        <v>8.970556762332613E-3</v>
      </c>
      <c r="D35" s="11" t="str">
        <f t="shared" si="17"/>
        <v/>
      </c>
      <c r="E35" s="11">
        <f t="shared" si="17"/>
        <v>0.10450831494424513</v>
      </c>
      <c r="F35" s="11" t="str">
        <f t="shared" si="17"/>
        <v/>
      </c>
      <c r="G35" s="11">
        <f t="shared" si="17"/>
        <v>1.5099176854275245</v>
      </c>
      <c r="H35" s="11" t="str">
        <f t="shared" si="17"/>
        <v/>
      </c>
      <c r="I35" s="11">
        <f t="shared" si="17"/>
        <v>0.13050768994967452</v>
      </c>
      <c r="J35" s="11">
        <f t="shared" si="17"/>
        <v>3.1671965915704876E-2</v>
      </c>
      <c r="K35" s="11">
        <f t="shared" si="17"/>
        <v>2.1705552170280949E-2</v>
      </c>
      <c r="L35" s="11">
        <f t="shared" si="17"/>
        <v>0.21443901593386114</v>
      </c>
      <c r="M35" s="11">
        <f t="shared" si="17"/>
        <v>3.9935449812852734E-2</v>
      </c>
      <c r="N35" s="6"/>
      <c r="O35" s="11" t="str">
        <f t="shared" si="9"/>
        <v/>
      </c>
      <c r="P35" s="11" t="str">
        <f t="shared" si="9"/>
        <v/>
      </c>
      <c r="Q35" s="11">
        <f t="shared" si="9"/>
        <v>2.0594597747735741E-2</v>
      </c>
      <c r="R35" s="11">
        <f t="shared" si="9"/>
        <v>1.4105456937688392</v>
      </c>
      <c r="S35" s="11">
        <f t="shared" si="9"/>
        <v>0.92515994168567162</v>
      </c>
      <c r="T35" s="11">
        <f t="shared" si="10"/>
        <v>1.8128357368830488</v>
      </c>
      <c r="U35" s="11">
        <f t="shared" si="10"/>
        <v>0.56861368703959292</v>
      </c>
      <c r="V35" s="11">
        <f t="shared" si="10"/>
        <v>2.2664837302165539</v>
      </c>
    </row>
    <row r="36" spans="1:22" x14ac:dyDescent="0.25">
      <c r="A36" s="227"/>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0.49523722846902563</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25">
      <c r="A37" s="227"/>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4.5932042416389263E-2</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25">
      <c r="A38" s="227"/>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0.44304061971663</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25">
      <c r="A39" s="227"/>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1.5239759011894727</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25">
      <c r="A40" s="227"/>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1.4956121462386551</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25">
      <c r="A41" s="227"/>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3.0363049500095056</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25">
      <c r="A42" s="227"/>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0.86827603373348539</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25">
      <c r="A43" s="227"/>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0.63371609644040594</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Atenolol-0,01mg/L</v>
      </c>
      <c r="J45" s="7" t="str">
        <f t="shared" si="27"/>
        <v>Atenolol-0,1mg/L</v>
      </c>
      <c r="K45" s="7" t="str">
        <f t="shared" ref="K45:M45" si="28">K4</f>
        <v>Atenolol-1mg/L</v>
      </c>
      <c r="L45" s="7" t="str">
        <f t="shared" si="28"/>
        <v>Atenolol-10mg/L</v>
      </c>
      <c r="M45" s="7" t="str">
        <f t="shared" si="28"/>
        <v>Atenolol-100mg/L</v>
      </c>
      <c r="N45" s="7"/>
      <c r="O45" s="7" t="str">
        <f t="shared" si="27"/>
        <v>Testo -30µg/L</v>
      </c>
      <c r="P45" s="7" t="str">
        <f t="shared" si="27"/>
        <v>Testo 30µg/L + EE2 -64ng/L</v>
      </c>
      <c r="Q45" s="7" t="str">
        <f t="shared" si="27"/>
        <v>Testo 30µg/L + FAD-10mg/L</v>
      </c>
      <c r="R45" s="7" t="str">
        <f t="shared" si="27"/>
        <v>Atenolol-0,01mg/L + Testostérone</v>
      </c>
      <c r="S45" s="7" t="str">
        <f t="shared" ref="S45:V45" si="29">S4</f>
        <v>Atenolol-0,1mg/L + Testostérone</v>
      </c>
      <c r="T45" s="7" t="str">
        <f t="shared" si="29"/>
        <v>Atenolol-1mg/L + Testostérone</v>
      </c>
      <c r="U45" s="7" t="str">
        <f t="shared" si="29"/>
        <v>Atenolol-10mg/L + Testostérone</v>
      </c>
      <c r="V45" s="7" t="str">
        <f t="shared" si="29"/>
        <v>Atenolol-100mg/L + Testostérone</v>
      </c>
    </row>
    <row r="46" spans="1:22" x14ac:dyDescent="0.25">
      <c r="A46" s="8" t="s">
        <v>0</v>
      </c>
      <c r="B46" s="10">
        <f t="shared" ref="B46:H46" si="30">AVERAGE(B28:B43)</f>
        <v>0.10719472559927347</v>
      </c>
      <c r="C46" s="10">
        <f t="shared" si="30"/>
        <v>0.10052252583353222</v>
      </c>
      <c r="D46" s="10">
        <f t="shared" si="30"/>
        <v>0.22499961192061443</v>
      </c>
      <c r="E46" s="10">
        <f t="shared" si="30"/>
        <v>0.28083754216264123</v>
      </c>
      <c r="F46" s="10">
        <f t="shared" si="30"/>
        <v>0.73506496037280311</v>
      </c>
      <c r="G46" s="10">
        <f t="shared" si="30"/>
        <v>1.5670711479010744</v>
      </c>
      <c r="H46" s="10">
        <f t="shared" si="30"/>
        <v>3.1883506685266951</v>
      </c>
      <c r="I46" s="10">
        <f>AVERAGE(I28:I43)</f>
        <v>9.5007343478100997E-2</v>
      </c>
      <c r="J46" s="9">
        <f>AVERAGE(J28:J43)</f>
        <v>3.2858340834041641E-2</v>
      </c>
      <c r="K46" s="9">
        <f t="shared" ref="K46:M46" si="31">AVERAGE(K28:K43)</f>
        <v>0.1557576109395778</v>
      </c>
      <c r="L46" s="9">
        <f t="shared" si="31"/>
        <v>0.18095954798306066</v>
      </c>
      <c r="M46" s="9">
        <f t="shared" si="31"/>
        <v>0.13774998422145907</v>
      </c>
      <c r="N46" s="8" t="s">
        <v>0</v>
      </c>
      <c r="O46" s="10">
        <f t="shared" ref="O46:R46" si="32">AVERAGE(O28:O43)</f>
        <v>0.99999999999999989</v>
      </c>
      <c r="P46" s="10">
        <f t="shared" si="32"/>
        <v>1.941274943125979</v>
      </c>
      <c r="Q46" s="10">
        <f t="shared" si="32"/>
        <v>4.2236918362266632E-2</v>
      </c>
      <c r="R46" s="10">
        <f t="shared" si="32"/>
        <v>1.0843092952766806</v>
      </c>
      <c r="S46" s="10">
        <f t="shared" ref="S46:V46" si="33">AVERAGE(S28:S43)</f>
        <v>1.1305982558132959</v>
      </c>
      <c r="T46" s="10">
        <f t="shared" si="33"/>
        <v>1.4610804531742101</v>
      </c>
      <c r="U46" s="10">
        <f t="shared" si="33"/>
        <v>1.1699469628117558</v>
      </c>
      <c r="V46" s="10">
        <f t="shared" si="33"/>
        <v>1.5671389846121728</v>
      </c>
    </row>
    <row r="47" spans="1:22" x14ac:dyDescent="0.25">
      <c r="A47" s="8" t="s">
        <v>1</v>
      </c>
      <c r="B47" s="8">
        <f t="shared" ref="B47:J47" si="34">STDEV(B28:B43)</f>
        <v>9.6707394948901432E-2</v>
      </c>
      <c r="C47" s="8">
        <f t="shared" si="34"/>
        <v>7.3559062290528526E-2</v>
      </c>
      <c r="D47" s="8">
        <f t="shared" si="34"/>
        <v>0.1797977247644911</v>
      </c>
      <c r="E47" s="8">
        <f t="shared" si="34"/>
        <v>0.22080527171035708</v>
      </c>
      <c r="F47" s="8">
        <f t="shared" si="34"/>
        <v>0.63148260687233404</v>
      </c>
      <c r="G47" s="8">
        <f t="shared" si="34"/>
        <v>0.58372251105090889</v>
      </c>
      <c r="H47" s="8">
        <f t="shared" si="34"/>
        <v>0.66483920572567412</v>
      </c>
      <c r="I47" s="8">
        <f t="shared" si="34"/>
        <v>5.8921544692450555E-2</v>
      </c>
      <c r="J47" s="8">
        <f t="shared" si="34"/>
        <v>2.2713336865924565E-2</v>
      </c>
      <c r="K47" s="8">
        <f t="shared" ref="K47:M47" si="35">STDEV(K28:K43)</f>
        <v>0.11808738317076735</v>
      </c>
      <c r="L47" s="8">
        <f t="shared" si="35"/>
        <v>9.2826186242757236E-2</v>
      </c>
      <c r="M47" s="8">
        <f t="shared" si="35"/>
        <v>0.14332691249464846</v>
      </c>
      <c r="N47" s="8" t="s">
        <v>1</v>
      </c>
      <c r="O47" s="8">
        <f t="shared" ref="O47:R47" si="36">STDEV(O28:O43)</f>
        <v>0.75901442826368182</v>
      </c>
      <c r="P47" s="8">
        <f t="shared" si="36"/>
        <v>0.34806350476447429</v>
      </c>
      <c r="Q47" s="8">
        <f t="shared" si="36"/>
        <v>5.3888093472831404E-2</v>
      </c>
      <c r="R47" s="8">
        <f t="shared" si="36"/>
        <v>0.52117696078242048</v>
      </c>
      <c r="S47" s="8">
        <f t="shared" ref="S47:V47" si="37">STDEV(S28:S43)</f>
        <v>0.70746848887586866</v>
      </c>
      <c r="T47" s="8">
        <f t="shared" si="37"/>
        <v>0.57140439858544112</v>
      </c>
      <c r="U47" s="8">
        <f t="shared" si="37"/>
        <v>0.48851324144018948</v>
      </c>
      <c r="V47" s="8">
        <f t="shared" si="37"/>
        <v>0.64781037246319861</v>
      </c>
    </row>
    <row r="48" spans="1:22" x14ac:dyDescent="0.25">
      <c r="A48" s="8" t="s">
        <v>2</v>
      </c>
      <c r="B48" s="8">
        <f t="shared" ref="B48:J48" si="38" xml:space="preserve"> B47/SQRT(COUNT(B28:B43))</f>
        <v>3.4191227379626939E-2</v>
      </c>
      <c r="C48" s="8">
        <f t="shared" si="38"/>
        <v>2.6007055881678186E-2</v>
      </c>
      <c r="D48" s="8">
        <f t="shared" si="38"/>
        <v>6.7957152288868963E-2</v>
      </c>
      <c r="E48" s="8">
        <f t="shared" si="38"/>
        <v>7.8066452474065809E-2</v>
      </c>
      <c r="F48" s="8">
        <f t="shared" si="38"/>
        <v>0.23867799072099474</v>
      </c>
      <c r="G48" s="8">
        <f t="shared" si="38"/>
        <v>0.20637707294766855</v>
      </c>
      <c r="H48" s="8">
        <f t="shared" si="38"/>
        <v>0.25128560002797762</v>
      </c>
      <c r="I48" s="8">
        <f t="shared" si="38"/>
        <v>2.0831911905009007E-2</v>
      </c>
      <c r="J48" s="8">
        <f t="shared" si="38"/>
        <v>8.5848343988102309E-3</v>
      </c>
      <c r="K48" s="8">
        <f t="shared" ref="K48:M48" si="39" xml:space="preserve"> K47/SQRT(COUNT(K28:K43))</f>
        <v>4.1750194706311888E-2</v>
      </c>
      <c r="L48" s="8">
        <f t="shared" si="39"/>
        <v>3.281901288196952E-2</v>
      </c>
      <c r="M48" s="8">
        <f t="shared" si="39"/>
        <v>5.0673715875748412E-2</v>
      </c>
      <c r="N48" s="8" t="s">
        <v>2</v>
      </c>
      <c r="O48" s="8">
        <f t="shared" ref="O48:R48" si="40" xml:space="preserve"> O47/SQRT(COUNT(O28:O43))</f>
        <v>0.1959766826797589</v>
      </c>
      <c r="P48" s="8">
        <f t="shared" si="40"/>
        <v>0.13155563915204918</v>
      </c>
      <c r="Q48" s="8">
        <f t="shared" si="40"/>
        <v>1.9052318159926807E-2</v>
      </c>
      <c r="R48" s="8">
        <f t="shared" si="40"/>
        <v>0.18426388158372242</v>
      </c>
      <c r="S48" s="8">
        <f t="shared" ref="S48:V48" si="41" xml:space="preserve"> S47/SQRT(COUNT(S28:S43))</f>
        <v>0.25012788297996313</v>
      </c>
      <c r="T48" s="8">
        <f t="shared" si="41"/>
        <v>0.20202196251979312</v>
      </c>
      <c r="U48" s="8">
        <f t="shared" si="41"/>
        <v>0.17271551286088954</v>
      </c>
      <c r="V48" s="8">
        <f t="shared" si="41"/>
        <v>0.24484930603796407</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75" thickBot="1" x14ac:dyDescent="0.3"/>
    <row r="52" spans="1:22" x14ac:dyDescent="0.2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Atenolol-0,01mg/L</v>
      </c>
      <c r="J52" s="46" t="str">
        <f>J4</f>
        <v>Atenolol-0,1mg/L</v>
      </c>
      <c r="K52" s="46" t="str">
        <f t="shared" ref="K52:M52" si="43">K4</f>
        <v>Atenolol-1mg/L</v>
      </c>
      <c r="L52" s="46" t="str">
        <f t="shared" si="43"/>
        <v>Atenolol-10mg/L</v>
      </c>
      <c r="M52" s="46" t="str">
        <f t="shared" si="43"/>
        <v>Atenolol-100mg/L</v>
      </c>
      <c r="N52" s="47"/>
      <c r="O52" s="46" t="str">
        <f>O27</f>
        <v>Testo -30µg/L</v>
      </c>
      <c r="P52" s="46" t="str">
        <f>P27</f>
        <v>Testo 30µg/L + EE2 -64ng/L</v>
      </c>
      <c r="Q52" s="46" t="str">
        <f>Q27</f>
        <v>Testo 30µg/L + FAD-10mg/L</v>
      </c>
      <c r="R52" s="46" t="str">
        <f>R27</f>
        <v>Atenolol-0,01mg/L + Testostérone</v>
      </c>
      <c r="S52" s="46" t="str">
        <f t="shared" ref="S52:V52" si="44">S27</f>
        <v>Atenolol-0,1mg/L + Testostérone</v>
      </c>
      <c r="T52" s="46" t="str">
        <f t="shared" si="44"/>
        <v>Atenolol-1mg/L + Testostérone</v>
      </c>
      <c r="U52" s="46" t="str">
        <f t="shared" si="44"/>
        <v>Atenolol-10mg/L + Testostérone</v>
      </c>
      <c r="V52" s="46" t="str">
        <f t="shared" si="44"/>
        <v>Atenolol-100mg/L + Testostérone</v>
      </c>
    </row>
    <row r="53" spans="1:22" s="3" customFormat="1" x14ac:dyDescent="0.25">
      <c r="A53" s="61" t="s">
        <v>32</v>
      </c>
      <c r="B53" s="142">
        <f t="shared" ref="B53" si="45">B46</f>
        <v>0.10719472559927347</v>
      </c>
      <c r="C53" s="142">
        <f t="shared" ref="C53:V53" si="46">C46</f>
        <v>0.10052252583353222</v>
      </c>
      <c r="D53" s="142">
        <f t="shared" si="46"/>
        <v>0.22499961192061443</v>
      </c>
      <c r="E53" s="142">
        <f t="shared" si="46"/>
        <v>0.28083754216264123</v>
      </c>
      <c r="F53" s="142">
        <f t="shared" si="46"/>
        <v>0.73506496037280311</v>
      </c>
      <c r="G53" s="142">
        <f t="shared" si="46"/>
        <v>1.5670711479010744</v>
      </c>
      <c r="H53" s="142">
        <f t="shared" si="46"/>
        <v>3.1883506685266951</v>
      </c>
      <c r="I53" s="142">
        <f t="shared" si="46"/>
        <v>9.5007343478100997E-2</v>
      </c>
      <c r="J53" s="142">
        <f t="shared" si="46"/>
        <v>3.2858340834041641E-2</v>
      </c>
      <c r="K53" s="142">
        <f t="shared" si="46"/>
        <v>0.1557576109395778</v>
      </c>
      <c r="L53" s="142">
        <f t="shared" si="46"/>
        <v>0.18095954798306066</v>
      </c>
      <c r="M53" s="142">
        <f t="shared" si="46"/>
        <v>0.13774998422145907</v>
      </c>
      <c r="N53" s="142"/>
      <c r="O53" s="142">
        <f t="shared" si="46"/>
        <v>0.99999999999999989</v>
      </c>
      <c r="P53" s="142">
        <f t="shared" si="46"/>
        <v>1.941274943125979</v>
      </c>
      <c r="Q53" s="142">
        <f t="shared" si="46"/>
        <v>4.2236918362266632E-2</v>
      </c>
      <c r="R53" s="142">
        <f t="shared" si="46"/>
        <v>1.0843092952766806</v>
      </c>
      <c r="S53" s="142">
        <f t="shared" si="46"/>
        <v>1.1305982558132959</v>
      </c>
      <c r="T53" s="142">
        <f t="shared" si="46"/>
        <v>1.4610804531742101</v>
      </c>
      <c r="U53" s="142">
        <f t="shared" si="46"/>
        <v>1.1699469628117558</v>
      </c>
      <c r="V53" s="142">
        <f t="shared" si="46"/>
        <v>1.5671389846121728</v>
      </c>
    </row>
    <row r="54" spans="1:22" s="3" customFormat="1" x14ac:dyDescent="0.25">
      <c r="A54" s="61" t="s">
        <v>2</v>
      </c>
      <c r="B54" s="142">
        <f t="shared" ref="B54" si="47">B48</f>
        <v>3.4191227379626939E-2</v>
      </c>
      <c r="C54" s="142">
        <f t="shared" ref="C54:V54" si="48">C48</f>
        <v>2.6007055881678186E-2</v>
      </c>
      <c r="D54" s="142">
        <f t="shared" si="48"/>
        <v>6.7957152288868963E-2</v>
      </c>
      <c r="E54" s="142">
        <f t="shared" si="48"/>
        <v>7.8066452474065809E-2</v>
      </c>
      <c r="F54" s="142">
        <f t="shared" si="48"/>
        <v>0.23867799072099474</v>
      </c>
      <c r="G54" s="142">
        <f t="shared" si="48"/>
        <v>0.20637707294766855</v>
      </c>
      <c r="H54" s="142">
        <f t="shared" si="48"/>
        <v>0.25128560002797762</v>
      </c>
      <c r="I54" s="142">
        <f t="shared" si="48"/>
        <v>2.0831911905009007E-2</v>
      </c>
      <c r="J54" s="142">
        <f t="shared" si="48"/>
        <v>8.5848343988102309E-3</v>
      </c>
      <c r="K54" s="142">
        <f t="shared" si="48"/>
        <v>4.1750194706311888E-2</v>
      </c>
      <c r="L54" s="142">
        <f t="shared" si="48"/>
        <v>3.281901288196952E-2</v>
      </c>
      <c r="M54" s="142">
        <f t="shared" si="48"/>
        <v>5.0673715875748412E-2</v>
      </c>
      <c r="N54" s="142"/>
      <c r="O54" s="142">
        <f t="shared" si="48"/>
        <v>0.1959766826797589</v>
      </c>
      <c r="P54" s="142">
        <f t="shared" si="48"/>
        <v>0.13155563915204918</v>
      </c>
      <c r="Q54" s="142">
        <f t="shared" si="48"/>
        <v>1.9052318159926807E-2</v>
      </c>
      <c r="R54" s="142">
        <f t="shared" si="48"/>
        <v>0.18426388158372242</v>
      </c>
      <c r="S54" s="142">
        <f t="shared" si="48"/>
        <v>0.25012788297996313</v>
      </c>
      <c r="T54" s="142">
        <f t="shared" si="48"/>
        <v>0.20202196251979312</v>
      </c>
      <c r="U54" s="142">
        <f t="shared" si="48"/>
        <v>0.17271551286088954</v>
      </c>
      <c r="V54" s="142">
        <f t="shared" si="48"/>
        <v>0.24484930603796407</v>
      </c>
    </row>
    <row r="55" spans="1:22" s="3" customFormat="1" x14ac:dyDescent="0.25">
      <c r="A55" s="61" t="s">
        <v>79</v>
      </c>
      <c r="B55" s="142">
        <f>(B53*100/$B53)-100</f>
        <v>0</v>
      </c>
      <c r="C55" s="142">
        <f t="shared" ref="C55:V55" si="49">(C53*100/$B53)-100</f>
        <v>-6.2243731941476028</v>
      </c>
      <c r="D55" s="142">
        <f t="shared" si="49"/>
        <v>109.89802498467279</v>
      </c>
      <c r="E55" s="142">
        <f t="shared" si="49"/>
        <v>161.98820939427327</v>
      </c>
      <c r="F55" s="142">
        <f t="shared" si="49"/>
        <v>585.72866459931981</v>
      </c>
      <c r="G55" s="142">
        <f t="shared" si="49"/>
        <v>1361.8920279335975</v>
      </c>
      <c r="H55" s="142">
        <f t="shared" si="49"/>
        <v>2874.354055856928</v>
      </c>
      <c r="I55" s="142">
        <f t="shared" si="49"/>
        <v>-11.369385996408639</v>
      </c>
      <c r="J55" s="142">
        <f t="shared" si="49"/>
        <v>-69.347054483934102</v>
      </c>
      <c r="K55" s="142">
        <f t="shared" si="49"/>
        <v>45.303428008060024</v>
      </c>
      <c r="L55" s="142">
        <f t="shared" si="49"/>
        <v>68.813854386401971</v>
      </c>
      <c r="M55" s="142">
        <f t="shared" si="49"/>
        <v>28.50444222079588</v>
      </c>
      <c r="N55" s="142"/>
      <c r="O55" s="142">
        <f t="shared" si="49"/>
        <v>832.8817200748332</v>
      </c>
      <c r="P55" s="142">
        <f t="shared" si="49"/>
        <v>1710.9799080815374</v>
      </c>
      <c r="Q55" s="142">
        <f t="shared" si="49"/>
        <v>-60.597950947548391</v>
      </c>
      <c r="R55" s="142">
        <f t="shared" si="49"/>
        <v>911.5323204708402</v>
      </c>
      <c r="S55" s="142">
        <f t="shared" si="49"/>
        <v>954.71444559671386</v>
      </c>
      <c r="T55" s="142">
        <f t="shared" si="49"/>
        <v>1263.0152463248742</v>
      </c>
      <c r="U55" s="142">
        <f t="shared" si="49"/>
        <v>991.42213506415783</v>
      </c>
      <c r="V55" s="142">
        <f t="shared" si="49"/>
        <v>1361.9553115613314</v>
      </c>
    </row>
    <row r="56" spans="1:22" s="3" customFormat="1" x14ac:dyDescent="0.25">
      <c r="A56" s="61" t="s">
        <v>81</v>
      </c>
      <c r="B56" s="142">
        <f>[2]!SWTEST(B28:B43)</f>
        <v>4.1415404227061248E-2</v>
      </c>
      <c r="C56" s="142">
        <f>[2]!SWTEST(C28:C43)</f>
        <v>0.4095442943720573</v>
      </c>
      <c r="D56" s="142">
        <f>[2]!SWTEST(D28:D43)</f>
        <v>0.12956521501212692</v>
      </c>
      <c r="E56" s="142">
        <f>[2]!SWTEST(E28:E43)</f>
        <v>0.2256854722598246</v>
      </c>
      <c r="F56" s="142">
        <f>[2]!SWTEST(F28:F43)</f>
        <v>0.53953048310333585</v>
      </c>
      <c r="G56" s="142">
        <f>[2]!SWTEST(G28:G43)</f>
        <v>5.7908523563530823E-2</v>
      </c>
      <c r="H56" s="142">
        <f>[2]!SWTEST(H28:H43)</f>
        <v>0.95415923480995113</v>
      </c>
      <c r="I56" s="142">
        <f>[2]!SWTEST(I28:I43)</f>
        <v>0.49932736750363027</v>
      </c>
      <c r="J56" s="142">
        <f>[2]!SWTEST(J28:J43)</f>
        <v>0.55719195010718248</v>
      </c>
      <c r="K56" s="142">
        <f>[2]!SWTEST(K28:K43)</f>
        <v>0.28382148311101729</v>
      </c>
      <c r="L56" s="142">
        <f>[2]!SWTEST(L28:L43)</f>
        <v>0.5573682067790906</v>
      </c>
      <c r="M56" s="142">
        <f>[2]!SWTEST(M28:M43)</f>
        <v>3.3519550402030029E-2</v>
      </c>
      <c r="N56" s="142" t="e">
        <f>[2]!SWTEST(N28:N43)</f>
        <v>#VALUE!</v>
      </c>
      <c r="O56" s="142">
        <f>[2]!SWTEST(O28:O43)</f>
        <v>3.5427551976502047E-2</v>
      </c>
      <c r="P56" s="142">
        <f>[2]!SWTEST(P28:P43)</f>
        <v>0.36666883907551595</v>
      </c>
      <c r="Q56" s="142">
        <f>[2]!SWTEST(Q28:Q43)</f>
        <v>1.2976433104694429E-4</v>
      </c>
      <c r="R56" s="142">
        <f>[2]!SWTEST(R28:R43)</f>
        <v>0.5966628355857001</v>
      </c>
      <c r="S56" s="142">
        <f>[2]!SWTEST(S28:S43)</f>
        <v>0.94361486874259926</v>
      </c>
      <c r="T56" s="142">
        <f>[2]!SWTEST(T28:T43)</f>
        <v>0.22321268456012955</v>
      </c>
      <c r="U56" s="142">
        <f>[2]!SWTEST(U28:U43)</f>
        <v>0.33326171277483008</v>
      </c>
      <c r="V56" s="142">
        <f>[2]!SWTEST(V28:V43)</f>
        <v>0.59645432603766724</v>
      </c>
    </row>
    <row r="57" spans="1:22" s="3" customFormat="1" x14ac:dyDescent="0.25">
      <c r="A57" s="61" t="s">
        <v>85</v>
      </c>
      <c r="B57" s="142" t="str">
        <f>IF(B56&gt;0.05,"Oui","Non")</f>
        <v>Non</v>
      </c>
      <c r="C57" s="142" t="str">
        <f t="shared" ref="C57:V57" si="50">IF(C56&gt;0.05,"Oui","Non")</f>
        <v>Oui</v>
      </c>
      <c r="D57" s="142" t="str">
        <f t="shared" si="50"/>
        <v>Oui</v>
      </c>
      <c r="E57" s="142" t="str">
        <f t="shared" si="50"/>
        <v>Oui</v>
      </c>
      <c r="F57" s="142" t="str">
        <f t="shared" si="50"/>
        <v>Oui</v>
      </c>
      <c r="G57" s="142" t="str">
        <f t="shared" si="50"/>
        <v>Oui</v>
      </c>
      <c r="H57" s="142" t="str">
        <f t="shared" si="50"/>
        <v>Oui</v>
      </c>
      <c r="I57" s="142" t="str">
        <f t="shared" si="50"/>
        <v>Oui</v>
      </c>
      <c r="J57" s="142" t="str">
        <f t="shared" si="50"/>
        <v>Oui</v>
      </c>
      <c r="K57" s="142" t="str">
        <f t="shared" si="50"/>
        <v>Oui</v>
      </c>
      <c r="L57" s="142" t="str">
        <f t="shared" si="50"/>
        <v>Oui</v>
      </c>
      <c r="M57" s="142" t="str">
        <f t="shared" si="50"/>
        <v>Non</v>
      </c>
      <c r="N57" s="142"/>
      <c r="O57" s="142" t="str">
        <f t="shared" si="50"/>
        <v>Non</v>
      </c>
      <c r="P57" s="142" t="str">
        <f t="shared" si="50"/>
        <v>Oui</v>
      </c>
      <c r="Q57" s="142" t="str">
        <f t="shared" si="50"/>
        <v>Non</v>
      </c>
      <c r="R57" s="142" t="str">
        <f t="shared" si="50"/>
        <v>Oui</v>
      </c>
      <c r="S57" s="142" t="str">
        <f t="shared" si="50"/>
        <v>Oui</v>
      </c>
      <c r="T57" s="142" t="str">
        <f t="shared" si="50"/>
        <v>Oui</v>
      </c>
      <c r="U57" s="142" t="str">
        <f t="shared" si="50"/>
        <v>Oui</v>
      </c>
      <c r="V57" s="142" t="str">
        <f t="shared" si="50"/>
        <v>Oui</v>
      </c>
    </row>
    <row r="58" spans="1:22" s="3" customFormat="1" x14ac:dyDescent="0.2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25">
      <c r="A59" s="61" t="s">
        <v>82</v>
      </c>
      <c r="B59" s="151"/>
      <c r="C59" s="151" t="str">
        <f t="shared" ref="C59:O59" si="51">IF($B57="Non",IF(C57="Non","MW",IF(C57="Oui","MW","")),IF($B57="Oui",IF(C57="Oui","T-Test Welch",IF(C57="Non","MW",""))))</f>
        <v>MW</v>
      </c>
      <c r="D59" s="151" t="str">
        <f t="shared" si="51"/>
        <v>MW</v>
      </c>
      <c r="E59" s="151" t="str">
        <f t="shared" si="51"/>
        <v>MW</v>
      </c>
      <c r="F59" s="151" t="str">
        <f t="shared" si="51"/>
        <v>MW</v>
      </c>
      <c r="G59" s="151" t="str">
        <f t="shared" si="51"/>
        <v>MW</v>
      </c>
      <c r="H59" s="151" t="str">
        <f t="shared" si="51"/>
        <v>MW</v>
      </c>
      <c r="I59" s="151" t="str">
        <f t="shared" si="51"/>
        <v>MW</v>
      </c>
      <c r="J59" s="151" t="str">
        <f t="shared" si="51"/>
        <v>MW</v>
      </c>
      <c r="K59" s="151" t="str">
        <f t="shared" si="51"/>
        <v>MW</v>
      </c>
      <c r="L59" s="151" t="str">
        <f t="shared" si="51"/>
        <v>MW</v>
      </c>
      <c r="M59" s="151" t="str">
        <f t="shared" si="51"/>
        <v>MW</v>
      </c>
      <c r="N59" s="151"/>
      <c r="O59" s="151" t="str">
        <f t="shared" si="51"/>
        <v>MW</v>
      </c>
      <c r="P59" s="151" t="str">
        <f t="shared" ref="P59:V59" si="52">IF($O57="Non",IF(P57="Non","MW",IF(P57="Oui","MW","")),IF($O57="Oui",IF(P57="Oui","T-Test Welch",IF(P57="Non","MW",""))))</f>
        <v>MW</v>
      </c>
      <c r="Q59" s="151" t="str">
        <f t="shared" si="52"/>
        <v>MW</v>
      </c>
      <c r="R59" s="151" t="str">
        <f t="shared" si="52"/>
        <v>MW</v>
      </c>
      <c r="S59" s="151" t="str">
        <f t="shared" si="52"/>
        <v>MW</v>
      </c>
      <c r="T59" s="151" t="str">
        <f t="shared" si="52"/>
        <v>MW</v>
      </c>
      <c r="U59" s="151" t="str">
        <f t="shared" si="52"/>
        <v>MW</v>
      </c>
      <c r="V59" s="151" t="str">
        <f t="shared" si="52"/>
        <v>MW</v>
      </c>
    </row>
    <row r="60" spans="1:22" s="3" customFormat="1" x14ac:dyDescent="0.25">
      <c r="A60" s="61" t="s">
        <v>83</v>
      </c>
      <c r="B60" s="152"/>
      <c r="C60" s="152">
        <f>IF(C59="MW",[2]!MTEST($B28:$B43,C28:C43,2), IF(C59="T-Test Welch",_xlfn.T.TEST($B28:$B43,C28:C43,2,3),""))</f>
        <v>0.83363488302468225</v>
      </c>
      <c r="D60" s="152">
        <f>IF(D59="MW",[2]!MTEST($B28:$B43,D28:D43,2), IF(D59="T-Test Welch",_xlfn.T.TEST($B28:$B43,D28:D43,2,3),""))</f>
        <v>0.10519250512004152</v>
      </c>
      <c r="E60" s="152">
        <f>IF(E59="MW",[2]!MTEST($B28:$B43,E28:E43,2), IF(E59="T-Test Welch",_xlfn.T.TEST($B28:$B43,E28:E43,2,3),""))</f>
        <v>7.4203411329755165E-2</v>
      </c>
      <c r="F60" s="152">
        <f>IF(F59="MW",[2]!MTEST($B28:$B43,F28:F43,2), IF(F59="T-Test Welch",_xlfn.T.TEST($B28:$B43,F28:F43,2,3),""))</f>
        <v>1.0896354195387481E-2</v>
      </c>
      <c r="G60" s="152">
        <f>IF(G59="MW",[2]!MTEST($B28:$B43,G28:G43,2), IF(G59="T-Test Welch",_xlfn.T.TEST($B28:$B43,G28:G43,2,3),""))</f>
        <v>7.7753044694039986E-4</v>
      </c>
      <c r="H60" s="152">
        <f>IF(H59="MW",[2]!MTEST($B28:$B43,H28:H43,2), IF(H59="T-Test Welch",_xlfn.T.TEST($B28:$B43,H28:H43,2,3),""))</f>
        <v>1.1937454448720519E-3</v>
      </c>
      <c r="I60" s="152">
        <f>IF(I59="MW",[2]!MTEST($B28:$B43,I28:I43,2), IF(I59="T-Test Welch",_xlfn.T.TEST($B28:$B43,I28:I43,2,3),""))</f>
        <v>0.91635914027348853</v>
      </c>
      <c r="J60" s="152">
        <f>IF(J59="MW",[2]!MTEST($B28:$B43,J28:J43,2), IF(J59="T-Test Welch",_xlfn.T.TEST($B28:$B43,J28:J43,2,3),""))</f>
        <v>2.7890529120246477E-2</v>
      </c>
      <c r="K60" s="152">
        <f>IF(K59="MW",[2]!MTEST($B28:$B43,K28:K43,2), IF(K59="T-Test Welch",_xlfn.T.TEST($B28:$B43,K28:K43,2,3),""))</f>
        <v>0.46224994612554271</v>
      </c>
      <c r="L60" s="152">
        <f>IF(L59="MW",[2]!MTEST($B28:$B43,L28:L43,2), IF(L59="T-Test Welch",_xlfn.T.TEST($B28:$B43,L28:L43,2,3),""))</f>
        <v>4.599936687503714E-2</v>
      </c>
      <c r="M60" s="152">
        <f>IF(M59="MW",[2]!MTEST($B28:$B43,M28:M43,2), IF(M59="T-Test Welch",_xlfn.T.TEST($B28:$B43,M28:M43,2,3),""))</f>
        <v>1</v>
      </c>
      <c r="N60" s="152" t="str">
        <f>IF(N59="MW",[2]!MTEST($B28:$B43,N28:N43,2), IF(N59="T-Test Welch",_xlfn.T.TEST($B28:$B43,N28:N43,2,3),""))</f>
        <v/>
      </c>
      <c r="O60" s="152">
        <f>IF(O59="MW",[2]!MTEST($B28:$B43,O28:O43,2), IF(O59="T-Test Welch",_xlfn.T.TEST($B28:$B43,O28:O43,2,3),""))</f>
        <v>6.2360302663622136E-4</v>
      </c>
      <c r="P60" s="152">
        <f>IF(P59="MW",[2]!MTEST($B28:$B43,P28:P43,2), IF(P59="T-Test Welch",_xlfn.T.TEST($B28:$B43,P28:P43,2,3),""))</f>
        <v>1.1937454448720519E-3</v>
      </c>
      <c r="Q60" s="152">
        <f>IF(Q59="MW",[2]!MTEST($B28:$B43,Q28:Q43,2), IF(Q59="T-Test Welch",_xlfn.T.TEST($B28:$B43,Q28:Q43,2,3),""))</f>
        <v>2.7423154381354564E-2</v>
      </c>
      <c r="R60" s="152">
        <f>IF(R59="MW",[2]!MTEST($B28:$B43,R28:R43,2), IF(R59="T-Test Welch",_xlfn.T.TEST($B28:$B43,R28:R43,2,3),""))</f>
        <v>7.7753044694039986E-4</v>
      </c>
      <c r="S60" s="152">
        <f>IF(S59="MW",[2]!MTEST($B28:$B43,S28:S43,2), IF(S59="T-Test Welch",_xlfn.T.TEST($B28:$B43,S28:S43,2,3),""))</f>
        <v>1.6291862969701754E-3</v>
      </c>
      <c r="T60" s="152">
        <f>IF(T59="MW",[2]!MTEST($B28:$B43,T28:T43,2), IF(T59="T-Test Welch",_xlfn.T.TEST($B28:$B43,T28:T43,2,3),""))</f>
        <v>7.7753044694039986E-4</v>
      </c>
      <c r="U60" s="152">
        <f>IF(U59="MW",[2]!MTEST($B28:$B43,U28:U43,2), IF(U59="T-Test Welch",_xlfn.T.TEST($B28:$B43,U28:U43,2,3),""))</f>
        <v>7.7753044694039986E-4</v>
      </c>
      <c r="V60" s="152">
        <f>IF(V59="MW",[2]!MTEST($B28:$B43,V28:V43,2), IF(V59="T-Test Welch",_xlfn.T.TEST($B28:$B43,V28:V43,2,3),""))</f>
        <v>1.1937454448720519E-3</v>
      </c>
    </row>
    <row r="61" spans="1:22" s="3" customFormat="1" ht="15.75" thickBot="1" x14ac:dyDescent="0.3">
      <c r="A61" s="62" t="s">
        <v>84</v>
      </c>
      <c r="B61" s="143"/>
      <c r="C61" s="143" t="str">
        <f t="shared" ref="C61:O61" si="53">IF(C60&gt;0.05,"NS",IF(C60&gt;0.01,"*",IF(C60&gt;0.001,"**","***")))</f>
        <v>NS</v>
      </c>
      <c r="D61" s="143" t="str">
        <f t="shared" si="53"/>
        <v>NS</v>
      </c>
      <c r="E61" s="143" t="str">
        <f t="shared" si="53"/>
        <v>NS</v>
      </c>
      <c r="F61" s="143" t="str">
        <f t="shared" si="53"/>
        <v>*</v>
      </c>
      <c r="G61" s="143" t="str">
        <f t="shared" si="53"/>
        <v>***</v>
      </c>
      <c r="H61" s="143" t="str">
        <f t="shared" si="53"/>
        <v>**</v>
      </c>
      <c r="I61" s="143" t="str">
        <f t="shared" si="53"/>
        <v>NS</v>
      </c>
      <c r="J61" s="143" t="str">
        <f t="shared" si="53"/>
        <v>*</v>
      </c>
      <c r="K61" s="143" t="str">
        <f t="shared" si="53"/>
        <v>NS</v>
      </c>
      <c r="L61" s="143" t="str">
        <f t="shared" si="53"/>
        <v>*</v>
      </c>
      <c r="M61" s="143" t="str">
        <f t="shared" si="53"/>
        <v>NS</v>
      </c>
      <c r="N61" s="143"/>
      <c r="O61" s="143" t="str">
        <f t="shared" si="53"/>
        <v>***</v>
      </c>
      <c r="P61" s="143" t="str">
        <f>IF(P60&gt;0.05,"NS",IF(P60&gt;0.01,"*",IF(P60&gt;0.001,"**","***")))</f>
        <v>**</v>
      </c>
      <c r="Q61" s="143" t="str">
        <f t="shared" ref="Q61:V61" si="54">IF(Q60&gt;0.05,"NS",IF(Q60&gt;0.01,"*",IF(Q60&gt;0.001,"**","***")))</f>
        <v>*</v>
      </c>
      <c r="R61" s="143" t="str">
        <f t="shared" si="54"/>
        <v>***</v>
      </c>
      <c r="S61" s="143" t="str">
        <f t="shared" si="54"/>
        <v>**</v>
      </c>
      <c r="T61" s="143" t="str">
        <f t="shared" si="54"/>
        <v>***</v>
      </c>
      <c r="U61" s="143" t="str">
        <f t="shared" si="54"/>
        <v>***</v>
      </c>
      <c r="V61" s="143" t="str">
        <f t="shared" si="54"/>
        <v>**</v>
      </c>
    </row>
    <row r="63" spans="1:22" x14ac:dyDescent="0.25">
      <c r="A63" s="2" t="s">
        <v>39</v>
      </c>
    </row>
    <row r="64" spans="1:22" x14ac:dyDescent="0.25">
      <c r="A64" s="1" t="s">
        <v>23</v>
      </c>
      <c r="B64" s="1">
        <f>B46+(3*B47)</f>
        <v>0.39731691044597772</v>
      </c>
    </row>
    <row r="65" spans="1:22" x14ac:dyDescent="0.25">
      <c r="A65" s="1" t="s">
        <v>24</v>
      </c>
      <c r="B65" s="1">
        <f>B46+(10*B47)</f>
        <v>1.0742686750882879</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2"/>
      <c r="C73" s="12"/>
      <c r="D73" s="12"/>
      <c r="E73" s="12"/>
      <c r="F73" s="12"/>
      <c r="N73" s="12"/>
      <c r="O73" s="12"/>
      <c r="P73" s="12"/>
      <c r="Q73" s="12"/>
      <c r="R73" s="12"/>
      <c r="S73" s="12"/>
      <c r="T73" s="12"/>
      <c r="U73" s="12"/>
      <c r="V73" s="12"/>
    </row>
    <row r="74" spans="1:22" ht="16.5" x14ac:dyDescent="0.2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Q1" zoomScale="80" zoomScaleNormal="80" workbookViewId="0">
      <selection activeCell="Y5" sqref="Y5:Y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106</v>
      </c>
      <c r="B1" s="1" t="s">
        <v>107</v>
      </c>
      <c r="C1" s="1" t="s">
        <v>108</v>
      </c>
      <c r="D1" s="1" t="s">
        <v>109</v>
      </c>
      <c r="E1" s="1" t="s">
        <v>110</v>
      </c>
      <c r="F1" s="1" t="s">
        <v>111</v>
      </c>
      <c r="G1" s="1" t="s">
        <v>112</v>
      </c>
      <c r="H1" s="1" t="s">
        <v>116</v>
      </c>
      <c r="I1" s="1" t="s">
        <v>117</v>
      </c>
      <c r="K1" s="119" t="s">
        <v>111</v>
      </c>
      <c r="L1" s="1" t="s">
        <v>118</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1679</v>
      </c>
      <c r="D2" s="1" t="s">
        <v>1680</v>
      </c>
      <c r="E2" s="1" t="s">
        <v>1681</v>
      </c>
      <c r="F2" s="1" t="s">
        <v>111</v>
      </c>
      <c r="G2" s="1">
        <v>53449</v>
      </c>
      <c r="K2" s="156" t="s">
        <v>119</v>
      </c>
      <c r="L2" s="156" t="s">
        <v>120</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1682</v>
      </c>
      <c r="D3" s="1" t="s">
        <v>1683</v>
      </c>
      <c r="E3" s="1" t="s">
        <v>1684</v>
      </c>
      <c r="F3" s="1" t="s">
        <v>111</v>
      </c>
      <c r="G3" s="1">
        <v>108399</v>
      </c>
      <c r="K3" s="119" t="s">
        <v>152</v>
      </c>
      <c r="L3" s="119" t="s">
        <v>113</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1685</v>
      </c>
      <c r="D4" s="1" t="s">
        <v>1686</v>
      </c>
      <c r="E4" s="1" t="s">
        <v>1687</v>
      </c>
      <c r="F4" s="1" t="s">
        <v>111</v>
      </c>
      <c r="G4" s="1">
        <v>38874</v>
      </c>
      <c r="K4" s="119" t="s">
        <v>100</v>
      </c>
      <c r="L4" s="1" t="s">
        <v>1638</v>
      </c>
      <c r="M4" s="1" t="s">
        <v>1639</v>
      </c>
      <c r="N4" s="1" t="s">
        <v>1640</v>
      </c>
      <c r="O4" s="1" t="s">
        <v>1641</v>
      </c>
      <c r="P4" s="1" t="s">
        <v>1642</v>
      </c>
      <c r="Q4" s="1" t="s">
        <v>1643</v>
      </c>
      <c r="R4" s="1" t="s">
        <v>1644</v>
      </c>
      <c r="S4" s="1" t="s">
        <v>1645</v>
      </c>
      <c r="T4" s="1" t="s">
        <v>1646</v>
      </c>
      <c r="U4" s="1" t="s">
        <v>1647</v>
      </c>
      <c r="V4" s="1" t="s">
        <v>1648</v>
      </c>
      <c r="W4" s="1" t="s">
        <v>1674</v>
      </c>
      <c r="X4" s="1" t="s">
        <v>3067</v>
      </c>
      <c r="Y4" s="1" t="s">
        <v>3068</v>
      </c>
      <c r="Z4" s="1" t="s">
        <v>3069</v>
      </c>
      <c r="AA4" s="1" t="s">
        <v>3070</v>
      </c>
      <c r="AB4" s="1" t="s">
        <v>1675</v>
      </c>
      <c r="AC4" s="1" t="s">
        <v>1676</v>
      </c>
      <c r="AD4" s="1" t="s">
        <v>1677</v>
      </c>
      <c r="AE4" s="1" t="s">
        <v>1678</v>
      </c>
      <c r="AF4" s="1" t="s">
        <v>3071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1688</v>
      </c>
      <c r="D5" s="1" t="s">
        <v>1689</v>
      </c>
      <c r="E5" s="1" t="s">
        <v>1690</v>
      </c>
      <c r="F5" s="1" t="s">
        <v>111</v>
      </c>
      <c r="G5" s="1">
        <v>247797</v>
      </c>
      <c r="K5" s="146" t="s">
        <v>162</v>
      </c>
      <c r="L5" s="44">
        <v>66907.333333333328</v>
      </c>
      <c r="M5" s="44">
        <v>260131</v>
      </c>
      <c r="N5" s="44">
        <v>128391</v>
      </c>
      <c r="O5" s="44">
        <v>425590.5</v>
      </c>
      <c r="P5" s="44">
        <v>436518</v>
      </c>
      <c r="Q5" s="44">
        <v>3312074.3333333335</v>
      </c>
      <c r="R5" s="44">
        <v>606937</v>
      </c>
      <c r="S5" s="44">
        <v>379392.66666666669</v>
      </c>
      <c r="T5" s="44">
        <v>120871</v>
      </c>
      <c r="U5" s="44">
        <v>266168</v>
      </c>
      <c r="V5" s="44">
        <v>59641.333333333336</v>
      </c>
      <c r="W5" s="44">
        <v>54797.666666666664</v>
      </c>
      <c r="X5" s="44">
        <v>3757910.3333333335</v>
      </c>
      <c r="Y5" s="44">
        <v>1529941.6666666667</v>
      </c>
      <c r="Z5" s="44">
        <v>3777575.6666666665</v>
      </c>
      <c r="AA5" s="44">
        <v>303236.5</v>
      </c>
      <c r="AB5" s="44">
        <v>2670317.3333333335</v>
      </c>
      <c r="AC5" s="44">
        <v>4209975.333333333</v>
      </c>
      <c r="AD5" s="44">
        <v>2180662</v>
      </c>
      <c r="AE5" s="44">
        <v>3149240.3333333335</v>
      </c>
      <c r="AF5" s="44">
        <v>3579812.3333333335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1691</v>
      </c>
      <c r="D6" s="1" t="s">
        <v>1692</v>
      </c>
      <c r="E6" s="1" t="s">
        <v>1693</v>
      </c>
      <c r="F6" s="1" t="s">
        <v>111</v>
      </c>
      <c r="G6" s="1">
        <v>112162</v>
      </c>
      <c r="K6" s="146" t="s">
        <v>1659</v>
      </c>
      <c r="L6" s="44">
        <v>218059.66666666666</v>
      </c>
      <c r="M6" s="44">
        <v>217421.66666666666</v>
      </c>
      <c r="N6" s="44">
        <v>69960</v>
      </c>
      <c r="O6" s="44">
        <v>135533</v>
      </c>
      <c r="P6" s="44">
        <v>876683.66666666663</v>
      </c>
      <c r="Q6" s="44">
        <v>4674294.666666667</v>
      </c>
      <c r="R6" s="44">
        <v>6721388</v>
      </c>
      <c r="S6" s="44">
        <v>52325</v>
      </c>
      <c r="T6" s="44">
        <v>54109</v>
      </c>
      <c r="U6" s="44">
        <v>20970.666666666668</v>
      </c>
      <c r="V6" s="44">
        <v>157214.66666666666</v>
      </c>
      <c r="W6" s="44">
        <v>57517</v>
      </c>
      <c r="X6" s="44">
        <v>544750.33333333337</v>
      </c>
      <c r="Y6" s="44">
        <v>680153</v>
      </c>
      <c r="Z6" s="44">
        <v>5036139</v>
      </c>
      <c r="AA6" s="44">
        <v>83114</v>
      </c>
      <c r="AB6" s="44">
        <v>1037857</v>
      </c>
      <c r="AC6" s="44">
        <v>2635474.6666666665</v>
      </c>
      <c r="AD6" s="44">
        <v>4576359.333333333</v>
      </c>
      <c r="AE6" s="44">
        <v>3777271.3333333335</v>
      </c>
      <c r="AF6" s="44">
        <v>1542870.6666666667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1694</v>
      </c>
      <c r="D7" s="1" t="s">
        <v>1695</v>
      </c>
      <c r="E7" s="1" t="s">
        <v>1696</v>
      </c>
      <c r="F7" s="1" t="s">
        <v>111</v>
      </c>
      <c r="G7" s="1">
        <v>294220</v>
      </c>
      <c r="K7" s="146" t="s">
        <v>1660</v>
      </c>
      <c r="L7" s="44">
        <v>38642</v>
      </c>
      <c r="M7" s="44">
        <v>221881</v>
      </c>
      <c r="N7" s="44">
        <v>39236.666666666664</v>
      </c>
      <c r="O7" s="44">
        <v>33225.333333333336</v>
      </c>
      <c r="P7" s="44">
        <v>3647437.6666666665</v>
      </c>
      <c r="Q7" s="44">
        <v>3751609</v>
      </c>
      <c r="R7" s="44">
        <v>5427351.666666667</v>
      </c>
      <c r="S7" s="44">
        <v>49163.333333333336</v>
      </c>
      <c r="T7" s="44">
        <v>15641</v>
      </c>
      <c r="U7" s="44">
        <v>23722.5</v>
      </c>
      <c r="V7" s="44">
        <v>172383.66666666666</v>
      </c>
      <c r="W7" s="44">
        <v>121016</v>
      </c>
      <c r="X7" s="44">
        <v>3668038.3333333335</v>
      </c>
      <c r="Y7" s="44">
        <v>2206157</v>
      </c>
      <c r="Z7" s="44">
        <v>2208267</v>
      </c>
      <c r="AA7" s="44">
        <v>126244.66666666667</v>
      </c>
      <c r="AB7" s="44">
        <v>902179</v>
      </c>
      <c r="AC7" s="44">
        <v>3555216</v>
      </c>
      <c r="AD7" s="44">
        <v>2389664.6666666665</v>
      </c>
      <c r="AE7" s="44">
        <v>2401607.6666666665</v>
      </c>
      <c r="AF7" s="44">
        <v>3734887.6666666665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1697</v>
      </c>
      <c r="D8" s="1" t="s">
        <v>1698</v>
      </c>
      <c r="E8" s="1" t="s">
        <v>1699</v>
      </c>
      <c r="F8" s="1" t="s">
        <v>111</v>
      </c>
      <c r="G8" s="1">
        <v>41093</v>
      </c>
      <c r="K8" s="146" t="s">
        <v>1661</v>
      </c>
      <c r="L8" s="44">
        <v>96108.333333333328</v>
      </c>
      <c r="M8" s="44">
        <v>181339</v>
      </c>
      <c r="N8" s="44">
        <v>143778</v>
      </c>
      <c r="O8" s="44">
        <v>315596</v>
      </c>
      <c r="P8" s="44">
        <v>29628.666666666668</v>
      </c>
      <c r="Q8" s="44">
        <v>1460547</v>
      </c>
      <c r="R8" s="44">
        <v>6120999</v>
      </c>
      <c r="S8" s="44">
        <v>127404.33333333333</v>
      </c>
      <c r="T8" s="44">
        <v>34733.333333333336</v>
      </c>
      <c r="U8" s="44">
        <v>34762.666666666664</v>
      </c>
      <c r="V8" s="44">
        <v>52006</v>
      </c>
      <c r="W8" s="44">
        <v>88639.333333333328</v>
      </c>
      <c r="X8" s="44">
        <v>4122206</v>
      </c>
      <c r="Y8" s="44">
        <v>3875989.6666666665</v>
      </c>
      <c r="Z8" s="44">
        <v>5095331.333333333</v>
      </c>
      <c r="AA8" s="44">
        <v>74042.666666666672</v>
      </c>
      <c r="AB8" s="44">
        <v>1344719</v>
      </c>
      <c r="AC8" s="44">
        <v>1060901.6666666667</v>
      </c>
      <c r="AD8" s="44">
        <v>4330578</v>
      </c>
      <c r="AE8" s="44">
        <v>3683048.3333333335</v>
      </c>
      <c r="AF8" s="44">
        <v>2424920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1700</v>
      </c>
      <c r="D9" s="1" t="s">
        <v>1698</v>
      </c>
      <c r="E9" s="1" t="s">
        <v>1701</v>
      </c>
      <c r="F9" s="1" t="s">
        <v>111</v>
      </c>
      <c r="G9" s="1">
        <v>40397</v>
      </c>
      <c r="K9" s="146" t="s">
        <v>1662</v>
      </c>
      <c r="L9" s="44">
        <v>9230.6666666666661</v>
      </c>
      <c r="M9" s="44">
        <v>30005.666666666668</v>
      </c>
      <c r="N9" s="44">
        <v>186843</v>
      </c>
      <c r="O9" s="44">
        <v>85318.333333333328</v>
      </c>
      <c r="P9" s="44">
        <v>273843.66666666669</v>
      </c>
      <c r="Q9" s="44">
        <v>4378900</v>
      </c>
      <c r="R9" s="44">
        <v>5379363</v>
      </c>
      <c r="S9" s="44">
        <v>9600.3333333333339</v>
      </c>
      <c r="T9" s="44">
        <v>44392</v>
      </c>
      <c r="U9" s="44">
        <v>100161.33333333333</v>
      </c>
      <c r="V9" s="44">
        <v>30615</v>
      </c>
      <c r="W9" s="44">
        <v>59830</v>
      </c>
      <c r="X9" s="44">
        <v>4313298.333333333</v>
      </c>
      <c r="Y9" s="44">
        <v>1324180.3333333333</v>
      </c>
      <c r="Z9" s="44">
        <v>4171021.3333333335</v>
      </c>
      <c r="AA9" s="44">
        <v>222323</v>
      </c>
      <c r="AB9" s="44">
        <v>3074538</v>
      </c>
      <c r="AC9" s="44">
        <v>1833211</v>
      </c>
      <c r="AD9" s="44">
        <v>3626902</v>
      </c>
      <c r="AE9" s="44">
        <v>2555384.6666666665</v>
      </c>
      <c r="AF9" s="44">
        <v>362084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1702</v>
      </c>
      <c r="D10" s="1" t="s">
        <v>1703</v>
      </c>
      <c r="E10" s="1" t="s">
        <v>1704</v>
      </c>
      <c r="F10" s="1" t="s">
        <v>111</v>
      </c>
      <c r="G10" s="1">
        <v>34436</v>
      </c>
      <c r="K10" s="146" t="s">
        <v>1663</v>
      </c>
      <c r="L10" s="44">
        <v>278665.5</v>
      </c>
      <c r="M10" s="44">
        <v>165480.5</v>
      </c>
      <c r="N10" s="44">
        <v>50012</v>
      </c>
      <c r="O10" s="44">
        <v>1680847.5</v>
      </c>
      <c r="P10" s="44">
        <v>134336.66666666666</v>
      </c>
      <c r="Q10" s="44">
        <v>2713657.6666666665</v>
      </c>
      <c r="R10" s="44">
        <v>6599835.666666667</v>
      </c>
      <c r="S10" s="44">
        <v>120733.66666666667</v>
      </c>
      <c r="T10" s="44">
        <v>29008.5</v>
      </c>
      <c r="U10" s="44">
        <v>63600.666666666664</v>
      </c>
      <c r="V10" s="44">
        <v>61273</v>
      </c>
      <c r="W10" s="44">
        <v>70562</v>
      </c>
      <c r="X10" s="44">
        <v>3625923</v>
      </c>
      <c r="Y10" s="44">
        <v>1043759.3333333334</v>
      </c>
      <c r="Z10" s="44">
        <v>2371028.6666666665</v>
      </c>
      <c r="AA10" s="44">
        <v>98363.333333333328</v>
      </c>
      <c r="AB10" s="44">
        <v>4073086</v>
      </c>
      <c r="AC10" s="44">
        <v>3050587</v>
      </c>
      <c r="AD10" s="44">
        <v>1039819</v>
      </c>
      <c r="AE10" s="44">
        <v>2268691.6666666665</v>
      </c>
      <c r="AF10" s="44">
        <v>3043488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1705</v>
      </c>
      <c r="D11" s="1" t="s">
        <v>1706</v>
      </c>
      <c r="E11" s="1" t="s">
        <v>1707</v>
      </c>
      <c r="F11" s="1" t="s">
        <v>111</v>
      </c>
      <c r="G11" s="1">
        <v>97370</v>
      </c>
      <c r="K11" s="146" t="s">
        <v>1664</v>
      </c>
      <c r="L11" s="44">
        <v>39765.666666666664</v>
      </c>
      <c r="M11" s="44">
        <v>238486.33333333334</v>
      </c>
      <c r="N11" s="44">
        <v>89778</v>
      </c>
      <c r="O11" s="44">
        <v>84926.5</v>
      </c>
      <c r="P11" s="44">
        <v>1049416</v>
      </c>
      <c r="Q11" s="44">
        <v>3228975.3333333335</v>
      </c>
      <c r="R11" s="44">
        <v>3242876</v>
      </c>
      <c r="S11" s="44">
        <v>314544.66666666669</v>
      </c>
      <c r="T11" s="44">
        <v>60483</v>
      </c>
      <c r="U11" s="44">
        <v>37525.333333333336</v>
      </c>
      <c r="V11" s="44">
        <v>80358.333333333328</v>
      </c>
      <c r="W11" s="44">
        <v>112104.66666666667</v>
      </c>
      <c r="X11" s="44">
        <v>3600888</v>
      </c>
      <c r="Y11" s="44">
        <v>1493279.3333333333</v>
      </c>
      <c r="Z11" s="44">
        <v>18338</v>
      </c>
      <c r="AA11" s="44">
        <v>62926.333333333336</v>
      </c>
      <c r="AB11" s="44">
        <v>3066899</v>
      </c>
      <c r="AC11" s="44">
        <v>3819611</v>
      </c>
      <c r="AD11" s="44">
        <v>4363223</v>
      </c>
      <c r="AE11" s="44">
        <v>530139.33333333337</v>
      </c>
      <c r="AF11" s="44">
        <v>3453604.5</v>
      </c>
      <c r="AG11"/>
    </row>
    <row r="12" spans="1:144" x14ac:dyDescent="0.25">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1708</v>
      </c>
      <c r="D12" s="1" t="s">
        <v>1692</v>
      </c>
      <c r="E12" s="1" t="s">
        <v>1709</v>
      </c>
      <c r="F12" s="1" t="s">
        <v>111</v>
      </c>
      <c r="G12" s="1">
        <v>113881</v>
      </c>
      <c r="K12" s="146" t="s">
        <v>1665</v>
      </c>
      <c r="L12" s="44">
        <v>39091.5</v>
      </c>
      <c r="M12" s="44">
        <v>62136</v>
      </c>
      <c r="N12" s="44">
        <v>340091</v>
      </c>
      <c r="O12" s="44">
        <v>260544.66666666666</v>
      </c>
      <c r="P12" s="44">
        <v>300789.33333333331</v>
      </c>
      <c r="Q12" s="44">
        <v>3636792.6666666665</v>
      </c>
      <c r="R12" s="44">
        <v>2041401.3333333333</v>
      </c>
      <c r="S12" s="44"/>
      <c r="T12" s="44">
        <v>80684.666666666672</v>
      </c>
      <c r="U12" s="44">
        <v>102162.66666666667</v>
      </c>
      <c r="V12" s="44">
        <v>29324</v>
      </c>
      <c r="W12" s="44">
        <v>252401.33333333334</v>
      </c>
      <c r="X12" s="44">
        <v>1345702</v>
      </c>
      <c r="Y12" s="44">
        <v>4414903</v>
      </c>
      <c r="Z12" s="44"/>
      <c r="AA12" s="44">
        <v>43166.666666666664</v>
      </c>
      <c r="AB12" s="44">
        <v>3705998.6666666665</v>
      </c>
      <c r="AC12" s="44">
        <v>4198942.5</v>
      </c>
      <c r="AD12" s="44">
        <v>3853191.6666666665</v>
      </c>
      <c r="AE12" s="44">
        <v>3222637.6666666665</v>
      </c>
      <c r="AF12" s="44">
        <v>3830981.3333333335</v>
      </c>
      <c r="AG12"/>
    </row>
    <row r="13" spans="1:144" x14ac:dyDescent="0.25">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1710</v>
      </c>
      <c r="D13" s="1" t="s">
        <v>1711</v>
      </c>
      <c r="E13" s="1" t="s">
        <v>1712</v>
      </c>
      <c r="F13" s="1" t="s">
        <v>111</v>
      </c>
      <c r="G13" s="1">
        <v>77074</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1713</v>
      </c>
      <c r="D14" s="1" t="s">
        <v>1714</v>
      </c>
      <c r="E14" s="1" t="s">
        <v>1715</v>
      </c>
      <c r="F14" s="1" t="s">
        <v>111</v>
      </c>
      <c r="G14" s="1">
        <v>13531</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1716</v>
      </c>
      <c r="D15" s="1" t="s">
        <v>1717</v>
      </c>
      <c r="E15" s="1" t="s">
        <v>1718</v>
      </c>
      <c r="F15" s="1" t="s">
        <v>111</v>
      </c>
      <c r="G15" s="1">
        <v>5351</v>
      </c>
    </row>
    <row r="16" spans="1:144" x14ac:dyDescent="0.25">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1719</v>
      </c>
      <c r="D16" s="1" t="s">
        <v>1720</v>
      </c>
      <c r="E16" s="1" t="s">
        <v>1721</v>
      </c>
      <c r="F16" s="1" t="s">
        <v>111</v>
      </c>
      <c r="G16" s="1">
        <v>8810</v>
      </c>
    </row>
    <row r="17" spans="1:9" x14ac:dyDescent="0.25">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1722</v>
      </c>
      <c r="D17" s="1" t="s">
        <v>1723</v>
      </c>
      <c r="E17" s="1" t="s">
        <v>1724</v>
      </c>
      <c r="F17" s="1" t="s">
        <v>111</v>
      </c>
      <c r="G17" s="1">
        <v>324588</v>
      </c>
    </row>
    <row r="18" spans="1:9" x14ac:dyDescent="0.25">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1725</v>
      </c>
    </row>
    <row r="19" spans="1:9" x14ac:dyDescent="0.25">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1726</v>
      </c>
      <c r="D19" s="1" t="s">
        <v>1727</v>
      </c>
      <c r="E19" s="1" t="s">
        <v>1728</v>
      </c>
      <c r="F19" s="1" t="s">
        <v>111</v>
      </c>
      <c r="G19" s="1">
        <v>232743</v>
      </c>
    </row>
    <row r="20" spans="1:9" x14ac:dyDescent="0.25">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1729</v>
      </c>
      <c r="D20" s="1" t="s">
        <v>1730</v>
      </c>
      <c r="E20" s="1" t="s">
        <v>1731</v>
      </c>
      <c r="F20" s="1" t="s">
        <v>111</v>
      </c>
      <c r="G20" s="1">
        <v>58670</v>
      </c>
    </row>
    <row r="21" spans="1:9" x14ac:dyDescent="0.25">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1732</v>
      </c>
      <c r="D21" s="1" t="s">
        <v>1733</v>
      </c>
      <c r="E21" s="1" t="s">
        <v>1734</v>
      </c>
      <c r="F21" s="1" t="s">
        <v>111</v>
      </c>
      <c r="G21" s="1">
        <v>32565</v>
      </c>
    </row>
    <row r="22" spans="1:9" x14ac:dyDescent="0.25">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1735</v>
      </c>
      <c r="D22" s="1" t="s">
        <v>1736</v>
      </c>
      <c r="E22" s="1" t="s">
        <v>1737</v>
      </c>
      <c r="F22" s="1" t="s">
        <v>111</v>
      </c>
      <c r="G22" s="1">
        <v>28062</v>
      </c>
    </row>
    <row r="23" spans="1:9" x14ac:dyDescent="0.25">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1738</v>
      </c>
      <c r="D23" s="1" t="s">
        <v>1739</v>
      </c>
      <c r="E23" s="1" t="s">
        <v>1740</v>
      </c>
      <c r="F23" s="1" t="s">
        <v>111</v>
      </c>
      <c r="G23" s="1">
        <v>50034</v>
      </c>
    </row>
    <row r="24" spans="1:9" x14ac:dyDescent="0.25">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1741</v>
      </c>
      <c r="D24" s="1" t="s">
        <v>1736</v>
      </c>
      <c r="E24" s="1" t="s">
        <v>1742</v>
      </c>
      <c r="F24" s="1" t="s">
        <v>111</v>
      </c>
      <c r="G24" s="1">
        <v>28149</v>
      </c>
    </row>
    <row r="25" spans="1:9" x14ac:dyDescent="0.25">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1743</v>
      </c>
    </row>
    <row r="26" spans="1:9"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111</v>
      </c>
    </row>
    <row r="27" spans="1:9"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230</v>
      </c>
      <c r="D27" s="1" t="s">
        <v>111</v>
      </c>
      <c r="E27" s="1" t="s">
        <v>231</v>
      </c>
      <c r="F27" s="1" t="s">
        <v>232</v>
      </c>
      <c r="G27" s="1" t="s">
        <v>233</v>
      </c>
      <c r="H27" s="1" t="s">
        <v>234</v>
      </c>
      <c r="I27" s="1" t="s">
        <v>235</v>
      </c>
    </row>
    <row r="28" spans="1:9" x14ac:dyDescent="0.25">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1744</v>
      </c>
      <c r="D28" s="1" t="s">
        <v>111</v>
      </c>
      <c r="E28" s="1" t="s">
        <v>1745</v>
      </c>
      <c r="F28" s="1" t="s">
        <v>1746</v>
      </c>
      <c r="G28" s="1" t="s">
        <v>1747</v>
      </c>
      <c r="H28" s="1" t="s">
        <v>1748</v>
      </c>
      <c r="I28" s="1">
        <v>24</v>
      </c>
    </row>
    <row r="29" spans="1:9"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111</v>
      </c>
    </row>
    <row r="30" spans="1:9"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111</v>
      </c>
    </row>
    <row r="31" spans="1:9"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111</v>
      </c>
    </row>
    <row r="32" spans="1:9"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111</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111</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240</v>
      </c>
      <c r="D34" s="1" t="s">
        <v>109</v>
      </c>
      <c r="E34" s="1" t="s">
        <v>110</v>
      </c>
      <c r="F34" s="1" t="s">
        <v>111</v>
      </c>
      <c r="G34" s="1" t="s">
        <v>112</v>
      </c>
    </row>
    <row r="35" spans="1:7" x14ac:dyDescent="0.25">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1749</v>
      </c>
      <c r="D35" s="1" t="s">
        <v>1750</v>
      </c>
      <c r="E35" s="1" t="s">
        <v>1751</v>
      </c>
      <c r="F35" s="1" t="s">
        <v>111</v>
      </c>
      <c r="G35" s="1">
        <v>260131</v>
      </c>
    </row>
    <row r="36" spans="1:7" x14ac:dyDescent="0.25">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1752</v>
      </c>
    </row>
    <row r="37" spans="1:7" x14ac:dyDescent="0.25">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1753</v>
      </c>
    </row>
    <row r="38" spans="1:7" x14ac:dyDescent="0.25">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1754</v>
      </c>
      <c r="D38" s="1" t="s">
        <v>1755</v>
      </c>
      <c r="E38" s="1" t="s">
        <v>1756</v>
      </c>
      <c r="F38" s="1" t="s">
        <v>111</v>
      </c>
      <c r="G38" s="1">
        <v>616132</v>
      </c>
    </row>
    <row r="39" spans="1:7" x14ac:dyDescent="0.25">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1757</v>
      </c>
      <c r="D39" s="1" t="s">
        <v>1758</v>
      </c>
      <c r="E39" s="1" t="s">
        <v>1759</v>
      </c>
      <c r="F39" s="1" t="s">
        <v>111</v>
      </c>
      <c r="G39" s="1">
        <v>18056</v>
      </c>
    </row>
    <row r="40" spans="1:7" x14ac:dyDescent="0.25">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1760</v>
      </c>
      <c r="D40" s="1" t="s">
        <v>1758</v>
      </c>
      <c r="E40" s="1" t="s">
        <v>1761</v>
      </c>
      <c r="F40" s="1" t="s">
        <v>111</v>
      </c>
      <c r="G40" s="1">
        <v>18077</v>
      </c>
    </row>
    <row r="41" spans="1:7" x14ac:dyDescent="0.25">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1762</v>
      </c>
      <c r="D41" s="1" t="s">
        <v>1763</v>
      </c>
      <c r="E41" s="1" t="s">
        <v>1764</v>
      </c>
      <c r="F41" s="1" t="s">
        <v>111</v>
      </c>
      <c r="G41" s="1">
        <v>348299</v>
      </c>
    </row>
    <row r="42" spans="1:7" x14ac:dyDescent="0.25">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1765</v>
      </c>
      <c r="D42" s="1" t="s">
        <v>1758</v>
      </c>
      <c r="E42" s="1" t="s">
        <v>1766</v>
      </c>
      <c r="F42" s="1" t="s">
        <v>111</v>
      </c>
      <c r="G42" s="1">
        <v>17925</v>
      </c>
    </row>
    <row r="43" spans="1:7" x14ac:dyDescent="0.25">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1767</v>
      </c>
      <c r="D43" s="1" t="s">
        <v>1768</v>
      </c>
      <c r="E43" s="1" t="s">
        <v>1769</v>
      </c>
      <c r="F43" s="1" t="s">
        <v>111</v>
      </c>
      <c r="G43" s="1">
        <v>299419</v>
      </c>
    </row>
    <row r="44" spans="1:7" x14ac:dyDescent="0.25">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1770</v>
      </c>
      <c r="D44" s="1" t="s">
        <v>1771</v>
      </c>
      <c r="E44" s="1" t="s">
        <v>1772</v>
      </c>
      <c r="F44" s="1" t="s">
        <v>111</v>
      </c>
      <c r="G44" s="1">
        <v>172594</v>
      </c>
    </row>
    <row r="45" spans="1:7" x14ac:dyDescent="0.25">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1773</v>
      </c>
      <c r="D45" s="1" t="s">
        <v>1774</v>
      </c>
      <c r="E45" s="1" t="s">
        <v>1775</v>
      </c>
      <c r="F45" s="1" t="s">
        <v>111</v>
      </c>
      <c r="G45" s="1">
        <v>240531</v>
      </c>
    </row>
    <row r="46" spans="1:7" x14ac:dyDescent="0.25">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1776</v>
      </c>
      <c r="D46" s="1" t="s">
        <v>1777</v>
      </c>
      <c r="E46" s="1" t="s">
        <v>1778</v>
      </c>
      <c r="F46" s="1" t="s">
        <v>111</v>
      </c>
      <c r="G46" s="1">
        <v>130892</v>
      </c>
    </row>
    <row r="47" spans="1:7" x14ac:dyDescent="0.25">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1779</v>
      </c>
      <c r="D47" s="1" t="s">
        <v>1780</v>
      </c>
      <c r="E47" s="1" t="s">
        <v>1718</v>
      </c>
      <c r="F47" s="1" t="s">
        <v>111</v>
      </c>
      <c r="G47" s="1">
        <v>16054</v>
      </c>
    </row>
    <row r="48" spans="1:7" x14ac:dyDescent="0.25">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1781</v>
      </c>
      <c r="D48" s="1" t="s">
        <v>1782</v>
      </c>
      <c r="E48" s="1" t="s">
        <v>1783</v>
      </c>
      <c r="F48" s="1" t="s">
        <v>111</v>
      </c>
      <c r="G48" s="1">
        <v>21906</v>
      </c>
    </row>
    <row r="49" spans="1:9" x14ac:dyDescent="0.25">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1784</v>
      </c>
      <c r="D49" s="1" t="s">
        <v>1785</v>
      </c>
      <c r="E49" s="1" t="s">
        <v>1786</v>
      </c>
      <c r="F49" s="1" t="s">
        <v>111</v>
      </c>
      <c r="G49" s="1">
        <v>52057</v>
      </c>
    </row>
    <row r="50" spans="1:9" x14ac:dyDescent="0.25">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1787</v>
      </c>
    </row>
    <row r="51" spans="1:9" x14ac:dyDescent="0.25">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1788</v>
      </c>
      <c r="D51" s="1" t="s">
        <v>1789</v>
      </c>
      <c r="E51" s="1" t="s">
        <v>1790</v>
      </c>
      <c r="F51" s="1" t="s">
        <v>111</v>
      </c>
      <c r="G51" s="1">
        <v>130196</v>
      </c>
    </row>
    <row r="52" spans="1:9" x14ac:dyDescent="0.25">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1791</v>
      </c>
      <c r="D52" s="1" t="s">
        <v>1792</v>
      </c>
      <c r="E52" s="1" t="s">
        <v>1793</v>
      </c>
      <c r="F52" s="1" t="s">
        <v>111</v>
      </c>
      <c r="G52" s="1">
        <v>200765</v>
      </c>
    </row>
    <row r="53" spans="1:9" x14ac:dyDescent="0.25">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1794</v>
      </c>
      <c r="D53" s="1" t="s">
        <v>1723</v>
      </c>
      <c r="E53" s="1" t="s">
        <v>1795</v>
      </c>
      <c r="F53" s="1" t="s">
        <v>111</v>
      </c>
      <c r="G53" s="1">
        <v>343688</v>
      </c>
    </row>
    <row r="54" spans="1:9" x14ac:dyDescent="0.25">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1796</v>
      </c>
      <c r="D54" s="1" t="s">
        <v>1797</v>
      </c>
      <c r="E54" s="1" t="s">
        <v>1798</v>
      </c>
      <c r="F54" s="1" t="s">
        <v>111</v>
      </c>
      <c r="G54" s="1">
        <v>289107</v>
      </c>
    </row>
    <row r="55" spans="1:9" x14ac:dyDescent="0.25">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1799</v>
      </c>
      <c r="D55" s="1" t="s">
        <v>1800</v>
      </c>
      <c r="E55" s="1" t="s">
        <v>1801</v>
      </c>
      <c r="F55" s="1" t="s">
        <v>111</v>
      </c>
      <c r="G55" s="1">
        <v>82664</v>
      </c>
    </row>
    <row r="56" spans="1:9" x14ac:dyDescent="0.25">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1802</v>
      </c>
      <c r="D56" s="1" t="s">
        <v>1803</v>
      </c>
      <c r="E56" s="1" t="s">
        <v>1804</v>
      </c>
      <c r="F56" s="1" t="s">
        <v>111</v>
      </c>
      <c r="G56" s="1">
        <v>98936</v>
      </c>
    </row>
    <row r="57" spans="1:9" x14ac:dyDescent="0.25">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1805</v>
      </c>
      <c r="D57" s="1" t="s">
        <v>1806</v>
      </c>
      <c r="E57" s="1" t="s">
        <v>1807</v>
      </c>
      <c r="F57" s="1" t="s">
        <v>111</v>
      </c>
      <c r="G57" s="1">
        <v>46945</v>
      </c>
    </row>
    <row r="58" spans="1:9" x14ac:dyDescent="0.25">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1808</v>
      </c>
      <c r="D58" s="1" t="s">
        <v>1698</v>
      </c>
      <c r="E58" s="1" t="s">
        <v>1809</v>
      </c>
      <c r="F58" s="1" t="s">
        <v>111</v>
      </c>
      <c r="G58" s="1">
        <v>40527</v>
      </c>
    </row>
    <row r="59" spans="1:9"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111</v>
      </c>
    </row>
    <row r="60" spans="1:9"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230</v>
      </c>
      <c r="D60" s="1" t="s">
        <v>111</v>
      </c>
      <c r="E60" s="1" t="s">
        <v>231</v>
      </c>
      <c r="F60" s="1" t="s">
        <v>232</v>
      </c>
      <c r="G60" s="1" t="s">
        <v>233</v>
      </c>
      <c r="H60" s="1" t="s">
        <v>234</v>
      </c>
      <c r="I60" s="1" t="s">
        <v>235</v>
      </c>
    </row>
    <row r="61" spans="1:9" x14ac:dyDescent="0.25">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1810</v>
      </c>
      <c r="D61" s="1" t="s">
        <v>111</v>
      </c>
      <c r="E61" s="1" t="s">
        <v>1811</v>
      </c>
      <c r="F61" s="1" t="s">
        <v>1812</v>
      </c>
      <c r="G61" s="1" t="s">
        <v>1813</v>
      </c>
      <c r="H61" s="1" t="s">
        <v>1814</v>
      </c>
      <c r="I61" s="1">
        <v>24</v>
      </c>
    </row>
    <row r="62" spans="1:9"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111</v>
      </c>
    </row>
    <row r="63" spans="1:9"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111</v>
      </c>
    </row>
    <row r="64" spans="1:9"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111</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111</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111</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240</v>
      </c>
      <c r="D67" s="1" t="s">
        <v>109</v>
      </c>
      <c r="E67" s="1" t="s">
        <v>110</v>
      </c>
      <c r="F67" s="1" t="s">
        <v>111</v>
      </c>
      <c r="G67" s="1" t="s">
        <v>112</v>
      </c>
    </row>
    <row r="68" spans="1:7" x14ac:dyDescent="0.25">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1815</v>
      </c>
    </row>
    <row r="69" spans="1:7" x14ac:dyDescent="0.25">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1816</v>
      </c>
      <c r="D69" s="1" t="s">
        <v>1817</v>
      </c>
      <c r="E69" s="1" t="s">
        <v>1818</v>
      </c>
      <c r="F69" s="1" t="s">
        <v>111</v>
      </c>
      <c r="G69" s="1">
        <v>128391</v>
      </c>
    </row>
    <row r="70" spans="1:7" x14ac:dyDescent="0.25">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1819</v>
      </c>
    </row>
    <row r="71" spans="1:7" x14ac:dyDescent="0.25">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1820</v>
      </c>
    </row>
    <row r="72" spans="1:7" x14ac:dyDescent="0.25">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1821</v>
      </c>
      <c r="D72" s="1" t="s">
        <v>1822</v>
      </c>
      <c r="E72" s="1" t="s">
        <v>1823</v>
      </c>
      <c r="F72" s="1" t="s">
        <v>111</v>
      </c>
      <c r="G72" s="1">
        <v>88124</v>
      </c>
    </row>
    <row r="73" spans="1:7" x14ac:dyDescent="0.25">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1824</v>
      </c>
      <c r="D73" s="1" t="s">
        <v>1785</v>
      </c>
      <c r="E73" s="1" t="s">
        <v>1825</v>
      </c>
      <c r="F73" s="1" t="s">
        <v>111</v>
      </c>
      <c r="G73" s="1">
        <v>51796</v>
      </c>
    </row>
    <row r="74" spans="1:7" x14ac:dyDescent="0.25">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1826</v>
      </c>
      <c r="D74" s="1" t="s">
        <v>1733</v>
      </c>
      <c r="E74" s="1">
        <v>65</v>
      </c>
      <c r="F74" s="1" t="s">
        <v>111</v>
      </c>
      <c r="G74" s="1">
        <v>32522</v>
      </c>
    </row>
    <row r="75" spans="1:7" x14ac:dyDescent="0.25">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1827</v>
      </c>
      <c r="D75" s="1" t="s">
        <v>1828</v>
      </c>
      <c r="E75" s="1" t="s">
        <v>1829</v>
      </c>
      <c r="F75" s="1" t="s">
        <v>111</v>
      </c>
      <c r="G75" s="1">
        <v>37547</v>
      </c>
    </row>
    <row r="76" spans="1:7" x14ac:dyDescent="0.25">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1830</v>
      </c>
      <c r="D76" s="1" t="s">
        <v>1831</v>
      </c>
      <c r="E76" s="1" t="s">
        <v>1832</v>
      </c>
      <c r="F76" s="1" t="s">
        <v>111</v>
      </c>
      <c r="G76" s="1">
        <v>47641</v>
      </c>
    </row>
    <row r="77" spans="1:7" x14ac:dyDescent="0.25">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1833</v>
      </c>
      <c r="D77" s="1" t="s">
        <v>1834</v>
      </c>
      <c r="E77" s="1" t="s">
        <v>1835</v>
      </c>
      <c r="F77" s="1" t="s">
        <v>111</v>
      </c>
      <c r="G77" s="1">
        <v>63412</v>
      </c>
    </row>
    <row r="78" spans="1:7" x14ac:dyDescent="0.25">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1836</v>
      </c>
      <c r="D78" s="1" t="s">
        <v>1800</v>
      </c>
      <c r="E78" s="1" t="s">
        <v>1837</v>
      </c>
      <c r="F78" s="1" t="s">
        <v>111</v>
      </c>
      <c r="G78" s="1">
        <v>82643</v>
      </c>
    </row>
    <row r="79" spans="1:7" x14ac:dyDescent="0.25">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1838</v>
      </c>
      <c r="D79" s="1" t="s">
        <v>1839</v>
      </c>
      <c r="E79" s="1" t="s">
        <v>1840</v>
      </c>
      <c r="F79" s="1" t="s">
        <v>111</v>
      </c>
      <c r="G79" s="1">
        <v>285279</v>
      </c>
    </row>
    <row r="80" spans="1:7" x14ac:dyDescent="0.25">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1841</v>
      </c>
      <c r="D80" s="1" t="s">
        <v>1842</v>
      </c>
      <c r="E80" s="1" t="s">
        <v>1843</v>
      </c>
      <c r="F80" s="1" t="s">
        <v>111</v>
      </c>
      <c r="G80" s="1">
        <v>352759</v>
      </c>
    </row>
    <row r="81" spans="1:9" x14ac:dyDescent="0.25">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1844</v>
      </c>
      <c r="D81" s="1" t="s">
        <v>1845</v>
      </c>
      <c r="E81" s="1" t="s">
        <v>1846</v>
      </c>
      <c r="F81" s="1" t="s">
        <v>111</v>
      </c>
      <c r="G81" s="1">
        <v>185951</v>
      </c>
    </row>
    <row r="82" spans="1:9" x14ac:dyDescent="0.25">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1847</v>
      </c>
      <c r="D82" s="1" t="s">
        <v>1782</v>
      </c>
      <c r="E82" s="1" t="s">
        <v>1848</v>
      </c>
      <c r="F82" s="1" t="s">
        <v>111</v>
      </c>
      <c r="G82" s="1">
        <v>21819</v>
      </c>
    </row>
    <row r="83" spans="1:9" x14ac:dyDescent="0.25">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1849</v>
      </c>
      <c r="D83" s="1" t="s">
        <v>1850</v>
      </c>
      <c r="E83" s="1" t="s">
        <v>1671</v>
      </c>
      <c r="F83" s="1" t="s">
        <v>111</v>
      </c>
      <c r="G83" s="1">
        <v>69938</v>
      </c>
    </row>
    <row r="84" spans="1:9" x14ac:dyDescent="0.25">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1851</v>
      </c>
      <c r="D84" s="1" t="s">
        <v>1852</v>
      </c>
      <c r="E84" s="1" t="s">
        <v>1853</v>
      </c>
      <c r="F84" s="1" t="s">
        <v>111</v>
      </c>
      <c r="G84" s="1">
        <v>57713</v>
      </c>
    </row>
    <row r="85" spans="1:9" x14ac:dyDescent="0.25">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1854</v>
      </c>
      <c r="D85" s="1" t="s">
        <v>1782</v>
      </c>
      <c r="E85" s="1" t="s">
        <v>1855</v>
      </c>
      <c r="F85" s="1" t="s">
        <v>111</v>
      </c>
      <c r="G85" s="1">
        <v>22385</v>
      </c>
    </row>
    <row r="86" spans="1:9" x14ac:dyDescent="0.25">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1856</v>
      </c>
      <c r="D86" s="1" t="s">
        <v>1857</v>
      </c>
      <c r="E86" s="1" t="s">
        <v>1858</v>
      </c>
      <c r="F86" s="1" t="s">
        <v>111</v>
      </c>
      <c r="G86" s="1">
        <v>115056</v>
      </c>
    </row>
    <row r="87" spans="1:9" x14ac:dyDescent="0.25">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1859</v>
      </c>
      <c r="D87" s="1" t="s">
        <v>1860</v>
      </c>
      <c r="E87" s="1" t="s">
        <v>1861</v>
      </c>
      <c r="F87" s="1" t="s">
        <v>111</v>
      </c>
      <c r="G87" s="1">
        <v>70221</v>
      </c>
    </row>
    <row r="88" spans="1:9" x14ac:dyDescent="0.25">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1862</v>
      </c>
      <c r="D88" s="1" t="s">
        <v>1863</v>
      </c>
      <c r="E88" s="1" t="s">
        <v>1864</v>
      </c>
      <c r="F88" s="1" t="s">
        <v>111</v>
      </c>
      <c r="G88" s="1">
        <v>84057</v>
      </c>
    </row>
    <row r="89" spans="1:9" x14ac:dyDescent="0.25">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1865</v>
      </c>
      <c r="D89" s="1" t="s">
        <v>1733</v>
      </c>
      <c r="E89" s="1" t="s">
        <v>1866</v>
      </c>
      <c r="F89" s="1" t="s">
        <v>111</v>
      </c>
      <c r="G89" s="1">
        <v>31565</v>
      </c>
    </row>
    <row r="90" spans="1:9" x14ac:dyDescent="0.25">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1867</v>
      </c>
      <c r="D90" s="1" t="s">
        <v>1868</v>
      </c>
      <c r="E90" s="1" t="s">
        <v>1869</v>
      </c>
      <c r="F90" s="1" t="s">
        <v>111</v>
      </c>
      <c r="G90" s="1">
        <v>508255</v>
      </c>
    </row>
    <row r="91" spans="1:9" x14ac:dyDescent="0.25">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1870</v>
      </c>
      <c r="D91" s="1" t="s">
        <v>1871</v>
      </c>
      <c r="E91" s="1" t="s">
        <v>1872</v>
      </c>
      <c r="F91" s="1" t="s">
        <v>111</v>
      </c>
      <c r="G91" s="1">
        <v>480453</v>
      </c>
    </row>
    <row r="92" spans="1:9"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111</v>
      </c>
    </row>
    <row r="93" spans="1:9"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230</v>
      </c>
      <c r="D93" s="1" t="s">
        <v>111</v>
      </c>
      <c r="E93" s="1" t="s">
        <v>231</v>
      </c>
      <c r="F93" s="1" t="s">
        <v>232</v>
      </c>
      <c r="G93" s="1" t="s">
        <v>233</v>
      </c>
      <c r="H93" s="1" t="s">
        <v>234</v>
      </c>
      <c r="I93" s="1" t="s">
        <v>235</v>
      </c>
    </row>
    <row r="94" spans="1:9" x14ac:dyDescent="0.25">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1873</v>
      </c>
      <c r="D94" s="1" t="s">
        <v>111</v>
      </c>
      <c r="E94" s="1" t="s">
        <v>1874</v>
      </c>
      <c r="F94" s="1" t="s">
        <v>1875</v>
      </c>
      <c r="G94" s="1" t="s">
        <v>1876</v>
      </c>
      <c r="H94" s="1" t="s">
        <v>1877</v>
      </c>
      <c r="I94" s="1">
        <v>24</v>
      </c>
    </row>
    <row r="95" spans="1:9"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111</v>
      </c>
    </row>
    <row r="96" spans="1:9"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111</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111</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111</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111</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240</v>
      </c>
      <c r="D100" s="1" t="s">
        <v>109</v>
      </c>
      <c r="E100" s="1" t="s">
        <v>110</v>
      </c>
      <c r="F100" s="1" t="s">
        <v>111</v>
      </c>
      <c r="G100" s="1" t="s">
        <v>112</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1878</v>
      </c>
      <c r="D101" s="1" t="s">
        <v>1879</v>
      </c>
      <c r="E101" s="1" t="s">
        <v>1880</v>
      </c>
      <c r="F101" s="1" t="s">
        <v>111</v>
      </c>
      <c r="G101" s="1">
        <v>391502</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1881</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1882</v>
      </c>
      <c r="D103" s="1" t="s">
        <v>1883</v>
      </c>
      <c r="E103" s="1" t="s">
        <v>1884</v>
      </c>
      <c r="F103" s="1" t="s">
        <v>111</v>
      </c>
      <c r="G103" s="1">
        <v>459679</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1885</v>
      </c>
      <c r="D104" s="1" t="s">
        <v>1886</v>
      </c>
      <c r="E104" s="1" t="s">
        <v>1887</v>
      </c>
      <c r="F104" s="1" t="s">
        <v>111</v>
      </c>
      <c r="G104" s="1">
        <v>104135</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1888</v>
      </c>
      <c r="D105" s="1" t="s">
        <v>1889</v>
      </c>
      <c r="E105" s="1" t="s">
        <v>1890</v>
      </c>
      <c r="F105" s="1" t="s">
        <v>111</v>
      </c>
      <c r="G105" s="1">
        <v>120646</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1891</v>
      </c>
      <c r="D106" s="1" t="s">
        <v>1892</v>
      </c>
      <c r="E106" s="1" t="s">
        <v>1893</v>
      </c>
      <c r="F106" s="1" t="s">
        <v>111</v>
      </c>
      <c r="G106" s="1">
        <v>181818</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1894</v>
      </c>
      <c r="D107" s="1" t="s">
        <v>1895</v>
      </c>
      <c r="E107" s="1">
        <v>63</v>
      </c>
      <c r="F107" s="1" t="s">
        <v>111</v>
      </c>
      <c r="G107" s="1">
        <v>19187</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1896</v>
      </c>
      <c r="D108" s="1" t="s">
        <v>1897</v>
      </c>
      <c r="E108" s="1" t="s">
        <v>1898</v>
      </c>
      <c r="F108" s="1" t="s">
        <v>111</v>
      </c>
      <c r="G108" s="1">
        <v>46314</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1899</v>
      </c>
      <c r="D109" s="1" t="s">
        <v>1900</v>
      </c>
      <c r="E109" s="1" t="s">
        <v>1901</v>
      </c>
      <c r="F109" s="1" t="s">
        <v>111</v>
      </c>
      <c r="G109" s="1">
        <v>34175</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1902</v>
      </c>
      <c r="D110" s="1" t="s">
        <v>1903</v>
      </c>
      <c r="E110" s="1" t="s">
        <v>1904</v>
      </c>
      <c r="F110" s="1" t="s">
        <v>111</v>
      </c>
      <c r="G110" s="1">
        <v>323130</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1905</v>
      </c>
      <c r="D111" s="1" t="s">
        <v>1906</v>
      </c>
      <c r="E111" s="1" t="s">
        <v>1907</v>
      </c>
      <c r="F111" s="1" t="s">
        <v>111</v>
      </c>
      <c r="G111" s="1">
        <v>373577</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1908</v>
      </c>
      <c r="D112" s="1" t="s">
        <v>1909</v>
      </c>
      <c r="E112" s="1" t="s">
        <v>1910</v>
      </c>
      <c r="F112" s="1" t="s">
        <v>111</v>
      </c>
      <c r="G112" s="1">
        <v>250081</v>
      </c>
    </row>
    <row r="113" spans="1:9"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1911</v>
      </c>
      <c r="D113" s="1" t="s">
        <v>1900</v>
      </c>
      <c r="E113" s="1" t="s">
        <v>1912</v>
      </c>
      <c r="F113" s="1" t="s">
        <v>111</v>
      </c>
      <c r="G113" s="1">
        <v>34828</v>
      </c>
    </row>
    <row r="114" spans="1:9"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1913</v>
      </c>
      <c r="D114" s="1" t="s">
        <v>1914</v>
      </c>
      <c r="E114" s="1" t="s">
        <v>1669</v>
      </c>
      <c r="F114" s="1" t="s">
        <v>111</v>
      </c>
      <c r="G114" s="1">
        <v>74594</v>
      </c>
    </row>
    <row r="115" spans="1:9"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1915</v>
      </c>
      <c r="D115" s="1" t="s">
        <v>1916</v>
      </c>
      <c r="E115" s="1" t="s">
        <v>1917</v>
      </c>
      <c r="F115" s="1" t="s">
        <v>111</v>
      </c>
      <c r="G115" s="1">
        <v>146533</v>
      </c>
    </row>
    <row r="116" spans="1:9"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1918</v>
      </c>
      <c r="D116" s="1" t="s">
        <v>1919</v>
      </c>
      <c r="E116" s="1" t="s">
        <v>1920</v>
      </c>
      <c r="F116" s="1" t="s">
        <v>111</v>
      </c>
      <c r="G116" s="1">
        <v>2044853</v>
      </c>
    </row>
    <row r="117" spans="1:9"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1921</v>
      </c>
    </row>
    <row r="118" spans="1:9"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1922</v>
      </c>
      <c r="D118" s="1" t="s">
        <v>1923</v>
      </c>
      <c r="E118" s="1" t="s">
        <v>1924</v>
      </c>
      <c r="F118" s="1" t="s">
        <v>111</v>
      </c>
      <c r="G118" s="1">
        <v>1316842</v>
      </c>
    </row>
    <row r="119" spans="1:9"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1925</v>
      </c>
      <c r="D119" s="1" t="s">
        <v>1863</v>
      </c>
      <c r="E119" s="1" t="s">
        <v>1926</v>
      </c>
      <c r="F119" s="1" t="s">
        <v>111</v>
      </c>
      <c r="G119" s="1">
        <v>82860</v>
      </c>
    </row>
    <row r="120" spans="1:9"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1927</v>
      </c>
      <c r="D120" s="1" t="s">
        <v>1928</v>
      </c>
      <c r="E120" s="1" t="s">
        <v>1929</v>
      </c>
      <c r="F120" s="1" t="s">
        <v>111</v>
      </c>
      <c r="G120" s="1">
        <v>86993</v>
      </c>
    </row>
    <row r="121" spans="1:9"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1930</v>
      </c>
    </row>
    <row r="122" spans="1:9"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1931</v>
      </c>
      <c r="D122" s="1" t="s">
        <v>1763</v>
      </c>
      <c r="E122" s="1" t="s">
        <v>1932</v>
      </c>
      <c r="F122" s="1" t="s">
        <v>111</v>
      </c>
      <c r="G122" s="1">
        <v>327394</v>
      </c>
    </row>
    <row r="123" spans="1:9"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1933</v>
      </c>
      <c r="D123" s="1" t="s">
        <v>1934</v>
      </c>
      <c r="E123" s="1" t="s">
        <v>1935</v>
      </c>
      <c r="F123" s="1" t="s">
        <v>111</v>
      </c>
      <c r="G123" s="1">
        <v>211381</v>
      </c>
    </row>
    <row r="124" spans="1:9"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1936</v>
      </c>
      <c r="D124" s="1" t="s">
        <v>1937</v>
      </c>
      <c r="E124" s="1" t="s">
        <v>1938</v>
      </c>
      <c r="F124" s="1" t="s">
        <v>111</v>
      </c>
      <c r="G124" s="1">
        <v>242859</v>
      </c>
    </row>
    <row r="125" spans="1:9"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111</v>
      </c>
    </row>
    <row r="126" spans="1:9"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230</v>
      </c>
      <c r="D126" s="1" t="s">
        <v>111</v>
      </c>
      <c r="E126" s="1" t="s">
        <v>231</v>
      </c>
      <c r="F126" s="1" t="s">
        <v>232</v>
      </c>
      <c r="G126" s="1" t="s">
        <v>233</v>
      </c>
      <c r="H126" s="1" t="s">
        <v>234</v>
      </c>
      <c r="I126" s="1" t="s">
        <v>235</v>
      </c>
    </row>
    <row r="127" spans="1:9"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1939</v>
      </c>
      <c r="D127" s="1" t="s">
        <v>111</v>
      </c>
      <c r="E127" s="1" t="s">
        <v>1940</v>
      </c>
      <c r="F127" s="1" t="s">
        <v>1941</v>
      </c>
      <c r="G127" s="1" t="s">
        <v>1942</v>
      </c>
      <c r="H127" s="1" t="s">
        <v>1943</v>
      </c>
      <c r="I127" s="1">
        <v>24</v>
      </c>
    </row>
    <row r="128" spans="1:9"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111</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111</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111</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111</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111</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240</v>
      </c>
      <c r="D133" s="1" t="s">
        <v>109</v>
      </c>
      <c r="E133" s="1" t="s">
        <v>110</v>
      </c>
      <c r="F133" s="1" t="s">
        <v>111</v>
      </c>
      <c r="G133" s="1" t="s">
        <v>112</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1944</v>
      </c>
      <c r="D134" s="1" t="s">
        <v>1945</v>
      </c>
      <c r="E134" s="1" t="s">
        <v>1946</v>
      </c>
      <c r="F134" s="1" t="s">
        <v>111</v>
      </c>
      <c r="G134" s="1">
        <v>293284</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1947</v>
      </c>
      <c r="D135" s="1" t="s">
        <v>1948</v>
      </c>
      <c r="E135" s="1" t="s">
        <v>1949</v>
      </c>
      <c r="F135" s="1" t="s">
        <v>111</v>
      </c>
      <c r="G135" s="1">
        <v>352563</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1950</v>
      </c>
      <c r="D136" s="1" t="s">
        <v>1951</v>
      </c>
      <c r="E136" s="1" t="s">
        <v>1673</v>
      </c>
      <c r="F136" s="1" t="s">
        <v>111</v>
      </c>
      <c r="G136" s="1">
        <v>663707</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1952</v>
      </c>
      <c r="D137" s="1" t="s">
        <v>1953</v>
      </c>
      <c r="E137" s="1" t="s">
        <v>1954</v>
      </c>
      <c r="F137" s="1" t="s">
        <v>111</v>
      </c>
      <c r="G137" s="1">
        <v>923273</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1955</v>
      </c>
      <c r="D138" s="1" t="s">
        <v>1956</v>
      </c>
      <c r="E138" s="1" t="s">
        <v>1957</v>
      </c>
      <c r="F138" s="1" t="s">
        <v>111</v>
      </c>
      <c r="G138" s="1">
        <v>868867</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1958</v>
      </c>
      <c r="D139" s="1" t="s">
        <v>1959</v>
      </c>
      <c r="E139" s="1" t="s">
        <v>1960</v>
      </c>
      <c r="F139" s="1" t="s">
        <v>111</v>
      </c>
      <c r="G139" s="1">
        <v>837911</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1961</v>
      </c>
      <c r="D140" s="1" t="s">
        <v>1962</v>
      </c>
      <c r="E140" s="1" t="s">
        <v>1963</v>
      </c>
      <c r="F140" s="1" t="s">
        <v>111</v>
      </c>
      <c r="G140" s="1">
        <v>3698704</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1964</v>
      </c>
      <c r="D141" s="1" t="s">
        <v>1965</v>
      </c>
      <c r="E141" s="1" t="s">
        <v>1966</v>
      </c>
      <c r="F141" s="1" t="s">
        <v>111</v>
      </c>
      <c r="G141" s="1">
        <v>3299370</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1967</v>
      </c>
      <c r="D142" s="1" t="s">
        <v>1968</v>
      </c>
      <c r="E142" s="1" t="s">
        <v>1969</v>
      </c>
      <c r="F142" s="1" t="s">
        <v>111</v>
      </c>
      <c r="G142" s="1">
        <v>3944239</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1970</v>
      </c>
      <c r="D143" s="1" t="s">
        <v>1971</v>
      </c>
      <c r="E143" s="1" t="s">
        <v>1972</v>
      </c>
      <c r="F143" s="1" t="s">
        <v>111</v>
      </c>
      <c r="G143" s="1">
        <v>26605</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1973</v>
      </c>
      <c r="D144" s="1" t="s">
        <v>1703</v>
      </c>
      <c r="E144" s="1" t="s">
        <v>1974</v>
      </c>
      <c r="F144" s="1" t="s">
        <v>111</v>
      </c>
      <c r="G144" s="1">
        <v>33501</v>
      </c>
    </row>
    <row r="145" spans="1:9"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1975</v>
      </c>
      <c r="D145" s="1" t="s">
        <v>1976</v>
      </c>
      <c r="E145" s="1">
        <v>63</v>
      </c>
      <c r="F145" s="1" t="s">
        <v>111</v>
      </c>
      <c r="G145" s="1">
        <v>28780</v>
      </c>
    </row>
    <row r="146" spans="1:9"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1977</v>
      </c>
      <c r="D146" s="1" t="s">
        <v>1774</v>
      </c>
      <c r="E146" s="1" t="s">
        <v>1978</v>
      </c>
      <c r="F146" s="1" t="s">
        <v>111</v>
      </c>
      <c r="G146" s="1">
        <v>235245</v>
      </c>
    </row>
    <row r="147" spans="1:9"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1979</v>
      </c>
      <c r="D147" s="1" t="s">
        <v>1980</v>
      </c>
      <c r="E147" s="1" t="s">
        <v>1981</v>
      </c>
      <c r="F147" s="1" t="s">
        <v>111</v>
      </c>
      <c r="G147" s="1">
        <v>142357</v>
      </c>
    </row>
    <row r="148" spans="1:9"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1982</v>
      </c>
      <c r="D148" s="1" t="s">
        <v>1983</v>
      </c>
      <c r="E148" s="1" t="s">
        <v>1984</v>
      </c>
      <c r="F148" s="1" t="s">
        <v>111</v>
      </c>
      <c r="G148" s="1">
        <v>443929</v>
      </c>
    </row>
    <row r="149" spans="1:9"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1985</v>
      </c>
      <c r="D149" s="1" t="s">
        <v>1986</v>
      </c>
      <c r="E149" s="1" t="s">
        <v>1987</v>
      </c>
      <c r="F149" s="1" t="s">
        <v>111</v>
      </c>
      <c r="G149" s="1">
        <v>137984</v>
      </c>
    </row>
    <row r="150" spans="1:9"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1988</v>
      </c>
      <c r="D150" s="1" t="s">
        <v>1886</v>
      </c>
      <c r="E150" s="1" t="s">
        <v>1989</v>
      </c>
      <c r="F150" s="1" t="s">
        <v>111</v>
      </c>
      <c r="G150" s="1">
        <v>105310</v>
      </c>
    </row>
    <row r="151" spans="1:9"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1990</v>
      </c>
      <c r="D151" s="1" t="s">
        <v>1991</v>
      </c>
      <c r="E151" s="1" t="s">
        <v>1992</v>
      </c>
      <c r="F151" s="1" t="s">
        <v>111</v>
      </c>
      <c r="G151" s="1">
        <v>159716</v>
      </c>
    </row>
    <row r="152" spans="1:9"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1993</v>
      </c>
      <c r="D152" s="1" t="s">
        <v>1994</v>
      </c>
      <c r="E152" s="1" t="s">
        <v>1995</v>
      </c>
      <c r="F152" s="1" t="s">
        <v>111</v>
      </c>
      <c r="G152" s="1">
        <v>895820</v>
      </c>
    </row>
    <row r="153" spans="1:9"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1996</v>
      </c>
      <c r="D153" s="1" t="s">
        <v>1997</v>
      </c>
      <c r="E153" s="1" t="s">
        <v>1998</v>
      </c>
      <c r="F153" s="1" t="s">
        <v>111</v>
      </c>
      <c r="G153" s="1">
        <v>1315711</v>
      </c>
    </row>
    <row r="154" spans="1:9"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1999</v>
      </c>
      <c r="D154" s="1" t="s">
        <v>2000</v>
      </c>
      <c r="E154" s="1" t="s">
        <v>1672</v>
      </c>
      <c r="F154" s="1" t="s">
        <v>111</v>
      </c>
      <c r="G154" s="1">
        <v>936717</v>
      </c>
    </row>
    <row r="155" spans="1:9"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2001</v>
      </c>
      <c r="D155" s="1" t="s">
        <v>2002</v>
      </c>
      <c r="E155" s="1" t="s">
        <v>2003</v>
      </c>
      <c r="F155" s="1" t="s">
        <v>111</v>
      </c>
      <c r="G155" s="1">
        <v>305336</v>
      </c>
    </row>
    <row r="156" spans="1:9"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2004</v>
      </c>
      <c r="D156" s="1" t="s">
        <v>2005</v>
      </c>
      <c r="E156" s="1" t="s">
        <v>2006</v>
      </c>
      <c r="F156" s="1" t="s">
        <v>111</v>
      </c>
      <c r="G156" s="1">
        <v>188409</v>
      </c>
    </row>
    <row r="157" spans="1:9"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2007</v>
      </c>
      <c r="D157" s="1" t="s">
        <v>2008</v>
      </c>
      <c r="E157" s="1" t="s">
        <v>2009</v>
      </c>
      <c r="F157" s="1" t="s">
        <v>111</v>
      </c>
      <c r="G157" s="1">
        <v>408623</v>
      </c>
    </row>
    <row r="158" spans="1:9"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111</v>
      </c>
    </row>
    <row r="159" spans="1:9"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230</v>
      </c>
      <c r="D159" s="1" t="s">
        <v>111</v>
      </c>
      <c r="E159" s="1" t="s">
        <v>231</v>
      </c>
      <c r="F159" s="1" t="s">
        <v>232</v>
      </c>
      <c r="G159" s="1" t="s">
        <v>233</v>
      </c>
      <c r="H159" s="1" t="s">
        <v>234</v>
      </c>
      <c r="I159" s="1" t="s">
        <v>235</v>
      </c>
    </row>
    <row r="160" spans="1:9"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2010</v>
      </c>
      <c r="D160" s="1" t="s">
        <v>111</v>
      </c>
      <c r="E160" s="1" t="s">
        <v>2011</v>
      </c>
      <c r="F160" s="1" t="s">
        <v>2012</v>
      </c>
      <c r="G160" s="1" t="s">
        <v>2013</v>
      </c>
      <c r="H160" s="1" t="s">
        <v>2014</v>
      </c>
      <c r="I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111</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111</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111</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111</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111</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240</v>
      </c>
      <c r="D166" s="1" t="s">
        <v>109</v>
      </c>
      <c r="E166" s="1" t="s">
        <v>110</v>
      </c>
      <c r="F166" s="1" t="s">
        <v>111</v>
      </c>
      <c r="G166" s="1" t="s">
        <v>112</v>
      </c>
    </row>
    <row r="167" spans="1:7" x14ac:dyDescent="0.25">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2015</v>
      </c>
      <c r="D167" s="1" t="s">
        <v>2016</v>
      </c>
      <c r="E167" s="1" t="s">
        <v>2017</v>
      </c>
      <c r="F167" s="1" t="s">
        <v>111</v>
      </c>
      <c r="G167" s="1">
        <v>3264521</v>
      </c>
    </row>
    <row r="168" spans="1:7" x14ac:dyDescent="0.25">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2018</v>
      </c>
      <c r="D168" s="1" t="s">
        <v>2019</v>
      </c>
      <c r="E168" s="1" t="s">
        <v>2020</v>
      </c>
      <c r="F168" s="1" t="s">
        <v>111</v>
      </c>
      <c r="G168" s="1">
        <v>3397588</v>
      </c>
    </row>
    <row r="169" spans="1:7" x14ac:dyDescent="0.25">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2021</v>
      </c>
      <c r="D169" s="1" t="s">
        <v>2022</v>
      </c>
      <c r="E169" s="1" t="s">
        <v>2023</v>
      </c>
      <c r="F169" s="1" t="s">
        <v>111</v>
      </c>
      <c r="G169" s="1">
        <v>3274114</v>
      </c>
    </row>
    <row r="170" spans="1:7" x14ac:dyDescent="0.25">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2024</v>
      </c>
      <c r="D170" s="1" t="s">
        <v>2025</v>
      </c>
      <c r="E170" s="1" t="s">
        <v>2026</v>
      </c>
      <c r="F170" s="1" t="s">
        <v>111</v>
      </c>
      <c r="G170" s="1">
        <v>4723067</v>
      </c>
    </row>
    <row r="171" spans="1:7" x14ac:dyDescent="0.25">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2027</v>
      </c>
      <c r="D171" s="1" t="s">
        <v>2028</v>
      </c>
      <c r="E171" s="1" t="s">
        <v>2029</v>
      </c>
      <c r="F171" s="1" t="s">
        <v>111</v>
      </c>
      <c r="G171" s="1">
        <v>4653215</v>
      </c>
    </row>
    <row r="172" spans="1:7" x14ac:dyDescent="0.25">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2030</v>
      </c>
      <c r="D172" s="1" t="s">
        <v>2031</v>
      </c>
      <c r="E172" s="1" t="s">
        <v>2032</v>
      </c>
      <c r="F172" s="1" t="s">
        <v>111</v>
      </c>
      <c r="G172" s="1">
        <v>4646602</v>
      </c>
    </row>
    <row r="173" spans="1:7" x14ac:dyDescent="0.25">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2033</v>
      </c>
    </row>
    <row r="174" spans="1:7" x14ac:dyDescent="0.25">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2034</v>
      </c>
      <c r="D174" s="1" t="s">
        <v>2035</v>
      </c>
      <c r="E174" s="1" t="s">
        <v>2036</v>
      </c>
      <c r="F174" s="1" t="s">
        <v>111</v>
      </c>
      <c r="G174" s="1">
        <v>3751609</v>
      </c>
    </row>
    <row r="175" spans="1:7" x14ac:dyDescent="0.25">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2037</v>
      </c>
    </row>
    <row r="176" spans="1:7" x14ac:dyDescent="0.25">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2038</v>
      </c>
      <c r="D176" s="1" t="s">
        <v>2039</v>
      </c>
      <c r="E176" s="1" t="s">
        <v>2040</v>
      </c>
      <c r="F176" s="1" t="s">
        <v>111</v>
      </c>
      <c r="G176" s="1">
        <v>1699947</v>
      </c>
    </row>
    <row r="177" spans="1:9" x14ac:dyDescent="0.25">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2041</v>
      </c>
      <c r="D177" s="1" t="s">
        <v>2042</v>
      </c>
      <c r="E177" s="1" t="s">
        <v>2043</v>
      </c>
      <c r="F177" s="1" t="s">
        <v>111</v>
      </c>
      <c r="G177" s="1">
        <v>1232024</v>
      </c>
    </row>
    <row r="178" spans="1:9" x14ac:dyDescent="0.25">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2044</v>
      </c>
      <c r="D178" s="1" t="s">
        <v>2045</v>
      </c>
      <c r="E178" s="1" t="s">
        <v>2046</v>
      </c>
      <c r="F178" s="1" t="s">
        <v>111</v>
      </c>
      <c r="G178" s="1">
        <v>1449670</v>
      </c>
    </row>
    <row r="179" spans="1:9" x14ac:dyDescent="0.25">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2047</v>
      </c>
    </row>
    <row r="180" spans="1:9" x14ac:dyDescent="0.25">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2048</v>
      </c>
      <c r="D180" s="1" t="s">
        <v>2049</v>
      </c>
      <c r="E180" s="1" t="s">
        <v>2050</v>
      </c>
      <c r="F180" s="1" t="s">
        <v>111</v>
      </c>
      <c r="G180" s="1">
        <v>4381010</v>
      </c>
    </row>
    <row r="181" spans="1:9" x14ac:dyDescent="0.25">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2051</v>
      </c>
      <c r="D181" s="1" t="s">
        <v>2052</v>
      </c>
      <c r="E181" s="1" t="s">
        <v>2053</v>
      </c>
      <c r="F181" s="1" t="s">
        <v>111</v>
      </c>
      <c r="G181" s="1">
        <v>4376790</v>
      </c>
    </row>
    <row r="182" spans="1:9" x14ac:dyDescent="0.25">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2054</v>
      </c>
      <c r="D182" s="1" t="s">
        <v>2055</v>
      </c>
      <c r="E182" s="1" t="s">
        <v>2056</v>
      </c>
      <c r="F182" s="1" t="s">
        <v>111</v>
      </c>
      <c r="G182" s="1">
        <v>2558372</v>
      </c>
    </row>
    <row r="183" spans="1:9" x14ac:dyDescent="0.25">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2057</v>
      </c>
      <c r="D183" s="1" t="s">
        <v>2058</v>
      </c>
      <c r="E183" s="1" t="s">
        <v>2059</v>
      </c>
      <c r="F183" s="1" t="s">
        <v>111</v>
      </c>
      <c r="G183" s="1">
        <v>2733316</v>
      </c>
    </row>
    <row r="184" spans="1:9" x14ac:dyDescent="0.25">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2060</v>
      </c>
      <c r="D184" s="1" t="s">
        <v>2061</v>
      </c>
      <c r="E184" s="1" t="s">
        <v>2062</v>
      </c>
      <c r="F184" s="1" t="s">
        <v>111</v>
      </c>
      <c r="G184" s="1">
        <v>2849285</v>
      </c>
    </row>
    <row r="185" spans="1:9" x14ac:dyDescent="0.25">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2063</v>
      </c>
      <c r="D185" s="1" t="s">
        <v>2022</v>
      </c>
      <c r="E185" s="1" t="s">
        <v>2064</v>
      </c>
      <c r="F185" s="1" t="s">
        <v>111</v>
      </c>
      <c r="G185" s="1">
        <v>3094994</v>
      </c>
    </row>
    <row r="186" spans="1:9" x14ac:dyDescent="0.25">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2065</v>
      </c>
      <c r="D186" s="1" t="s">
        <v>2066</v>
      </c>
      <c r="E186" s="1" t="s">
        <v>2067</v>
      </c>
      <c r="F186" s="1" t="s">
        <v>111</v>
      </c>
      <c r="G186" s="1">
        <v>3424607</v>
      </c>
    </row>
    <row r="187" spans="1:9" x14ac:dyDescent="0.25">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2068</v>
      </c>
      <c r="D187" s="1" t="s">
        <v>2069</v>
      </c>
      <c r="E187" s="1" t="s">
        <v>2070</v>
      </c>
      <c r="F187" s="1" t="s">
        <v>111</v>
      </c>
      <c r="G187" s="1">
        <v>3167325</v>
      </c>
    </row>
    <row r="188" spans="1:9" x14ac:dyDescent="0.25">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2071</v>
      </c>
      <c r="D188" s="1" t="s">
        <v>2072</v>
      </c>
      <c r="E188" s="1" t="s">
        <v>2073</v>
      </c>
      <c r="F188" s="1" t="s">
        <v>111</v>
      </c>
      <c r="G188" s="1">
        <v>3476533</v>
      </c>
    </row>
    <row r="189" spans="1:9" x14ac:dyDescent="0.25">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2074</v>
      </c>
      <c r="D189" s="1" t="s">
        <v>1968</v>
      </c>
      <c r="E189" s="1" t="s">
        <v>2075</v>
      </c>
      <c r="F189" s="1" t="s">
        <v>111</v>
      </c>
      <c r="G189" s="1">
        <v>3964926</v>
      </c>
    </row>
    <row r="190" spans="1:9" x14ac:dyDescent="0.25">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2076</v>
      </c>
      <c r="D190" s="1" t="s">
        <v>2077</v>
      </c>
      <c r="E190" s="1" t="s">
        <v>2078</v>
      </c>
      <c r="F190" s="1" t="s">
        <v>111</v>
      </c>
      <c r="G190" s="1">
        <v>3468919</v>
      </c>
    </row>
    <row r="191" spans="1:9"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111</v>
      </c>
    </row>
    <row r="192" spans="1:9"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230</v>
      </c>
      <c r="D192" s="1" t="s">
        <v>111</v>
      </c>
      <c r="E192" s="1" t="s">
        <v>231</v>
      </c>
      <c r="F192" s="1" t="s">
        <v>232</v>
      </c>
      <c r="G192" s="1" t="s">
        <v>233</v>
      </c>
      <c r="H192" s="1" t="s">
        <v>234</v>
      </c>
      <c r="I192" s="1" t="s">
        <v>235</v>
      </c>
    </row>
    <row r="193" spans="1:9" x14ac:dyDescent="0.25">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2079</v>
      </c>
      <c r="D193" s="1" t="s">
        <v>111</v>
      </c>
      <c r="E193" s="1" t="s">
        <v>2080</v>
      </c>
      <c r="F193" s="1" t="s">
        <v>2081</v>
      </c>
      <c r="G193" s="1" t="s">
        <v>2082</v>
      </c>
      <c r="H193" s="1" t="s">
        <v>2083</v>
      </c>
      <c r="I193" s="1">
        <v>24</v>
      </c>
    </row>
    <row r="194" spans="1:9"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111</v>
      </c>
    </row>
    <row r="195" spans="1:9"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111</v>
      </c>
    </row>
    <row r="196" spans="1:9"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111</v>
      </c>
    </row>
    <row r="197" spans="1:9"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111</v>
      </c>
    </row>
    <row r="198" spans="1:9"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111</v>
      </c>
    </row>
    <row r="199" spans="1:9"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240</v>
      </c>
      <c r="D199" s="1" t="s">
        <v>109</v>
      </c>
      <c r="E199" s="1" t="s">
        <v>110</v>
      </c>
      <c r="F199" s="1" t="s">
        <v>111</v>
      </c>
      <c r="G199" s="1" t="s">
        <v>112</v>
      </c>
    </row>
    <row r="200" spans="1:9"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2084</v>
      </c>
      <c r="D200" s="1" t="s">
        <v>2085</v>
      </c>
      <c r="E200" s="1" t="s">
        <v>2086</v>
      </c>
      <c r="F200" s="1" t="s">
        <v>111</v>
      </c>
      <c r="G200" s="1">
        <v>609301</v>
      </c>
    </row>
    <row r="201" spans="1:9"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2087</v>
      </c>
      <c r="D201" s="1" t="s">
        <v>2088</v>
      </c>
      <c r="E201" s="1" t="s">
        <v>2089</v>
      </c>
      <c r="F201" s="1" t="s">
        <v>111</v>
      </c>
      <c r="G201" s="1">
        <v>455545</v>
      </c>
    </row>
    <row r="202" spans="1:9"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2090</v>
      </c>
      <c r="D202" s="1" t="s">
        <v>2091</v>
      </c>
      <c r="E202" s="1" t="s">
        <v>2092</v>
      </c>
      <c r="F202" s="1" t="s">
        <v>111</v>
      </c>
      <c r="G202" s="1">
        <v>755965</v>
      </c>
    </row>
    <row r="203" spans="1:9"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2093</v>
      </c>
      <c r="D203" s="1" t="s">
        <v>2094</v>
      </c>
      <c r="E203" s="1" t="s">
        <v>2095</v>
      </c>
      <c r="F203" s="1" t="s">
        <v>111</v>
      </c>
      <c r="G203" s="1">
        <v>6572418</v>
      </c>
    </row>
    <row r="204" spans="1:9"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2096</v>
      </c>
      <c r="D204" s="1" t="s">
        <v>2097</v>
      </c>
      <c r="E204" s="1" t="s">
        <v>2098</v>
      </c>
      <c r="F204" s="1" t="s">
        <v>111</v>
      </c>
      <c r="G204" s="1">
        <v>6801681</v>
      </c>
    </row>
    <row r="205" spans="1:9"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2099</v>
      </c>
      <c r="D205" s="1" t="s">
        <v>2100</v>
      </c>
      <c r="E205" s="1" t="s">
        <v>2101</v>
      </c>
      <c r="F205" s="1" t="s">
        <v>111</v>
      </c>
      <c r="G205" s="1">
        <v>6790065</v>
      </c>
    </row>
    <row r="206" spans="1:9"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2102</v>
      </c>
      <c r="D206" s="1" t="s">
        <v>2103</v>
      </c>
      <c r="E206" s="1" t="s">
        <v>2104</v>
      </c>
      <c r="F206" s="1" t="s">
        <v>111</v>
      </c>
      <c r="G206" s="1">
        <v>5379747</v>
      </c>
    </row>
    <row r="207" spans="1:9"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2105</v>
      </c>
      <c r="D207" s="1" t="s">
        <v>2106</v>
      </c>
      <c r="E207" s="1" t="s">
        <v>2107</v>
      </c>
      <c r="F207" s="1" t="s">
        <v>111</v>
      </c>
      <c r="G207" s="1">
        <v>5382162</v>
      </c>
    </row>
    <row r="208" spans="1:9"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2108</v>
      </c>
      <c r="D208" s="1" t="s">
        <v>2109</v>
      </c>
      <c r="E208" s="1" t="s">
        <v>2110</v>
      </c>
      <c r="F208" s="1" t="s">
        <v>111</v>
      </c>
      <c r="G208" s="1">
        <v>5520146</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2111</v>
      </c>
      <c r="D209" s="1" t="s">
        <v>2112</v>
      </c>
      <c r="E209" s="1" t="s">
        <v>2113</v>
      </c>
      <c r="F209" s="1" t="s">
        <v>111</v>
      </c>
      <c r="G209" s="1">
        <v>6164209</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2114</v>
      </c>
      <c r="D210" s="1" t="s">
        <v>2115</v>
      </c>
      <c r="E210" s="1" t="s">
        <v>2116</v>
      </c>
      <c r="F210" s="1" t="s">
        <v>111</v>
      </c>
      <c r="G210" s="1">
        <v>6097121</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2117</v>
      </c>
      <c r="D211" s="1" t="s">
        <v>2118</v>
      </c>
      <c r="E211" s="1" t="s">
        <v>2119</v>
      </c>
      <c r="F211" s="1" t="s">
        <v>111</v>
      </c>
      <c r="G211" s="1">
        <v>6101667</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2120</v>
      </c>
      <c r="D212" s="1" t="s">
        <v>2121</v>
      </c>
      <c r="E212" s="1" t="s">
        <v>2122</v>
      </c>
      <c r="F212" s="1" t="s">
        <v>111</v>
      </c>
      <c r="G212" s="1">
        <v>5004865</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2123</v>
      </c>
      <c r="D213" s="1" t="s">
        <v>2124</v>
      </c>
      <c r="E213" s="1" t="s">
        <v>2125</v>
      </c>
      <c r="F213" s="1" t="s">
        <v>111</v>
      </c>
      <c r="G213" s="1">
        <v>5372286</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2126</v>
      </c>
      <c r="D214" s="1" t="s">
        <v>2127</v>
      </c>
      <c r="E214" s="1" t="s">
        <v>2128</v>
      </c>
      <c r="F214" s="1" t="s">
        <v>111</v>
      </c>
      <c r="G214" s="1">
        <v>5760938</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2129</v>
      </c>
      <c r="D215" s="1" t="s">
        <v>2130</v>
      </c>
      <c r="E215" s="1" t="s">
        <v>2131</v>
      </c>
      <c r="F215" s="1" t="s">
        <v>111</v>
      </c>
      <c r="G215" s="1">
        <v>6660804</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2132</v>
      </c>
      <c r="D216" s="1" t="s">
        <v>2133</v>
      </c>
      <c r="E216" s="1" t="s">
        <v>2134</v>
      </c>
      <c r="F216" s="1" t="s">
        <v>111</v>
      </c>
      <c r="G216" s="1">
        <v>6487231</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2135</v>
      </c>
      <c r="D217" s="1" t="s">
        <v>2136</v>
      </c>
      <c r="E217" s="1" t="s">
        <v>2137</v>
      </c>
      <c r="F217" s="1" t="s">
        <v>111</v>
      </c>
      <c r="G217" s="1">
        <v>6651472</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2138</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2139</v>
      </c>
      <c r="D219" s="1" t="s">
        <v>2140</v>
      </c>
      <c r="E219" s="1" t="s">
        <v>2141</v>
      </c>
      <c r="F219" s="1" t="s">
        <v>111</v>
      </c>
      <c r="G219" s="1">
        <v>3242876</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2142</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2143</v>
      </c>
      <c r="D221" s="1" t="s">
        <v>2144</v>
      </c>
      <c r="E221" s="1" t="s">
        <v>2145</v>
      </c>
      <c r="F221" s="1" t="s">
        <v>111</v>
      </c>
      <c r="G221" s="1">
        <v>1824901</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2146</v>
      </c>
      <c r="D222" s="1" t="s">
        <v>2147</v>
      </c>
      <c r="E222" s="1" t="s">
        <v>2148</v>
      </c>
      <c r="F222" s="1" t="s">
        <v>111</v>
      </c>
      <c r="G222" s="1">
        <v>2033106</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2149</v>
      </c>
      <c r="D223" s="1" t="s">
        <v>2150</v>
      </c>
      <c r="E223" s="1" t="s">
        <v>2151</v>
      </c>
      <c r="F223" s="1" t="s">
        <v>111</v>
      </c>
      <c r="G223" s="1">
        <v>2266197</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111</v>
      </c>
    </row>
    <row r="225" spans="1:9"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230</v>
      </c>
      <c r="D225" s="1" t="s">
        <v>111</v>
      </c>
      <c r="E225" s="1" t="s">
        <v>231</v>
      </c>
      <c r="F225" s="1" t="s">
        <v>232</v>
      </c>
      <c r="G225" s="1" t="s">
        <v>233</v>
      </c>
      <c r="H225" s="1" t="s">
        <v>234</v>
      </c>
      <c r="I225" s="1" t="s">
        <v>235</v>
      </c>
    </row>
    <row r="226" spans="1:9"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2152</v>
      </c>
      <c r="D226" s="1" t="s">
        <v>111</v>
      </c>
      <c r="E226" s="1" t="s">
        <v>2153</v>
      </c>
      <c r="F226" s="1" t="s">
        <v>2154</v>
      </c>
      <c r="G226" s="1" t="s">
        <v>2155</v>
      </c>
      <c r="H226" s="1" t="s">
        <v>2156</v>
      </c>
      <c r="I226" s="1">
        <v>24</v>
      </c>
    </row>
    <row r="227" spans="1:9"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111</v>
      </c>
    </row>
    <row r="228" spans="1:9"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111</v>
      </c>
    </row>
    <row r="229" spans="1:9"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111</v>
      </c>
    </row>
    <row r="230" spans="1:9"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111</v>
      </c>
    </row>
    <row r="231" spans="1:9"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111</v>
      </c>
    </row>
    <row r="232" spans="1:9"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240</v>
      </c>
      <c r="D232" s="1" t="s">
        <v>109</v>
      </c>
      <c r="E232" s="1" t="s">
        <v>110</v>
      </c>
      <c r="F232" s="1" t="s">
        <v>111</v>
      </c>
      <c r="G232" s="1" t="s">
        <v>112</v>
      </c>
    </row>
    <row r="233" spans="1:9" x14ac:dyDescent="0.25">
      <c r="A233" s="1" t="str">
        <f t="shared" si="3"/>
        <v>08 Atenolol 0.01</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2157</v>
      </c>
      <c r="D233" s="1" t="s">
        <v>2158</v>
      </c>
      <c r="E233" s="1" t="s">
        <v>2159</v>
      </c>
      <c r="F233" s="1" t="s">
        <v>111</v>
      </c>
      <c r="G233" s="1">
        <v>325719</v>
      </c>
    </row>
    <row r="234" spans="1:9" x14ac:dyDescent="0.25">
      <c r="A234" s="1" t="str">
        <f t="shared" si="3"/>
        <v>08 Atenolol 0.01</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2160</v>
      </c>
      <c r="D234" s="1" t="s">
        <v>2161</v>
      </c>
      <c r="E234" s="1" t="s">
        <v>2162</v>
      </c>
      <c r="F234" s="1" t="s">
        <v>111</v>
      </c>
      <c r="G234" s="1">
        <v>402575</v>
      </c>
    </row>
    <row r="235" spans="1:9" x14ac:dyDescent="0.25">
      <c r="A235" s="1" t="str">
        <f t="shared" si="3"/>
        <v>08 Atenolol 0.01</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2163</v>
      </c>
      <c r="D235" s="1" t="s">
        <v>2164</v>
      </c>
      <c r="E235" s="1" t="s">
        <v>2165</v>
      </c>
      <c r="F235" s="1" t="s">
        <v>111</v>
      </c>
      <c r="G235" s="1">
        <v>409884</v>
      </c>
    </row>
    <row r="236" spans="1:9" x14ac:dyDescent="0.25">
      <c r="A236" s="1" t="str">
        <f t="shared" si="3"/>
        <v>08 Atenolol 0.01</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2166</v>
      </c>
      <c r="D236" s="1" t="s">
        <v>1739</v>
      </c>
      <c r="E236" s="1" t="s">
        <v>2167</v>
      </c>
      <c r="F236" s="1" t="s">
        <v>111</v>
      </c>
      <c r="G236" s="1">
        <v>49381</v>
      </c>
    </row>
    <row r="237" spans="1:9" x14ac:dyDescent="0.25">
      <c r="A237" s="1" t="str">
        <f t="shared" si="3"/>
        <v>08 Atenolol 0.01</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2168</v>
      </c>
      <c r="D237" s="1" t="s">
        <v>2169</v>
      </c>
      <c r="E237" s="1" t="s">
        <v>2170</v>
      </c>
      <c r="F237" s="1" t="s">
        <v>111</v>
      </c>
      <c r="G237" s="1">
        <v>60497</v>
      </c>
    </row>
    <row r="238" spans="1:9" x14ac:dyDescent="0.25">
      <c r="A238" s="1" t="str">
        <f t="shared" si="3"/>
        <v>08 Atenolol 0.01</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2171</v>
      </c>
      <c r="D238" s="1" t="s">
        <v>1897</v>
      </c>
      <c r="E238" s="1" t="s">
        <v>2172</v>
      </c>
      <c r="F238" s="1" t="s">
        <v>111</v>
      </c>
      <c r="G238" s="1">
        <v>47097</v>
      </c>
    </row>
    <row r="239" spans="1:9" x14ac:dyDescent="0.25">
      <c r="A239" s="1" t="str">
        <f t="shared" si="3"/>
        <v>08 Atenolol 0.01</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2173</v>
      </c>
      <c r="D239" s="1" t="s">
        <v>2174</v>
      </c>
      <c r="E239" s="1" t="s">
        <v>2175</v>
      </c>
      <c r="F239" s="1" t="s">
        <v>111</v>
      </c>
      <c r="G239" s="1">
        <v>82512</v>
      </c>
    </row>
    <row r="240" spans="1:9" x14ac:dyDescent="0.25">
      <c r="A240" s="1" t="str">
        <f t="shared" si="3"/>
        <v>08 Atenolol 0.01</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2176</v>
      </c>
      <c r="D240" s="1" t="s">
        <v>2177</v>
      </c>
      <c r="E240" s="1" t="s">
        <v>1861</v>
      </c>
      <c r="F240" s="1" t="s">
        <v>111</v>
      </c>
      <c r="G240" s="1">
        <v>23407</v>
      </c>
    </row>
    <row r="241" spans="1:7" x14ac:dyDescent="0.25">
      <c r="A241" s="1" t="str">
        <f t="shared" si="3"/>
        <v>08 Atenolol 0.01</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2178</v>
      </c>
      <c r="D241" s="1" t="s">
        <v>2179</v>
      </c>
      <c r="E241" s="1" t="s">
        <v>2180</v>
      </c>
      <c r="F241" s="1" t="s">
        <v>111</v>
      </c>
      <c r="G241" s="1">
        <v>41571</v>
      </c>
    </row>
    <row r="242" spans="1:7" x14ac:dyDescent="0.25">
      <c r="A242" s="1" t="str">
        <f t="shared" si="3"/>
        <v>08 Atenolol 0.01</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2181</v>
      </c>
      <c r="D242" s="1" t="s">
        <v>2182</v>
      </c>
      <c r="E242" s="1" t="s">
        <v>2183</v>
      </c>
      <c r="F242" s="1" t="s">
        <v>111</v>
      </c>
      <c r="G242" s="1">
        <v>129957</v>
      </c>
    </row>
    <row r="243" spans="1:7" x14ac:dyDescent="0.25">
      <c r="A243" s="1" t="str">
        <f t="shared" si="3"/>
        <v>08 Atenolol 0.01</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2184</v>
      </c>
      <c r="D243" s="1" t="s">
        <v>2185</v>
      </c>
      <c r="E243" s="1" t="s">
        <v>2186</v>
      </c>
      <c r="F243" s="1" t="s">
        <v>111</v>
      </c>
      <c r="G243" s="1">
        <v>59431</v>
      </c>
    </row>
    <row r="244" spans="1:7" x14ac:dyDescent="0.25">
      <c r="A244" s="1" t="str">
        <f t="shared" si="3"/>
        <v>08 Atenolol 0.01</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2187</v>
      </c>
      <c r="D244" s="1" t="s">
        <v>2188</v>
      </c>
      <c r="E244" s="1" t="s">
        <v>2189</v>
      </c>
      <c r="F244" s="1" t="s">
        <v>111</v>
      </c>
      <c r="G244" s="1">
        <v>192825</v>
      </c>
    </row>
    <row r="245" spans="1:7" x14ac:dyDescent="0.25">
      <c r="A245" s="1" t="str">
        <f t="shared" si="3"/>
        <v>08 Atenolol 0.01</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2190</v>
      </c>
      <c r="D245" s="1" t="s">
        <v>2191</v>
      </c>
      <c r="E245" s="1">
        <v>63</v>
      </c>
      <c r="F245" s="1" t="s">
        <v>111</v>
      </c>
      <c r="G245" s="1">
        <v>9593</v>
      </c>
    </row>
    <row r="246" spans="1:7" x14ac:dyDescent="0.25">
      <c r="A246" s="1" t="str">
        <f t="shared" si="3"/>
        <v>08 Atenolol 0.01</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2192</v>
      </c>
      <c r="D246" s="1" t="s">
        <v>2191</v>
      </c>
      <c r="E246" s="1" t="s">
        <v>2193</v>
      </c>
      <c r="F246" s="1" t="s">
        <v>111</v>
      </c>
      <c r="G246" s="1">
        <v>9615</v>
      </c>
    </row>
    <row r="247" spans="1:7" x14ac:dyDescent="0.25">
      <c r="A247" s="1" t="str">
        <f t="shared" si="3"/>
        <v>08 Atenolol 0.01</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2194</v>
      </c>
      <c r="D247" s="1" t="s">
        <v>2191</v>
      </c>
      <c r="E247" s="1">
        <v>63</v>
      </c>
      <c r="F247" s="1" t="s">
        <v>111</v>
      </c>
      <c r="G247" s="1">
        <v>9593</v>
      </c>
    </row>
    <row r="248" spans="1:7" x14ac:dyDescent="0.25">
      <c r="A248" s="1" t="str">
        <f t="shared" si="3"/>
        <v>08 Atenolol 0.01</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2195</v>
      </c>
      <c r="D248" s="1" t="s">
        <v>2196</v>
      </c>
      <c r="E248" s="1" t="s">
        <v>2197</v>
      </c>
      <c r="F248" s="1" t="s">
        <v>111</v>
      </c>
      <c r="G248" s="1">
        <v>135635</v>
      </c>
    </row>
    <row r="249" spans="1:7" x14ac:dyDescent="0.25">
      <c r="A249" s="1" t="str">
        <f t="shared" si="3"/>
        <v>08 Atenolol 0.01</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2198</v>
      </c>
      <c r="D249" s="1" t="s">
        <v>1817</v>
      </c>
      <c r="E249" s="1" t="s">
        <v>2199</v>
      </c>
      <c r="F249" s="1" t="s">
        <v>111</v>
      </c>
      <c r="G249" s="1">
        <v>122648</v>
      </c>
    </row>
    <row r="250" spans="1:7" x14ac:dyDescent="0.25">
      <c r="A250" s="1" t="str">
        <f t="shared" si="3"/>
        <v>08 Atenolol 0.01</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2200</v>
      </c>
      <c r="D250" s="1" t="s">
        <v>2201</v>
      </c>
      <c r="E250" s="1" t="s">
        <v>2202</v>
      </c>
      <c r="F250" s="1" t="s">
        <v>111</v>
      </c>
      <c r="G250" s="1">
        <v>103918</v>
      </c>
    </row>
    <row r="251" spans="1:7" x14ac:dyDescent="0.25">
      <c r="A251" s="1" t="str">
        <f t="shared" si="3"/>
        <v>08 Atenolol 0.01</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2203</v>
      </c>
      <c r="D251" s="1" t="s">
        <v>2204</v>
      </c>
      <c r="E251" s="1" t="s">
        <v>2205</v>
      </c>
      <c r="F251" s="1" t="s">
        <v>111</v>
      </c>
      <c r="G251" s="1">
        <v>405098</v>
      </c>
    </row>
    <row r="252" spans="1:7" x14ac:dyDescent="0.25">
      <c r="A252" s="1" t="str">
        <f t="shared" si="3"/>
        <v>08 Atenolol 0.01</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2206</v>
      </c>
      <c r="D252" s="1" t="s">
        <v>2002</v>
      </c>
      <c r="E252" s="1" t="s">
        <v>2207</v>
      </c>
      <c r="F252" s="1" t="s">
        <v>111</v>
      </c>
      <c r="G252" s="1">
        <v>313798</v>
      </c>
    </row>
    <row r="253" spans="1:7" x14ac:dyDescent="0.25">
      <c r="A253" s="1" t="str">
        <f t="shared" si="3"/>
        <v>08 Atenolol 0.01</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2208</v>
      </c>
      <c r="D253" s="1" t="s">
        <v>2209</v>
      </c>
      <c r="E253" s="1" t="s">
        <v>2210</v>
      </c>
      <c r="F253" s="1" t="s">
        <v>111</v>
      </c>
      <c r="G253" s="1">
        <v>224738</v>
      </c>
    </row>
    <row r="254" spans="1:7" x14ac:dyDescent="0.25">
      <c r="A254" s="1" t="str">
        <f t="shared" si="3"/>
        <v>08 Atenolol 0.01</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2211</v>
      </c>
    </row>
    <row r="255" spans="1:7" x14ac:dyDescent="0.25">
      <c r="A255" s="1" t="str">
        <f t="shared" si="3"/>
        <v>08 Atenolol 0.01</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2212</v>
      </c>
    </row>
    <row r="256" spans="1:7" x14ac:dyDescent="0.25">
      <c r="A256" s="1" t="str">
        <f t="shared" si="3"/>
        <v>08 Atenolol 0.01</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2213</v>
      </c>
    </row>
    <row r="257" spans="1:9"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111</v>
      </c>
    </row>
    <row r="258" spans="1:9"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230</v>
      </c>
      <c r="D258" s="1" t="s">
        <v>111</v>
      </c>
      <c r="E258" s="1" t="s">
        <v>231</v>
      </c>
      <c r="F258" s="1" t="s">
        <v>232</v>
      </c>
      <c r="G258" s="1" t="s">
        <v>233</v>
      </c>
      <c r="H258" s="1" t="s">
        <v>234</v>
      </c>
      <c r="I258" s="1" t="s">
        <v>235</v>
      </c>
    </row>
    <row r="259" spans="1:9" x14ac:dyDescent="0.25">
      <c r="A259" s="1" t="str">
        <f t="shared" si="4"/>
        <v>08 Atenolol 0.01</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2214</v>
      </c>
      <c r="D259" s="1" t="s">
        <v>111</v>
      </c>
      <c r="E259" s="1" t="s">
        <v>2215</v>
      </c>
      <c r="F259" s="1" t="s">
        <v>2216</v>
      </c>
      <c r="G259" s="1" t="s">
        <v>2217</v>
      </c>
      <c r="H259" s="1" t="s">
        <v>2218</v>
      </c>
      <c r="I259" s="1">
        <v>24</v>
      </c>
    </row>
    <row r="260" spans="1:9"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111</v>
      </c>
    </row>
    <row r="261" spans="1:9"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111</v>
      </c>
    </row>
    <row r="262" spans="1:9"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111</v>
      </c>
    </row>
    <row r="263" spans="1:9"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111</v>
      </c>
    </row>
    <row r="264" spans="1:9"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111</v>
      </c>
    </row>
    <row r="265" spans="1:9"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240</v>
      </c>
      <c r="D265" s="1" t="s">
        <v>109</v>
      </c>
      <c r="E265" s="1" t="s">
        <v>110</v>
      </c>
      <c r="F265" s="1" t="s">
        <v>111</v>
      </c>
      <c r="G265" s="1" t="s">
        <v>112</v>
      </c>
    </row>
    <row r="266" spans="1:9" x14ac:dyDescent="0.25">
      <c r="A266" s="1" t="str">
        <f t="shared" si="4"/>
        <v>09 Atenolol 0.1</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2219</v>
      </c>
      <c r="D266" s="1" t="s">
        <v>2220</v>
      </c>
      <c r="E266" s="1" t="s">
        <v>2221</v>
      </c>
      <c r="F266" s="1" t="s">
        <v>111</v>
      </c>
      <c r="G266" s="1">
        <v>132263</v>
      </c>
    </row>
    <row r="267" spans="1:9" x14ac:dyDescent="0.25">
      <c r="A267" s="1" t="str">
        <f t="shared" si="4"/>
        <v>09 Atenolol 0.1</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2222</v>
      </c>
      <c r="D267" s="1" t="s">
        <v>2223</v>
      </c>
      <c r="E267" s="1" t="s">
        <v>2224</v>
      </c>
      <c r="F267" s="1" t="s">
        <v>111</v>
      </c>
      <c r="G267" s="1">
        <v>155822</v>
      </c>
    </row>
    <row r="268" spans="1:9" x14ac:dyDescent="0.25">
      <c r="A268" s="1" t="str">
        <f t="shared" si="4"/>
        <v>09 Atenolol 0.1</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2225</v>
      </c>
      <c r="D268" s="1" t="s">
        <v>1711</v>
      </c>
      <c r="E268" s="1" t="s">
        <v>2226</v>
      </c>
      <c r="F268" s="1" t="s">
        <v>111</v>
      </c>
      <c r="G268" s="1">
        <v>74528</v>
      </c>
    </row>
    <row r="269" spans="1:9" x14ac:dyDescent="0.25">
      <c r="A269" s="1" t="str">
        <f t="shared" si="4"/>
        <v>09 Atenolol 0.1</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2227</v>
      </c>
      <c r="D269" s="1" t="s">
        <v>1976</v>
      </c>
      <c r="E269" s="1" t="s">
        <v>1517</v>
      </c>
      <c r="F269" s="1" t="s">
        <v>111</v>
      </c>
      <c r="G269" s="1">
        <v>29629</v>
      </c>
    </row>
    <row r="270" spans="1:9" x14ac:dyDescent="0.25">
      <c r="A270" s="1" t="str">
        <f t="shared" si="4"/>
        <v>09 Atenolol 0.1</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2228</v>
      </c>
      <c r="D270" s="1" t="s">
        <v>2229</v>
      </c>
      <c r="E270" s="1" t="s">
        <v>2230</v>
      </c>
      <c r="F270" s="1" t="s">
        <v>111</v>
      </c>
      <c r="G270" s="1">
        <v>100481</v>
      </c>
    </row>
    <row r="271" spans="1:9" x14ac:dyDescent="0.25">
      <c r="A271" s="1" t="str">
        <f t="shared" si="4"/>
        <v>09 Atenolol 0.1</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2231</v>
      </c>
      <c r="D271" s="1" t="s">
        <v>1733</v>
      </c>
      <c r="E271" s="1" t="s">
        <v>2232</v>
      </c>
      <c r="F271" s="1" t="s">
        <v>111</v>
      </c>
      <c r="G271" s="1">
        <v>32217</v>
      </c>
    </row>
    <row r="272" spans="1:9" x14ac:dyDescent="0.25">
      <c r="A272" s="1" t="str">
        <f t="shared" si="4"/>
        <v>09 Atenolol 0.1</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2233</v>
      </c>
      <c r="D272" s="1" t="s">
        <v>2234</v>
      </c>
      <c r="E272" s="1" t="s">
        <v>2235</v>
      </c>
      <c r="F272" s="1" t="s">
        <v>111</v>
      </c>
      <c r="G272" s="1">
        <v>20579</v>
      </c>
    </row>
    <row r="273" spans="1:7" x14ac:dyDescent="0.25">
      <c r="A273" s="1" t="str">
        <f t="shared" si="4"/>
        <v>09 Atenolol 0.1</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2236</v>
      </c>
      <c r="D273" s="1" t="s">
        <v>2237</v>
      </c>
      <c r="E273" s="1" t="s">
        <v>2238</v>
      </c>
      <c r="F273" s="1" t="s">
        <v>111</v>
      </c>
      <c r="G273" s="1">
        <v>15032</v>
      </c>
    </row>
    <row r="274" spans="1:7" x14ac:dyDescent="0.25">
      <c r="A274" s="1" t="str">
        <f t="shared" si="4"/>
        <v>09 Atenolol 0.1</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2239</v>
      </c>
      <c r="D274" s="1" t="s">
        <v>2240</v>
      </c>
      <c r="E274" s="1">
        <v>65</v>
      </c>
      <c r="F274" s="1" t="s">
        <v>111</v>
      </c>
      <c r="G274" s="1">
        <v>11312</v>
      </c>
    </row>
    <row r="275" spans="1:7" x14ac:dyDescent="0.25">
      <c r="A275" s="1" t="str">
        <f t="shared" si="4"/>
        <v>09 Atenolol 0.1</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2241</v>
      </c>
      <c r="D275" s="1" t="s">
        <v>2177</v>
      </c>
      <c r="E275" s="1" t="s">
        <v>2242</v>
      </c>
      <c r="F275" s="1" t="s">
        <v>111</v>
      </c>
      <c r="G275" s="1">
        <v>23733</v>
      </c>
    </row>
    <row r="276" spans="1:7" x14ac:dyDescent="0.25">
      <c r="A276" s="1" t="str">
        <f t="shared" si="4"/>
        <v>09 Atenolol 0.1</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2243</v>
      </c>
      <c r="D276" s="1" t="s">
        <v>1852</v>
      </c>
      <c r="E276" s="1" t="s">
        <v>2244</v>
      </c>
      <c r="F276" s="1" t="s">
        <v>111</v>
      </c>
      <c r="G276" s="1">
        <v>56277</v>
      </c>
    </row>
    <row r="277" spans="1:7" x14ac:dyDescent="0.25">
      <c r="A277" s="1" t="str">
        <f t="shared" si="4"/>
        <v>09 Atenolol 0.1</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2245</v>
      </c>
      <c r="D277" s="1" t="s">
        <v>2246</v>
      </c>
      <c r="E277" s="1" t="s">
        <v>1667</v>
      </c>
      <c r="F277" s="1" t="s">
        <v>111</v>
      </c>
      <c r="G277" s="1">
        <v>24190</v>
      </c>
    </row>
    <row r="278" spans="1:7" x14ac:dyDescent="0.25">
      <c r="A278" s="1" t="str">
        <f t="shared" si="4"/>
        <v>09 Atenolol 0.1</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2247</v>
      </c>
      <c r="D278" s="1" t="s">
        <v>2248</v>
      </c>
      <c r="E278" s="1" t="s">
        <v>2249</v>
      </c>
      <c r="F278" s="1" t="s">
        <v>111</v>
      </c>
      <c r="G278" s="1">
        <v>44508</v>
      </c>
    </row>
    <row r="279" spans="1:7" x14ac:dyDescent="0.25">
      <c r="A279" s="1" t="str">
        <f t="shared" si="4"/>
        <v>09 Atenolol 0.1</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2250</v>
      </c>
      <c r="D279" s="1" t="s">
        <v>2185</v>
      </c>
      <c r="E279" s="1" t="s">
        <v>2251</v>
      </c>
      <c r="F279" s="1" t="s">
        <v>111</v>
      </c>
      <c r="G279" s="1">
        <v>59322</v>
      </c>
    </row>
    <row r="280" spans="1:7" x14ac:dyDescent="0.25">
      <c r="A280" s="1" t="str">
        <f t="shared" si="4"/>
        <v>09 Atenolol 0.1</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2252</v>
      </c>
      <c r="D280" s="1" t="s">
        <v>1976</v>
      </c>
      <c r="E280" s="1" t="s">
        <v>2253</v>
      </c>
      <c r="F280" s="1" t="s">
        <v>111</v>
      </c>
      <c r="G280" s="1">
        <v>29346</v>
      </c>
    </row>
    <row r="281" spans="1:7" x14ac:dyDescent="0.25">
      <c r="A281" s="1" t="str">
        <f t="shared" si="4"/>
        <v>09 Atenolol 0.1</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2254</v>
      </c>
      <c r="D281" s="1" t="s">
        <v>2255</v>
      </c>
      <c r="E281" s="1" t="s">
        <v>1893</v>
      </c>
      <c r="F281" s="1" t="s">
        <v>111</v>
      </c>
      <c r="G281" s="1">
        <v>30303</v>
      </c>
    </row>
    <row r="282" spans="1:7" x14ac:dyDescent="0.25">
      <c r="A282" s="1" t="str">
        <f t="shared" si="4"/>
        <v>09 Atenolol 0.1</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2256</v>
      </c>
    </row>
    <row r="283" spans="1:7" x14ac:dyDescent="0.25">
      <c r="A283" s="1" t="str">
        <f t="shared" si="4"/>
        <v>09 Atenolol 0.1</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2257</v>
      </c>
      <c r="D283" s="1" t="s">
        <v>1736</v>
      </c>
      <c r="E283" s="1" t="s">
        <v>2180</v>
      </c>
      <c r="F283" s="1" t="s">
        <v>111</v>
      </c>
      <c r="G283" s="1">
        <v>27714</v>
      </c>
    </row>
    <row r="284" spans="1:7" x14ac:dyDescent="0.25">
      <c r="A284" s="1" t="str">
        <f t="shared" si="4"/>
        <v>09 Atenolol 0.1</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2258</v>
      </c>
      <c r="D284" s="1" t="s">
        <v>1785</v>
      </c>
      <c r="E284" s="1" t="s">
        <v>2259</v>
      </c>
      <c r="F284" s="1" t="s">
        <v>111</v>
      </c>
      <c r="G284" s="1">
        <v>51339</v>
      </c>
    </row>
    <row r="285" spans="1:7" x14ac:dyDescent="0.25">
      <c r="A285" s="1" t="str">
        <f t="shared" si="4"/>
        <v>09 Atenolol 0.1</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2260</v>
      </c>
      <c r="D285" s="1" t="s">
        <v>1758</v>
      </c>
      <c r="E285" s="1" t="s">
        <v>2261</v>
      </c>
      <c r="F285" s="1" t="s">
        <v>111</v>
      </c>
      <c r="G285" s="1">
        <v>17708</v>
      </c>
    </row>
    <row r="286" spans="1:7" x14ac:dyDescent="0.25">
      <c r="A286" s="1" t="str">
        <f t="shared" si="4"/>
        <v>09 Atenolol 0.1</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2262</v>
      </c>
      <c r="D286" s="1" t="s">
        <v>2263</v>
      </c>
      <c r="E286" s="1" t="s">
        <v>2264</v>
      </c>
      <c r="F286" s="1" t="s">
        <v>111</v>
      </c>
      <c r="G286" s="1">
        <v>112402</v>
      </c>
    </row>
    <row r="287" spans="1:7" x14ac:dyDescent="0.25">
      <c r="A287" s="1" t="str">
        <f t="shared" si="4"/>
        <v>09 Atenolol 0.1</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2265</v>
      </c>
      <c r="D287" s="1" t="s">
        <v>2177</v>
      </c>
      <c r="E287" s="1" t="s">
        <v>2266</v>
      </c>
      <c r="F287" s="1" t="s">
        <v>111</v>
      </c>
      <c r="G287" s="1">
        <v>23015</v>
      </c>
    </row>
    <row r="288" spans="1:7" x14ac:dyDescent="0.25">
      <c r="A288" s="1" t="str">
        <f t="shared" si="4"/>
        <v>09 Atenolol 0.1</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2267</v>
      </c>
      <c r="D288" s="1" t="s">
        <v>2268</v>
      </c>
      <c r="E288" s="1" t="s">
        <v>2269</v>
      </c>
      <c r="F288" s="1" t="s">
        <v>111</v>
      </c>
      <c r="G288" s="1">
        <v>99045</v>
      </c>
    </row>
    <row r="289" spans="1:9" x14ac:dyDescent="0.25">
      <c r="A289" s="1" t="str">
        <f t="shared" si="4"/>
        <v>09 Atenolol 0.1</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2270</v>
      </c>
      <c r="D289" s="1" t="s">
        <v>2271</v>
      </c>
      <c r="E289" s="1" t="s">
        <v>2272</v>
      </c>
      <c r="F289" s="1" t="s">
        <v>111</v>
      </c>
      <c r="G289" s="1">
        <v>119994</v>
      </c>
    </row>
    <row r="290" spans="1:9"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111</v>
      </c>
    </row>
    <row r="291" spans="1:9"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230</v>
      </c>
      <c r="D291" s="1" t="s">
        <v>111</v>
      </c>
      <c r="E291" s="1" t="s">
        <v>231</v>
      </c>
      <c r="F291" s="1" t="s">
        <v>232</v>
      </c>
      <c r="G291" s="1" t="s">
        <v>233</v>
      </c>
      <c r="H291" s="1" t="s">
        <v>234</v>
      </c>
      <c r="I291" s="1" t="s">
        <v>235</v>
      </c>
    </row>
    <row r="292" spans="1:9" x14ac:dyDescent="0.25">
      <c r="A292" s="1" t="str">
        <f t="shared" si="4"/>
        <v>09 Atenolol 0.1</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2273</v>
      </c>
      <c r="D292" s="1" t="s">
        <v>111</v>
      </c>
      <c r="E292" s="1" t="s">
        <v>2274</v>
      </c>
      <c r="F292" s="1" t="s">
        <v>2275</v>
      </c>
      <c r="G292" s="1" t="s">
        <v>2276</v>
      </c>
      <c r="H292" s="1" t="s">
        <v>2277</v>
      </c>
      <c r="I292" s="1">
        <v>24</v>
      </c>
    </row>
    <row r="293" spans="1:9"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111</v>
      </c>
    </row>
    <row r="294" spans="1:9"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111</v>
      </c>
    </row>
    <row r="295" spans="1:9"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111</v>
      </c>
    </row>
    <row r="296" spans="1:9"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111</v>
      </c>
    </row>
    <row r="297" spans="1:9"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111</v>
      </c>
    </row>
    <row r="298" spans="1:9"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240</v>
      </c>
      <c r="D298" s="1" t="s">
        <v>109</v>
      </c>
      <c r="E298" s="1" t="s">
        <v>110</v>
      </c>
      <c r="F298" s="1" t="s">
        <v>111</v>
      </c>
      <c r="G298" s="1" t="s">
        <v>112</v>
      </c>
    </row>
    <row r="299" spans="1:9" x14ac:dyDescent="0.25">
      <c r="A299" s="1" t="str">
        <f t="shared" si="4"/>
        <v>10 Atenolol 1</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2278</v>
      </c>
    </row>
    <row r="300" spans="1:9" x14ac:dyDescent="0.25">
      <c r="A300" s="1" t="str">
        <f t="shared" si="4"/>
        <v>10 Atenolol 1</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2279</v>
      </c>
      <c r="D300" s="1" t="s">
        <v>2280</v>
      </c>
      <c r="E300" s="1" t="s">
        <v>2281</v>
      </c>
      <c r="F300" s="1" t="s">
        <v>111</v>
      </c>
      <c r="G300" s="1">
        <v>202353</v>
      </c>
    </row>
    <row r="301" spans="1:9" x14ac:dyDescent="0.25">
      <c r="A301" s="1" t="str">
        <f t="shared" si="4"/>
        <v>10 Atenolol 1</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2282</v>
      </c>
      <c r="D301" s="1" t="s">
        <v>2283</v>
      </c>
      <c r="E301" s="1" t="s">
        <v>2284</v>
      </c>
      <c r="F301" s="1" t="s">
        <v>111</v>
      </c>
      <c r="G301" s="1">
        <v>329983</v>
      </c>
    </row>
    <row r="302" spans="1:9" x14ac:dyDescent="0.25">
      <c r="A302" s="1" t="str">
        <f t="shared" si="4"/>
        <v>10 Atenolol 1</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2285</v>
      </c>
      <c r="D302" s="1" t="s">
        <v>2234</v>
      </c>
      <c r="E302" s="1" t="s">
        <v>2286</v>
      </c>
      <c r="F302" s="1" t="s">
        <v>111</v>
      </c>
      <c r="G302" s="1">
        <v>20318</v>
      </c>
    </row>
    <row r="303" spans="1:9" x14ac:dyDescent="0.25">
      <c r="A303" s="1" t="str">
        <f t="shared" si="4"/>
        <v>10 Atenolol 1</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2287</v>
      </c>
      <c r="D303" s="1" t="s">
        <v>2177</v>
      </c>
      <c r="E303" s="1" t="s">
        <v>2288</v>
      </c>
      <c r="F303" s="1" t="s">
        <v>111</v>
      </c>
      <c r="G303" s="1">
        <v>23451</v>
      </c>
    </row>
    <row r="304" spans="1:9" x14ac:dyDescent="0.25">
      <c r="A304" s="1" t="str">
        <f t="shared" si="4"/>
        <v>10 Atenolol 1</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2289</v>
      </c>
      <c r="D304" s="1" t="s">
        <v>1895</v>
      </c>
      <c r="E304" s="1" t="s">
        <v>2290</v>
      </c>
      <c r="F304" s="1" t="s">
        <v>111</v>
      </c>
      <c r="G304" s="1">
        <v>19143</v>
      </c>
    </row>
    <row r="305" spans="1:7" x14ac:dyDescent="0.25">
      <c r="A305" s="1" t="str">
        <f t="shared" si="4"/>
        <v>10 Atenolol 1</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2291</v>
      </c>
      <c r="D305" s="1" t="s">
        <v>2237</v>
      </c>
      <c r="E305" s="1" t="s">
        <v>2292</v>
      </c>
      <c r="F305" s="1" t="s">
        <v>111</v>
      </c>
      <c r="G305" s="1">
        <v>14771</v>
      </c>
    </row>
    <row r="306" spans="1:7" x14ac:dyDescent="0.25">
      <c r="A306" s="1" t="str">
        <f t="shared" si="4"/>
        <v>10 Atenolol 1</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2293</v>
      </c>
    </row>
    <row r="307" spans="1:7" x14ac:dyDescent="0.25">
      <c r="A307" s="1" t="str">
        <f t="shared" si="4"/>
        <v>10 Atenolol 1</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2294</v>
      </c>
      <c r="D307" s="1" t="s">
        <v>1703</v>
      </c>
      <c r="E307" s="1" t="s">
        <v>2295</v>
      </c>
      <c r="F307" s="1" t="s">
        <v>111</v>
      </c>
      <c r="G307" s="1">
        <v>32674</v>
      </c>
    </row>
    <row r="308" spans="1:7" x14ac:dyDescent="0.25">
      <c r="A308" s="1" t="str">
        <f t="shared" si="4"/>
        <v>10 Atenolol 1</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2296</v>
      </c>
      <c r="D308" s="1" t="s">
        <v>1860</v>
      </c>
      <c r="E308" s="1" t="s">
        <v>2297</v>
      </c>
      <c r="F308" s="1" t="s">
        <v>111</v>
      </c>
      <c r="G308" s="1">
        <v>72571</v>
      </c>
    </row>
    <row r="309" spans="1:7" x14ac:dyDescent="0.25">
      <c r="A309" s="1" t="str">
        <f t="shared" si="4"/>
        <v>10 Atenolol 1</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2298</v>
      </c>
      <c r="D309" s="1" t="s">
        <v>1714</v>
      </c>
      <c r="E309" s="1" t="s">
        <v>2299</v>
      </c>
      <c r="F309" s="1" t="s">
        <v>111</v>
      </c>
      <c r="G309" s="1">
        <v>13748</v>
      </c>
    </row>
    <row r="310" spans="1:7" x14ac:dyDescent="0.25">
      <c r="A310" s="1" t="str">
        <f t="shared" si="4"/>
        <v>10 Atenolol 1</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2300</v>
      </c>
      <c r="D310" s="1" t="s">
        <v>1758</v>
      </c>
      <c r="E310" s="1" t="s">
        <v>2301</v>
      </c>
      <c r="F310" s="1" t="s">
        <v>111</v>
      </c>
      <c r="G310" s="1">
        <v>17969</v>
      </c>
    </row>
    <row r="311" spans="1:7" x14ac:dyDescent="0.25">
      <c r="A311" s="1" t="str">
        <f t="shared" si="4"/>
        <v>10 Atenolol 1</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2302</v>
      </c>
      <c r="D311" s="1" t="s">
        <v>1703</v>
      </c>
      <c r="E311" s="1" t="s">
        <v>2303</v>
      </c>
      <c r="F311" s="1" t="s">
        <v>111</v>
      </c>
      <c r="G311" s="1">
        <v>34175</v>
      </c>
    </row>
    <row r="312" spans="1:7" x14ac:dyDescent="0.25">
      <c r="A312" s="1" t="str">
        <f t="shared" si="4"/>
        <v>10 Atenolol 1</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2304</v>
      </c>
      <c r="D312" s="1" t="s">
        <v>1692</v>
      </c>
      <c r="E312" s="1" t="s">
        <v>2305</v>
      </c>
      <c r="F312" s="1" t="s">
        <v>111</v>
      </c>
      <c r="G312" s="1">
        <v>110661</v>
      </c>
    </row>
    <row r="313" spans="1:7" x14ac:dyDescent="0.25">
      <c r="A313" s="1" t="str">
        <f t="shared" si="4"/>
        <v>10 Atenolol 1</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2306</v>
      </c>
      <c r="D313" s="1" t="s">
        <v>2307</v>
      </c>
      <c r="E313" s="1" t="s">
        <v>2308</v>
      </c>
      <c r="F313" s="1" t="s">
        <v>111</v>
      </c>
      <c r="G313" s="1">
        <v>155648</v>
      </c>
    </row>
    <row r="314" spans="1:7" x14ac:dyDescent="0.25">
      <c r="A314" s="1" t="str">
        <f t="shared" si="4"/>
        <v>10 Atenolol 1</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2309</v>
      </c>
      <c r="D314" s="1" t="s">
        <v>1686</v>
      </c>
      <c r="E314" s="1" t="s">
        <v>2290</v>
      </c>
      <c r="F314" s="1" t="s">
        <v>111</v>
      </c>
      <c r="G314" s="1">
        <v>38287</v>
      </c>
    </row>
    <row r="315" spans="1:7" x14ac:dyDescent="0.25">
      <c r="A315" s="1" t="str">
        <f t="shared" si="4"/>
        <v>10 Atenolol 1</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2310</v>
      </c>
      <c r="D315" s="1" t="s">
        <v>2182</v>
      </c>
      <c r="E315" s="1" t="s">
        <v>1668</v>
      </c>
      <c r="F315" s="1" t="s">
        <v>111</v>
      </c>
      <c r="G315" s="1">
        <v>129739</v>
      </c>
    </row>
    <row r="316" spans="1:7" x14ac:dyDescent="0.25">
      <c r="A316" s="1" t="str">
        <f t="shared" si="4"/>
        <v>10 Atenolol 1</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2311</v>
      </c>
      <c r="D316" s="1" t="s">
        <v>2177</v>
      </c>
      <c r="E316" s="1" t="s">
        <v>2312</v>
      </c>
      <c r="F316" s="1" t="s">
        <v>111</v>
      </c>
      <c r="G316" s="1">
        <v>22776</v>
      </c>
    </row>
    <row r="317" spans="1:7" x14ac:dyDescent="0.25">
      <c r="A317" s="1" t="str">
        <f t="shared" si="4"/>
        <v>10 Atenolol 1</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2313</v>
      </c>
      <c r="D317" s="1" t="s">
        <v>2314</v>
      </c>
      <c r="E317" s="1" t="s">
        <v>2315</v>
      </c>
      <c r="F317" s="1" t="s">
        <v>111</v>
      </c>
      <c r="G317" s="1">
        <v>42768</v>
      </c>
    </row>
    <row r="318" spans="1:7" x14ac:dyDescent="0.25">
      <c r="A318" s="1" t="str">
        <f t="shared" si="4"/>
        <v>10 Atenolol 1</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2316</v>
      </c>
      <c r="D318" s="1" t="s">
        <v>2179</v>
      </c>
      <c r="E318" s="1" t="s">
        <v>2317</v>
      </c>
      <c r="F318" s="1" t="s">
        <v>111</v>
      </c>
      <c r="G318" s="1">
        <v>40680</v>
      </c>
    </row>
    <row r="319" spans="1:7" x14ac:dyDescent="0.25">
      <c r="A319" s="1" t="str">
        <f t="shared" si="4"/>
        <v>10 Atenolol 1</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2318</v>
      </c>
      <c r="D319" s="1" t="s">
        <v>1976</v>
      </c>
      <c r="E319" s="1" t="s">
        <v>2319</v>
      </c>
      <c r="F319" s="1" t="s">
        <v>111</v>
      </c>
      <c r="G319" s="1">
        <v>29128</v>
      </c>
    </row>
    <row r="320" spans="1:7" x14ac:dyDescent="0.25">
      <c r="A320" s="1" t="str">
        <f t="shared" si="4"/>
        <v>10 Atenolol 1</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2320</v>
      </c>
      <c r="D320" s="1" t="s">
        <v>2321</v>
      </c>
      <c r="E320" s="1" t="s">
        <v>2322</v>
      </c>
      <c r="F320" s="1" t="s">
        <v>111</v>
      </c>
      <c r="G320" s="1">
        <v>275990</v>
      </c>
    </row>
    <row r="321" spans="1:9" x14ac:dyDescent="0.25">
      <c r="A321" s="1" t="str">
        <f t="shared" si="4"/>
        <v>10 Atenolol 1</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2323</v>
      </c>
      <c r="D321" s="1" t="s">
        <v>2234</v>
      </c>
      <c r="E321" s="1" t="s">
        <v>2324</v>
      </c>
      <c r="F321" s="1" t="s">
        <v>111</v>
      </c>
      <c r="G321" s="1">
        <v>20818</v>
      </c>
    </row>
    <row r="322" spans="1:9" x14ac:dyDescent="0.25">
      <c r="A322" s="1" t="str">
        <f t="shared" ref="A322:A385" si="5">IFERROR(LEFT(RIGHT(C322,LEN(C322)-SEARCH("@",C322)),SEARCH("/",RIGHT(C322,LEN(C322)-SEARCH("@",C322)-1))),"")</f>
        <v>10 Atenolol 1</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2325</v>
      </c>
      <c r="D322" s="1" t="s">
        <v>2191</v>
      </c>
      <c r="E322" s="1" t="s">
        <v>2326</v>
      </c>
      <c r="F322" s="1" t="s">
        <v>111</v>
      </c>
      <c r="G322" s="1">
        <v>9680</v>
      </c>
    </row>
    <row r="323" spans="1:9"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111</v>
      </c>
    </row>
    <row r="324" spans="1:9"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230</v>
      </c>
      <c r="D324" s="1" t="s">
        <v>111</v>
      </c>
      <c r="E324" s="1" t="s">
        <v>231</v>
      </c>
      <c r="F324" s="1" t="s">
        <v>232</v>
      </c>
      <c r="G324" s="1" t="s">
        <v>233</v>
      </c>
      <c r="H324" s="1" t="s">
        <v>234</v>
      </c>
      <c r="I324" s="1" t="s">
        <v>235</v>
      </c>
    </row>
    <row r="325" spans="1:9" x14ac:dyDescent="0.25">
      <c r="A325" s="1" t="str">
        <f t="shared" si="5"/>
        <v>10 Atenolol 1</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2327</v>
      </c>
      <c r="D325" s="1" t="s">
        <v>111</v>
      </c>
      <c r="E325" s="1" t="s">
        <v>2328</v>
      </c>
      <c r="F325" s="1" t="s">
        <v>2329</v>
      </c>
      <c r="G325" s="1" t="s">
        <v>2330</v>
      </c>
      <c r="H325" s="1" t="s">
        <v>2331</v>
      </c>
      <c r="I325" s="1">
        <v>24</v>
      </c>
    </row>
    <row r="326" spans="1:9"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111</v>
      </c>
    </row>
    <row r="327" spans="1:9"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111</v>
      </c>
    </row>
    <row r="328" spans="1:9"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111</v>
      </c>
    </row>
    <row r="329" spans="1:9"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111</v>
      </c>
    </row>
    <row r="330" spans="1:9"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111</v>
      </c>
    </row>
    <row r="331" spans="1:9"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240</v>
      </c>
      <c r="D331" s="1" t="s">
        <v>109</v>
      </c>
      <c r="E331" s="1" t="s">
        <v>110</v>
      </c>
      <c r="F331" s="1" t="s">
        <v>111</v>
      </c>
      <c r="G331" s="1" t="s">
        <v>112</v>
      </c>
    </row>
    <row r="332" spans="1:9" x14ac:dyDescent="0.25">
      <c r="A332" s="1" t="str">
        <f t="shared" si="5"/>
        <v>11 Atenolol 10</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2332</v>
      </c>
      <c r="D332" s="1" t="s">
        <v>1711</v>
      </c>
      <c r="E332" s="1" t="s">
        <v>2333</v>
      </c>
      <c r="F332" s="1" t="s">
        <v>111</v>
      </c>
      <c r="G332" s="1">
        <v>76247</v>
      </c>
    </row>
    <row r="333" spans="1:9" x14ac:dyDescent="0.25">
      <c r="A333" s="1" t="str">
        <f t="shared" si="5"/>
        <v>11 Atenolol 10</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2334</v>
      </c>
      <c r="D333" s="1" t="s">
        <v>1828</v>
      </c>
      <c r="E333" s="1" t="s">
        <v>1740</v>
      </c>
      <c r="F333" s="1" t="s">
        <v>111</v>
      </c>
      <c r="G333" s="1">
        <v>37525</v>
      </c>
    </row>
    <row r="334" spans="1:9" x14ac:dyDescent="0.25">
      <c r="A334" s="1" t="str">
        <f t="shared" si="5"/>
        <v>11 Atenolol 10</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2335</v>
      </c>
      <c r="D334" s="1" t="s">
        <v>2336</v>
      </c>
      <c r="E334" s="1" t="s">
        <v>2337</v>
      </c>
      <c r="F334" s="1" t="s">
        <v>111</v>
      </c>
      <c r="G334" s="1">
        <v>65152</v>
      </c>
    </row>
    <row r="335" spans="1:9" x14ac:dyDescent="0.25">
      <c r="A335" s="1" t="str">
        <f t="shared" si="5"/>
        <v>11 Atenolol 10</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2338</v>
      </c>
      <c r="D335" s="1" t="s">
        <v>2339</v>
      </c>
      <c r="E335" s="1" t="s">
        <v>2340</v>
      </c>
      <c r="F335" s="1" t="s">
        <v>111</v>
      </c>
      <c r="G335" s="1">
        <v>224608</v>
      </c>
    </row>
    <row r="336" spans="1:9" x14ac:dyDescent="0.25">
      <c r="A336" s="1" t="str">
        <f t="shared" si="5"/>
        <v>11 Atenolol 10</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2341</v>
      </c>
      <c r="D336" s="1" t="s">
        <v>2263</v>
      </c>
      <c r="E336" s="1">
        <v>63</v>
      </c>
      <c r="F336" s="1" t="s">
        <v>111</v>
      </c>
      <c r="G336" s="1">
        <v>109639</v>
      </c>
    </row>
    <row r="337" spans="1:7" x14ac:dyDescent="0.25">
      <c r="A337" s="1" t="str">
        <f t="shared" si="5"/>
        <v>11 Atenolol 10</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2342</v>
      </c>
      <c r="D337" s="1" t="s">
        <v>2343</v>
      </c>
      <c r="E337" s="1" t="s">
        <v>2344</v>
      </c>
      <c r="F337" s="1" t="s">
        <v>111</v>
      </c>
      <c r="G337" s="1">
        <v>137397</v>
      </c>
    </row>
    <row r="338" spans="1:7" x14ac:dyDescent="0.25">
      <c r="A338" s="1" t="str">
        <f t="shared" si="5"/>
        <v>11 Atenolol 10</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2345</v>
      </c>
      <c r="D338" s="1" t="s">
        <v>2346</v>
      </c>
      <c r="E338" s="1" t="s">
        <v>2347</v>
      </c>
      <c r="F338" s="1" t="s">
        <v>111</v>
      </c>
      <c r="G338" s="1">
        <v>67545</v>
      </c>
    </row>
    <row r="339" spans="1:7" x14ac:dyDescent="0.25">
      <c r="A339" s="1" t="str">
        <f t="shared" si="5"/>
        <v>11 Atenolol 10</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2348</v>
      </c>
      <c r="D339" s="1" t="s">
        <v>2349</v>
      </c>
      <c r="E339" s="1" t="s">
        <v>2350</v>
      </c>
      <c r="F339" s="1" t="s">
        <v>111</v>
      </c>
      <c r="G339" s="1">
        <v>165611</v>
      </c>
    </row>
    <row r="340" spans="1:7" x14ac:dyDescent="0.25">
      <c r="A340" s="1" t="str">
        <f t="shared" si="5"/>
        <v>11 Atenolol 10</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2351</v>
      </c>
      <c r="D340" s="1" t="s">
        <v>2352</v>
      </c>
      <c r="E340" s="1" t="s">
        <v>2353</v>
      </c>
      <c r="F340" s="1" t="s">
        <v>111</v>
      </c>
      <c r="G340" s="1">
        <v>283995</v>
      </c>
    </row>
    <row r="341" spans="1:7" x14ac:dyDescent="0.25">
      <c r="A341" s="1" t="str">
        <f t="shared" si="5"/>
        <v>11 Atenolol 10</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2354</v>
      </c>
      <c r="D341" s="1" t="s">
        <v>1834</v>
      </c>
      <c r="E341" s="1" t="s">
        <v>2355</v>
      </c>
      <c r="F341" s="1" t="s">
        <v>111</v>
      </c>
      <c r="G341" s="1">
        <v>62455</v>
      </c>
    </row>
    <row r="342" spans="1:7" x14ac:dyDescent="0.25">
      <c r="A342" s="1" t="str">
        <f t="shared" si="5"/>
        <v>11 Atenolol 10</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2356</v>
      </c>
      <c r="D342" s="1" t="s">
        <v>2248</v>
      </c>
      <c r="E342" s="1" t="s">
        <v>2357</v>
      </c>
      <c r="F342" s="1" t="s">
        <v>111</v>
      </c>
      <c r="G342" s="1">
        <v>44247</v>
      </c>
    </row>
    <row r="343" spans="1:7" x14ac:dyDescent="0.25">
      <c r="A343" s="1" t="str">
        <f t="shared" si="5"/>
        <v>11 Atenolol 10</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2358</v>
      </c>
      <c r="D343" s="1" t="s">
        <v>1739</v>
      </c>
      <c r="E343" s="1" t="s">
        <v>2359</v>
      </c>
      <c r="F343" s="1" t="s">
        <v>111</v>
      </c>
      <c r="G343" s="1">
        <v>49316</v>
      </c>
    </row>
    <row r="344" spans="1:7" x14ac:dyDescent="0.25">
      <c r="A344" s="1" t="str">
        <f t="shared" si="5"/>
        <v>11 Atenolol 10</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2360</v>
      </c>
      <c r="D344" s="1" t="s">
        <v>1733</v>
      </c>
      <c r="E344" s="1" t="s">
        <v>2361</v>
      </c>
      <c r="F344" s="1" t="s">
        <v>111</v>
      </c>
      <c r="G344" s="1">
        <v>31304</v>
      </c>
    </row>
    <row r="345" spans="1:7" x14ac:dyDescent="0.25">
      <c r="A345" s="1" t="str">
        <f t="shared" si="5"/>
        <v>11 Atenolol 10</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2362</v>
      </c>
      <c r="D345" s="1" t="s">
        <v>1736</v>
      </c>
      <c r="E345" s="1" t="s">
        <v>2363</v>
      </c>
      <c r="F345" s="1" t="s">
        <v>111</v>
      </c>
      <c r="G345" s="1">
        <v>27388</v>
      </c>
    </row>
    <row r="346" spans="1:7" x14ac:dyDescent="0.25">
      <c r="A346" s="1" t="str">
        <f t="shared" si="5"/>
        <v>11 Atenolol 10</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2364</v>
      </c>
      <c r="D346" s="1" t="s">
        <v>1703</v>
      </c>
      <c r="E346" s="1" t="s">
        <v>1669</v>
      </c>
      <c r="F346" s="1" t="s">
        <v>111</v>
      </c>
      <c r="G346" s="1">
        <v>33153</v>
      </c>
    </row>
    <row r="347" spans="1:7" x14ac:dyDescent="0.25">
      <c r="A347" s="1" t="str">
        <f t="shared" si="5"/>
        <v>11 Atenolol 10</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2365</v>
      </c>
      <c r="D347" s="1" t="s">
        <v>2229</v>
      </c>
      <c r="E347" s="1" t="s">
        <v>2366</v>
      </c>
      <c r="F347" s="1" t="s">
        <v>111</v>
      </c>
      <c r="G347" s="1">
        <v>99871</v>
      </c>
    </row>
    <row r="348" spans="1:7" x14ac:dyDescent="0.25">
      <c r="A348" s="1" t="str">
        <f t="shared" si="5"/>
        <v>11 Atenolol 10</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2367</v>
      </c>
      <c r="D348" s="1" t="s">
        <v>1686</v>
      </c>
      <c r="E348" s="1" t="s">
        <v>2368</v>
      </c>
      <c r="F348" s="1" t="s">
        <v>111</v>
      </c>
      <c r="G348" s="1">
        <v>38591</v>
      </c>
    </row>
    <row r="349" spans="1:7" x14ac:dyDescent="0.25">
      <c r="A349" s="1" t="str">
        <f t="shared" si="5"/>
        <v>11 Atenolol 10</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2369</v>
      </c>
      <c r="D349" s="1" t="s">
        <v>1806</v>
      </c>
      <c r="E349" s="1" t="s">
        <v>179</v>
      </c>
      <c r="F349" s="1" t="s">
        <v>111</v>
      </c>
      <c r="G349" s="1">
        <v>45357</v>
      </c>
    </row>
    <row r="350" spans="1:7" x14ac:dyDescent="0.25">
      <c r="A350" s="1" t="str">
        <f t="shared" si="5"/>
        <v>11 Atenolol 10</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2370</v>
      </c>
      <c r="D350" s="1" t="s">
        <v>2174</v>
      </c>
      <c r="E350" s="1" t="s">
        <v>2371</v>
      </c>
      <c r="F350" s="1" t="s">
        <v>111</v>
      </c>
      <c r="G350" s="1">
        <v>78096</v>
      </c>
    </row>
    <row r="351" spans="1:7" x14ac:dyDescent="0.25">
      <c r="A351" s="1" t="str">
        <f t="shared" si="5"/>
        <v>11 Atenolol 10</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2372</v>
      </c>
      <c r="D351" s="1" t="s">
        <v>1914</v>
      </c>
      <c r="E351" s="1" t="s">
        <v>784</v>
      </c>
      <c r="F351" s="1" t="s">
        <v>111</v>
      </c>
      <c r="G351" s="1">
        <v>73615</v>
      </c>
    </row>
    <row r="352" spans="1:7" x14ac:dyDescent="0.25">
      <c r="A352" s="1" t="str">
        <f t="shared" si="5"/>
        <v>11 Atenolol 10</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2373</v>
      </c>
      <c r="D352" s="1" t="s">
        <v>2374</v>
      </c>
      <c r="E352" s="1" t="s">
        <v>2299</v>
      </c>
      <c r="F352" s="1" t="s">
        <v>111</v>
      </c>
      <c r="G352" s="1">
        <v>89364</v>
      </c>
    </row>
    <row r="353" spans="1:9" x14ac:dyDescent="0.25">
      <c r="A353" s="1" t="str">
        <f t="shared" si="5"/>
        <v>11 Atenolol 10</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2375</v>
      </c>
      <c r="D353" s="1" t="s">
        <v>1780</v>
      </c>
      <c r="E353" s="1" t="s">
        <v>2295</v>
      </c>
      <c r="F353" s="1" t="s">
        <v>111</v>
      </c>
      <c r="G353" s="1">
        <v>16337</v>
      </c>
    </row>
    <row r="354" spans="1:9" x14ac:dyDescent="0.25">
      <c r="A354" s="1" t="str">
        <f t="shared" si="5"/>
        <v>11 Atenolol 10</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2376</v>
      </c>
      <c r="D354" s="1" t="s">
        <v>2377</v>
      </c>
      <c r="E354" s="1" t="s">
        <v>2378</v>
      </c>
      <c r="F354" s="1" t="s">
        <v>111</v>
      </c>
      <c r="G354" s="1">
        <v>36329</v>
      </c>
    </row>
    <row r="355" spans="1:9" x14ac:dyDescent="0.25">
      <c r="A355" s="1" t="str">
        <f t="shared" si="5"/>
        <v>11 Atenolol 10</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2379</v>
      </c>
      <c r="D355" s="1" t="s">
        <v>1900</v>
      </c>
      <c r="E355" s="1" t="s">
        <v>2380</v>
      </c>
      <c r="F355" s="1" t="s">
        <v>111</v>
      </c>
      <c r="G355" s="1">
        <v>35306</v>
      </c>
    </row>
    <row r="356" spans="1:9"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111</v>
      </c>
    </row>
    <row r="357" spans="1:9"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230</v>
      </c>
      <c r="D357" s="1" t="s">
        <v>111</v>
      </c>
      <c r="E357" s="1" t="s">
        <v>231</v>
      </c>
      <c r="F357" s="1" t="s">
        <v>232</v>
      </c>
      <c r="G357" s="1" t="s">
        <v>233</v>
      </c>
      <c r="H357" s="1" t="s">
        <v>234</v>
      </c>
      <c r="I357" s="1" t="s">
        <v>235</v>
      </c>
    </row>
    <row r="358" spans="1:9" x14ac:dyDescent="0.25">
      <c r="A358" s="1" t="str">
        <f t="shared" si="5"/>
        <v>11 Atenolol 10</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2381</v>
      </c>
      <c r="D358" s="1" t="s">
        <v>111</v>
      </c>
      <c r="E358" s="1" t="s">
        <v>2382</v>
      </c>
      <c r="F358" s="1" t="s">
        <v>2383</v>
      </c>
      <c r="G358" s="1">
        <v>80352</v>
      </c>
      <c r="H358" s="1" t="s">
        <v>2384</v>
      </c>
      <c r="I358" s="1">
        <v>24</v>
      </c>
    </row>
    <row r="359" spans="1:9"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111</v>
      </c>
    </row>
    <row r="360" spans="1:9"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111</v>
      </c>
    </row>
    <row r="361" spans="1:9"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111</v>
      </c>
    </row>
    <row r="362" spans="1:9"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111</v>
      </c>
    </row>
    <row r="363" spans="1:9"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111</v>
      </c>
    </row>
    <row r="364" spans="1:9"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240</v>
      </c>
      <c r="D364" s="1" t="s">
        <v>109</v>
      </c>
      <c r="E364" s="1" t="s">
        <v>110</v>
      </c>
      <c r="F364" s="1" t="s">
        <v>111</v>
      </c>
      <c r="G364" s="1" t="s">
        <v>112</v>
      </c>
    </row>
    <row r="365" spans="1:9" x14ac:dyDescent="0.25">
      <c r="A365" s="1" t="str">
        <f t="shared" si="5"/>
        <v>12 Atenolol 100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2385</v>
      </c>
      <c r="D365" s="1" t="s">
        <v>2386</v>
      </c>
      <c r="E365" s="1" t="s">
        <v>2387</v>
      </c>
      <c r="F365" s="1" t="s">
        <v>111</v>
      </c>
      <c r="G365" s="1">
        <v>96826</v>
      </c>
    </row>
    <row r="366" spans="1:9" x14ac:dyDescent="0.25">
      <c r="A366" s="1" t="str">
        <f t="shared" si="5"/>
        <v>12 Atenolol 100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2388</v>
      </c>
      <c r="D366" s="1" t="s">
        <v>1971</v>
      </c>
      <c r="E366" s="1" t="s">
        <v>2389</v>
      </c>
      <c r="F366" s="1" t="s">
        <v>111</v>
      </c>
      <c r="G366" s="1">
        <v>25974</v>
      </c>
    </row>
    <row r="367" spans="1:9" x14ac:dyDescent="0.25">
      <c r="A367" s="1" t="str">
        <f t="shared" si="5"/>
        <v>12 Atenolol 100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2390</v>
      </c>
      <c r="D367" s="1" t="s">
        <v>2179</v>
      </c>
      <c r="E367" s="1" t="s">
        <v>2391</v>
      </c>
      <c r="F367" s="1" t="s">
        <v>111</v>
      </c>
      <c r="G367" s="1">
        <v>41593</v>
      </c>
    </row>
    <row r="368" spans="1:9" x14ac:dyDescent="0.25">
      <c r="A368" s="1" t="str">
        <f t="shared" si="5"/>
        <v>12 Atenolol 100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2392</v>
      </c>
      <c r="D368" s="1" t="s">
        <v>1863</v>
      </c>
      <c r="E368" s="1" t="s">
        <v>2393</v>
      </c>
      <c r="F368" s="1" t="s">
        <v>111</v>
      </c>
      <c r="G368" s="1">
        <v>84078</v>
      </c>
    </row>
    <row r="369" spans="1:7" x14ac:dyDescent="0.25">
      <c r="A369" s="1" t="str">
        <f t="shared" si="5"/>
        <v>12 Atenolol 100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2394</v>
      </c>
      <c r="D369" s="1" t="s">
        <v>2395</v>
      </c>
      <c r="E369" s="1" t="s">
        <v>2396</v>
      </c>
      <c r="F369" s="1" t="s">
        <v>111</v>
      </c>
      <c r="G369" s="1">
        <v>74507</v>
      </c>
    </row>
    <row r="370" spans="1:7" x14ac:dyDescent="0.25">
      <c r="A370" s="1" t="str">
        <f t="shared" si="5"/>
        <v>12 Atenolol 100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2397</v>
      </c>
      <c r="D370" s="1" t="s">
        <v>1714</v>
      </c>
      <c r="E370" s="1" t="s">
        <v>2398</v>
      </c>
      <c r="F370" s="1" t="s">
        <v>111</v>
      </c>
      <c r="G370" s="1">
        <v>13966</v>
      </c>
    </row>
    <row r="371" spans="1:7" x14ac:dyDescent="0.25">
      <c r="A371" s="1" t="str">
        <f t="shared" si="5"/>
        <v>12 Atenolol 100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2399</v>
      </c>
      <c r="D371" s="1" t="s">
        <v>2400</v>
      </c>
      <c r="E371" s="1" t="s">
        <v>2401</v>
      </c>
      <c r="F371" s="1" t="s">
        <v>111</v>
      </c>
      <c r="G371" s="1">
        <v>159955</v>
      </c>
    </row>
    <row r="372" spans="1:7" x14ac:dyDescent="0.25">
      <c r="A372" s="1" t="str">
        <f t="shared" si="5"/>
        <v>12 Atenolol 100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2402</v>
      </c>
    </row>
    <row r="373" spans="1:7" x14ac:dyDescent="0.25">
      <c r="A373" s="1" t="str">
        <f t="shared" si="5"/>
        <v>12 Atenolol 100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2403</v>
      </c>
      <c r="D373" s="1" t="s">
        <v>1800</v>
      </c>
      <c r="E373" s="1" t="s">
        <v>2404</v>
      </c>
      <c r="F373" s="1" t="s">
        <v>111</v>
      </c>
      <c r="G373" s="1">
        <v>82077</v>
      </c>
    </row>
    <row r="374" spans="1:7" x14ac:dyDescent="0.25">
      <c r="A374" s="1" t="str">
        <f t="shared" si="5"/>
        <v>12 Atenolol 100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2405</v>
      </c>
      <c r="D374" s="1" t="s">
        <v>1863</v>
      </c>
      <c r="E374" s="1" t="s">
        <v>2406</v>
      </c>
      <c r="F374" s="1" t="s">
        <v>111</v>
      </c>
      <c r="G374" s="1">
        <v>82795</v>
      </c>
    </row>
    <row r="375" spans="1:7" x14ac:dyDescent="0.25">
      <c r="A375" s="1" t="str">
        <f t="shared" si="5"/>
        <v>12 Atenolol 100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2407</v>
      </c>
      <c r="D375" s="1" t="s">
        <v>2346</v>
      </c>
      <c r="E375" s="1" t="s">
        <v>2408</v>
      </c>
      <c r="F375" s="1" t="s">
        <v>111</v>
      </c>
      <c r="G375" s="1">
        <v>65740</v>
      </c>
    </row>
    <row r="376" spans="1:7" x14ac:dyDescent="0.25">
      <c r="A376" s="1" t="str">
        <f t="shared" si="5"/>
        <v>12 Atenolol 100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2409</v>
      </c>
      <c r="D376" s="1" t="s">
        <v>2410</v>
      </c>
      <c r="E376" s="1" t="s">
        <v>2253</v>
      </c>
      <c r="F376" s="1" t="s">
        <v>111</v>
      </c>
      <c r="G376" s="1">
        <v>117383</v>
      </c>
    </row>
    <row r="377" spans="1:7" x14ac:dyDescent="0.25">
      <c r="A377" s="1" t="str">
        <f t="shared" si="5"/>
        <v>12 Atenolol 100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2411</v>
      </c>
      <c r="D377" s="1" t="s">
        <v>1863</v>
      </c>
      <c r="E377" s="1" t="s">
        <v>902</v>
      </c>
      <c r="F377" s="1" t="s">
        <v>111</v>
      </c>
      <c r="G377" s="1">
        <v>82447</v>
      </c>
    </row>
    <row r="378" spans="1:7" x14ac:dyDescent="0.25">
      <c r="A378" s="1" t="str">
        <f t="shared" si="5"/>
        <v>12 Atenolol 100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2412</v>
      </c>
      <c r="D378" s="1" t="s">
        <v>1852</v>
      </c>
      <c r="E378" s="1" t="s">
        <v>2413</v>
      </c>
      <c r="F378" s="1" t="s">
        <v>111</v>
      </c>
      <c r="G378" s="1">
        <v>55907</v>
      </c>
    </row>
    <row r="379" spans="1:7" x14ac:dyDescent="0.25">
      <c r="A379" s="1" t="str">
        <f t="shared" si="5"/>
        <v>12 Atenolol 100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2414</v>
      </c>
      <c r="D379" s="1" t="s">
        <v>2179</v>
      </c>
      <c r="E379" s="1" t="s">
        <v>2415</v>
      </c>
      <c r="F379" s="1" t="s">
        <v>111</v>
      </c>
      <c r="G379" s="1">
        <v>41136</v>
      </c>
    </row>
    <row r="380" spans="1:7" x14ac:dyDescent="0.25">
      <c r="A380" s="1" t="str">
        <f t="shared" si="5"/>
        <v>12 Atenolol 100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2416</v>
      </c>
      <c r="D380" s="1" t="s">
        <v>2182</v>
      </c>
      <c r="E380" s="1" t="s">
        <v>2417</v>
      </c>
      <c r="F380" s="1" t="s">
        <v>111</v>
      </c>
      <c r="G380" s="1">
        <v>131828</v>
      </c>
    </row>
    <row r="381" spans="1:7" x14ac:dyDescent="0.25">
      <c r="A381" s="1" t="str">
        <f t="shared" si="5"/>
        <v>12 Atenolol 100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2418</v>
      </c>
      <c r="D381" s="1" t="s">
        <v>2248</v>
      </c>
      <c r="E381" s="1" t="s">
        <v>1670</v>
      </c>
      <c r="F381" s="1" t="s">
        <v>111</v>
      </c>
      <c r="G381" s="1">
        <v>43682</v>
      </c>
    </row>
    <row r="382" spans="1:7" x14ac:dyDescent="0.25">
      <c r="A382" s="1" t="str">
        <f t="shared" si="5"/>
        <v>12 Atenolol 100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2419</v>
      </c>
      <c r="D382" s="1" t="s">
        <v>2377</v>
      </c>
      <c r="E382" s="1" t="s">
        <v>1666</v>
      </c>
      <c r="F382" s="1" t="s">
        <v>111</v>
      </c>
      <c r="G382" s="1">
        <v>36176</v>
      </c>
    </row>
    <row r="383" spans="1:7" x14ac:dyDescent="0.25">
      <c r="A383" s="1" t="str">
        <f t="shared" si="5"/>
        <v>12 Atenolol 100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2420</v>
      </c>
      <c r="D383" s="1" t="s">
        <v>2421</v>
      </c>
      <c r="E383" s="1" t="s">
        <v>2422</v>
      </c>
      <c r="F383" s="1" t="s">
        <v>111</v>
      </c>
      <c r="G383" s="1">
        <v>119211</v>
      </c>
    </row>
    <row r="384" spans="1:7" x14ac:dyDescent="0.25">
      <c r="A384" s="1" t="str">
        <f t="shared" si="5"/>
        <v>12 Atenolol 100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2423</v>
      </c>
      <c r="D384" s="1" t="s">
        <v>2424</v>
      </c>
      <c r="E384" s="1" t="s">
        <v>2425</v>
      </c>
      <c r="F384" s="1" t="s">
        <v>111</v>
      </c>
      <c r="G384" s="1">
        <v>134569</v>
      </c>
    </row>
    <row r="385" spans="1:9" x14ac:dyDescent="0.25">
      <c r="A385" s="1" t="str">
        <f t="shared" si="5"/>
        <v>12 Atenolol 100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2426</v>
      </c>
      <c r="D385" s="1" t="s">
        <v>1863</v>
      </c>
      <c r="E385" s="1" t="s">
        <v>2427</v>
      </c>
      <c r="F385" s="1" t="s">
        <v>111</v>
      </c>
      <c r="G385" s="1">
        <v>82534</v>
      </c>
    </row>
    <row r="386" spans="1:9" x14ac:dyDescent="0.25">
      <c r="A386" s="1" t="str">
        <f t="shared" ref="A386:A449" si="6">IFERROR(LEFT(RIGHT(C386,LEN(C386)-SEARCH("@",C386)),SEARCH("/",RIGHT(C386,LEN(C386)-SEARCH("@",C386)-1))),"")</f>
        <v>12 Atenolol 100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2428</v>
      </c>
      <c r="D386" s="1" t="s">
        <v>1983</v>
      </c>
      <c r="E386" s="1" t="s">
        <v>2429</v>
      </c>
      <c r="F386" s="1" t="s">
        <v>111</v>
      </c>
      <c r="G386" s="1">
        <v>459069</v>
      </c>
    </row>
    <row r="387" spans="1:9" x14ac:dyDescent="0.25">
      <c r="A387" s="1" t="str">
        <f t="shared" si="6"/>
        <v>12 Atenolol 100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2430</v>
      </c>
      <c r="D387" s="1" t="s">
        <v>2431</v>
      </c>
      <c r="E387" s="1" t="s">
        <v>2432</v>
      </c>
      <c r="F387" s="1" t="s">
        <v>111</v>
      </c>
      <c r="G387" s="1">
        <v>241619</v>
      </c>
    </row>
    <row r="388" spans="1:9" x14ac:dyDescent="0.25">
      <c r="A388" s="1" t="str">
        <f t="shared" si="6"/>
        <v>12 Atenolol 100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2433</v>
      </c>
      <c r="D388" s="1" t="s">
        <v>1852</v>
      </c>
      <c r="E388" s="1" t="s">
        <v>2434</v>
      </c>
      <c r="F388" s="1" t="s">
        <v>111</v>
      </c>
      <c r="G388" s="1">
        <v>56516</v>
      </c>
    </row>
    <row r="389" spans="1:9"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111</v>
      </c>
    </row>
    <row r="390" spans="1:9"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230</v>
      </c>
      <c r="D390" s="1" t="s">
        <v>111</v>
      </c>
      <c r="E390" s="1" t="s">
        <v>231</v>
      </c>
      <c r="F390" s="1" t="s">
        <v>232</v>
      </c>
      <c r="G390" s="1" t="s">
        <v>233</v>
      </c>
      <c r="H390" s="1" t="s">
        <v>234</v>
      </c>
      <c r="I390" s="1" t="s">
        <v>235</v>
      </c>
    </row>
    <row r="391" spans="1:9" x14ac:dyDescent="0.25">
      <c r="A391" s="1" t="str">
        <f t="shared" si="6"/>
        <v>12 Atenolol 100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2435</v>
      </c>
      <c r="D391" s="1" t="s">
        <v>111</v>
      </c>
      <c r="E391" s="1" t="s">
        <v>2436</v>
      </c>
      <c r="F391" s="1" t="s">
        <v>2437</v>
      </c>
      <c r="G391" s="1" t="s">
        <v>2438</v>
      </c>
      <c r="H391" s="1" t="s">
        <v>2439</v>
      </c>
      <c r="I391" s="1">
        <v>24</v>
      </c>
    </row>
    <row r="392" spans="1:9"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111</v>
      </c>
    </row>
    <row r="393" spans="1:9"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111</v>
      </c>
    </row>
    <row r="394" spans="1:9"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111</v>
      </c>
    </row>
    <row r="395" spans="1:9"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111</v>
      </c>
    </row>
    <row r="396" spans="1:9"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111</v>
      </c>
    </row>
    <row r="397" spans="1:9"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240</v>
      </c>
      <c r="D397" s="1" t="s">
        <v>109</v>
      </c>
      <c r="E397" s="1" t="s">
        <v>110</v>
      </c>
      <c r="F397" s="1" t="s">
        <v>111</v>
      </c>
      <c r="G397" s="1" t="s">
        <v>112</v>
      </c>
    </row>
    <row r="398" spans="1:9" x14ac:dyDescent="0.25">
      <c r="A398" s="1" t="str">
        <f t="shared" si="6"/>
        <v>13 TESTO</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2440</v>
      </c>
      <c r="D398" s="1" t="s">
        <v>2441</v>
      </c>
      <c r="E398" s="1" t="s">
        <v>2442</v>
      </c>
      <c r="F398" s="1" t="s">
        <v>111</v>
      </c>
      <c r="G398" s="1">
        <v>3835666</v>
      </c>
    </row>
    <row r="399" spans="1:9" x14ac:dyDescent="0.25">
      <c r="A399" s="1" t="str">
        <f t="shared" si="6"/>
        <v>13 TESTO</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2443</v>
      </c>
      <c r="D399" s="1" t="s">
        <v>2444</v>
      </c>
      <c r="E399" s="1" t="s">
        <v>2445</v>
      </c>
      <c r="F399" s="1" t="s">
        <v>111</v>
      </c>
      <c r="G399" s="1">
        <v>3807864</v>
      </c>
    </row>
    <row r="400" spans="1:9" x14ac:dyDescent="0.25">
      <c r="A400" s="1" t="str">
        <f t="shared" si="6"/>
        <v>13 TESTO</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2446</v>
      </c>
      <c r="D400" s="1" t="s">
        <v>2447</v>
      </c>
      <c r="E400" s="1" t="s">
        <v>2448</v>
      </c>
      <c r="F400" s="1" t="s">
        <v>111</v>
      </c>
      <c r="G400" s="1">
        <v>3630201</v>
      </c>
    </row>
    <row r="401" spans="1:7" x14ac:dyDescent="0.25">
      <c r="A401" s="1" t="str">
        <f t="shared" si="6"/>
        <v>13 TESTO</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2449</v>
      </c>
      <c r="D401" s="1" t="s">
        <v>2450</v>
      </c>
      <c r="E401" s="1" t="s">
        <v>2451</v>
      </c>
      <c r="F401" s="1" t="s">
        <v>111</v>
      </c>
      <c r="G401" s="1">
        <v>544301</v>
      </c>
    </row>
    <row r="402" spans="1:7" x14ac:dyDescent="0.25">
      <c r="A402" s="1" t="str">
        <f t="shared" si="6"/>
        <v>13 TESTO</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2452</v>
      </c>
      <c r="D402" s="1" t="s">
        <v>2453</v>
      </c>
      <c r="E402" s="1" t="s">
        <v>2454</v>
      </c>
      <c r="F402" s="1" t="s">
        <v>111</v>
      </c>
      <c r="G402" s="1">
        <v>748046</v>
      </c>
    </row>
    <row r="403" spans="1:7" x14ac:dyDescent="0.25">
      <c r="A403" s="1" t="str">
        <f t="shared" si="6"/>
        <v>13 TESTO</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2455</v>
      </c>
      <c r="D403" s="1" t="s">
        <v>2456</v>
      </c>
      <c r="E403" s="1" t="s">
        <v>2457</v>
      </c>
      <c r="F403" s="1" t="s">
        <v>111</v>
      </c>
      <c r="G403" s="1">
        <v>341904</v>
      </c>
    </row>
    <row r="404" spans="1:7" x14ac:dyDescent="0.25">
      <c r="A404" s="1" t="str">
        <f t="shared" si="6"/>
        <v>13 TESTO</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2458</v>
      </c>
      <c r="D404" s="1" t="s">
        <v>2459</v>
      </c>
      <c r="E404" s="1" t="s">
        <v>2460</v>
      </c>
      <c r="F404" s="1" t="s">
        <v>111</v>
      </c>
      <c r="G404" s="1">
        <v>3919265</v>
      </c>
    </row>
    <row r="405" spans="1:7" x14ac:dyDescent="0.25">
      <c r="A405" s="1" t="str">
        <f t="shared" si="6"/>
        <v>13 TESTO</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2461</v>
      </c>
      <c r="D405" s="1" t="s">
        <v>2462</v>
      </c>
      <c r="E405" s="1" t="s">
        <v>2463</v>
      </c>
      <c r="F405" s="1" t="s">
        <v>111</v>
      </c>
      <c r="G405" s="1">
        <v>3285252</v>
      </c>
    </row>
    <row r="406" spans="1:7" x14ac:dyDescent="0.25">
      <c r="A406" s="1" t="str">
        <f t="shared" si="6"/>
        <v>13 TESTO</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2464</v>
      </c>
      <c r="D406" s="1" t="s">
        <v>2465</v>
      </c>
      <c r="E406" s="1" t="s">
        <v>2466</v>
      </c>
      <c r="F406" s="1" t="s">
        <v>111</v>
      </c>
      <c r="G406" s="1">
        <v>3799598</v>
      </c>
    </row>
    <row r="407" spans="1:7" x14ac:dyDescent="0.25">
      <c r="A407" s="1" t="str">
        <f t="shared" si="6"/>
        <v>13 TESTO</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2467</v>
      </c>
      <c r="D407" s="1" t="s">
        <v>2468</v>
      </c>
      <c r="E407" s="1" t="s">
        <v>2469</v>
      </c>
      <c r="F407" s="1" t="s">
        <v>111</v>
      </c>
      <c r="G407" s="1">
        <v>4394650</v>
      </c>
    </row>
    <row r="408" spans="1:7" x14ac:dyDescent="0.25">
      <c r="A408" s="1" t="str">
        <f t="shared" si="6"/>
        <v>13 TESTO</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2470</v>
      </c>
      <c r="D408" s="1" t="s">
        <v>2471</v>
      </c>
      <c r="E408" s="1" t="s">
        <v>2472</v>
      </c>
      <c r="F408" s="1" t="s">
        <v>111</v>
      </c>
      <c r="G408" s="1">
        <v>4261691</v>
      </c>
    </row>
    <row r="409" spans="1:7" x14ac:dyDescent="0.25">
      <c r="A409" s="1" t="str">
        <f t="shared" si="6"/>
        <v>13 TESTO</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2473</v>
      </c>
      <c r="D409" s="1" t="s">
        <v>2474</v>
      </c>
      <c r="E409" s="1" t="s">
        <v>2475</v>
      </c>
      <c r="F409" s="1" t="s">
        <v>111</v>
      </c>
      <c r="G409" s="1">
        <v>3710277</v>
      </c>
    </row>
    <row r="410" spans="1:7" x14ac:dyDescent="0.25">
      <c r="A410" s="1" t="str">
        <f t="shared" si="6"/>
        <v>13 TESTO</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2476</v>
      </c>
      <c r="D410" s="1" t="s">
        <v>2477</v>
      </c>
      <c r="E410" s="1" t="s">
        <v>2478</v>
      </c>
      <c r="F410" s="1" t="s">
        <v>111</v>
      </c>
      <c r="G410" s="1">
        <v>4397152</v>
      </c>
    </row>
    <row r="411" spans="1:7" x14ac:dyDescent="0.25">
      <c r="A411" s="1" t="str">
        <f t="shared" si="6"/>
        <v>13 TESTO</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2479</v>
      </c>
      <c r="D411" s="1" t="s">
        <v>2480</v>
      </c>
      <c r="E411" s="1" t="s">
        <v>2481</v>
      </c>
      <c r="F411" s="1" t="s">
        <v>111</v>
      </c>
      <c r="G411" s="1">
        <v>4114962</v>
      </c>
    </row>
    <row r="412" spans="1:7" x14ac:dyDescent="0.25">
      <c r="A412" s="1" t="str">
        <f t="shared" si="6"/>
        <v>13 TESTO</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2482</v>
      </c>
      <c r="D412" s="1" t="s">
        <v>2483</v>
      </c>
      <c r="E412" s="1" t="s">
        <v>2484</v>
      </c>
      <c r="F412" s="1" t="s">
        <v>111</v>
      </c>
      <c r="G412" s="1">
        <v>4427781</v>
      </c>
    </row>
    <row r="413" spans="1:7" x14ac:dyDescent="0.25">
      <c r="A413" s="1" t="str">
        <f t="shared" si="6"/>
        <v>13 TESTO</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2485</v>
      </c>
      <c r="D413" s="1" t="s">
        <v>2486</v>
      </c>
      <c r="E413" s="1" t="s">
        <v>2487</v>
      </c>
      <c r="F413" s="1" t="s">
        <v>111</v>
      </c>
      <c r="G413" s="1">
        <v>3537617</v>
      </c>
    </row>
    <row r="414" spans="1:7" x14ac:dyDescent="0.25">
      <c r="A414" s="1" t="str">
        <f t="shared" si="6"/>
        <v>13 TESTO</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2488</v>
      </c>
      <c r="D414" s="1" t="s">
        <v>2489</v>
      </c>
      <c r="E414" s="1" t="s">
        <v>2490</v>
      </c>
      <c r="F414" s="1" t="s">
        <v>111</v>
      </c>
      <c r="G414" s="1">
        <v>3822135</v>
      </c>
    </row>
    <row r="415" spans="1:7" x14ac:dyDescent="0.25">
      <c r="A415" s="1" t="str">
        <f t="shared" si="6"/>
        <v>13 TESTO</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2491</v>
      </c>
      <c r="D415" s="1" t="s">
        <v>2492</v>
      </c>
      <c r="E415" s="1" t="s">
        <v>2493</v>
      </c>
      <c r="F415" s="1" t="s">
        <v>111</v>
      </c>
      <c r="G415" s="1">
        <v>3518017</v>
      </c>
    </row>
    <row r="416" spans="1:7" x14ac:dyDescent="0.25">
      <c r="A416" s="1" t="str">
        <f t="shared" si="6"/>
        <v>13 TESTO</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2494</v>
      </c>
      <c r="D416" s="1" t="s">
        <v>2495</v>
      </c>
      <c r="E416" s="1" t="s">
        <v>2496</v>
      </c>
      <c r="F416" s="1" t="s">
        <v>111</v>
      </c>
      <c r="G416" s="1">
        <v>3775429</v>
      </c>
    </row>
    <row r="417" spans="1:9" x14ac:dyDescent="0.25">
      <c r="A417" s="1" t="str">
        <f t="shared" si="6"/>
        <v>13 TESTO</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2497</v>
      </c>
      <c r="D417" s="1" t="s">
        <v>2498</v>
      </c>
      <c r="E417" s="1" t="s">
        <v>2499</v>
      </c>
      <c r="F417" s="1" t="s">
        <v>111</v>
      </c>
      <c r="G417" s="1">
        <v>3426347</v>
      </c>
    </row>
    <row r="418" spans="1:9" x14ac:dyDescent="0.25">
      <c r="A418" s="1" t="str">
        <f t="shared" si="6"/>
        <v>13 TESTO</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2500</v>
      </c>
    </row>
    <row r="419" spans="1:9" x14ac:dyDescent="0.25">
      <c r="A419" s="1" t="str">
        <f t="shared" si="6"/>
        <v>13 TESTO</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2501</v>
      </c>
      <c r="D419" s="1" t="s">
        <v>2502</v>
      </c>
      <c r="E419" s="1" t="s">
        <v>2503</v>
      </c>
      <c r="F419" s="1" t="s">
        <v>111</v>
      </c>
      <c r="G419" s="1">
        <v>1448126</v>
      </c>
    </row>
    <row r="420" spans="1:9" x14ac:dyDescent="0.25">
      <c r="A420" s="1" t="str">
        <f t="shared" si="6"/>
        <v>13 TESTO</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2504</v>
      </c>
      <c r="D420" s="1" t="s">
        <v>2505</v>
      </c>
      <c r="E420" s="1" t="s">
        <v>2506</v>
      </c>
      <c r="F420" s="1" t="s">
        <v>111</v>
      </c>
      <c r="G420" s="1">
        <v>956861</v>
      </c>
    </row>
    <row r="421" spans="1:9" x14ac:dyDescent="0.25">
      <c r="A421" s="1" t="str">
        <f t="shared" si="6"/>
        <v>13 TESTO</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2507</v>
      </c>
      <c r="D421" s="1" t="s">
        <v>2508</v>
      </c>
      <c r="E421" s="1" t="s">
        <v>2509</v>
      </c>
      <c r="F421" s="1" t="s">
        <v>111</v>
      </c>
      <c r="G421" s="1">
        <v>1632119</v>
      </c>
    </row>
    <row r="422" spans="1:9"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111</v>
      </c>
    </row>
    <row r="423" spans="1:9"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230</v>
      </c>
      <c r="D423" s="1" t="s">
        <v>111</v>
      </c>
      <c r="E423" s="1" t="s">
        <v>231</v>
      </c>
      <c r="F423" s="1" t="s">
        <v>232</v>
      </c>
      <c r="G423" s="1" t="s">
        <v>233</v>
      </c>
      <c r="H423" s="1" t="s">
        <v>234</v>
      </c>
      <c r="I423" s="1" t="s">
        <v>235</v>
      </c>
    </row>
    <row r="424" spans="1:9" x14ac:dyDescent="0.25">
      <c r="A424" s="1" t="str">
        <f t="shared" si="6"/>
        <v>13 TESTO</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2510</v>
      </c>
      <c r="D424" s="1" t="s">
        <v>111</v>
      </c>
      <c r="E424" s="1" t="s">
        <v>2511</v>
      </c>
      <c r="F424" s="1" t="s">
        <v>2512</v>
      </c>
      <c r="G424" s="1" t="s">
        <v>2513</v>
      </c>
      <c r="H424" s="1" t="s">
        <v>2514</v>
      </c>
      <c r="I424" s="1">
        <v>24</v>
      </c>
    </row>
    <row r="425" spans="1:9"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111</v>
      </c>
    </row>
    <row r="426" spans="1:9"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111</v>
      </c>
    </row>
    <row r="427" spans="1:9"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111</v>
      </c>
    </row>
    <row r="428" spans="1:9"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111</v>
      </c>
    </row>
    <row r="429" spans="1:9"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111</v>
      </c>
    </row>
    <row r="430" spans="1:9"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240</v>
      </c>
      <c r="D430" s="1" t="s">
        <v>109</v>
      </c>
      <c r="E430" s="1" t="s">
        <v>110</v>
      </c>
      <c r="F430" s="1" t="s">
        <v>111</v>
      </c>
      <c r="G430" s="1" t="s">
        <v>112</v>
      </c>
    </row>
    <row r="431" spans="1:9" x14ac:dyDescent="0.25">
      <c r="A431" s="1" t="str">
        <f t="shared" si="6"/>
        <v>14 TESTO</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2515</v>
      </c>
      <c r="D431" s="1" t="s">
        <v>2516</v>
      </c>
      <c r="E431" s="1" t="s">
        <v>2517</v>
      </c>
      <c r="F431" s="1" t="s">
        <v>111</v>
      </c>
      <c r="G431" s="1">
        <v>1880395</v>
      </c>
    </row>
    <row r="432" spans="1:9" x14ac:dyDescent="0.25">
      <c r="A432" s="1" t="str">
        <f t="shared" si="6"/>
        <v>14 TESTO</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2518</v>
      </c>
      <c r="D432" s="1" t="s">
        <v>2519</v>
      </c>
      <c r="E432" s="1" t="s">
        <v>2520</v>
      </c>
      <c r="F432" s="1" t="s">
        <v>111</v>
      </c>
      <c r="G432" s="1">
        <v>1500987</v>
      </c>
    </row>
    <row r="433" spans="1:7" x14ac:dyDescent="0.25">
      <c r="A433" s="1" t="str">
        <f t="shared" si="6"/>
        <v>14 TESTO</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2521</v>
      </c>
      <c r="D433" s="1" t="s">
        <v>2522</v>
      </c>
      <c r="E433" s="1" t="s">
        <v>2523</v>
      </c>
      <c r="F433" s="1" t="s">
        <v>111</v>
      </c>
      <c r="G433" s="1">
        <v>1208443</v>
      </c>
    </row>
    <row r="434" spans="1:7" x14ac:dyDescent="0.25">
      <c r="A434" s="1" t="str">
        <f t="shared" si="6"/>
        <v>14 TESTO</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2524</v>
      </c>
      <c r="D434" s="1" t="s">
        <v>2525</v>
      </c>
      <c r="E434" s="1" t="s">
        <v>2526</v>
      </c>
      <c r="F434" s="1" t="s">
        <v>111</v>
      </c>
      <c r="G434" s="1">
        <v>913070</v>
      </c>
    </row>
    <row r="435" spans="1:7" x14ac:dyDescent="0.25">
      <c r="A435" s="1" t="str">
        <f t="shared" si="6"/>
        <v>14 TESTO</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2527</v>
      </c>
      <c r="D435" s="1" t="s">
        <v>1983</v>
      </c>
      <c r="E435" s="1" t="s">
        <v>2528</v>
      </c>
      <c r="F435" s="1" t="s">
        <v>111</v>
      </c>
      <c r="G435" s="1">
        <v>418412</v>
      </c>
    </row>
    <row r="436" spans="1:7" x14ac:dyDescent="0.25">
      <c r="A436" s="1" t="str">
        <f t="shared" si="6"/>
        <v>14 TESTO</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2529</v>
      </c>
      <c r="D436" s="1" t="s">
        <v>2530</v>
      </c>
      <c r="E436" s="1" t="s">
        <v>2531</v>
      </c>
      <c r="F436" s="1" t="s">
        <v>111</v>
      </c>
      <c r="G436" s="1">
        <v>708977</v>
      </c>
    </row>
    <row r="437" spans="1:7" x14ac:dyDescent="0.25">
      <c r="A437" s="1" t="str">
        <f t="shared" si="6"/>
        <v>14 TESTO</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2532</v>
      </c>
      <c r="D437" s="1" t="s">
        <v>2533</v>
      </c>
      <c r="E437" s="1" t="s">
        <v>2534</v>
      </c>
      <c r="F437" s="1" t="s">
        <v>111</v>
      </c>
      <c r="G437" s="1">
        <v>2034607</v>
      </c>
    </row>
    <row r="438" spans="1:7" x14ac:dyDescent="0.25">
      <c r="A438" s="1" t="str">
        <f t="shared" si="6"/>
        <v>14 TESTO</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2535</v>
      </c>
      <c r="D438" s="1" t="s">
        <v>2536</v>
      </c>
      <c r="E438" s="1" t="s">
        <v>2537</v>
      </c>
      <c r="F438" s="1" t="s">
        <v>111</v>
      </c>
      <c r="G438" s="1">
        <v>2384190</v>
      </c>
    </row>
    <row r="439" spans="1:7" x14ac:dyDescent="0.25">
      <c r="A439" s="1" t="str">
        <f t="shared" si="6"/>
        <v>14 TESTO</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2538</v>
      </c>
      <c r="D439" s="1" t="s">
        <v>2539</v>
      </c>
      <c r="E439" s="1" t="s">
        <v>2540</v>
      </c>
      <c r="F439" s="1" t="s">
        <v>111</v>
      </c>
      <c r="G439" s="1">
        <v>2199674</v>
      </c>
    </row>
    <row r="440" spans="1:7" x14ac:dyDescent="0.25">
      <c r="A440" s="1" t="str">
        <f t="shared" si="6"/>
        <v>14 TESTO</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2541</v>
      </c>
      <c r="D440" s="1" t="s">
        <v>2542</v>
      </c>
      <c r="E440" s="1" t="s">
        <v>2543</v>
      </c>
      <c r="F440" s="1" t="s">
        <v>111</v>
      </c>
      <c r="G440" s="1">
        <v>3902798</v>
      </c>
    </row>
    <row r="441" spans="1:7" x14ac:dyDescent="0.25">
      <c r="A441" s="1" t="str">
        <f t="shared" si="6"/>
        <v>14 TESTO</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2544</v>
      </c>
      <c r="D441" s="1" t="s">
        <v>2545</v>
      </c>
      <c r="E441" s="1" t="s">
        <v>2546</v>
      </c>
      <c r="F441" s="1" t="s">
        <v>111</v>
      </c>
      <c r="G441" s="1">
        <v>4088966</v>
      </c>
    </row>
    <row r="442" spans="1:7" x14ac:dyDescent="0.25">
      <c r="A442" s="1" t="str">
        <f t="shared" si="6"/>
        <v>14 TESTO</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2547</v>
      </c>
      <c r="D442" s="1" t="s">
        <v>2548</v>
      </c>
      <c r="E442" s="1" t="s">
        <v>2549</v>
      </c>
      <c r="F442" s="1" t="s">
        <v>111</v>
      </c>
      <c r="G442" s="1">
        <v>3636205</v>
      </c>
    </row>
    <row r="443" spans="1:7" x14ac:dyDescent="0.25">
      <c r="A443" s="1" t="str">
        <f t="shared" si="6"/>
        <v>14 TESTO</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2550</v>
      </c>
      <c r="D443" s="1" t="s">
        <v>2551</v>
      </c>
      <c r="E443" s="1" t="s">
        <v>2552</v>
      </c>
      <c r="F443" s="1" t="s">
        <v>111</v>
      </c>
      <c r="G443" s="1">
        <v>1435748</v>
      </c>
    </row>
    <row r="444" spans="1:7" x14ac:dyDescent="0.25">
      <c r="A444" s="1" t="str">
        <f t="shared" si="6"/>
        <v>14 TESTO</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2553</v>
      </c>
      <c r="D444" s="1" t="s">
        <v>2554</v>
      </c>
      <c r="E444" s="1" t="s">
        <v>2555</v>
      </c>
      <c r="F444" s="1" t="s">
        <v>111</v>
      </c>
      <c r="G444" s="1">
        <v>1302985</v>
      </c>
    </row>
    <row r="445" spans="1:7" x14ac:dyDescent="0.25">
      <c r="A445" s="1" t="str">
        <f t="shared" si="6"/>
        <v>14 TESTO</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2556</v>
      </c>
      <c r="D445" s="1" t="s">
        <v>2557</v>
      </c>
      <c r="E445" s="1" t="s">
        <v>2558</v>
      </c>
      <c r="F445" s="1" t="s">
        <v>111</v>
      </c>
      <c r="G445" s="1">
        <v>1233808</v>
      </c>
    </row>
    <row r="446" spans="1:7" x14ac:dyDescent="0.25">
      <c r="A446" s="1" t="str">
        <f t="shared" si="6"/>
        <v>14 TESTO</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2559</v>
      </c>
      <c r="D446" s="1" t="s">
        <v>2560</v>
      </c>
      <c r="E446" s="1" t="s">
        <v>2561</v>
      </c>
      <c r="F446" s="1" t="s">
        <v>111</v>
      </c>
      <c r="G446" s="1">
        <v>1169438</v>
      </c>
    </row>
    <row r="447" spans="1:7" x14ac:dyDescent="0.25">
      <c r="A447" s="1" t="str">
        <f t="shared" si="6"/>
        <v>14 TESTO</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2562</v>
      </c>
      <c r="D447" s="1" t="s">
        <v>2563</v>
      </c>
      <c r="E447" s="1" t="s">
        <v>2564</v>
      </c>
      <c r="F447" s="1" t="s">
        <v>111</v>
      </c>
      <c r="G447" s="1">
        <v>971283</v>
      </c>
    </row>
    <row r="448" spans="1:7" x14ac:dyDescent="0.25">
      <c r="A448" s="1" t="str">
        <f t="shared" si="6"/>
        <v>14 TESTO</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2565</v>
      </c>
      <c r="D448" s="1" t="s">
        <v>2566</v>
      </c>
      <c r="E448" s="1" t="s">
        <v>2567</v>
      </c>
      <c r="F448" s="1" t="s">
        <v>111</v>
      </c>
      <c r="G448" s="1">
        <v>990557</v>
      </c>
    </row>
    <row r="449" spans="1:9" x14ac:dyDescent="0.25">
      <c r="A449" s="1" t="str">
        <f t="shared" si="6"/>
        <v>14 TESTO</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2568</v>
      </c>
      <c r="D449" s="1" t="s">
        <v>2569</v>
      </c>
      <c r="E449" s="1" t="s">
        <v>2570</v>
      </c>
      <c r="F449" s="1" t="s">
        <v>111</v>
      </c>
      <c r="G449" s="1">
        <v>1876740</v>
      </c>
    </row>
    <row r="450" spans="1:9" x14ac:dyDescent="0.25">
      <c r="A450" s="1" t="str">
        <f t="shared" ref="A450:A513" si="7">IFERROR(LEFT(RIGHT(C450,LEN(C450)-SEARCH("@",C450)),SEARCH("/",RIGHT(C450,LEN(C450)-SEARCH("@",C450)-1))),"")</f>
        <v>14 TESTO</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2571</v>
      </c>
      <c r="D450" s="1" t="s">
        <v>2554</v>
      </c>
      <c r="E450" s="1" t="s">
        <v>2572</v>
      </c>
      <c r="F450" s="1" t="s">
        <v>111</v>
      </c>
      <c r="G450" s="1">
        <v>1318017</v>
      </c>
    </row>
    <row r="451" spans="1:9" x14ac:dyDescent="0.25">
      <c r="A451" s="1" t="str">
        <f t="shared" si="7"/>
        <v>14 TESTO</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2573</v>
      </c>
      <c r="D451" s="1" t="s">
        <v>2574</v>
      </c>
      <c r="E451" s="1" t="s">
        <v>2575</v>
      </c>
      <c r="F451" s="1" t="s">
        <v>111</v>
      </c>
      <c r="G451" s="1">
        <v>1285081</v>
      </c>
    </row>
    <row r="452" spans="1:9" x14ac:dyDescent="0.25">
      <c r="A452" s="1" t="str">
        <f t="shared" si="7"/>
        <v>14 TESTO</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2576</v>
      </c>
      <c r="D452" s="1" t="s">
        <v>2577</v>
      </c>
      <c r="E452" s="1" t="s">
        <v>2578</v>
      </c>
      <c r="F452" s="1" t="s">
        <v>111</v>
      </c>
      <c r="G452" s="1">
        <v>4127362</v>
      </c>
    </row>
    <row r="453" spans="1:9" x14ac:dyDescent="0.25">
      <c r="A453" s="1" t="str">
        <f t="shared" si="7"/>
        <v>14 TESTO</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2579</v>
      </c>
      <c r="D453" s="1" t="s">
        <v>2580</v>
      </c>
      <c r="E453" s="1" t="s">
        <v>2581</v>
      </c>
      <c r="F453" s="1" t="s">
        <v>111</v>
      </c>
      <c r="G453" s="1">
        <v>4314183</v>
      </c>
    </row>
    <row r="454" spans="1:9" x14ac:dyDescent="0.25">
      <c r="A454" s="1" t="str">
        <f t="shared" si="7"/>
        <v>14 TESTO</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2582</v>
      </c>
      <c r="D454" s="1" t="s">
        <v>2583</v>
      </c>
      <c r="E454" s="1" t="s">
        <v>2584</v>
      </c>
      <c r="F454" s="1" t="s">
        <v>111</v>
      </c>
      <c r="G454" s="1">
        <v>4803164</v>
      </c>
    </row>
    <row r="455" spans="1:9"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111</v>
      </c>
    </row>
    <row r="456" spans="1:9"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230</v>
      </c>
      <c r="D456" s="1" t="s">
        <v>111</v>
      </c>
      <c r="E456" s="1" t="s">
        <v>231</v>
      </c>
      <c r="F456" s="1" t="s">
        <v>232</v>
      </c>
      <c r="G456" s="1" t="s">
        <v>233</v>
      </c>
      <c r="H456" s="1" t="s">
        <v>234</v>
      </c>
      <c r="I456" s="1" t="s">
        <v>235</v>
      </c>
    </row>
    <row r="457" spans="1:9" x14ac:dyDescent="0.25">
      <c r="A457" s="1" t="str">
        <f t="shared" si="7"/>
        <v>14 TESTO</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2585</v>
      </c>
      <c r="D457" s="1" t="s">
        <v>111</v>
      </c>
      <c r="E457" s="1" t="s">
        <v>2586</v>
      </c>
      <c r="F457" s="1" t="s">
        <v>2587</v>
      </c>
      <c r="G457" s="1" t="s">
        <v>2588</v>
      </c>
      <c r="H457" s="1" t="s">
        <v>2589</v>
      </c>
      <c r="I457" s="1">
        <v>24</v>
      </c>
    </row>
    <row r="458" spans="1:9"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111</v>
      </c>
    </row>
    <row r="459" spans="1:9"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111</v>
      </c>
    </row>
    <row r="460" spans="1:9"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111</v>
      </c>
    </row>
    <row r="461" spans="1:9"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111</v>
      </c>
    </row>
    <row r="462" spans="1:9"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111</v>
      </c>
    </row>
    <row r="463" spans="1:9"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240</v>
      </c>
      <c r="D463" s="1" t="s">
        <v>109</v>
      </c>
      <c r="E463" s="1" t="s">
        <v>110</v>
      </c>
      <c r="F463" s="1" t="s">
        <v>111</v>
      </c>
      <c r="G463" s="1" t="s">
        <v>112</v>
      </c>
    </row>
    <row r="464" spans="1:9" x14ac:dyDescent="0.25">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2590</v>
      </c>
      <c r="D464" s="1" t="s">
        <v>2591</v>
      </c>
      <c r="E464" s="1" t="s">
        <v>2592</v>
      </c>
      <c r="F464" s="1" t="s">
        <v>111</v>
      </c>
      <c r="G464" s="1">
        <v>4018745</v>
      </c>
    </row>
    <row r="465" spans="1:7" x14ac:dyDescent="0.25">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2593</v>
      </c>
      <c r="D465" s="1" t="s">
        <v>2594</v>
      </c>
      <c r="E465" s="1" t="s">
        <v>2595</v>
      </c>
      <c r="F465" s="1" t="s">
        <v>111</v>
      </c>
      <c r="G465" s="1">
        <v>3406029</v>
      </c>
    </row>
    <row r="466" spans="1:7" x14ac:dyDescent="0.25">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2596</v>
      </c>
      <c r="D466" s="1" t="s">
        <v>2597</v>
      </c>
      <c r="E466" s="1" t="s">
        <v>2598</v>
      </c>
      <c r="F466" s="1" t="s">
        <v>111</v>
      </c>
      <c r="G466" s="1">
        <v>3907953</v>
      </c>
    </row>
    <row r="467" spans="1:7" x14ac:dyDescent="0.25">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2599</v>
      </c>
      <c r="D467" s="1" t="s">
        <v>2600</v>
      </c>
      <c r="E467" s="1" t="s">
        <v>2601</v>
      </c>
      <c r="F467" s="1" t="s">
        <v>111</v>
      </c>
      <c r="G467" s="1">
        <v>5242894</v>
      </c>
    </row>
    <row r="468" spans="1:7" x14ac:dyDescent="0.25">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2602</v>
      </c>
      <c r="D468" s="1" t="s">
        <v>2603</v>
      </c>
      <c r="E468" s="1" t="s">
        <v>2604</v>
      </c>
      <c r="F468" s="1" t="s">
        <v>111</v>
      </c>
      <c r="G468" s="1">
        <v>5064513</v>
      </c>
    </row>
    <row r="469" spans="1:7" x14ac:dyDescent="0.25">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2605</v>
      </c>
      <c r="D469" s="1" t="s">
        <v>2606</v>
      </c>
      <c r="E469" s="1" t="s">
        <v>2607</v>
      </c>
      <c r="F469" s="1" t="s">
        <v>111</v>
      </c>
      <c r="G469" s="1">
        <v>4801010</v>
      </c>
    </row>
    <row r="470" spans="1:7" x14ac:dyDescent="0.25">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2608</v>
      </c>
      <c r="D470" s="1" t="s">
        <v>2609</v>
      </c>
      <c r="E470" s="1" t="s">
        <v>2610</v>
      </c>
      <c r="F470" s="1" t="s">
        <v>111</v>
      </c>
      <c r="G470" s="1">
        <v>2243225</v>
      </c>
    </row>
    <row r="471" spans="1:7" x14ac:dyDescent="0.25">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2611</v>
      </c>
    </row>
    <row r="472" spans="1:7" x14ac:dyDescent="0.25">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2612</v>
      </c>
      <c r="D472" s="1" t="s">
        <v>2613</v>
      </c>
      <c r="E472" s="1" t="s">
        <v>2614</v>
      </c>
      <c r="F472" s="1" t="s">
        <v>111</v>
      </c>
      <c r="G472" s="1">
        <v>2173309</v>
      </c>
    </row>
    <row r="473" spans="1:7" x14ac:dyDescent="0.25">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2615</v>
      </c>
      <c r="D473" s="1" t="s">
        <v>2616</v>
      </c>
      <c r="E473" s="1" t="s">
        <v>2617</v>
      </c>
      <c r="F473" s="1" t="s">
        <v>111</v>
      </c>
      <c r="G473" s="1">
        <v>5108195</v>
      </c>
    </row>
    <row r="474" spans="1:7" x14ac:dyDescent="0.25">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2618</v>
      </c>
      <c r="D474" s="1" t="s">
        <v>2619</v>
      </c>
      <c r="E474" s="1" t="s">
        <v>2620</v>
      </c>
      <c r="F474" s="1" t="s">
        <v>111</v>
      </c>
      <c r="G474" s="1">
        <v>5004930</v>
      </c>
    </row>
    <row r="475" spans="1:7" x14ac:dyDescent="0.25">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2621</v>
      </c>
      <c r="D475" s="1" t="s">
        <v>2622</v>
      </c>
      <c r="E475" s="1" t="s">
        <v>2623</v>
      </c>
      <c r="F475" s="1" t="s">
        <v>111</v>
      </c>
      <c r="G475" s="1">
        <v>5172869</v>
      </c>
    </row>
    <row r="476" spans="1:7" x14ac:dyDescent="0.25">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2624</v>
      </c>
      <c r="D476" s="1" t="s">
        <v>2625</v>
      </c>
      <c r="E476" s="1" t="s">
        <v>2626</v>
      </c>
      <c r="F476" s="1" t="s">
        <v>111</v>
      </c>
      <c r="G476" s="1">
        <v>4364412</v>
      </c>
    </row>
    <row r="477" spans="1:7" x14ac:dyDescent="0.25">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2627</v>
      </c>
      <c r="D477" s="1" t="s">
        <v>2628</v>
      </c>
      <c r="E477" s="1" t="s">
        <v>2629</v>
      </c>
      <c r="F477" s="1" t="s">
        <v>111</v>
      </c>
      <c r="G477" s="1">
        <v>3965492</v>
      </c>
    </row>
    <row r="478" spans="1:7" x14ac:dyDescent="0.25">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2630</v>
      </c>
      <c r="D478" s="1" t="s">
        <v>2631</v>
      </c>
      <c r="E478" s="1" t="s">
        <v>2632</v>
      </c>
      <c r="F478" s="1" t="s">
        <v>111</v>
      </c>
      <c r="G478" s="1">
        <v>4183160</v>
      </c>
    </row>
    <row r="479" spans="1:7" x14ac:dyDescent="0.25">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2633</v>
      </c>
      <c r="D479" s="1" t="s">
        <v>2147</v>
      </c>
      <c r="E479" s="1" t="s">
        <v>2634</v>
      </c>
      <c r="F479" s="1" t="s">
        <v>111</v>
      </c>
      <c r="G479" s="1">
        <v>2146682</v>
      </c>
    </row>
    <row r="480" spans="1:7" x14ac:dyDescent="0.25">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2635</v>
      </c>
      <c r="D480" s="1" t="s">
        <v>2636</v>
      </c>
      <c r="E480" s="1" t="s">
        <v>2637</v>
      </c>
      <c r="F480" s="1" t="s">
        <v>111</v>
      </c>
      <c r="G480" s="1">
        <v>2642885</v>
      </c>
    </row>
    <row r="481" spans="1:9" x14ac:dyDescent="0.25">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2638</v>
      </c>
      <c r="D481" s="1" t="s">
        <v>2639</v>
      </c>
      <c r="E481" s="1" t="s">
        <v>2640</v>
      </c>
      <c r="F481" s="1" t="s">
        <v>111</v>
      </c>
      <c r="G481" s="1">
        <v>2323519</v>
      </c>
    </row>
    <row r="482" spans="1:9" x14ac:dyDescent="0.25">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2641</v>
      </c>
    </row>
    <row r="483" spans="1:9" x14ac:dyDescent="0.25">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2642</v>
      </c>
    </row>
    <row r="484" spans="1:9" x14ac:dyDescent="0.25">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2643</v>
      </c>
      <c r="D484" s="1" t="s">
        <v>1758</v>
      </c>
      <c r="E484" s="1" t="s">
        <v>2644</v>
      </c>
      <c r="F484" s="1" t="s">
        <v>111</v>
      </c>
      <c r="G484" s="1">
        <v>18338</v>
      </c>
    </row>
    <row r="485" spans="1:9" x14ac:dyDescent="0.25">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2645</v>
      </c>
    </row>
    <row r="486" spans="1:9" x14ac:dyDescent="0.25">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2646</v>
      </c>
    </row>
    <row r="487" spans="1:9" x14ac:dyDescent="0.25">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2647</v>
      </c>
    </row>
    <row r="488" spans="1:9"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111</v>
      </c>
    </row>
    <row r="489" spans="1:9"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230</v>
      </c>
      <c r="D489" s="1" t="s">
        <v>111</v>
      </c>
      <c r="E489" s="1" t="s">
        <v>231</v>
      </c>
      <c r="F489" s="1" t="s">
        <v>232</v>
      </c>
      <c r="G489" s="1" t="s">
        <v>233</v>
      </c>
      <c r="H489" s="1" t="s">
        <v>234</v>
      </c>
      <c r="I489" s="1" t="s">
        <v>235</v>
      </c>
    </row>
    <row r="490" spans="1:9" x14ac:dyDescent="0.25">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2648</v>
      </c>
      <c r="D490" s="1" t="s">
        <v>111</v>
      </c>
      <c r="E490" s="1" t="s">
        <v>2649</v>
      </c>
      <c r="F490" s="1" t="s">
        <v>2650</v>
      </c>
      <c r="G490" s="1" t="s">
        <v>2651</v>
      </c>
      <c r="H490" s="1" t="s">
        <v>2652</v>
      </c>
      <c r="I490" s="1">
        <v>24</v>
      </c>
    </row>
    <row r="491" spans="1:9"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111</v>
      </c>
    </row>
    <row r="492" spans="1:9"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111</v>
      </c>
    </row>
    <row r="493" spans="1:9"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111</v>
      </c>
    </row>
    <row r="494" spans="1:9"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111</v>
      </c>
    </row>
    <row r="495" spans="1:9"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111</v>
      </c>
    </row>
    <row r="496" spans="1:9"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240</v>
      </c>
      <c r="D496" s="1" t="s">
        <v>109</v>
      </c>
      <c r="E496" s="1" t="s">
        <v>110</v>
      </c>
      <c r="F496" s="1" t="s">
        <v>111</v>
      </c>
      <c r="G496" s="1" t="s">
        <v>112</v>
      </c>
    </row>
    <row r="497" spans="1:7" x14ac:dyDescent="0.25">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2653</v>
      </c>
      <c r="D497" s="1" t="s">
        <v>2654</v>
      </c>
      <c r="E497" s="1" t="s">
        <v>2655</v>
      </c>
      <c r="F497" s="1" t="s">
        <v>111</v>
      </c>
      <c r="G497" s="1">
        <v>364332</v>
      </c>
    </row>
    <row r="498" spans="1:7" x14ac:dyDescent="0.25">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2656</v>
      </c>
    </row>
    <row r="499" spans="1:7" x14ac:dyDescent="0.25">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2657</v>
      </c>
      <c r="D499" s="1" t="s">
        <v>2658</v>
      </c>
      <c r="E499" s="1" t="s">
        <v>2659</v>
      </c>
      <c r="F499" s="1" t="s">
        <v>111</v>
      </c>
      <c r="G499" s="1">
        <v>242141</v>
      </c>
    </row>
    <row r="500" spans="1:7" x14ac:dyDescent="0.25">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2660</v>
      </c>
      <c r="D500" s="1" t="s">
        <v>1803</v>
      </c>
      <c r="E500" s="1" t="s">
        <v>2661</v>
      </c>
      <c r="F500" s="1" t="s">
        <v>111</v>
      </c>
      <c r="G500" s="1">
        <v>101873</v>
      </c>
    </row>
    <row r="501" spans="1:7" x14ac:dyDescent="0.25">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2662</v>
      </c>
      <c r="D501" s="1" t="s">
        <v>1800</v>
      </c>
      <c r="E501" s="1" t="s">
        <v>2663</v>
      </c>
      <c r="F501" s="1" t="s">
        <v>111</v>
      </c>
      <c r="G501" s="1">
        <v>86950</v>
      </c>
    </row>
    <row r="502" spans="1:7" x14ac:dyDescent="0.25">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2664</v>
      </c>
      <c r="D502" s="1" t="s">
        <v>2185</v>
      </c>
      <c r="E502" s="1" t="s">
        <v>2665</v>
      </c>
      <c r="F502" s="1" t="s">
        <v>111</v>
      </c>
      <c r="G502" s="1">
        <v>60519</v>
      </c>
    </row>
    <row r="503" spans="1:7" x14ac:dyDescent="0.25">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2666</v>
      </c>
      <c r="D503" s="1" t="s">
        <v>1928</v>
      </c>
      <c r="E503" s="1" t="s">
        <v>2667</v>
      </c>
      <c r="F503" s="1" t="s">
        <v>111</v>
      </c>
      <c r="G503" s="1">
        <v>87059</v>
      </c>
    </row>
    <row r="504" spans="1:7" x14ac:dyDescent="0.25">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2668</v>
      </c>
      <c r="D504" s="1" t="s">
        <v>1739</v>
      </c>
      <c r="E504" s="1" t="s">
        <v>2669</v>
      </c>
      <c r="F504" s="1" t="s">
        <v>111</v>
      </c>
      <c r="G504" s="1">
        <v>50469</v>
      </c>
    </row>
    <row r="505" spans="1:7" x14ac:dyDescent="0.25">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2670</v>
      </c>
      <c r="D505" s="1" t="s">
        <v>2671</v>
      </c>
      <c r="E505" s="1" t="s">
        <v>2672</v>
      </c>
      <c r="F505" s="1" t="s">
        <v>111</v>
      </c>
      <c r="G505" s="1">
        <v>241206</v>
      </c>
    </row>
    <row r="506" spans="1:7" x14ac:dyDescent="0.25">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2673</v>
      </c>
      <c r="D506" s="1" t="s">
        <v>2674</v>
      </c>
      <c r="E506" s="1" t="s">
        <v>2675</v>
      </c>
      <c r="F506" s="1" t="s">
        <v>111</v>
      </c>
      <c r="G506" s="1">
        <v>74115</v>
      </c>
    </row>
    <row r="507" spans="1:7" x14ac:dyDescent="0.25">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2676</v>
      </c>
      <c r="D507" s="1" t="s">
        <v>1850</v>
      </c>
      <c r="E507" s="1" t="s">
        <v>2677</v>
      </c>
      <c r="F507" s="1" t="s">
        <v>111</v>
      </c>
      <c r="G507" s="1">
        <v>70091</v>
      </c>
    </row>
    <row r="508" spans="1:7" x14ac:dyDescent="0.25">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2678</v>
      </c>
      <c r="D508" s="1" t="s">
        <v>2679</v>
      </c>
      <c r="E508" s="1" t="s">
        <v>2680</v>
      </c>
      <c r="F508" s="1" t="s">
        <v>111</v>
      </c>
      <c r="G508" s="1">
        <v>77922</v>
      </c>
    </row>
    <row r="509" spans="1:7" x14ac:dyDescent="0.25">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2681</v>
      </c>
      <c r="D509" s="1" t="s">
        <v>1934</v>
      </c>
      <c r="E509" s="1" t="s">
        <v>797</v>
      </c>
      <c r="F509" s="1" t="s">
        <v>111</v>
      </c>
      <c r="G509" s="1">
        <v>222323</v>
      </c>
    </row>
    <row r="510" spans="1:7" x14ac:dyDescent="0.25">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2682</v>
      </c>
    </row>
    <row r="511" spans="1:7" x14ac:dyDescent="0.25">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2683</v>
      </c>
    </row>
    <row r="512" spans="1:7" x14ac:dyDescent="0.25">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2684</v>
      </c>
      <c r="D512" s="1" t="s">
        <v>2685</v>
      </c>
      <c r="E512" s="1" t="s">
        <v>2686</v>
      </c>
      <c r="F512" s="1" t="s">
        <v>111</v>
      </c>
      <c r="G512" s="1">
        <v>221301</v>
      </c>
    </row>
    <row r="513" spans="1:9" x14ac:dyDescent="0.25">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2687</v>
      </c>
      <c r="D513" s="1" t="s">
        <v>2314</v>
      </c>
      <c r="E513" s="1" t="s">
        <v>699</v>
      </c>
      <c r="F513" s="1" t="s">
        <v>111</v>
      </c>
      <c r="G513" s="1">
        <v>42855</v>
      </c>
    </row>
    <row r="514" spans="1:9" x14ac:dyDescent="0.25">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2688</v>
      </c>
      <c r="D514" s="1" t="s">
        <v>2255</v>
      </c>
      <c r="E514" s="1" t="s">
        <v>2689</v>
      </c>
      <c r="F514" s="1" t="s">
        <v>111</v>
      </c>
      <c r="G514" s="1">
        <v>30934</v>
      </c>
    </row>
    <row r="515" spans="1:9" x14ac:dyDescent="0.25">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2690</v>
      </c>
      <c r="D515" s="1" t="s">
        <v>1703</v>
      </c>
      <c r="E515" s="1" t="s">
        <v>2691</v>
      </c>
      <c r="F515" s="1" t="s">
        <v>111</v>
      </c>
      <c r="G515" s="1">
        <v>33087</v>
      </c>
    </row>
    <row r="516" spans="1:9" x14ac:dyDescent="0.25">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2692</v>
      </c>
      <c r="D516" s="1" t="s">
        <v>1822</v>
      </c>
      <c r="E516" s="1" t="s">
        <v>2693</v>
      </c>
      <c r="F516" s="1" t="s">
        <v>111</v>
      </c>
      <c r="G516" s="1">
        <v>94694</v>
      </c>
    </row>
    <row r="517" spans="1:9" x14ac:dyDescent="0.25">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2694</v>
      </c>
      <c r="D517" s="1" t="s">
        <v>2185</v>
      </c>
      <c r="E517" s="1" t="s">
        <v>2695</v>
      </c>
      <c r="F517" s="1" t="s">
        <v>111</v>
      </c>
      <c r="G517" s="1">
        <v>60998</v>
      </c>
    </row>
    <row r="518" spans="1:9" x14ac:dyDescent="0.25">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2696</v>
      </c>
      <c r="D518" s="1" t="s">
        <v>2697</v>
      </c>
      <c r="E518" s="1" t="s">
        <v>2698</v>
      </c>
      <c r="F518" s="1" t="s">
        <v>111</v>
      </c>
      <c r="G518" s="1">
        <v>58452</v>
      </c>
    </row>
    <row r="519" spans="1:9" x14ac:dyDescent="0.25">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2699</v>
      </c>
      <c r="D519" s="1" t="s">
        <v>1698</v>
      </c>
      <c r="E519" s="1" t="s">
        <v>2700</v>
      </c>
      <c r="F519" s="1" t="s">
        <v>111</v>
      </c>
      <c r="G519" s="1">
        <v>39614</v>
      </c>
    </row>
    <row r="520" spans="1:9" x14ac:dyDescent="0.25">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2701</v>
      </c>
      <c r="D520" s="1" t="s">
        <v>1733</v>
      </c>
      <c r="E520" s="1" t="s">
        <v>2702</v>
      </c>
      <c r="F520" s="1" t="s">
        <v>111</v>
      </c>
      <c r="G520" s="1">
        <v>31434</v>
      </c>
    </row>
    <row r="521" spans="1:9"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111</v>
      </c>
    </row>
    <row r="522" spans="1:9"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230</v>
      </c>
      <c r="D522" s="1" t="s">
        <v>111</v>
      </c>
      <c r="E522" s="1" t="s">
        <v>231</v>
      </c>
      <c r="F522" s="1" t="s">
        <v>232</v>
      </c>
      <c r="G522" s="1" t="s">
        <v>233</v>
      </c>
      <c r="H522" s="1" t="s">
        <v>234</v>
      </c>
      <c r="I522" s="1" t="s">
        <v>235</v>
      </c>
    </row>
    <row r="523" spans="1:9" x14ac:dyDescent="0.25">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2703</v>
      </c>
      <c r="D523" s="1" t="s">
        <v>111</v>
      </c>
      <c r="E523" s="1" t="s">
        <v>2704</v>
      </c>
      <c r="F523" s="1" t="s">
        <v>2705</v>
      </c>
      <c r="G523" s="1" t="s">
        <v>2706</v>
      </c>
      <c r="H523" s="1" t="s">
        <v>2707</v>
      </c>
      <c r="I523" s="1">
        <v>24</v>
      </c>
    </row>
    <row r="524" spans="1:9"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111</v>
      </c>
    </row>
    <row r="525" spans="1:9"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111</v>
      </c>
    </row>
    <row r="526" spans="1:9"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111</v>
      </c>
    </row>
    <row r="527" spans="1:9"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111</v>
      </c>
    </row>
    <row r="528" spans="1:9"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111</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240</v>
      </c>
      <c r="D529" s="1" t="s">
        <v>109</v>
      </c>
      <c r="E529" s="1" t="s">
        <v>110</v>
      </c>
      <c r="F529" s="1" t="s">
        <v>111</v>
      </c>
      <c r="G529" s="1" t="s">
        <v>112</v>
      </c>
    </row>
    <row r="530" spans="1:7" x14ac:dyDescent="0.25">
      <c r="A530" s="1" t="str">
        <f t="shared" si="8"/>
        <v>17 Atenolol 0.01</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2708</v>
      </c>
      <c r="D530" s="1" t="s">
        <v>2709</v>
      </c>
      <c r="E530" s="1" t="s">
        <v>2710</v>
      </c>
      <c r="F530" s="1" t="s">
        <v>111</v>
      </c>
      <c r="G530" s="1">
        <v>2436856</v>
      </c>
    </row>
    <row r="531" spans="1:7" x14ac:dyDescent="0.25">
      <c r="A531" s="1" t="str">
        <f t="shared" si="8"/>
        <v>17 Atenolol 0.01</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2711</v>
      </c>
      <c r="D531" s="1" t="s">
        <v>2712</v>
      </c>
      <c r="E531" s="1" t="s">
        <v>2713</v>
      </c>
      <c r="F531" s="1" t="s">
        <v>111</v>
      </c>
      <c r="G531" s="1">
        <v>2462482</v>
      </c>
    </row>
    <row r="532" spans="1:7" x14ac:dyDescent="0.25">
      <c r="A532" s="1" t="str">
        <f t="shared" si="8"/>
        <v>17 Atenolol 0.01</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2714</v>
      </c>
      <c r="D532" s="1" t="s">
        <v>2715</v>
      </c>
      <c r="E532" s="1" t="s">
        <v>2716</v>
      </c>
      <c r="F532" s="1" t="s">
        <v>111</v>
      </c>
      <c r="G532" s="1">
        <v>3111614</v>
      </c>
    </row>
    <row r="533" spans="1:7" x14ac:dyDescent="0.25">
      <c r="A533" s="1" t="str">
        <f t="shared" si="8"/>
        <v>17 Atenolol 0.01</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2717</v>
      </c>
      <c r="D533" s="1" t="s">
        <v>2718</v>
      </c>
      <c r="E533" s="1" t="s">
        <v>2719</v>
      </c>
      <c r="F533" s="1" t="s">
        <v>111</v>
      </c>
      <c r="G533" s="1">
        <v>962147</v>
      </c>
    </row>
    <row r="534" spans="1:7" x14ac:dyDescent="0.25">
      <c r="A534" s="1" t="str">
        <f t="shared" si="8"/>
        <v>17 Atenolol 0.01</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2720</v>
      </c>
      <c r="D534" s="1" t="s">
        <v>2721</v>
      </c>
      <c r="E534" s="1" t="s">
        <v>2722</v>
      </c>
      <c r="F534" s="1" t="s">
        <v>111</v>
      </c>
      <c r="G534" s="1">
        <v>1103611</v>
      </c>
    </row>
    <row r="535" spans="1:7" x14ac:dyDescent="0.25">
      <c r="A535" s="1" t="str">
        <f t="shared" si="8"/>
        <v>17 Atenolol 0.01</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2723</v>
      </c>
      <c r="D535" s="1" t="s">
        <v>2724</v>
      </c>
      <c r="E535" s="1" t="s">
        <v>2725</v>
      </c>
      <c r="F535" s="1" t="s">
        <v>111</v>
      </c>
      <c r="G535" s="1">
        <v>1047813</v>
      </c>
    </row>
    <row r="536" spans="1:7" x14ac:dyDescent="0.25">
      <c r="A536" s="1" t="str">
        <f t="shared" si="8"/>
        <v>17 Atenolol 0.01</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2726</v>
      </c>
      <c r="D536" s="1" t="s">
        <v>2727</v>
      </c>
      <c r="E536" s="1" t="s">
        <v>2728</v>
      </c>
      <c r="F536" s="1" t="s">
        <v>111</v>
      </c>
      <c r="G536" s="1">
        <v>976309</v>
      </c>
    </row>
    <row r="537" spans="1:7" x14ac:dyDescent="0.25">
      <c r="A537" s="1" t="str">
        <f t="shared" si="8"/>
        <v>17 Atenolol 0.01</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2729</v>
      </c>
      <c r="D537" s="1" t="s">
        <v>2730</v>
      </c>
      <c r="E537" s="1" t="s">
        <v>2731</v>
      </c>
      <c r="F537" s="1" t="s">
        <v>111</v>
      </c>
      <c r="G537" s="1">
        <v>902411</v>
      </c>
    </row>
    <row r="538" spans="1:7" x14ac:dyDescent="0.25">
      <c r="A538" s="1" t="str">
        <f t="shared" si="8"/>
        <v>17 Atenolol 0.01</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2732</v>
      </c>
      <c r="D538" s="1" t="s">
        <v>2733</v>
      </c>
      <c r="E538" s="1" t="s">
        <v>2734</v>
      </c>
      <c r="F538" s="1" t="s">
        <v>111</v>
      </c>
      <c r="G538" s="1">
        <v>827817</v>
      </c>
    </row>
    <row r="539" spans="1:7" x14ac:dyDescent="0.25">
      <c r="A539" s="1" t="str">
        <f t="shared" si="8"/>
        <v>17 Atenolol 0.01</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2735</v>
      </c>
      <c r="D539" s="1" t="s">
        <v>2736</v>
      </c>
      <c r="E539" s="1" t="s">
        <v>2737</v>
      </c>
      <c r="F539" s="1" t="s">
        <v>111</v>
      </c>
      <c r="G539" s="1">
        <v>1373619</v>
      </c>
    </row>
    <row r="540" spans="1:7" x14ac:dyDescent="0.25">
      <c r="A540" s="1" t="str">
        <f t="shared" si="8"/>
        <v>17 Atenolol 0.01</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2738</v>
      </c>
    </row>
    <row r="541" spans="1:7" x14ac:dyDescent="0.25">
      <c r="A541" s="1" t="str">
        <f t="shared" si="8"/>
        <v>17 Atenolol 0.01</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2739</v>
      </c>
      <c r="D541" s="1" t="s">
        <v>2740</v>
      </c>
      <c r="E541" s="1" t="s">
        <v>2741</v>
      </c>
      <c r="F541" s="1" t="s">
        <v>111</v>
      </c>
      <c r="G541" s="1">
        <v>1315819</v>
      </c>
    </row>
    <row r="542" spans="1:7" x14ac:dyDescent="0.25">
      <c r="A542" s="1" t="str">
        <f t="shared" si="8"/>
        <v>17 Atenolol 0.01</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2742</v>
      </c>
      <c r="D542" s="1" t="s">
        <v>2743</v>
      </c>
      <c r="E542" s="1" t="s">
        <v>2744</v>
      </c>
      <c r="F542" s="1" t="s">
        <v>111</v>
      </c>
      <c r="G542" s="1">
        <v>3100432</v>
      </c>
    </row>
    <row r="543" spans="1:7" x14ac:dyDescent="0.25">
      <c r="A543" s="1" t="str">
        <f t="shared" si="8"/>
        <v>17 Atenolol 0.01</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2745</v>
      </c>
      <c r="D543" s="1" t="s">
        <v>2746</v>
      </c>
      <c r="E543" s="1" t="s">
        <v>2747</v>
      </c>
      <c r="F543" s="1" t="s">
        <v>111</v>
      </c>
      <c r="G543" s="1">
        <v>3292670</v>
      </c>
    </row>
    <row r="544" spans="1:7" x14ac:dyDescent="0.25">
      <c r="A544" s="1" t="str">
        <f t="shared" si="8"/>
        <v>17 Atenolol 0.01</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2748</v>
      </c>
      <c r="D544" s="1" t="s">
        <v>2749</v>
      </c>
      <c r="E544" s="1" t="s">
        <v>2750</v>
      </c>
      <c r="F544" s="1" t="s">
        <v>111</v>
      </c>
      <c r="G544" s="1">
        <v>2830512</v>
      </c>
    </row>
    <row r="545" spans="1:9" x14ac:dyDescent="0.25">
      <c r="A545" s="1" t="str">
        <f t="shared" si="8"/>
        <v>17 Atenolol 0.01</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2751</v>
      </c>
      <c r="D545" s="1" t="s">
        <v>2752</v>
      </c>
      <c r="E545" s="1" t="s">
        <v>2753</v>
      </c>
      <c r="F545" s="1" t="s">
        <v>111</v>
      </c>
      <c r="G545" s="1">
        <v>4133496</v>
      </c>
    </row>
    <row r="546" spans="1:9" x14ac:dyDescent="0.25">
      <c r="A546" s="1" t="str">
        <f t="shared" si="8"/>
        <v>17 Atenolol 0.01</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2754</v>
      </c>
    </row>
    <row r="547" spans="1:9" x14ac:dyDescent="0.25">
      <c r="A547" s="1" t="str">
        <f t="shared" si="8"/>
        <v>17 Atenolol 0.01</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2755</v>
      </c>
      <c r="D547" s="1" t="s">
        <v>2756</v>
      </c>
      <c r="E547" s="1" t="s">
        <v>2757</v>
      </c>
      <c r="F547" s="1" t="s">
        <v>111</v>
      </c>
      <c r="G547" s="1">
        <v>4012676</v>
      </c>
    </row>
    <row r="548" spans="1:9" x14ac:dyDescent="0.25">
      <c r="A548" s="1" t="str">
        <f t="shared" si="8"/>
        <v>17 Atenolol 0.01</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2758</v>
      </c>
      <c r="D548" s="1" t="s">
        <v>2759</v>
      </c>
      <c r="E548" s="1" t="s">
        <v>2760</v>
      </c>
      <c r="F548" s="1" t="s">
        <v>111</v>
      </c>
      <c r="G548" s="1">
        <v>3301437</v>
      </c>
    </row>
    <row r="549" spans="1:9" x14ac:dyDescent="0.25">
      <c r="A549" s="1" t="str">
        <f t="shared" si="8"/>
        <v>17 Atenolol 0.01</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2761</v>
      </c>
      <c r="D549" s="1" t="s">
        <v>2762</v>
      </c>
      <c r="E549" s="1" t="s">
        <v>2763</v>
      </c>
      <c r="F549" s="1" t="s">
        <v>111</v>
      </c>
      <c r="G549" s="1">
        <v>2832361</v>
      </c>
    </row>
    <row r="550" spans="1:9" x14ac:dyDescent="0.25">
      <c r="A550" s="1" t="str">
        <f t="shared" si="8"/>
        <v>17 Atenolol 0.01</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2764</v>
      </c>
    </row>
    <row r="551" spans="1:9" x14ac:dyDescent="0.25">
      <c r="A551" s="1" t="str">
        <f t="shared" si="8"/>
        <v>17 Atenolol 0.01</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2765</v>
      </c>
      <c r="D551" s="1" t="s">
        <v>2766</v>
      </c>
      <c r="E551" s="1" t="s">
        <v>2767</v>
      </c>
      <c r="F551" s="1" t="s">
        <v>111</v>
      </c>
      <c r="G551" s="1">
        <v>3791136</v>
      </c>
    </row>
    <row r="552" spans="1:9" x14ac:dyDescent="0.25">
      <c r="A552" s="1" t="str">
        <f t="shared" si="8"/>
        <v>17 Atenolol 0.01</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2768</v>
      </c>
      <c r="D552" s="1" t="s">
        <v>2769</v>
      </c>
      <c r="E552" s="1" t="s">
        <v>2770</v>
      </c>
      <c r="F552" s="1" t="s">
        <v>111</v>
      </c>
      <c r="G552" s="1">
        <v>3736642</v>
      </c>
    </row>
    <row r="553" spans="1:9" x14ac:dyDescent="0.25">
      <c r="A553" s="1" t="str">
        <f t="shared" si="8"/>
        <v>17 Atenolol 0.01</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2771</v>
      </c>
      <c r="D553" s="1" t="s">
        <v>2772</v>
      </c>
      <c r="E553" s="1" t="s">
        <v>2773</v>
      </c>
      <c r="F553" s="1" t="s">
        <v>111</v>
      </c>
      <c r="G553" s="1">
        <v>3590218</v>
      </c>
    </row>
    <row r="554" spans="1:9"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111</v>
      </c>
    </row>
    <row r="555" spans="1:9"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230</v>
      </c>
      <c r="D555" s="1" t="s">
        <v>111</v>
      </c>
      <c r="E555" s="1" t="s">
        <v>231</v>
      </c>
      <c r="F555" s="1" t="s">
        <v>232</v>
      </c>
      <c r="G555" s="1" t="s">
        <v>233</v>
      </c>
      <c r="H555" s="1" t="s">
        <v>234</v>
      </c>
      <c r="I555" s="1" t="s">
        <v>235</v>
      </c>
    </row>
    <row r="556" spans="1:9" x14ac:dyDescent="0.25">
      <c r="A556" s="1" t="str">
        <f t="shared" si="8"/>
        <v>17 Atenolol 0.01</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2774</v>
      </c>
      <c r="D556" s="1" t="s">
        <v>111</v>
      </c>
      <c r="E556" s="1" t="s">
        <v>2775</v>
      </c>
      <c r="F556" s="1" t="s">
        <v>2776</v>
      </c>
      <c r="G556" s="1" t="s">
        <v>2777</v>
      </c>
      <c r="H556" s="1" t="s">
        <v>2778</v>
      </c>
      <c r="I556" s="1">
        <v>24</v>
      </c>
    </row>
    <row r="557" spans="1:9"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111</v>
      </c>
    </row>
    <row r="558" spans="1:9"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111</v>
      </c>
    </row>
    <row r="559" spans="1:9"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111</v>
      </c>
    </row>
    <row r="560" spans="1:9"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111</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111</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240</v>
      </c>
      <c r="D562" s="1" t="s">
        <v>109</v>
      </c>
      <c r="E562" s="1" t="s">
        <v>110</v>
      </c>
      <c r="F562" s="1" t="s">
        <v>111</v>
      </c>
      <c r="G562" s="1" t="s">
        <v>112</v>
      </c>
    </row>
    <row r="563" spans="1:7" x14ac:dyDescent="0.25">
      <c r="A563" s="1" t="str">
        <f t="shared" si="8"/>
        <v>18 Atenolol 0.1</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2779</v>
      </c>
      <c r="D563" s="1" t="s">
        <v>2780</v>
      </c>
      <c r="E563" s="1" t="s">
        <v>2781</v>
      </c>
      <c r="F563" s="1" t="s">
        <v>111</v>
      </c>
      <c r="G563" s="1">
        <v>4667986</v>
      </c>
    </row>
    <row r="564" spans="1:7" x14ac:dyDescent="0.25">
      <c r="A564" s="1" t="str">
        <f t="shared" si="8"/>
        <v>18 Atenolol 0.1</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2782</v>
      </c>
      <c r="D564" s="1" t="s">
        <v>2783</v>
      </c>
      <c r="E564" s="1" t="s">
        <v>2784</v>
      </c>
      <c r="F564" s="1" t="s">
        <v>111</v>
      </c>
      <c r="G564" s="1">
        <v>3997492</v>
      </c>
    </row>
    <row r="565" spans="1:7" x14ac:dyDescent="0.25">
      <c r="A565" s="1" t="str">
        <f t="shared" si="8"/>
        <v>18 Atenolol 0.1</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2785</v>
      </c>
      <c r="D565" s="1" t="s">
        <v>2786</v>
      </c>
      <c r="E565" s="1" t="s">
        <v>2787</v>
      </c>
      <c r="F565" s="1" t="s">
        <v>111</v>
      </c>
      <c r="G565" s="1">
        <v>3964448</v>
      </c>
    </row>
    <row r="566" spans="1:7" x14ac:dyDescent="0.25">
      <c r="A566" s="1" t="str">
        <f t="shared" si="8"/>
        <v>18 Atenolol 0.1</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2788</v>
      </c>
      <c r="D566" s="1" t="s">
        <v>2789</v>
      </c>
      <c r="E566" s="1" t="s">
        <v>2790</v>
      </c>
      <c r="F566" s="1" t="s">
        <v>111</v>
      </c>
      <c r="G566" s="1">
        <v>2648302</v>
      </c>
    </row>
    <row r="567" spans="1:7" x14ac:dyDescent="0.25">
      <c r="A567" s="1" t="str">
        <f t="shared" si="8"/>
        <v>18 Atenolol 0.1</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2791</v>
      </c>
      <c r="D567" s="1" t="s">
        <v>2792</v>
      </c>
      <c r="E567" s="1" t="s">
        <v>2793</v>
      </c>
      <c r="F567" s="1" t="s">
        <v>111</v>
      </c>
      <c r="G567" s="1">
        <v>2778259</v>
      </c>
    </row>
    <row r="568" spans="1:7" x14ac:dyDescent="0.25">
      <c r="A568" s="1" t="str">
        <f t="shared" si="8"/>
        <v>18 Atenolol 0.1</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2794</v>
      </c>
      <c r="D568" s="1" t="s">
        <v>2795</v>
      </c>
      <c r="E568" s="1" t="s">
        <v>2796</v>
      </c>
      <c r="F568" s="1" t="s">
        <v>111</v>
      </c>
      <c r="G568" s="1">
        <v>2479863</v>
      </c>
    </row>
    <row r="569" spans="1:7" x14ac:dyDescent="0.25">
      <c r="A569" s="1" t="str">
        <f t="shared" si="8"/>
        <v>18 Atenolol 0.1</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2797</v>
      </c>
      <c r="D569" s="1" t="s">
        <v>2798</v>
      </c>
      <c r="E569" s="1" t="s">
        <v>2799</v>
      </c>
      <c r="F569" s="1" t="s">
        <v>111</v>
      </c>
      <c r="G569" s="1">
        <v>3606272</v>
      </c>
    </row>
    <row r="570" spans="1:7" x14ac:dyDescent="0.25">
      <c r="A570" s="1" t="str">
        <f t="shared" si="8"/>
        <v>18 Atenolol 0.1</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2800</v>
      </c>
      <c r="D570" s="1" t="s">
        <v>2801</v>
      </c>
      <c r="E570" s="1" t="s">
        <v>2802</v>
      </c>
      <c r="F570" s="1" t="s">
        <v>111</v>
      </c>
      <c r="G570" s="1">
        <v>3531483</v>
      </c>
    </row>
    <row r="571" spans="1:7" x14ac:dyDescent="0.25">
      <c r="A571" s="1" t="str">
        <f t="shared" si="8"/>
        <v>18 Atenolol 0.1</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2803</v>
      </c>
      <c r="D571" s="1" t="s">
        <v>2804</v>
      </c>
      <c r="E571" s="1" t="s">
        <v>2805</v>
      </c>
      <c r="F571" s="1" t="s">
        <v>111</v>
      </c>
      <c r="G571" s="1">
        <v>3527893</v>
      </c>
    </row>
    <row r="572" spans="1:7" x14ac:dyDescent="0.25">
      <c r="A572" s="1" t="str">
        <f t="shared" si="8"/>
        <v>18 Atenolol 0.1</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2806</v>
      </c>
      <c r="D572" s="1" t="s">
        <v>2807</v>
      </c>
      <c r="E572" s="1" t="s">
        <v>2808</v>
      </c>
      <c r="F572" s="1" t="s">
        <v>111</v>
      </c>
      <c r="G572" s="1">
        <v>957709</v>
      </c>
    </row>
    <row r="573" spans="1:7" x14ac:dyDescent="0.25">
      <c r="A573" s="1" t="str">
        <f t="shared" si="8"/>
        <v>18 Atenolol 0.1</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2809</v>
      </c>
      <c r="D573" s="1" t="s">
        <v>2810</v>
      </c>
      <c r="E573" s="1" t="s">
        <v>2811</v>
      </c>
      <c r="F573" s="1" t="s">
        <v>111</v>
      </c>
      <c r="G573" s="1">
        <v>1042875</v>
      </c>
    </row>
    <row r="574" spans="1:7" x14ac:dyDescent="0.25">
      <c r="A574" s="1" t="str">
        <f t="shared" si="8"/>
        <v>18 Atenolol 0.1</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2812</v>
      </c>
      <c r="D574" s="1" t="s">
        <v>2813</v>
      </c>
      <c r="E574" s="1" t="s">
        <v>2814</v>
      </c>
      <c r="F574" s="1" t="s">
        <v>111</v>
      </c>
      <c r="G574" s="1">
        <v>1182121</v>
      </c>
    </row>
    <row r="575" spans="1:7" x14ac:dyDescent="0.25">
      <c r="A575" s="1" t="str">
        <f t="shared" si="8"/>
        <v>18 Atenolol 0.1</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2815</v>
      </c>
      <c r="D575" s="1" t="s">
        <v>2816</v>
      </c>
      <c r="E575" s="1" t="s">
        <v>2817</v>
      </c>
      <c r="F575" s="1" t="s">
        <v>111</v>
      </c>
      <c r="G575" s="1">
        <v>1855552</v>
      </c>
    </row>
    <row r="576" spans="1:7" x14ac:dyDescent="0.25">
      <c r="A576" s="1" t="str">
        <f t="shared" si="8"/>
        <v>18 Atenolol 0.1</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2818</v>
      </c>
      <c r="D576" s="1" t="s">
        <v>2819</v>
      </c>
      <c r="E576" s="1" t="s">
        <v>2820</v>
      </c>
      <c r="F576" s="1" t="s">
        <v>111</v>
      </c>
      <c r="G576" s="1">
        <v>1921292</v>
      </c>
    </row>
    <row r="577" spans="1:9" x14ac:dyDescent="0.25">
      <c r="A577" s="1" t="str">
        <f t="shared" si="8"/>
        <v>18 Atenolol 0.1</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2821</v>
      </c>
      <c r="D577" s="1" t="s">
        <v>2822</v>
      </c>
      <c r="E577" s="1" t="s">
        <v>2823</v>
      </c>
      <c r="F577" s="1" t="s">
        <v>111</v>
      </c>
      <c r="G577" s="1">
        <v>1722789</v>
      </c>
    </row>
    <row r="578" spans="1:9" x14ac:dyDescent="0.25">
      <c r="A578" s="1" t="str">
        <f t="shared" ref="A578:A641" si="9">IFERROR(LEFT(RIGHT(C578,LEN(C578)-SEARCH("@",C578)),SEARCH("/",RIGHT(C578,LEN(C578)-SEARCH("@",C578)-1))),"")</f>
        <v>18 Atenolol 0.1</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2824</v>
      </c>
      <c r="D578" s="1" t="s">
        <v>2825</v>
      </c>
      <c r="E578" s="1" t="s">
        <v>2826</v>
      </c>
      <c r="F578" s="1" t="s">
        <v>111</v>
      </c>
      <c r="G578" s="1">
        <v>3055445</v>
      </c>
    </row>
    <row r="579" spans="1:9" x14ac:dyDescent="0.25">
      <c r="A579" s="1" t="str">
        <f t="shared" si="9"/>
        <v>18 Atenolol 0.1</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2827</v>
      </c>
      <c r="D579" s="1" t="s">
        <v>2798</v>
      </c>
      <c r="E579" s="1" t="s">
        <v>2828</v>
      </c>
      <c r="F579" s="1" t="s">
        <v>111</v>
      </c>
      <c r="G579" s="1">
        <v>3091035</v>
      </c>
    </row>
    <row r="580" spans="1:9" x14ac:dyDescent="0.25">
      <c r="A580" s="1" t="str">
        <f t="shared" si="9"/>
        <v>18 Atenolol 0.1</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2829</v>
      </c>
      <c r="D580" s="1" t="s">
        <v>2830</v>
      </c>
      <c r="E580" s="1" t="s">
        <v>2831</v>
      </c>
      <c r="F580" s="1" t="s">
        <v>111</v>
      </c>
      <c r="G580" s="1">
        <v>3005281</v>
      </c>
    </row>
    <row r="581" spans="1:9" x14ac:dyDescent="0.25">
      <c r="A581" s="1" t="str">
        <f t="shared" si="9"/>
        <v>18 Atenolol 0.1</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2832</v>
      </c>
    </row>
    <row r="582" spans="1:9" x14ac:dyDescent="0.25">
      <c r="A582" s="1" t="str">
        <f t="shared" si="9"/>
        <v>18 Atenolol 0.1</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2833</v>
      </c>
      <c r="D582" s="1" t="s">
        <v>2834</v>
      </c>
      <c r="E582" s="1" t="s">
        <v>2835</v>
      </c>
      <c r="F582" s="1" t="s">
        <v>111</v>
      </c>
      <c r="G582" s="1">
        <v>3795399</v>
      </c>
    </row>
    <row r="583" spans="1:9" x14ac:dyDescent="0.25">
      <c r="A583" s="1" t="str">
        <f t="shared" si="9"/>
        <v>18 Atenolol 0.1</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2836</v>
      </c>
      <c r="D583" s="1" t="s">
        <v>2837</v>
      </c>
      <c r="E583" s="1" t="s">
        <v>2838</v>
      </c>
      <c r="F583" s="1" t="s">
        <v>111</v>
      </c>
      <c r="G583" s="1">
        <v>3843823</v>
      </c>
    </row>
    <row r="584" spans="1:9" x14ac:dyDescent="0.25">
      <c r="A584" s="1" t="str">
        <f t="shared" si="9"/>
        <v>18 Atenolol 0.1</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2839</v>
      </c>
    </row>
    <row r="585" spans="1:9" x14ac:dyDescent="0.25">
      <c r="A585" s="1" t="str">
        <f t="shared" si="9"/>
        <v>18 Atenolol 0.1</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2840</v>
      </c>
      <c r="D585" s="1" t="s">
        <v>2841</v>
      </c>
      <c r="E585" s="1" t="s">
        <v>2842</v>
      </c>
      <c r="F585" s="1" t="s">
        <v>111</v>
      </c>
      <c r="G585" s="1">
        <v>4084420</v>
      </c>
    </row>
    <row r="586" spans="1:9" x14ac:dyDescent="0.25">
      <c r="A586" s="1" t="str">
        <f t="shared" si="9"/>
        <v>18 Atenolol 0.1</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2843</v>
      </c>
      <c r="D586" s="1" t="s">
        <v>2844</v>
      </c>
      <c r="E586" s="1" t="s">
        <v>2842</v>
      </c>
      <c r="F586" s="1" t="s">
        <v>111</v>
      </c>
      <c r="G586" s="1">
        <v>4313465</v>
      </c>
    </row>
    <row r="587" spans="1:9"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111</v>
      </c>
    </row>
    <row r="588" spans="1:9"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230</v>
      </c>
      <c r="D588" s="1" t="s">
        <v>111</v>
      </c>
      <c r="E588" s="1" t="s">
        <v>231</v>
      </c>
      <c r="F588" s="1" t="s">
        <v>232</v>
      </c>
      <c r="G588" s="1" t="s">
        <v>233</v>
      </c>
      <c r="H588" s="1" t="s">
        <v>234</v>
      </c>
      <c r="I588" s="1" t="s">
        <v>235</v>
      </c>
    </row>
    <row r="589" spans="1:9" x14ac:dyDescent="0.25">
      <c r="A589" s="1" t="str">
        <f t="shared" si="9"/>
        <v>18 Atenolol 0.1</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2845</v>
      </c>
      <c r="D589" s="1" t="s">
        <v>111</v>
      </c>
      <c r="E589" s="1" t="s">
        <v>2846</v>
      </c>
      <c r="F589" s="1" t="s">
        <v>2847</v>
      </c>
      <c r="G589" s="1" t="s">
        <v>2848</v>
      </c>
      <c r="H589" s="1" t="s">
        <v>2849</v>
      </c>
      <c r="I589" s="1">
        <v>24</v>
      </c>
    </row>
    <row r="590" spans="1:9"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111</v>
      </c>
    </row>
    <row r="591" spans="1:9"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111</v>
      </c>
    </row>
    <row r="592" spans="1:9"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111</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111</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111</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240</v>
      </c>
      <c r="D595" s="1" t="s">
        <v>109</v>
      </c>
      <c r="E595" s="1" t="s">
        <v>110</v>
      </c>
      <c r="F595" s="1" t="s">
        <v>111</v>
      </c>
      <c r="G595" s="1" t="s">
        <v>112</v>
      </c>
    </row>
    <row r="596" spans="1:7" x14ac:dyDescent="0.25">
      <c r="A596" s="1" t="str">
        <f t="shared" si="9"/>
        <v>19 Atenolol 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2850</v>
      </c>
      <c r="D596" s="1" t="s">
        <v>2851</v>
      </c>
      <c r="E596" s="1" t="s">
        <v>2852</v>
      </c>
      <c r="F596" s="1" t="s">
        <v>111</v>
      </c>
      <c r="G596" s="1">
        <v>2324128</v>
      </c>
    </row>
    <row r="597" spans="1:7" x14ac:dyDescent="0.25">
      <c r="A597" s="1" t="str">
        <f t="shared" si="9"/>
        <v>19 Atenolol 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2853</v>
      </c>
    </row>
    <row r="598" spans="1:7" x14ac:dyDescent="0.25">
      <c r="A598" s="1" t="str">
        <f t="shared" si="9"/>
        <v>19 Atenolol 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2854</v>
      </c>
      <c r="D598" s="1" t="s">
        <v>2855</v>
      </c>
      <c r="E598" s="1" t="s">
        <v>2856</v>
      </c>
      <c r="F598" s="1" t="s">
        <v>111</v>
      </c>
      <c r="G598" s="1">
        <v>2037196</v>
      </c>
    </row>
    <row r="599" spans="1:7" x14ac:dyDescent="0.25">
      <c r="A599" s="1" t="str">
        <f t="shared" si="9"/>
        <v>19 Atenolol 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2857</v>
      </c>
      <c r="D599" s="1" t="s">
        <v>2858</v>
      </c>
      <c r="E599" s="1" t="s">
        <v>2859</v>
      </c>
      <c r="F599" s="1" t="s">
        <v>111</v>
      </c>
      <c r="G599" s="1">
        <v>4781889</v>
      </c>
    </row>
    <row r="600" spans="1:7" x14ac:dyDescent="0.25">
      <c r="A600" s="1" t="str">
        <f t="shared" si="9"/>
        <v>19 Atenolol 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2860</v>
      </c>
      <c r="D600" s="1" t="s">
        <v>2861</v>
      </c>
      <c r="E600" s="1" t="s">
        <v>2862</v>
      </c>
      <c r="F600" s="1" t="s">
        <v>111</v>
      </c>
      <c r="G600" s="1">
        <v>4572639</v>
      </c>
    </row>
    <row r="601" spans="1:7" x14ac:dyDescent="0.25">
      <c r="A601" s="1" t="str">
        <f t="shared" si="9"/>
        <v>19 Atenolol 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2863</v>
      </c>
      <c r="D601" s="1" t="s">
        <v>2052</v>
      </c>
      <c r="E601" s="1" t="s">
        <v>2864</v>
      </c>
      <c r="F601" s="1" t="s">
        <v>111</v>
      </c>
      <c r="G601" s="1">
        <v>4374550</v>
      </c>
    </row>
    <row r="602" spans="1:7" x14ac:dyDescent="0.25">
      <c r="A602" s="1" t="str">
        <f t="shared" si="9"/>
        <v>19 Atenolol 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2865</v>
      </c>
      <c r="D602" s="1" t="s">
        <v>2866</v>
      </c>
      <c r="E602" s="1" t="s">
        <v>2867</v>
      </c>
      <c r="F602" s="1" t="s">
        <v>111</v>
      </c>
      <c r="G602" s="1">
        <v>2147444</v>
      </c>
    </row>
    <row r="603" spans="1:7" x14ac:dyDescent="0.25">
      <c r="A603" s="1" t="str">
        <f t="shared" si="9"/>
        <v>19 Atenolol 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2868</v>
      </c>
      <c r="D603" s="1" t="s">
        <v>2869</v>
      </c>
      <c r="E603" s="1" t="s">
        <v>2870</v>
      </c>
      <c r="F603" s="1" t="s">
        <v>111</v>
      </c>
      <c r="G603" s="1">
        <v>2236308</v>
      </c>
    </row>
    <row r="604" spans="1:7" x14ac:dyDescent="0.25">
      <c r="A604" s="1" t="str">
        <f t="shared" si="9"/>
        <v>19 Atenolol 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2871</v>
      </c>
      <c r="D604" s="1" t="s">
        <v>2872</v>
      </c>
      <c r="E604" s="1" t="s">
        <v>2873</v>
      </c>
      <c r="F604" s="1" t="s">
        <v>111</v>
      </c>
      <c r="G604" s="1">
        <v>2785242</v>
      </c>
    </row>
    <row r="605" spans="1:7" x14ac:dyDescent="0.25">
      <c r="A605" s="1" t="str">
        <f t="shared" si="9"/>
        <v>19 Atenolol 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2874</v>
      </c>
      <c r="D605" s="1" t="s">
        <v>2875</v>
      </c>
      <c r="E605" s="1" t="s">
        <v>2876</v>
      </c>
      <c r="F605" s="1" t="s">
        <v>111</v>
      </c>
      <c r="G605" s="1">
        <v>4527674</v>
      </c>
    </row>
    <row r="606" spans="1:7" x14ac:dyDescent="0.25">
      <c r="A606" s="1" t="str">
        <f t="shared" si="9"/>
        <v>19 Atenolol 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2877</v>
      </c>
      <c r="D606" s="1" t="s">
        <v>2878</v>
      </c>
      <c r="E606" s="1" t="s">
        <v>2879</v>
      </c>
      <c r="F606" s="1" t="s">
        <v>111</v>
      </c>
      <c r="G606" s="1">
        <v>4244919</v>
      </c>
    </row>
    <row r="607" spans="1:7" x14ac:dyDescent="0.25">
      <c r="A607" s="1" t="str">
        <f t="shared" si="9"/>
        <v>19 Atenolol 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2880</v>
      </c>
      <c r="D607" s="1" t="s">
        <v>2752</v>
      </c>
      <c r="E607" s="1" t="s">
        <v>2881</v>
      </c>
      <c r="F607" s="1" t="s">
        <v>111</v>
      </c>
      <c r="G607" s="1">
        <v>4219141</v>
      </c>
    </row>
    <row r="608" spans="1:7" x14ac:dyDescent="0.25">
      <c r="A608" s="1" t="str">
        <f t="shared" si="9"/>
        <v>19 Atenolol 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2882</v>
      </c>
      <c r="D608" s="1" t="s">
        <v>2883</v>
      </c>
      <c r="E608" s="1" t="s">
        <v>2884</v>
      </c>
      <c r="F608" s="1" t="s">
        <v>111</v>
      </c>
      <c r="G608" s="1">
        <v>3669271</v>
      </c>
    </row>
    <row r="609" spans="1:9" x14ac:dyDescent="0.25">
      <c r="A609" s="1" t="str">
        <f t="shared" si="9"/>
        <v>19 Atenolol 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2885</v>
      </c>
      <c r="D609" s="1" t="s">
        <v>2886</v>
      </c>
      <c r="E609" s="1" t="s">
        <v>2887</v>
      </c>
      <c r="F609" s="1" t="s">
        <v>111</v>
      </c>
      <c r="G609" s="1">
        <v>3567833</v>
      </c>
    </row>
    <row r="610" spans="1:9" x14ac:dyDescent="0.25">
      <c r="A610" s="1" t="str">
        <f t="shared" si="9"/>
        <v>19 Atenolol 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2888</v>
      </c>
      <c r="D610" s="1" t="s">
        <v>2889</v>
      </c>
      <c r="E610" s="1" t="s">
        <v>2890</v>
      </c>
      <c r="F610" s="1" t="s">
        <v>111</v>
      </c>
      <c r="G610" s="1">
        <v>3643602</v>
      </c>
    </row>
    <row r="611" spans="1:9" x14ac:dyDescent="0.25">
      <c r="A611" s="1" t="str">
        <f t="shared" si="9"/>
        <v>19 Atenolol 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2891</v>
      </c>
      <c r="D611" s="1" t="s">
        <v>2892</v>
      </c>
      <c r="E611" s="1" t="s">
        <v>2893</v>
      </c>
      <c r="F611" s="1" t="s">
        <v>111</v>
      </c>
      <c r="G611" s="1">
        <v>1142290</v>
      </c>
    </row>
    <row r="612" spans="1:9" x14ac:dyDescent="0.25">
      <c r="A612" s="1" t="str">
        <f t="shared" si="9"/>
        <v>19 Atenolol 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2894</v>
      </c>
      <c r="D612" s="1" t="s">
        <v>1953</v>
      </c>
      <c r="E612" s="1" t="s">
        <v>2895</v>
      </c>
      <c r="F612" s="1" t="s">
        <v>111</v>
      </c>
      <c r="G612" s="1">
        <v>937348</v>
      </c>
    </row>
    <row r="613" spans="1:9" x14ac:dyDescent="0.25">
      <c r="A613" s="1" t="str">
        <f t="shared" si="9"/>
        <v>19 Atenolol 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2896</v>
      </c>
    </row>
    <row r="614" spans="1:9" x14ac:dyDescent="0.25">
      <c r="A614" s="1" t="str">
        <f t="shared" si="9"/>
        <v>19 Atenolol 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2897</v>
      </c>
      <c r="D614" s="1" t="s">
        <v>2898</v>
      </c>
      <c r="E614" s="1" t="s">
        <v>2899</v>
      </c>
      <c r="F614" s="1" t="s">
        <v>111</v>
      </c>
      <c r="G614" s="1">
        <v>4551930</v>
      </c>
    </row>
    <row r="615" spans="1:9" x14ac:dyDescent="0.25">
      <c r="A615" s="1" t="str">
        <f t="shared" si="9"/>
        <v>19 Atenolol 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2900</v>
      </c>
      <c r="D615" s="1" t="s">
        <v>2901</v>
      </c>
      <c r="E615" s="1" t="s">
        <v>2902</v>
      </c>
      <c r="F615" s="1" t="s">
        <v>111</v>
      </c>
      <c r="G615" s="1">
        <v>4292233</v>
      </c>
    </row>
    <row r="616" spans="1:9" x14ac:dyDescent="0.25">
      <c r="A616" s="1" t="str">
        <f t="shared" si="9"/>
        <v>19 Atenolol 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2903</v>
      </c>
      <c r="D616" s="1" t="s">
        <v>2904</v>
      </c>
      <c r="E616" s="1" t="s">
        <v>2905</v>
      </c>
      <c r="F616" s="1" t="s">
        <v>111</v>
      </c>
      <c r="G616" s="1">
        <v>4245506</v>
      </c>
    </row>
    <row r="617" spans="1:9" x14ac:dyDescent="0.25">
      <c r="A617" s="1" t="str">
        <f t="shared" si="9"/>
        <v>19 Atenolol 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2906</v>
      </c>
      <c r="D617" s="1" t="s">
        <v>2907</v>
      </c>
      <c r="E617" s="1" t="s">
        <v>2908</v>
      </c>
      <c r="F617" s="1" t="s">
        <v>111</v>
      </c>
      <c r="G617" s="1">
        <v>3932644</v>
      </c>
    </row>
    <row r="618" spans="1:9" x14ac:dyDescent="0.25">
      <c r="A618" s="1" t="str">
        <f t="shared" si="9"/>
        <v>19 Atenolol 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2909</v>
      </c>
      <c r="D618" s="1" t="s">
        <v>2910</v>
      </c>
      <c r="E618" s="1" t="s">
        <v>2911</v>
      </c>
      <c r="F618" s="1" t="s">
        <v>111</v>
      </c>
      <c r="G618" s="1">
        <v>3990726</v>
      </c>
    </row>
    <row r="619" spans="1:9" x14ac:dyDescent="0.25">
      <c r="A619" s="1" t="str">
        <f t="shared" si="9"/>
        <v>19 Atenolol 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2912</v>
      </c>
      <c r="D619" s="1" t="s">
        <v>2913</v>
      </c>
      <c r="E619" s="1" t="s">
        <v>2914</v>
      </c>
      <c r="F619" s="1" t="s">
        <v>111</v>
      </c>
      <c r="G619" s="1">
        <v>3636205</v>
      </c>
    </row>
    <row r="620" spans="1:9"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111</v>
      </c>
    </row>
    <row r="621" spans="1:9"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230</v>
      </c>
      <c r="D621" s="1" t="s">
        <v>111</v>
      </c>
      <c r="E621" s="1" t="s">
        <v>231</v>
      </c>
      <c r="F621" s="1" t="s">
        <v>232</v>
      </c>
      <c r="G621" s="1" t="s">
        <v>233</v>
      </c>
      <c r="H621" s="1" t="s">
        <v>234</v>
      </c>
      <c r="I621" s="1" t="s">
        <v>235</v>
      </c>
    </row>
    <row r="622" spans="1:9" x14ac:dyDescent="0.25">
      <c r="A622" s="1" t="str">
        <f t="shared" si="9"/>
        <v>19 Atenolol 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2915</v>
      </c>
      <c r="D622" s="1" t="s">
        <v>111</v>
      </c>
      <c r="E622" s="1" t="s">
        <v>2916</v>
      </c>
      <c r="F622" s="1" t="s">
        <v>2917</v>
      </c>
      <c r="G622" s="1" t="s">
        <v>2918</v>
      </c>
      <c r="H622" s="1" t="s">
        <v>2919</v>
      </c>
      <c r="I622" s="1">
        <v>24</v>
      </c>
    </row>
    <row r="623" spans="1:9"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111</v>
      </c>
    </row>
    <row r="624" spans="1:9"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111</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111</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111</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111</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240</v>
      </c>
      <c r="D628" s="1" t="s">
        <v>109</v>
      </c>
      <c r="E628" s="1" t="s">
        <v>110</v>
      </c>
      <c r="F628" s="1" t="s">
        <v>111</v>
      </c>
      <c r="G628" s="1" t="s">
        <v>112</v>
      </c>
    </row>
    <row r="629" spans="1:7" x14ac:dyDescent="0.25">
      <c r="A629" s="1" t="str">
        <f t="shared" si="9"/>
        <v>20 Atenolol 10</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2920</v>
      </c>
      <c r="D629" s="1" t="s">
        <v>2921</v>
      </c>
      <c r="E629" s="1" t="s">
        <v>2922</v>
      </c>
      <c r="F629" s="1" t="s">
        <v>111</v>
      </c>
      <c r="G629" s="1">
        <v>3274375</v>
      </c>
    </row>
    <row r="630" spans="1:7" x14ac:dyDescent="0.25">
      <c r="A630" s="1" t="str">
        <f t="shared" si="9"/>
        <v>20 Atenolol 10</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2923</v>
      </c>
      <c r="D630" s="1" t="s">
        <v>2924</v>
      </c>
      <c r="E630" s="1" t="s">
        <v>2925</v>
      </c>
      <c r="F630" s="1" t="s">
        <v>111</v>
      </c>
      <c r="G630" s="1">
        <v>3229062</v>
      </c>
    </row>
    <row r="631" spans="1:7" x14ac:dyDescent="0.25">
      <c r="A631" s="1" t="str">
        <f t="shared" si="9"/>
        <v>20 Atenolol 10</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2926</v>
      </c>
      <c r="D631" s="1" t="s">
        <v>2927</v>
      </c>
      <c r="E631" s="1" t="s">
        <v>2928</v>
      </c>
      <c r="F631" s="1" t="s">
        <v>111</v>
      </c>
      <c r="G631" s="1">
        <v>2944284</v>
      </c>
    </row>
    <row r="632" spans="1:7" x14ac:dyDescent="0.25">
      <c r="A632" s="1" t="str">
        <f t="shared" si="9"/>
        <v>20 Atenolol 10</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2929</v>
      </c>
      <c r="D632" s="1" t="s">
        <v>2930</v>
      </c>
      <c r="E632" s="1" t="s">
        <v>2931</v>
      </c>
      <c r="F632" s="1" t="s">
        <v>111</v>
      </c>
      <c r="G632" s="1">
        <v>3464590</v>
      </c>
    </row>
    <row r="633" spans="1:7" x14ac:dyDescent="0.25">
      <c r="A633" s="1" t="str">
        <f t="shared" si="9"/>
        <v>20 Atenolol 10</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2932</v>
      </c>
      <c r="D633" s="1" t="s">
        <v>2933</v>
      </c>
      <c r="E633" s="1" t="s">
        <v>2934</v>
      </c>
      <c r="F633" s="1" t="s">
        <v>111</v>
      </c>
      <c r="G633" s="1">
        <v>3787438</v>
      </c>
    </row>
    <row r="634" spans="1:7" x14ac:dyDescent="0.25">
      <c r="A634" s="1" t="str">
        <f t="shared" si="9"/>
        <v>20 Atenolol 10</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2935</v>
      </c>
      <c r="D634" s="1" t="s">
        <v>2936</v>
      </c>
      <c r="E634" s="1" t="s">
        <v>2937</v>
      </c>
      <c r="F634" s="1" t="s">
        <v>111</v>
      </c>
      <c r="G634" s="1">
        <v>4079786</v>
      </c>
    </row>
    <row r="635" spans="1:7" x14ac:dyDescent="0.25">
      <c r="A635" s="1" t="str">
        <f t="shared" si="9"/>
        <v>20 Atenolol 10</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2938</v>
      </c>
      <c r="D635" s="1" t="s">
        <v>2939</v>
      </c>
      <c r="E635" s="1" t="s">
        <v>2940</v>
      </c>
      <c r="F635" s="1" t="s">
        <v>111</v>
      </c>
      <c r="G635" s="1">
        <v>2429351</v>
      </c>
    </row>
    <row r="636" spans="1:7" x14ac:dyDescent="0.25">
      <c r="A636" s="1" t="str">
        <f t="shared" si="9"/>
        <v>20 Atenolol 10</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2941</v>
      </c>
      <c r="D636" s="1" t="s">
        <v>2942</v>
      </c>
      <c r="E636" s="1" t="s">
        <v>2943</v>
      </c>
      <c r="F636" s="1" t="s">
        <v>111</v>
      </c>
      <c r="G636" s="1">
        <v>1963168</v>
      </c>
    </row>
    <row r="637" spans="1:7" x14ac:dyDescent="0.25">
      <c r="A637" s="1" t="str">
        <f t="shared" si="9"/>
        <v>20 Atenolol 10</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2944</v>
      </c>
      <c r="D637" s="1" t="s">
        <v>2945</v>
      </c>
      <c r="E637" s="1" t="s">
        <v>2946</v>
      </c>
      <c r="F637" s="1" t="s">
        <v>111</v>
      </c>
      <c r="G637" s="1">
        <v>2812304</v>
      </c>
    </row>
    <row r="638" spans="1:7" x14ac:dyDescent="0.25">
      <c r="A638" s="1" t="str">
        <f t="shared" si="9"/>
        <v>20 Atenolol 10</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2947</v>
      </c>
      <c r="D638" s="1" t="s">
        <v>2948</v>
      </c>
      <c r="E638" s="1" t="s">
        <v>2949</v>
      </c>
      <c r="F638" s="1" t="s">
        <v>111</v>
      </c>
      <c r="G638" s="1">
        <v>3765031</v>
      </c>
    </row>
    <row r="639" spans="1:7" x14ac:dyDescent="0.25">
      <c r="A639" s="1" t="str">
        <f t="shared" si="9"/>
        <v>20 Atenolol 10</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2950</v>
      </c>
      <c r="D639" s="1" t="s">
        <v>2951</v>
      </c>
      <c r="E639" s="1" t="s">
        <v>2952</v>
      </c>
      <c r="F639" s="1" t="s">
        <v>111</v>
      </c>
      <c r="G639" s="1">
        <v>3550452</v>
      </c>
    </row>
    <row r="640" spans="1:7" x14ac:dyDescent="0.25">
      <c r="A640" s="1" t="str">
        <f t="shared" si="9"/>
        <v>20 Atenolol 10</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2953</v>
      </c>
      <c r="D640" s="1" t="s">
        <v>2954</v>
      </c>
      <c r="E640" s="1" t="s">
        <v>2955</v>
      </c>
      <c r="F640" s="1" t="s">
        <v>111</v>
      </c>
      <c r="G640" s="1">
        <v>3733662</v>
      </c>
    </row>
    <row r="641" spans="1:9" x14ac:dyDescent="0.25">
      <c r="A641" s="1" t="str">
        <f t="shared" si="9"/>
        <v>20 Atenolol 10</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2956</v>
      </c>
      <c r="D641" s="1" t="s">
        <v>2957</v>
      </c>
      <c r="E641" s="1" t="s">
        <v>2958</v>
      </c>
      <c r="F641" s="1" t="s">
        <v>111</v>
      </c>
      <c r="G641" s="1">
        <v>2721852</v>
      </c>
    </row>
    <row r="642" spans="1:9" x14ac:dyDescent="0.25">
      <c r="A642" s="1" t="str">
        <f t="shared" ref="A642:A705" si="10">IFERROR(LEFT(RIGHT(C642,LEN(C642)-SEARCH("@",C642)),SEARCH("/",RIGHT(C642,LEN(C642)-SEARCH("@",C642)-1))),"")</f>
        <v>20 Atenolol 10</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2959</v>
      </c>
      <c r="D642" s="1" t="s">
        <v>2960</v>
      </c>
      <c r="E642" s="1" t="s">
        <v>2961</v>
      </c>
      <c r="F642" s="1" t="s">
        <v>111</v>
      </c>
      <c r="G642" s="1">
        <v>2693724</v>
      </c>
    </row>
    <row r="643" spans="1:9" x14ac:dyDescent="0.25">
      <c r="A643" s="1" t="str">
        <f t="shared" si="10"/>
        <v>20 Atenolol 10</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2962</v>
      </c>
      <c r="D643" s="1" t="s">
        <v>2963</v>
      </c>
      <c r="E643" s="1" t="s">
        <v>2964</v>
      </c>
      <c r="F643" s="1" t="s">
        <v>111</v>
      </c>
      <c r="G643" s="1">
        <v>2250578</v>
      </c>
    </row>
    <row r="644" spans="1:9" x14ac:dyDescent="0.25">
      <c r="A644" s="1" t="str">
        <f t="shared" si="10"/>
        <v>20 Atenolol 10</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2965</v>
      </c>
      <c r="D644" s="1" t="s">
        <v>2966</v>
      </c>
      <c r="E644" s="1" t="s">
        <v>2967</v>
      </c>
      <c r="F644" s="1" t="s">
        <v>111</v>
      </c>
      <c r="G644" s="1">
        <v>2299785</v>
      </c>
    </row>
    <row r="645" spans="1:9" x14ac:dyDescent="0.25">
      <c r="A645" s="1" t="str">
        <f t="shared" si="10"/>
        <v>20 Atenolol 10</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2968</v>
      </c>
      <c r="D645" s="1" t="s">
        <v>2969</v>
      </c>
      <c r="E645" s="1" t="s">
        <v>2970</v>
      </c>
      <c r="F645" s="1" t="s">
        <v>111</v>
      </c>
      <c r="G645" s="1">
        <v>2089470</v>
      </c>
    </row>
    <row r="646" spans="1:9" x14ac:dyDescent="0.25">
      <c r="A646" s="1" t="str">
        <f t="shared" si="10"/>
        <v>20 Atenolol 10</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2971</v>
      </c>
      <c r="D646" s="1" t="s">
        <v>2972</v>
      </c>
      <c r="E646" s="1" t="s">
        <v>2973</v>
      </c>
      <c r="F646" s="1" t="s">
        <v>111</v>
      </c>
      <c r="G646" s="1">
        <v>2416820</v>
      </c>
    </row>
    <row r="647" spans="1:9" x14ac:dyDescent="0.25">
      <c r="A647" s="1" t="str">
        <f t="shared" si="10"/>
        <v>20 Atenolol 10</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2974</v>
      </c>
      <c r="D647" s="1" t="s">
        <v>2975</v>
      </c>
      <c r="E647" s="1" t="s">
        <v>2976</v>
      </c>
      <c r="F647" s="1" t="s">
        <v>111</v>
      </c>
      <c r="G647" s="1">
        <v>460658</v>
      </c>
    </row>
    <row r="648" spans="1:9" x14ac:dyDescent="0.25">
      <c r="A648" s="1" t="str">
        <f t="shared" si="10"/>
        <v>20 Atenolol 10</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2977</v>
      </c>
      <c r="D648" s="1" t="s">
        <v>2978</v>
      </c>
      <c r="E648" s="1" t="s">
        <v>2979</v>
      </c>
      <c r="F648" s="1" t="s">
        <v>111</v>
      </c>
      <c r="G648" s="1">
        <v>527246</v>
      </c>
    </row>
    <row r="649" spans="1:9" x14ac:dyDescent="0.25">
      <c r="A649" s="1" t="str">
        <f t="shared" si="10"/>
        <v>20 Atenolol 10</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2980</v>
      </c>
      <c r="D649" s="1" t="s">
        <v>2981</v>
      </c>
      <c r="E649" s="1" t="s">
        <v>2982</v>
      </c>
      <c r="F649" s="1" t="s">
        <v>111</v>
      </c>
      <c r="G649" s="1">
        <v>602514</v>
      </c>
    </row>
    <row r="650" spans="1:9" x14ac:dyDescent="0.25">
      <c r="A650" s="1" t="str">
        <f t="shared" si="10"/>
        <v>20 Atenolol 10</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2983</v>
      </c>
      <c r="D650" s="1" t="s">
        <v>2984</v>
      </c>
      <c r="E650" s="1" t="s">
        <v>2985</v>
      </c>
      <c r="F650" s="1" t="s">
        <v>111</v>
      </c>
      <c r="G650" s="1">
        <v>3298544</v>
      </c>
    </row>
    <row r="651" spans="1:9" x14ac:dyDescent="0.25">
      <c r="A651" s="1" t="str">
        <f t="shared" si="10"/>
        <v>20 Atenolol 10</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2986</v>
      </c>
      <c r="D651" s="1" t="s">
        <v>2987</v>
      </c>
      <c r="E651" s="1" t="s">
        <v>2988</v>
      </c>
      <c r="F651" s="1" t="s">
        <v>111</v>
      </c>
      <c r="G651" s="1">
        <v>3145919</v>
      </c>
    </row>
    <row r="652" spans="1:9" x14ac:dyDescent="0.25">
      <c r="A652" s="1" t="str">
        <f t="shared" si="10"/>
        <v>20 Atenolol 10</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2989</v>
      </c>
      <c r="D652" s="1" t="s">
        <v>2990</v>
      </c>
      <c r="E652" s="1" t="s">
        <v>2991</v>
      </c>
      <c r="F652" s="1" t="s">
        <v>111</v>
      </c>
      <c r="G652" s="1">
        <v>3223450</v>
      </c>
    </row>
    <row r="653" spans="1:9"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111</v>
      </c>
    </row>
    <row r="654" spans="1:9"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230</v>
      </c>
      <c r="D654" s="1" t="s">
        <v>111</v>
      </c>
      <c r="E654" s="1" t="s">
        <v>231</v>
      </c>
      <c r="F654" s="1" t="s">
        <v>232</v>
      </c>
      <c r="G654" s="1" t="s">
        <v>233</v>
      </c>
      <c r="H654" s="1" t="s">
        <v>234</v>
      </c>
      <c r="I654" s="1" t="s">
        <v>235</v>
      </c>
    </row>
    <row r="655" spans="1:9" x14ac:dyDescent="0.25">
      <c r="A655" s="1" t="str">
        <f t="shared" si="10"/>
        <v>20 Atenolol 10</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2992</v>
      </c>
      <c r="D655" s="1" t="s">
        <v>111</v>
      </c>
      <c r="E655" s="1" t="s">
        <v>2993</v>
      </c>
      <c r="F655" s="1" t="s">
        <v>2994</v>
      </c>
      <c r="G655" s="1" t="s">
        <v>2995</v>
      </c>
      <c r="H655" s="1">
        <v>1014607</v>
      </c>
      <c r="I655" s="1">
        <v>24</v>
      </c>
    </row>
    <row r="656" spans="1:9"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111</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111</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111</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111</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111</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240</v>
      </c>
      <c r="D661" s="1" t="s">
        <v>109</v>
      </c>
      <c r="E661" s="1" t="s">
        <v>110</v>
      </c>
      <c r="F661" s="1" t="s">
        <v>111</v>
      </c>
      <c r="G661" s="1" t="s">
        <v>112</v>
      </c>
    </row>
    <row r="662" spans="1:7" x14ac:dyDescent="0.25">
      <c r="A662" s="1" t="str">
        <f t="shared" si="10"/>
        <v>21Atenolol 100</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2996</v>
      </c>
      <c r="D662" s="1" t="s">
        <v>2997</v>
      </c>
      <c r="E662" s="1" t="s">
        <v>2998</v>
      </c>
      <c r="F662" s="1" t="s">
        <v>111</v>
      </c>
      <c r="G662" s="1">
        <v>3685478</v>
      </c>
    </row>
    <row r="663" spans="1:7" x14ac:dyDescent="0.25">
      <c r="A663" s="1" t="str">
        <f t="shared" si="10"/>
        <v>21Atenolol 100</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2999</v>
      </c>
      <c r="D663" s="1" t="s">
        <v>2883</v>
      </c>
      <c r="E663" s="1" t="s">
        <v>3000</v>
      </c>
      <c r="F663" s="1" t="s">
        <v>111</v>
      </c>
      <c r="G663" s="1">
        <v>3778605</v>
      </c>
    </row>
    <row r="664" spans="1:7" x14ac:dyDescent="0.25">
      <c r="A664" s="1" t="str">
        <f t="shared" si="10"/>
        <v>21Atenolol 100</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3001</v>
      </c>
      <c r="D664" s="1" t="s">
        <v>3002</v>
      </c>
      <c r="E664" s="1" t="s">
        <v>3003</v>
      </c>
      <c r="F664" s="1" t="s">
        <v>111</v>
      </c>
      <c r="G664" s="1">
        <v>3275354</v>
      </c>
    </row>
    <row r="665" spans="1:7" x14ac:dyDescent="0.25">
      <c r="A665" s="1" t="str">
        <f t="shared" si="10"/>
        <v>21Atenolol 100</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3004</v>
      </c>
      <c r="D665" s="1" t="s">
        <v>3005</v>
      </c>
      <c r="E665" s="1" t="s">
        <v>3006</v>
      </c>
      <c r="F665" s="1" t="s">
        <v>111</v>
      </c>
      <c r="G665" s="1">
        <v>1346993</v>
      </c>
    </row>
    <row r="666" spans="1:7" x14ac:dyDescent="0.25">
      <c r="A666" s="1" t="str">
        <f t="shared" si="10"/>
        <v>21Atenolol 100</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3007</v>
      </c>
      <c r="D666" s="1" t="s">
        <v>3008</v>
      </c>
      <c r="E666" s="1" t="s">
        <v>3009</v>
      </c>
      <c r="F666" s="1" t="s">
        <v>111</v>
      </c>
      <c r="G666" s="1">
        <v>1388455</v>
      </c>
    </row>
    <row r="667" spans="1:7" x14ac:dyDescent="0.25">
      <c r="A667" s="1" t="str">
        <f t="shared" si="10"/>
        <v>21Atenolol 100</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3010</v>
      </c>
      <c r="D667" s="1" t="s">
        <v>3011</v>
      </c>
      <c r="E667" s="1" t="s">
        <v>3012</v>
      </c>
      <c r="F667" s="1" t="s">
        <v>111</v>
      </c>
      <c r="G667" s="1">
        <v>1893164</v>
      </c>
    </row>
    <row r="668" spans="1:7" x14ac:dyDescent="0.25">
      <c r="A668" s="1" t="str">
        <f t="shared" si="10"/>
        <v>21Atenolol 100</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3013</v>
      </c>
      <c r="D668" s="1" t="s">
        <v>3014</v>
      </c>
      <c r="E668" s="1" t="s">
        <v>3015</v>
      </c>
      <c r="F668" s="1" t="s">
        <v>111</v>
      </c>
      <c r="G668" s="1">
        <v>3686565</v>
      </c>
    </row>
    <row r="669" spans="1:7" x14ac:dyDescent="0.25">
      <c r="A669" s="1" t="str">
        <f t="shared" si="10"/>
        <v>21Atenolol 100</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3016</v>
      </c>
      <c r="D669" s="1" t="s">
        <v>2883</v>
      </c>
      <c r="E669" s="1" t="s">
        <v>3017</v>
      </c>
      <c r="F669" s="1" t="s">
        <v>111</v>
      </c>
      <c r="G669" s="1">
        <v>3701880</v>
      </c>
    </row>
    <row r="670" spans="1:7" x14ac:dyDescent="0.25">
      <c r="A670" s="1" t="str">
        <f t="shared" si="10"/>
        <v>21Atenolol 100</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3018</v>
      </c>
      <c r="D670" s="1" t="s">
        <v>3019</v>
      </c>
      <c r="E670" s="1" t="s">
        <v>3020</v>
      </c>
      <c r="F670" s="1" t="s">
        <v>111</v>
      </c>
      <c r="G670" s="1">
        <v>3816218</v>
      </c>
    </row>
    <row r="671" spans="1:7" x14ac:dyDescent="0.25">
      <c r="A671" s="1" t="str">
        <f t="shared" si="10"/>
        <v>21Atenolol 100</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3021</v>
      </c>
      <c r="D671" s="1" t="s">
        <v>3022</v>
      </c>
      <c r="E671" s="1" t="s">
        <v>3023</v>
      </c>
      <c r="F671" s="1" t="s">
        <v>111</v>
      </c>
      <c r="G671" s="1">
        <v>2209181</v>
      </c>
    </row>
    <row r="672" spans="1:7" x14ac:dyDescent="0.25">
      <c r="A672" s="1" t="str">
        <f t="shared" si="10"/>
        <v>21Atenolol 100</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3024</v>
      </c>
      <c r="D672" s="1" t="s">
        <v>3025</v>
      </c>
      <c r="E672" s="1" t="s">
        <v>3026</v>
      </c>
      <c r="F672" s="1" t="s">
        <v>111</v>
      </c>
      <c r="G672" s="1">
        <v>2714129</v>
      </c>
    </row>
    <row r="673" spans="1:9" x14ac:dyDescent="0.25">
      <c r="A673" s="1" t="str">
        <f t="shared" si="10"/>
        <v>21Atenolol 100</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3027</v>
      </c>
      <c r="D673" s="1" t="s">
        <v>3028</v>
      </c>
      <c r="E673" s="1" t="s">
        <v>3029</v>
      </c>
      <c r="F673" s="1" t="s">
        <v>111</v>
      </c>
      <c r="G673" s="1">
        <v>2351450</v>
      </c>
    </row>
    <row r="674" spans="1:9" x14ac:dyDescent="0.25">
      <c r="A674" s="1" t="str">
        <f t="shared" si="10"/>
        <v>21Atenolol 100</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3030</v>
      </c>
      <c r="D674" s="1" t="s">
        <v>2654</v>
      </c>
      <c r="E674" s="1" t="s">
        <v>3031</v>
      </c>
      <c r="F674" s="1" t="s">
        <v>111</v>
      </c>
      <c r="G674" s="1">
        <v>352389</v>
      </c>
    </row>
    <row r="675" spans="1:9" x14ac:dyDescent="0.25">
      <c r="A675" s="1" t="str">
        <f t="shared" si="10"/>
        <v>21Atenolol 100</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3032</v>
      </c>
      <c r="D675" s="1" t="s">
        <v>3033</v>
      </c>
      <c r="E675" s="1" t="s">
        <v>3034</v>
      </c>
      <c r="F675" s="1" t="s">
        <v>111</v>
      </c>
      <c r="G675" s="1">
        <v>411668</v>
      </c>
    </row>
    <row r="676" spans="1:9" x14ac:dyDescent="0.25">
      <c r="A676" s="1" t="str">
        <f t="shared" si="10"/>
        <v>21Atenolol 100</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3035</v>
      </c>
      <c r="D676" s="1" t="s">
        <v>3036</v>
      </c>
      <c r="E676" s="1" t="s">
        <v>3037</v>
      </c>
      <c r="F676" s="1" t="s">
        <v>111</v>
      </c>
      <c r="G676" s="1">
        <v>322195</v>
      </c>
    </row>
    <row r="677" spans="1:9" x14ac:dyDescent="0.25">
      <c r="A677" s="1" t="str">
        <f t="shared" si="10"/>
        <v>21Atenolol 100</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3038</v>
      </c>
      <c r="D677" s="1" t="s">
        <v>3039</v>
      </c>
      <c r="E677" s="1" t="s">
        <v>3040</v>
      </c>
      <c r="F677" s="1" t="s">
        <v>111</v>
      </c>
      <c r="G677" s="1">
        <v>2861119</v>
      </c>
    </row>
    <row r="678" spans="1:9" x14ac:dyDescent="0.25">
      <c r="A678" s="1" t="str">
        <f t="shared" si="10"/>
        <v>21Atenolol 100</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3041</v>
      </c>
      <c r="D678" s="1" t="s">
        <v>3042</v>
      </c>
      <c r="E678" s="1" t="s">
        <v>3043</v>
      </c>
      <c r="F678" s="1" t="s">
        <v>111</v>
      </c>
      <c r="G678" s="1">
        <v>3233108</v>
      </c>
    </row>
    <row r="679" spans="1:9" x14ac:dyDescent="0.25">
      <c r="A679" s="1" t="str">
        <f t="shared" si="10"/>
        <v>21Atenolol 100</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3044</v>
      </c>
      <c r="D679" s="1" t="s">
        <v>2759</v>
      </c>
      <c r="E679" s="1" t="s">
        <v>3045</v>
      </c>
      <c r="F679" s="1" t="s">
        <v>111</v>
      </c>
      <c r="G679" s="1">
        <v>3036237</v>
      </c>
    </row>
    <row r="680" spans="1:9" x14ac:dyDescent="0.25">
      <c r="A680" s="1" t="str">
        <f t="shared" si="10"/>
        <v>21Atenolol 100</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3046</v>
      </c>
    </row>
    <row r="681" spans="1:9" x14ac:dyDescent="0.25">
      <c r="A681" s="1" t="str">
        <f t="shared" si="10"/>
        <v>21Atenolol 100</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3047</v>
      </c>
      <c r="D681" s="1" t="s">
        <v>3048</v>
      </c>
      <c r="E681" s="1" t="s">
        <v>3049</v>
      </c>
      <c r="F681" s="1" t="s">
        <v>111</v>
      </c>
      <c r="G681" s="1">
        <v>3686152</v>
      </c>
    </row>
    <row r="682" spans="1:9" x14ac:dyDescent="0.25">
      <c r="A682" s="1" t="str">
        <f t="shared" si="10"/>
        <v>21Atenolol 100</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3050</v>
      </c>
      <c r="D682" s="1" t="s">
        <v>3051</v>
      </c>
      <c r="E682" s="1" t="s">
        <v>3052</v>
      </c>
      <c r="F682" s="1" t="s">
        <v>111</v>
      </c>
      <c r="G682" s="1">
        <v>3221057</v>
      </c>
    </row>
    <row r="683" spans="1:9" x14ac:dyDescent="0.25">
      <c r="A683" s="1" t="str">
        <f t="shared" si="10"/>
        <v>21Atenolol 100</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3053</v>
      </c>
      <c r="D683" s="1" t="s">
        <v>3054</v>
      </c>
      <c r="E683" s="1" t="s">
        <v>3055</v>
      </c>
      <c r="F683" s="1" t="s">
        <v>111</v>
      </c>
      <c r="G683" s="1">
        <v>3880457</v>
      </c>
    </row>
    <row r="684" spans="1:9" x14ac:dyDescent="0.25">
      <c r="A684" s="1" t="str">
        <f t="shared" si="10"/>
        <v>21Atenolol 100</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3056</v>
      </c>
      <c r="D684" s="1" t="s">
        <v>3057</v>
      </c>
      <c r="E684" s="1" t="s">
        <v>3058</v>
      </c>
      <c r="F684" s="1" t="s">
        <v>111</v>
      </c>
      <c r="G684" s="1">
        <v>3637706</v>
      </c>
    </row>
    <row r="685" spans="1:9" x14ac:dyDescent="0.25">
      <c r="A685" s="1" t="str">
        <f t="shared" si="10"/>
        <v>21Atenolol 100</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3059</v>
      </c>
      <c r="D685" s="1" t="s">
        <v>3060</v>
      </c>
      <c r="E685" s="1" t="s">
        <v>3061</v>
      </c>
      <c r="F685" s="1" t="s">
        <v>111</v>
      </c>
      <c r="G685" s="1">
        <v>3974781</v>
      </c>
    </row>
    <row r="686" spans="1:9"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111</v>
      </c>
    </row>
    <row r="687" spans="1:9"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230</v>
      </c>
      <c r="D687" s="1" t="s">
        <v>111</v>
      </c>
      <c r="E687" s="1" t="s">
        <v>231</v>
      </c>
      <c r="F687" s="1" t="s">
        <v>232</v>
      </c>
      <c r="G687" s="1" t="s">
        <v>233</v>
      </c>
      <c r="H687" s="1" t="s">
        <v>234</v>
      </c>
      <c r="I687" s="1" t="s">
        <v>235</v>
      </c>
    </row>
    <row r="688" spans="1:9" x14ac:dyDescent="0.25">
      <c r="A688" s="1" t="str">
        <f t="shared" si="10"/>
        <v>21Atenolol 100</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3062</v>
      </c>
      <c r="D688" s="1" t="s">
        <v>111</v>
      </c>
      <c r="E688" s="1" t="s">
        <v>3063</v>
      </c>
      <c r="F688" s="1" t="s">
        <v>3064</v>
      </c>
      <c r="G688" s="1" t="s">
        <v>3065</v>
      </c>
      <c r="H688" s="1" t="s">
        <v>3066</v>
      </c>
      <c r="I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111</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M10" zoomScale="70" zoomScaleNormal="70" zoomScaleSheetLayoutView="40" zoomScalePageLayoutView="30" workbookViewId="0">
      <selection activeCell="O23" sqref="O23:Q23"/>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row r="3" spans="1:22" ht="15.75" thickBot="1" x14ac:dyDescent="0.3">
      <c r="A3" s="153"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Atenolol-0,01mg/L</v>
      </c>
      <c r="J4" s="35" t="str">
        <f>'Page de garde'!A15</f>
        <v>Atenolol-0,1mg/L</v>
      </c>
      <c r="K4" s="35" t="str">
        <f>'Page de garde'!A16</f>
        <v>Atenolol-1mg/L</v>
      </c>
      <c r="L4" s="35" t="str">
        <f>'Page de garde'!A17</f>
        <v>Atenolol-10mg/L</v>
      </c>
      <c r="M4" s="35" t="str">
        <f>'Page de garde'!A18</f>
        <v>Atenolol-100mg/L</v>
      </c>
      <c r="N4" s="3"/>
      <c r="O4" s="36" t="str">
        <f>'Page de garde'!A35</f>
        <v>Testo -30µg/L</v>
      </c>
      <c r="P4" s="36" t="str">
        <f>'Page de garde'!A36</f>
        <v>Testo 30µg/L + EE2 -64ng/L</v>
      </c>
      <c r="Q4" s="36" t="str">
        <f>'Page de garde'!A37</f>
        <v>Testo 30µg/L + FAD-10mg/L</v>
      </c>
      <c r="R4" s="36" t="str">
        <f>'Page de garde'!A38</f>
        <v>Atenolol-0,01mg/L + Testostérone</v>
      </c>
      <c r="S4" s="36" t="str">
        <f>'Page de garde'!A39</f>
        <v>Atenolol-0,1mg/L + Testostérone</v>
      </c>
      <c r="T4" s="36" t="str">
        <f>'Page de garde'!A40</f>
        <v>Atenolol-1mg/L + Testostérone</v>
      </c>
      <c r="U4" s="36" t="str">
        <f>'Page de garde'!A41</f>
        <v>Atenolol-10mg/L + Testostérone</v>
      </c>
      <c r="V4" s="36" t="str">
        <f>'Page de garde'!A42</f>
        <v>Atenolol-100mg/L + Testostérone</v>
      </c>
    </row>
    <row r="5" spans="1:22" x14ac:dyDescent="0.25">
      <c r="A5" s="226" t="s">
        <v>33</v>
      </c>
      <c r="B5" s="196">
        <v>66907.333333333328</v>
      </c>
      <c r="C5" s="196">
        <v>260131</v>
      </c>
      <c r="D5" s="196">
        <v>128391</v>
      </c>
      <c r="E5" s="196">
        <v>425590.5</v>
      </c>
      <c r="F5" s="196">
        <v>436518</v>
      </c>
      <c r="G5" s="196">
        <v>3312074.3333333335</v>
      </c>
      <c r="H5" s="196">
        <v>606937</v>
      </c>
      <c r="I5" s="196">
        <v>379392.66666666669</v>
      </c>
      <c r="J5" s="196">
        <v>120871</v>
      </c>
      <c r="K5" s="196">
        <v>266168</v>
      </c>
      <c r="L5" s="196">
        <v>59641.333333333336</v>
      </c>
      <c r="M5" s="196">
        <v>54797.666666666664</v>
      </c>
      <c r="N5" s="3"/>
      <c r="O5" s="196">
        <v>3757910.3333333335</v>
      </c>
      <c r="P5" s="196">
        <v>3777575.6666666665</v>
      </c>
      <c r="Q5" s="196">
        <v>303236.5</v>
      </c>
      <c r="R5" s="196">
        <v>2670317.3333333335</v>
      </c>
      <c r="S5" s="196">
        <v>4209975.333333333</v>
      </c>
      <c r="T5" s="196">
        <v>2180662</v>
      </c>
      <c r="U5" s="196">
        <v>3149240.3333333335</v>
      </c>
      <c r="V5" s="196">
        <v>3579812.3333333335</v>
      </c>
    </row>
    <row r="6" spans="1:22" x14ac:dyDescent="0.25">
      <c r="A6" s="226"/>
      <c r="B6" s="196">
        <v>218059.66666666666</v>
      </c>
      <c r="C6" s="196">
        <v>217421.66666666666</v>
      </c>
      <c r="D6" s="196">
        <v>69960</v>
      </c>
      <c r="E6" s="196">
        <v>135533</v>
      </c>
      <c r="F6" s="196">
        <v>876683.66666666663</v>
      </c>
      <c r="G6" s="196">
        <v>4674294.666666667</v>
      </c>
      <c r="H6" s="196">
        <v>6721388</v>
      </c>
      <c r="I6" s="196">
        <v>52325</v>
      </c>
      <c r="J6" s="196">
        <v>54109</v>
      </c>
      <c r="K6" s="196">
        <v>20970.666666666668</v>
      </c>
      <c r="L6" s="196">
        <v>157214.66666666666</v>
      </c>
      <c r="M6" s="196">
        <v>57517</v>
      </c>
      <c r="N6" s="3"/>
      <c r="O6" s="196">
        <v>544750.33333333337</v>
      </c>
      <c r="P6" s="196">
        <v>5036139</v>
      </c>
      <c r="Q6" s="196">
        <v>83114</v>
      </c>
      <c r="R6" s="196">
        <v>1037857</v>
      </c>
      <c r="S6" s="196">
        <v>2635474.6666666665</v>
      </c>
      <c r="T6" s="196">
        <v>4576359.333333333</v>
      </c>
      <c r="U6" s="196">
        <v>3777271.3333333335</v>
      </c>
      <c r="V6" s="196">
        <v>1542870.6666666667</v>
      </c>
    </row>
    <row r="7" spans="1:22" x14ac:dyDescent="0.25">
      <c r="A7" s="226"/>
      <c r="B7" s="196">
        <v>38642</v>
      </c>
      <c r="C7" s="196">
        <v>221881</v>
      </c>
      <c r="D7" s="196">
        <v>39236.666666666664</v>
      </c>
      <c r="E7" s="196">
        <v>33225.333333333336</v>
      </c>
      <c r="F7" s="196">
        <v>3647437.6666666665</v>
      </c>
      <c r="G7" s="196">
        <v>3751609</v>
      </c>
      <c r="H7" s="196">
        <v>5427351.666666667</v>
      </c>
      <c r="I7" s="196">
        <v>49163.333333333336</v>
      </c>
      <c r="J7" s="196">
        <v>15641</v>
      </c>
      <c r="K7" s="196">
        <v>23722.5</v>
      </c>
      <c r="L7" s="196">
        <v>172383.66666666666</v>
      </c>
      <c r="M7" s="196">
        <v>121016</v>
      </c>
      <c r="N7" s="3"/>
      <c r="O7" s="196">
        <v>3668038.3333333335</v>
      </c>
      <c r="P7" s="196">
        <v>2208267</v>
      </c>
      <c r="Q7" s="196">
        <v>126244.66666666667</v>
      </c>
      <c r="R7" s="196">
        <v>902179</v>
      </c>
      <c r="S7" s="196">
        <v>3555216</v>
      </c>
      <c r="T7" s="196">
        <v>2389664.6666666665</v>
      </c>
      <c r="U7" s="196">
        <v>2401607.6666666665</v>
      </c>
      <c r="V7" s="196">
        <v>3734887.6666666665</v>
      </c>
    </row>
    <row r="8" spans="1:22" x14ac:dyDescent="0.25">
      <c r="A8" s="226"/>
      <c r="B8" s="196">
        <v>96108.333333333328</v>
      </c>
      <c r="C8" s="196">
        <v>181339</v>
      </c>
      <c r="D8" s="196">
        <v>143778</v>
      </c>
      <c r="E8" s="196">
        <v>315596</v>
      </c>
      <c r="F8" s="196">
        <v>29628.666666666668</v>
      </c>
      <c r="G8" s="196">
        <v>1460547</v>
      </c>
      <c r="H8" s="196">
        <v>6120999</v>
      </c>
      <c r="I8" s="196">
        <v>127404.33333333333</v>
      </c>
      <c r="J8" s="196">
        <v>34733.333333333336</v>
      </c>
      <c r="K8" s="196">
        <v>34762.666666666664</v>
      </c>
      <c r="L8" s="196">
        <v>52006</v>
      </c>
      <c r="M8" s="196">
        <v>88639.333333333328</v>
      </c>
      <c r="N8" s="3"/>
      <c r="O8" s="196">
        <v>4122206</v>
      </c>
      <c r="P8" s="196">
        <v>5095331.333333333</v>
      </c>
      <c r="Q8" s="196">
        <v>74042.666666666672</v>
      </c>
      <c r="R8" s="196">
        <v>1344719</v>
      </c>
      <c r="S8" s="196">
        <v>1060901.6666666667</v>
      </c>
      <c r="T8" s="196">
        <v>4330578</v>
      </c>
      <c r="U8" s="196">
        <v>3683048.3333333335</v>
      </c>
      <c r="V8" s="196">
        <v>2424920</v>
      </c>
    </row>
    <row r="9" spans="1:22" x14ac:dyDescent="0.25">
      <c r="A9" s="226"/>
      <c r="B9" s="196">
        <v>9230.6666666666661</v>
      </c>
      <c r="C9" s="196">
        <v>30005.666666666668</v>
      </c>
      <c r="D9" s="196">
        <v>186843</v>
      </c>
      <c r="E9" s="196">
        <v>85318.333333333328</v>
      </c>
      <c r="F9" s="196">
        <v>273843.66666666669</v>
      </c>
      <c r="G9" s="196">
        <v>4378900</v>
      </c>
      <c r="H9" s="196">
        <v>5379363</v>
      </c>
      <c r="I9" s="196">
        <v>9600.3333333333339</v>
      </c>
      <c r="J9" s="196">
        <v>44392</v>
      </c>
      <c r="K9" s="196">
        <v>100161.33333333333</v>
      </c>
      <c r="L9" s="196">
        <v>30615</v>
      </c>
      <c r="M9" s="196">
        <v>59830</v>
      </c>
      <c r="N9" s="3"/>
      <c r="O9" s="196">
        <v>4313298.333333333</v>
      </c>
      <c r="P9" s="196">
        <v>4171021.3333333335</v>
      </c>
      <c r="Q9" s="196">
        <v>222323</v>
      </c>
      <c r="R9" s="196">
        <v>3074538</v>
      </c>
      <c r="S9" s="196">
        <v>1833211</v>
      </c>
      <c r="T9" s="196">
        <v>3626902</v>
      </c>
      <c r="U9" s="196">
        <v>2555384.6666666665</v>
      </c>
      <c r="V9" s="196">
        <v>362084</v>
      </c>
    </row>
    <row r="10" spans="1:22" x14ac:dyDescent="0.25">
      <c r="A10" s="226"/>
      <c r="B10" s="196">
        <v>278665.5</v>
      </c>
      <c r="C10" s="196">
        <v>165480.5</v>
      </c>
      <c r="D10" s="196">
        <v>50012</v>
      </c>
      <c r="E10" s="196">
        <v>1680847.5</v>
      </c>
      <c r="F10" s="196">
        <v>134336.66666666666</v>
      </c>
      <c r="G10" s="196">
        <v>2713657.6666666665</v>
      </c>
      <c r="H10" s="196">
        <v>6599835.666666667</v>
      </c>
      <c r="I10" s="196">
        <v>120733.66666666667</v>
      </c>
      <c r="J10" s="196">
        <v>29008.5</v>
      </c>
      <c r="K10" s="196">
        <v>63600.666666666664</v>
      </c>
      <c r="L10" s="196">
        <v>61273</v>
      </c>
      <c r="M10" s="196">
        <v>70562</v>
      </c>
      <c r="N10" s="3"/>
      <c r="O10" s="196">
        <v>3625923</v>
      </c>
      <c r="P10" s="196">
        <v>2371028.6666666665</v>
      </c>
      <c r="Q10" s="196">
        <v>98363.333333333328</v>
      </c>
      <c r="R10" s="196">
        <v>4073086</v>
      </c>
      <c r="S10" s="196">
        <v>3050587</v>
      </c>
      <c r="T10" s="196">
        <v>1039819</v>
      </c>
      <c r="U10" s="196">
        <v>2268691.6666666665</v>
      </c>
      <c r="V10" s="196">
        <v>3043488</v>
      </c>
    </row>
    <row r="11" spans="1:22" x14ac:dyDescent="0.25">
      <c r="A11" s="226"/>
      <c r="B11" s="196">
        <v>39765.666666666664</v>
      </c>
      <c r="C11" s="196">
        <v>238486.33333333334</v>
      </c>
      <c r="D11" s="196">
        <v>89778</v>
      </c>
      <c r="E11" s="196">
        <v>84926.5</v>
      </c>
      <c r="F11" s="196">
        <v>1049416</v>
      </c>
      <c r="G11" s="196">
        <v>3228975.3333333335</v>
      </c>
      <c r="H11" s="196">
        <v>3242876</v>
      </c>
      <c r="I11" s="196">
        <v>314544.66666666669</v>
      </c>
      <c r="J11" s="196">
        <v>60483</v>
      </c>
      <c r="K11" s="196">
        <v>37525.333333333336</v>
      </c>
      <c r="L11" s="196">
        <v>80358.333333333328</v>
      </c>
      <c r="M11" s="196">
        <v>112104.66666666667</v>
      </c>
      <c r="N11" s="3"/>
      <c r="O11" s="196">
        <v>3600888</v>
      </c>
      <c r="P11" s="196">
        <v>18338</v>
      </c>
      <c r="Q11" s="196">
        <v>62926.333333333336</v>
      </c>
      <c r="R11" s="196">
        <v>3066899</v>
      </c>
      <c r="S11" s="196">
        <v>3819611</v>
      </c>
      <c r="T11" s="196">
        <v>4363223</v>
      </c>
      <c r="U11" s="196">
        <v>530139.33333333337</v>
      </c>
      <c r="V11" s="196">
        <v>3453604.5</v>
      </c>
    </row>
    <row r="12" spans="1:22" x14ac:dyDescent="0.25">
      <c r="A12" s="226"/>
      <c r="B12" s="196">
        <v>39091.5</v>
      </c>
      <c r="C12" s="196">
        <v>62136</v>
      </c>
      <c r="D12" s="196">
        <v>340091</v>
      </c>
      <c r="E12" s="196">
        <v>260544.66666666666</v>
      </c>
      <c r="F12" s="196">
        <v>300789.33333333331</v>
      </c>
      <c r="G12" s="196">
        <v>3636792.6666666665</v>
      </c>
      <c r="H12" s="196">
        <v>2041401.3333333333</v>
      </c>
      <c r="I12" s="196"/>
      <c r="J12" s="196">
        <v>80684.666666666672</v>
      </c>
      <c r="K12" s="196">
        <v>102162.66666666667</v>
      </c>
      <c r="L12" s="196">
        <v>29324</v>
      </c>
      <c r="M12" s="196">
        <v>252401.33333333334</v>
      </c>
      <c r="N12" s="3"/>
      <c r="O12" s="196">
        <v>1345702</v>
      </c>
      <c r="P12" s="196"/>
      <c r="Q12" s="196">
        <v>43166.666666666664</v>
      </c>
      <c r="R12" s="196">
        <v>3705998.6666666665</v>
      </c>
      <c r="S12" s="196">
        <v>4198942.5</v>
      </c>
      <c r="T12" s="196">
        <v>3853191.6666666665</v>
      </c>
      <c r="U12" s="196">
        <v>3222637.6666666665</v>
      </c>
      <c r="V12" s="196">
        <v>3830981.3333333335</v>
      </c>
    </row>
    <row r="13" spans="1:22" ht="16.5" x14ac:dyDescent="0.25">
      <c r="A13" s="226"/>
      <c r="B13" s="14"/>
      <c r="C13" s="13"/>
      <c r="D13" s="32"/>
      <c r="E13" s="32"/>
      <c r="F13" s="32"/>
      <c r="G13" s="32"/>
      <c r="H13" s="32"/>
      <c r="I13" s="32"/>
      <c r="J13" s="32"/>
      <c r="K13" s="13"/>
      <c r="L13" s="13"/>
      <c r="M13" s="13"/>
      <c r="N13" s="3"/>
      <c r="O13" s="196">
        <v>1529941.6666666667</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6">
        <v>680153</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6">
        <v>2206157</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6">
        <v>3875989.6666666665</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6">
        <v>1324180.3333333333</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6">
        <v>1043759.3333333334</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6">
        <v>1493279.3333333333</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6">
        <v>4414903</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Atenolol-0,01mg/L</v>
      </c>
      <c r="J22" s="3" t="str">
        <f t="shared" si="0"/>
        <v>Atenolol-0,1mg/L</v>
      </c>
      <c r="K22" s="3" t="str">
        <f t="shared" si="0"/>
        <v>Atenolol-1mg/L</v>
      </c>
      <c r="L22" s="3" t="str">
        <f t="shared" si="0"/>
        <v>Atenolol-10mg/L</v>
      </c>
      <c r="M22" s="3" t="str">
        <f t="shared" si="0"/>
        <v>Atenolol-100mg/L</v>
      </c>
      <c r="N22" s="3" t="s">
        <v>41</v>
      </c>
      <c r="O22" s="3" t="str">
        <f t="shared" si="0"/>
        <v>Testo -30µg/L</v>
      </c>
      <c r="P22" s="3" t="str">
        <f t="shared" si="0"/>
        <v>Testo 30µg/L + EE2 -64ng/L</v>
      </c>
      <c r="Q22" s="3" t="str">
        <f t="shared" si="0"/>
        <v>Testo 30µg/L + FAD-10mg/L</v>
      </c>
      <c r="R22" s="3" t="str">
        <f t="shared" si="0"/>
        <v>Atenolol-0,01mg/L + Testostérone</v>
      </c>
      <c r="S22" s="3" t="str">
        <f t="shared" si="0"/>
        <v>Atenolol-0,1mg/L + Testostérone</v>
      </c>
      <c r="T22" s="3" t="str">
        <f t="shared" si="0"/>
        <v>Atenolol-1mg/L + Testostérone</v>
      </c>
      <c r="U22" s="3" t="str">
        <f t="shared" si="0"/>
        <v>Atenolol-10mg/L + Testostérone</v>
      </c>
      <c r="V22" s="3" t="str">
        <f t="shared" si="0"/>
        <v>Atenolol-100mg/L + Testostérone</v>
      </c>
    </row>
    <row r="23" spans="1:22" x14ac:dyDescent="0.25">
      <c r="A23" s="5" t="s">
        <v>0</v>
      </c>
      <c r="B23" s="5">
        <f t="shared" ref="B23:J23" si="1">AVERAGE(B5:B20)</f>
        <v>98308.833333333328</v>
      </c>
      <c r="C23" s="5">
        <f t="shared" si="1"/>
        <v>172110.14583333331</v>
      </c>
      <c r="D23" s="5">
        <f t="shared" si="1"/>
        <v>131011.20833333333</v>
      </c>
      <c r="E23" s="5">
        <f t="shared" si="1"/>
        <v>377697.72916666669</v>
      </c>
      <c r="F23" s="5">
        <f t="shared" si="1"/>
        <v>843581.70833333337</v>
      </c>
      <c r="G23" s="5">
        <f t="shared" si="1"/>
        <v>3394606.3333333335</v>
      </c>
      <c r="H23" s="5">
        <f t="shared" si="1"/>
        <v>4517518.958333334</v>
      </c>
      <c r="I23" s="5">
        <f t="shared" si="1"/>
        <v>150452</v>
      </c>
      <c r="J23" s="5">
        <f t="shared" si="1"/>
        <v>54990.312500000007</v>
      </c>
      <c r="K23" s="5"/>
      <c r="L23" s="5">
        <f>AVERAGE(L5:L20)</f>
        <v>80352</v>
      </c>
      <c r="M23" s="5"/>
      <c r="N23" s="5" t="s">
        <v>0</v>
      </c>
      <c r="O23" s="5">
        <f>AVERAGE(O5:O20)</f>
        <v>2596692.479166667</v>
      </c>
      <c r="P23" s="5">
        <f>AVERAGE(P5:P20)</f>
        <v>3239671.5714285714</v>
      </c>
      <c r="Q23" s="5">
        <f>AVERAGE(Q5:Q20)</f>
        <v>126677.14583333334</v>
      </c>
      <c r="R23" s="5">
        <f>AVERAGE(R5:R20)</f>
        <v>2484449.25</v>
      </c>
      <c r="S23" s="5">
        <f>AVERAGE(S5:S20)</f>
        <v>3045489.895833333</v>
      </c>
      <c r="T23" s="5">
        <f t="shared" ref="T23:V23" si="2">AVERAGE(T5:T20)</f>
        <v>3295049.9583333335</v>
      </c>
      <c r="U23" s="5">
        <f t="shared" si="2"/>
        <v>2698502.625</v>
      </c>
      <c r="V23" s="5">
        <f t="shared" si="2"/>
        <v>2746581.0624999995</v>
      </c>
    </row>
    <row r="24" spans="1:22" x14ac:dyDescent="0.25">
      <c r="A24" s="3" t="s">
        <v>1</v>
      </c>
      <c r="B24" s="3">
        <f t="shared" ref="B24:J24" si="3">STDEV(B5:B20)</f>
        <v>97312.993850354076</v>
      </c>
      <c r="C24" s="3">
        <f t="shared" si="3"/>
        <v>83752.066570733412</v>
      </c>
      <c r="D24" s="3">
        <f t="shared" si="3"/>
        <v>98134.216009380732</v>
      </c>
      <c r="E24" s="3">
        <f t="shared" si="3"/>
        <v>543346.79780818091</v>
      </c>
      <c r="F24" s="3">
        <f t="shared" si="3"/>
        <v>1186564.4088617668</v>
      </c>
      <c r="G24" s="3">
        <f t="shared" si="3"/>
        <v>1002216.3387387251</v>
      </c>
      <c r="H24" s="3">
        <f t="shared" si="3"/>
        <v>2279828.4708930026</v>
      </c>
      <c r="I24" s="3">
        <f t="shared" si="3"/>
        <v>141705.15193488519</v>
      </c>
      <c r="J24" s="3">
        <f t="shared" si="3"/>
        <v>33332.745712253534</v>
      </c>
      <c r="K24" s="3"/>
      <c r="L24" s="3">
        <f>STDEV(L5:L20)</f>
        <v>54839.713009101666</v>
      </c>
      <c r="M24" s="3"/>
      <c r="N24" s="3" t="s">
        <v>1</v>
      </c>
      <c r="O24" s="3">
        <f>STDEV(O5:O20)</f>
        <v>1432196.5082479573</v>
      </c>
      <c r="P24" s="3">
        <f>STDEV(P5:P20)</f>
        <v>1826784.3985591256</v>
      </c>
      <c r="Q24" s="3">
        <f>STDEV(Q5:Q20)</f>
        <v>90102.716208174141</v>
      </c>
      <c r="R24" s="3">
        <f>STDEV(R5:R20)</f>
        <v>1232485.4339285924</v>
      </c>
      <c r="S24" s="3">
        <f>STDEV(S5:S20)</f>
        <v>1141547.3495368871</v>
      </c>
      <c r="T24" s="3">
        <f t="shared" ref="T24:V24" si="4">STDEV(T5:T20)</f>
        <v>1277517.8698271359</v>
      </c>
      <c r="U24" s="3">
        <f t="shared" si="4"/>
        <v>1042395.6194627174</v>
      </c>
      <c r="V24" s="3">
        <f t="shared" si="4"/>
        <v>1234804.4905897547</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Atenolol-0,01mg/L</v>
      </c>
      <c r="J27" s="35" t="str">
        <f t="shared" si="5"/>
        <v>Atenolol-0,1mg/L</v>
      </c>
      <c r="K27" s="35" t="str">
        <f t="shared" si="5"/>
        <v>Atenolol-1mg/L</v>
      </c>
      <c r="L27" s="35" t="str">
        <f t="shared" si="5"/>
        <v>Atenolol-10mg/L</v>
      </c>
      <c r="M27" s="35" t="str">
        <f t="shared" si="5"/>
        <v>Atenolol-100mg/L</v>
      </c>
      <c r="N27" s="3"/>
      <c r="O27" s="36" t="str">
        <f>O4</f>
        <v>Testo -30µg/L</v>
      </c>
      <c r="P27" s="36" t="str">
        <f t="shared" ref="P27:V27" si="6">P4</f>
        <v>Testo 30µg/L + EE2 -64ng/L</v>
      </c>
      <c r="Q27" s="36" t="str">
        <f t="shared" si="6"/>
        <v>Testo 30µg/L + FAD-10mg/L</v>
      </c>
      <c r="R27" s="36" t="str">
        <f t="shared" si="6"/>
        <v>Atenolol-0,01mg/L + Testostérone</v>
      </c>
      <c r="S27" s="36" t="str">
        <f t="shared" si="6"/>
        <v>Atenolol-0,1mg/L + Testostérone</v>
      </c>
      <c r="T27" s="36" t="str">
        <f t="shared" si="6"/>
        <v>Atenolol-1mg/L + Testostérone</v>
      </c>
      <c r="U27" s="36" t="str">
        <f t="shared" si="6"/>
        <v>Atenolol-10mg/L + Testostérone</v>
      </c>
      <c r="V27" s="36" t="str">
        <f t="shared" si="6"/>
        <v>Atenolol-100mg/L + Testostérone</v>
      </c>
    </row>
    <row r="28" spans="1:22" x14ac:dyDescent="0.25">
      <c r="A28" s="227" t="s">
        <v>34</v>
      </c>
      <c r="B28" s="11">
        <f t="shared" ref="B28:M28" si="7">IF(B5="","",(B5/$O$23))</f>
        <v>2.5766367742862371E-2</v>
      </c>
      <c r="C28" s="11">
        <f t="shared" si="7"/>
        <v>0.10017782316814099</v>
      </c>
      <c r="D28" s="11">
        <f t="shared" si="7"/>
        <v>4.9444052782562593E-2</v>
      </c>
      <c r="E28" s="11">
        <f t="shared" si="7"/>
        <v>0.16389715124702825</v>
      </c>
      <c r="F28" s="11">
        <f t="shared" si="7"/>
        <v>0.16810538926045174</v>
      </c>
      <c r="G28" s="11">
        <f t="shared" si="7"/>
        <v>1.2754973335911719</v>
      </c>
      <c r="H28" s="11">
        <f t="shared" si="7"/>
        <v>0.23373464700555485</v>
      </c>
      <c r="I28" s="11">
        <f t="shared" si="7"/>
        <v>0.14610612142583082</v>
      </c>
      <c r="J28" s="11">
        <f t="shared" si="7"/>
        <v>4.6548061031389455E-2</v>
      </c>
      <c r="K28" s="11">
        <f t="shared" si="7"/>
        <v>0.10250270378008677</v>
      </c>
      <c r="L28" s="11">
        <f t="shared" si="7"/>
        <v>2.2968192734348539E-2</v>
      </c>
      <c r="M28" s="11">
        <f t="shared" si="7"/>
        <v>2.1102871097101333E-2</v>
      </c>
      <c r="N28" s="6"/>
      <c r="O28" s="11">
        <f t="shared" ref="O28:V37" si="8">IF(O5="","",(O5/$O$23))</f>
        <v>1.4471911339071331</v>
      </c>
      <c r="P28" s="11">
        <f t="shared" si="8"/>
        <v>1.4547643577259366</v>
      </c>
      <c r="Q28" s="11">
        <f t="shared" si="8"/>
        <v>0.11677797907641145</v>
      </c>
      <c r="R28" s="11">
        <f t="shared" si="8"/>
        <v>1.0283533205249988</v>
      </c>
      <c r="S28" s="11">
        <f t="shared" si="8"/>
        <v>1.6212837550499635</v>
      </c>
      <c r="T28" s="11">
        <f t="shared" si="8"/>
        <v>0.83978446331073453</v>
      </c>
      <c r="U28" s="11">
        <f t="shared" si="8"/>
        <v>1.2127890994408359</v>
      </c>
      <c r="V28" s="11">
        <f t="shared" si="8"/>
        <v>1.3786046526703732</v>
      </c>
    </row>
    <row r="29" spans="1:22" x14ac:dyDescent="0.25">
      <c r="A29" s="227"/>
      <c r="B29" s="11">
        <f t="shared" ref="B29:M29" si="9">IF(B6="","",(B6/$O$23))</f>
        <v>8.3975930309871188E-2</v>
      </c>
      <c r="C29" s="11">
        <f t="shared" si="9"/>
        <v>8.3730233137364746E-2</v>
      </c>
      <c r="D29" s="11">
        <f t="shared" si="9"/>
        <v>2.6941965812775654E-2</v>
      </c>
      <c r="E29" s="11">
        <f t="shared" si="9"/>
        <v>5.2194474735604957E-2</v>
      </c>
      <c r="F29" s="11">
        <f t="shared" si="9"/>
        <v>0.3376155142360226</v>
      </c>
      <c r="G29" s="11">
        <f t="shared" si="9"/>
        <v>1.8000955847366054</v>
      </c>
      <c r="H29" s="11">
        <f t="shared" si="9"/>
        <v>2.5884420484619857</v>
      </c>
      <c r="I29" s="11">
        <f t="shared" si="9"/>
        <v>2.0150634093103005E-2</v>
      </c>
      <c r="J29" s="11">
        <f t="shared" si="9"/>
        <v>2.0837661923434503E-2</v>
      </c>
      <c r="K29" s="11">
        <f t="shared" si="9"/>
        <v>8.0759145855409855E-3</v>
      </c>
      <c r="L29" s="11">
        <f t="shared" si="9"/>
        <v>6.0544199179534783E-2</v>
      </c>
      <c r="M29" s="11">
        <f t="shared" si="9"/>
        <v>2.2150100738327863E-2</v>
      </c>
      <c r="N29" s="6"/>
      <c r="O29" s="11">
        <f t="shared" si="8"/>
        <v>0.20978623294975429</v>
      </c>
      <c r="P29" s="11">
        <f t="shared" si="8"/>
        <v>1.9394437502342221</v>
      </c>
      <c r="Q29" s="11">
        <f t="shared" si="8"/>
        <v>3.2007640745612291E-2</v>
      </c>
      <c r="R29" s="11">
        <f t="shared" si="8"/>
        <v>0.39968421687464128</v>
      </c>
      <c r="S29" s="11">
        <f t="shared" si="8"/>
        <v>1.0149352254112298</v>
      </c>
      <c r="T29" s="11">
        <f t="shared" si="8"/>
        <v>1.7623801701778652</v>
      </c>
      <c r="U29" s="11">
        <f t="shared" si="8"/>
        <v>1.4546471573505457</v>
      </c>
      <c r="V29" s="11">
        <f t="shared" si="8"/>
        <v>0.59416764944064782</v>
      </c>
    </row>
    <row r="30" spans="1:22" x14ac:dyDescent="0.25">
      <c r="A30" s="227"/>
      <c r="B30" s="11">
        <f t="shared" ref="B30:M30" si="10">IF(B7="","",(B7/$O$23))</f>
        <v>1.4881238463940492E-2</v>
      </c>
      <c r="C30" s="11">
        <f t="shared" si="10"/>
        <v>8.5447545976336123E-2</v>
      </c>
      <c r="D30" s="11">
        <f t="shared" si="10"/>
        <v>1.5110247740717658E-2</v>
      </c>
      <c r="E30" s="11">
        <f t="shared" si="10"/>
        <v>1.2795251497780762E-2</v>
      </c>
      <c r="F30" s="11">
        <f t="shared" si="10"/>
        <v>1.4046475260086269</v>
      </c>
      <c r="G30" s="11">
        <f t="shared" si="10"/>
        <v>1.4447644571312388</v>
      </c>
      <c r="H30" s="11">
        <f t="shared" si="10"/>
        <v>2.090101816141285</v>
      </c>
      <c r="I30" s="11">
        <f t="shared" si="10"/>
        <v>1.8933059547009155E-2</v>
      </c>
      <c r="J30" s="11">
        <f t="shared" si="10"/>
        <v>6.0234317792684962E-3</v>
      </c>
      <c r="K30" s="11">
        <f t="shared" si="10"/>
        <v>9.1356601485644718E-3</v>
      </c>
      <c r="L30" s="11">
        <f t="shared" si="10"/>
        <v>6.6385861263782833E-2</v>
      </c>
      <c r="M30" s="11">
        <f t="shared" si="10"/>
        <v>4.6603901297868192E-2</v>
      </c>
      <c r="N30" s="6"/>
      <c r="O30" s="11">
        <f t="shared" si="8"/>
        <v>1.4125809516383256</v>
      </c>
      <c r="P30" s="11">
        <f t="shared" si="8"/>
        <v>0.85041529473242794</v>
      </c>
      <c r="Q30" s="11">
        <f t="shared" si="8"/>
        <v>4.8617488470248597E-2</v>
      </c>
      <c r="R30" s="11">
        <f t="shared" si="8"/>
        <v>0.34743390187255757</v>
      </c>
      <c r="S30" s="11">
        <f t="shared" si="8"/>
        <v>1.3691324746860065</v>
      </c>
      <c r="T30" s="11">
        <f t="shared" si="8"/>
        <v>0.92027249504475783</v>
      </c>
      <c r="U30" s="11">
        <f t="shared" si="8"/>
        <v>0.92487180747617548</v>
      </c>
      <c r="V30" s="11">
        <f t="shared" si="8"/>
        <v>1.4383249832745963</v>
      </c>
    </row>
    <row r="31" spans="1:22" x14ac:dyDescent="0.25">
      <c r="A31" s="227"/>
      <c r="B31" s="11">
        <f t="shared" ref="B31:M31" si="11">IF(B8="","",(B8/$O$23))</f>
        <v>3.7011827201107968E-2</v>
      </c>
      <c r="C31" s="11">
        <f t="shared" si="11"/>
        <v>6.9834607468881135E-2</v>
      </c>
      <c r="D31" s="11">
        <f t="shared" si="11"/>
        <v>5.5369667819171783E-2</v>
      </c>
      <c r="E31" s="11">
        <f t="shared" si="11"/>
        <v>0.12153768785947321</v>
      </c>
      <c r="F31" s="11">
        <f t="shared" si="11"/>
        <v>1.1410156152250699E-2</v>
      </c>
      <c r="G31" s="11">
        <f t="shared" si="11"/>
        <v>0.56246437023945173</v>
      </c>
      <c r="H31" s="11">
        <f t="shared" si="11"/>
        <v>2.3572290708695536</v>
      </c>
      <c r="I31" s="11">
        <f t="shared" si="11"/>
        <v>4.9064082233649803E-2</v>
      </c>
      <c r="J31" s="11">
        <f t="shared" si="11"/>
        <v>1.3375990269159631E-2</v>
      </c>
      <c r="K31" s="11">
        <f t="shared" si="11"/>
        <v>1.3387286690884063E-2</v>
      </c>
      <c r="L31" s="11">
        <f t="shared" si="11"/>
        <v>2.002778550684978E-2</v>
      </c>
      <c r="M31" s="11">
        <f t="shared" si="11"/>
        <v>3.4135475819523899E-2</v>
      </c>
      <c r="N31" s="6"/>
      <c r="O31" s="11">
        <f t="shared" si="8"/>
        <v>1.5874833208293122</v>
      </c>
      <c r="P31" s="11">
        <f t="shared" si="8"/>
        <v>1.9622390306951294</v>
      </c>
      <c r="Q31" s="11">
        <f t="shared" si="8"/>
        <v>2.8514222327331005E-2</v>
      </c>
      <c r="R31" s="11">
        <f t="shared" si="8"/>
        <v>0.51785839516566412</v>
      </c>
      <c r="S31" s="11">
        <f t="shared" si="8"/>
        <v>0.40855883982347124</v>
      </c>
      <c r="T31" s="11">
        <f t="shared" si="8"/>
        <v>1.6677284794962604</v>
      </c>
      <c r="U31" s="11">
        <f t="shared" si="8"/>
        <v>1.4183613819820902</v>
      </c>
      <c r="V31" s="11">
        <f t="shared" si="8"/>
        <v>0.93384951027324103</v>
      </c>
    </row>
    <row r="32" spans="1:22" x14ac:dyDescent="0.25">
      <c r="A32" s="227"/>
      <c r="B32" s="11">
        <f t="shared" ref="B32:M32" si="12">IF(B9="","",(B9/$O$23))</f>
        <v>3.5547785271935551E-3</v>
      </c>
      <c r="C32" s="11">
        <f t="shared" si="12"/>
        <v>1.1555340845095418E-2</v>
      </c>
      <c r="D32" s="11">
        <f t="shared" si="12"/>
        <v>7.1954226963356793E-2</v>
      </c>
      <c r="E32" s="11">
        <f t="shared" si="12"/>
        <v>3.2856541164517784E-2</v>
      </c>
      <c r="F32" s="11">
        <f t="shared" si="12"/>
        <v>0.10545864358745663</v>
      </c>
      <c r="G32" s="11">
        <f t="shared" si="12"/>
        <v>1.6863375371292642</v>
      </c>
      <c r="H32" s="11">
        <f t="shared" si="12"/>
        <v>2.071621126936968</v>
      </c>
      <c r="I32" s="11">
        <f t="shared" si="12"/>
        <v>3.6971391146071644E-3</v>
      </c>
      <c r="J32" s="11">
        <f t="shared" si="12"/>
        <v>1.7095593858786975E-2</v>
      </c>
      <c r="K32" s="11">
        <f t="shared" si="12"/>
        <v>3.8572658925510192E-2</v>
      </c>
      <c r="L32" s="11">
        <f t="shared" si="12"/>
        <v>1.1789998332734801E-2</v>
      </c>
      <c r="M32" s="11">
        <f t="shared" si="12"/>
        <v>2.3040849264985241E-2</v>
      </c>
      <c r="N32" s="6"/>
      <c r="O32" s="11">
        <f t="shared" si="8"/>
        <v>1.6610739885215675</v>
      </c>
      <c r="P32" s="11">
        <f t="shared" si="8"/>
        <v>1.6062823637367725</v>
      </c>
      <c r="Q32" s="11">
        <f t="shared" si="8"/>
        <v>8.5617762512774753E-2</v>
      </c>
      <c r="R32" s="11">
        <f t="shared" si="8"/>
        <v>1.1840208359931337</v>
      </c>
      <c r="S32" s="11">
        <f t="shared" si="8"/>
        <v>0.70597924656381172</v>
      </c>
      <c r="T32" s="11">
        <f t="shared" si="8"/>
        <v>1.3967391322225222</v>
      </c>
      <c r="U32" s="11">
        <f t="shared" si="8"/>
        <v>0.98409214305066384</v>
      </c>
      <c r="V32" s="11">
        <f t="shared" si="8"/>
        <v>0.1394404623978425</v>
      </c>
    </row>
    <row r="33" spans="1:22" x14ac:dyDescent="0.25">
      <c r="A33" s="227"/>
      <c r="B33" s="11">
        <f t="shared" ref="B33:M33" si="13">IF(B10="","",(B10/$O$23))</f>
        <v>0.10731555709262484</v>
      </c>
      <c r="C33" s="11">
        <f t="shared" si="13"/>
        <v>6.3727415289894535E-2</v>
      </c>
      <c r="D33" s="11">
        <f t="shared" si="13"/>
        <v>1.9259885566445627E-2</v>
      </c>
      <c r="E33" s="11">
        <f t="shared" si="13"/>
        <v>0.64730325731116967</v>
      </c>
      <c r="F33" s="11">
        <f t="shared" si="13"/>
        <v>5.1733760445048196E-2</v>
      </c>
      <c r="G33" s="11">
        <f t="shared" si="13"/>
        <v>1.0450439119912791</v>
      </c>
      <c r="H33" s="11">
        <f t="shared" si="13"/>
        <v>2.5416316023623606</v>
      </c>
      <c r="I33" s="11">
        <f t="shared" si="13"/>
        <v>4.6495173238770511E-2</v>
      </c>
      <c r="J33" s="11">
        <f t="shared" si="13"/>
        <v>1.1171326690678995E-2</v>
      </c>
      <c r="K33" s="11">
        <f t="shared" si="13"/>
        <v>2.4492952930289785E-2</v>
      </c>
      <c r="L33" s="11">
        <f t="shared" si="13"/>
        <v>2.3596556192770193E-2</v>
      </c>
      <c r="M33" s="11">
        <f t="shared" si="13"/>
        <v>2.717379919498393E-2</v>
      </c>
      <c r="N33" s="6"/>
      <c r="O33" s="11">
        <f t="shared" si="8"/>
        <v>1.3963621141474691</v>
      </c>
      <c r="P33" s="11">
        <f t="shared" si="8"/>
        <v>0.91309567293373883</v>
      </c>
      <c r="Q33" s="11">
        <f t="shared" si="8"/>
        <v>3.7880239621173852E-2</v>
      </c>
      <c r="R33" s="11">
        <f t="shared" si="8"/>
        <v>1.5685669491780323</v>
      </c>
      <c r="S33" s="11">
        <f t="shared" si="8"/>
        <v>1.1747971792867045</v>
      </c>
      <c r="T33" s="11">
        <f t="shared" si="8"/>
        <v>0.40043979344589148</v>
      </c>
      <c r="U33" s="11">
        <f t="shared" si="8"/>
        <v>0.87368515327419027</v>
      </c>
      <c r="V33" s="11">
        <f t="shared" si="8"/>
        <v>1.1720633168609627</v>
      </c>
    </row>
    <row r="34" spans="1:22" x14ac:dyDescent="0.25">
      <c r="A34" s="227"/>
      <c r="B34" s="11">
        <f t="shared" ref="B34:M34" si="14">IF(B11="","",(B11/$O$23))</f>
        <v>1.5313968437043534E-2</v>
      </c>
      <c r="C34" s="11">
        <f t="shared" si="14"/>
        <v>9.18423476197954E-2</v>
      </c>
      <c r="D34" s="11">
        <f t="shared" si="14"/>
        <v>3.4573982371917847E-2</v>
      </c>
      <c r="E34" s="11">
        <f t="shared" si="14"/>
        <v>3.2705644076596506E-2</v>
      </c>
      <c r="F34" s="11">
        <f t="shared" si="14"/>
        <v>0.40413564887621178</v>
      </c>
      <c r="G34" s="11">
        <f t="shared" si="14"/>
        <v>1.2434954694248506</v>
      </c>
      <c r="H34" s="11">
        <f t="shared" si="14"/>
        <v>1.2488486896379454</v>
      </c>
      <c r="I34" s="11">
        <f t="shared" si="14"/>
        <v>0.12113281383539519</v>
      </c>
      <c r="J34" s="11">
        <f t="shared" si="14"/>
        <v>2.3292323016782589E-2</v>
      </c>
      <c r="K34" s="11">
        <f t="shared" si="14"/>
        <v>1.4451204227839872E-2</v>
      </c>
      <c r="L34" s="11">
        <f t="shared" si="14"/>
        <v>3.0946418945658902E-2</v>
      </c>
      <c r="M34" s="11">
        <f t="shared" si="14"/>
        <v>4.3172099725356544E-2</v>
      </c>
      <c r="N34" s="6"/>
      <c r="O34" s="11">
        <f t="shared" si="8"/>
        <v>1.3867210033109505</v>
      </c>
      <c r="P34" s="11">
        <f t="shared" si="8"/>
        <v>7.0620607357730122E-3</v>
      </c>
      <c r="Q34" s="11">
        <f t="shared" si="8"/>
        <v>2.4233263599056486E-2</v>
      </c>
      <c r="R34" s="11">
        <f t="shared" si="8"/>
        <v>1.1810790167129195</v>
      </c>
      <c r="S34" s="11">
        <f t="shared" si="8"/>
        <v>1.4709523867939083</v>
      </c>
      <c r="T34" s="11">
        <f t="shared" si="8"/>
        <v>1.6803002415596975</v>
      </c>
      <c r="U34" s="11">
        <f t="shared" si="8"/>
        <v>0.20415945961512785</v>
      </c>
      <c r="V34" s="11">
        <f t="shared" si="8"/>
        <v>1.3300013489114946</v>
      </c>
    </row>
    <row r="35" spans="1:22" x14ac:dyDescent="0.25">
      <c r="A35" s="227"/>
      <c r="B35" s="11">
        <f t="shared" ref="B35:M35" si="15">IF(B12="","",(B12/$O$23))</f>
        <v>1.5054343290024579E-2</v>
      </c>
      <c r="C35" s="11">
        <f t="shared" si="15"/>
        <v>2.3928902054640197E-2</v>
      </c>
      <c r="D35" s="11">
        <f t="shared" si="15"/>
        <v>0.13097084184151922</v>
      </c>
      <c r="E35" s="11">
        <f t="shared" si="15"/>
        <v>0.10033712838814125</v>
      </c>
      <c r="F35" s="11">
        <f t="shared" si="15"/>
        <v>0.11583556225720765</v>
      </c>
      <c r="G35" s="11">
        <f t="shared" si="15"/>
        <v>1.4005480802385153</v>
      </c>
      <c r="H35" s="11">
        <f t="shared" si="15"/>
        <v>0.78615444443712557</v>
      </c>
      <c r="I35" s="11" t="str">
        <f t="shared" si="15"/>
        <v/>
      </c>
      <c r="J35" s="11">
        <f t="shared" si="15"/>
        <v>3.1072091637343237E-2</v>
      </c>
      <c r="K35" s="11">
        <f t="shared" si="15"/>
        <v>3.9343382971345459E-2</v>
      </c>
      <c r="L35" s="11">
        <f t="shared" si="15"/>
        <v>1.1292827408431008E-2</v>
      </c>
      <c r="M35" s="11">
        <f t="shared" si="15"/>
        <v>9.7201087675323886E-2</v>
      </c>
      <c r="N35" s="6"/>
      <c r="O35" s="11">
        <f t="shared" si="8"/>
        <v>0.5182369536618614</v>
      </c>
      <c r="P35" s="11" t="str">
        <f t="shared" si="8"/>
        <v/>
      </c>
      <c r="Q35" s="11">
        <f t="shared" si="8"/>
        <v>1.6623711514934473E-2</v>
      </c>
      <c r="R35" s="11">
        <f t="shared" si="8"/>
        <v>1.4271996766656017</v>
      </c>
      <c r="S35" s="11">
        <f t="shared" si="8"/>
        <v>1.6170349526130752</v>
      </c>
      <c r="T35" s="11">
        <f t="shared" si="8"/>
        <v>1.4838844790366692</v>
      </c>
      <c r="U35" s="11">
        <f t="shared" si="8"/>
        <v>1.2410548004902291</v>
      </c>
      <c r="V35" s="11">
        <f t="shared" si="8"/>
        <v>1.4753311622648422</v>
      </c>
    </row>
    <row r="36" spans="1:22" x14ac:dyDescent="0.2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0.58918862319717469</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0.26193051562974273</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ref="O38:V43" si="19">IF(O15="","",(O15/$O$23))</f>
        <v>0.84960272257884073</v>
      </c>
      <c r="P38" s="11" t="str">
        <f t="shared" si="19"/>
        <v/>
      </c>
      <c r="Q38" s="11" t="str">
        <f t="shared" si="19"/>
        <v/>
      </c>
      <c r="R38" s="11" t="str">
        <f t="shared" si="19"/>
        <v/>
      </c>
      <c r="S38" s="11" t="str">
        <f t="shared" si="19"/>
        <v/>
      </c>
      <c r="T38" s="11" t="str">
        <f t="shared" si="19"/>
        <v/>
      </c>
      <c r="U38" s="11" t="str">
        <f t="shared" si="19"/>
        <v/>
      </c>
      <c r="V38" s="11" t="str">
        <f t="shared" si="19"/>
        <v/>
      </c>
    </row>
    <row r="39" spans="1:22" x14ac:dyDescent="0.25">
      <c r="A39" s="227"/>
      <c r="B39" s="11" t="str">
        <f t="shared" ref="B39:M39" si="20">IF(B16="","",(B16/$O$23))</f>
        <v/>
      </c>
      <c r="C39" s="11" t="str">
        <f t="shared" si="20"/>
        <v/>
      </c>
      <c r="D39" s="11" t="str">
        <f t="shared" si="20"/>
        <v/>
      </c>
      <c r="E39" s="11" t="str">
        <f t="shared" si="20"/>
        <v/>
      </c>
      <c r="F39" s="11" t="str">
        <f t="shared" si="20"/>
        <v/>
      </c>
      <c r="G39" s="11" t="str">
        <f t="shared" si="20"/>
        <v/>
      </c>
      <c r="H39" s="11" t="str">
        <f t="shared" si="20"/>
        <v/>
      </c>
      <c r="I39" s="11" t="str">
        <f t="shared" si="20"/>
        <v/>
      </c>
      <c r="J39" s="11" t="str">
        <f t="shared" si="20"/>
        <v/>
      </c>
      <c r="K39" s="11" t="str">
        <f t="shared" si="20"/>
        <v/>
      </c>
      <c r="L39" s="11" t="str">
        <f t="shared" si="20"/>
        <v/>
      </c>
      <c r="M39" s="11" t="str">
        <f t="shared" si="20"/>
        <v/>
      </c>
      <c r="N39" s="6"/>
      <c r="O39" s="11">
        <f t="shared" si="19"/>
        <v>1.4926641093482709</v>
      </c>
      <c r="P39" s="11" t="str">
        <f t="shared" si="19"/>
        <v/>
      </c>
      <c r="Q39" s="11" t="str">
        <f t="shared" si="19"/>
        <v/>
      </c>
      <c r="R39" s="11" t="str">
        <f t="shared" si="19"/>
        <v/>
      </c>
      <c r="S39" s="11" t="str">
        <f t="shared" si="19"/>
        <v/>
      </c>
      <c r="T39" s="11" t="str">
        <f t="shared" si="19"/>
        <v/>
      </c>
      <c r="U39" s="11" t="str">
        <f t="shared" si="19"/>
        <v/>
      </c>
      <c r="V39" s="11" t="str">
        <f t="shared" si="19"/>
        <v/>
      </c>
    </row>
    <row r="40" spans="1:22" x14ac:dyDescent="0.2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si="19"/>
        <v>0.50994884606370117</v>
      </c>
      <c r="P40" s="11" t="str">
        <f t="shared" si="19"/>
        <v/>
      </c>
      <c r="Q40" s="11" t="str">
        <f t="shared" si="19"/>
        <v/>
      </c>
      <c r="R40" s="11" t="str">
        <f t="shared" si="19"/>
        <v/>
      </c>
      <c r="S40" s="11" t="str">
        <f t="shared" si="19"/>
        <v/>
      </c>
      <c r="T40" s="11" t="str">
        <f t="shared" si="19"/>
        <v/>
      </c>
      <c r="U40" s="11" t="str">
        <f t="shared" si="19"/>
        <v/>
      </c>
      <c r="V40" s="11" t="str">
        <f t="shared" si="19"/>
        <v/>
      </c>
    </row>
    <row r="41" spans="1:22" x14ac:dyDescent="0.25">
      <c r="A41" s="227"/>
      <c r="B41" s="11" t="str">
        <f t="shared" ref="B41:M41" si="22">IF(B18="","",(B18/$O$23))</f>
        <v/>
      </c>
      <c r="C41" s="11" t="str">
        <f t="shared" si="22"/>
        <v/>
      </c>
      <c r="D41" s="11" t="str">
        <f t="shared" si="22"/>
        <v/>
      </c>
      <c r="E41" s="11" t="str">
        <f t="shared" si="22"/>
        <v/>
      </c>
      <c r="F41" s="11" t="str">
        <f t="shared" si="22"/>
        <v/>
      </c>
      <c r="G41" s="11" t="str">
        <f t="shared" si="22"/>
        <v/>
      </c>
      <c r="H41" s="11" t="str">
        <f t="shared" si="22"/>
        <v/>
      </c>
      <c r="I41" s="11" t="str">
        <f t="shared" si="22"/>
        <v/>
      </c>
      <c r="J41" s="11" t="str">
        <f t="shared" si="22"/>
        <v/>
      </c>
      <c r="K41" s="11" t="str">
        <f t="shared" si="22"/>
        <v/>
      </c>
      <c r="L41" s="11" t="str">
        <f t="shared" si="22"/>
        <v/>
      </c>
      <c r="M41" s="11" t="str">
        <f t="shared" si="22"/>
        <v/>
      </c>
      <c r="N41" s="6"/>
      <c r="O41" s="11">
        <f t="shared" si="19"/>
        <v>0.4019572366413976</v>
      </c>
      <c r="P41" s="11" t="str">
        <f t="shared" si="19"/>
        <v/>
      </c>
      <c r="Q41" s="11" t="str">
        <f t="shared" si="19"/>
        <v/>
      </c>
      <c r="R41" s="11" t="str">
        <f t="shared" si="19"/>
        <v/>
      </c>
      <c r="S41" s="11" t="str">
        <f t="shared" si="19"/>
        <v/>
      </c>
      <c r="T41" s="11" t="str">
        <f t="shared" si="19"/>
        <v/>
      </c>
      <c r="U41" s="11" t="str">
        <f t="shared" si="19"/>
        <v/>
      </c>
      <c r="V41" s="11" t="str">
        <f t="shared" si="19"/>
        <v/>
      </c>
    </row>
    <row r="42" spans="1:22" x14ac:dyDescent="0.25">
      <c r="A42" s="227"/>
      <c r="B42" s="11" t="str">
        <f t="shared" ref="B42:M42" si="23">IF(B19="","",(B19/$O$23))</f>
        <v/>
      </c>
      <c r="C42" s="11" t="str">
        <f t="shared" si="23"/>
        <v/>
      </c>
      <c r="D42" s="11" t="str">
        <f t="shared" si="23"/>
        <v/>
      </c>
      <c r="E42" s="11" t="str">
        <f t="shared" si="23"/>
        <v/>
      </c>
      <c r="F42" s="11" t="str">
        <f t="shared" si="23"/>
        <v/>
      </c>
      <c r="G42" s="11" t="str">
        <f t="shared" si="23"/>
        <v/>
      </c>
      <c r="H42" s="11" t="str">
        <f t="shared" si="23"/>
        <v/>
      </c>
      <c r="I42" s="11" t="str">
        <f t="shared" si="23"/>
        <v/>
      </c>
      <c r="J42" s="11" t="str">
        <f t="shared" si="23"/>
        <v/>
      </c>
      <c r="K42" s="11" t="str">
        <f t="shared" si="23"/>
        <v/>
      </c>
      <c r="L42" s="11" t="str">
        <f t="shared" si="23"/>
        <v/>
      </c>
      <c r="M42" s="11" t="str">
        <f t="shared" si="23"/>
        <v/>
      </c>
      <c r="N42" s="6"/>
      <c r="O42" s="11">
        <f t="shared" si="19"/>
        <v>0.57506976483120475</v>
      </c>
      <c r="P42" s="11" t="str">
        <f t="shared" si="19"/>
        <v/>
      </c>
      <c r="Q42" s="11" t="str">
        <f t="shared" si="19"/>
        <v/>
      </c>
      <c r="R42" s="11" t="str">
        <f t="shared" si="19"/>
        <v/>
      </c>
      <c r="S42" s="11" t="str">
        <f t="shared" si="19"/>
        <v/>
      </c>
      <c r="T42" s="11" t="str">
        <f t="shared" si="19"/>
        <v/>
      </c>
      <c r="U42" s="11" t="str">
        <f t="shared" si="19"/>
        <v/>
      </c>
      <c r="V42" s="11" t="str">
        <f t="shared" si="19"/>
        <v/>
      </c>
    </row>
    <row r="43" spans="1:22" x14ac:dyDescent="0.25">
      <c r="A43" s="227"/>
      <c r="B43" s="11" t="str">
        <f t="shared" ref="B43:M43" si="24">IF(B20="","",(B20/$O$23))</f>
        <v/>
      </c>
      <c r="C43" s="11" t="str">
        <f t="shared" si="24"/>
        <v/>
      </c>
      <c r="D43" s="11" t="str">
        <f t="shared" si="24"/>
        <v/>
      </c>
      <c r="E43" s="11" t="str">
        <f t="shared" si="24"/>
        <v/>
      </c>
      <c r="F43" s="11" t="str">
        <f t="shared" si="24"/>
        <v/>
      </c>
      <c r="G43" s="11" t="str">
        <f t="shared" si="24"/>
        <v/>
      </c>
      <c r="H43" s="11" t="str">
        <f t="shared" si="24"/>
        <v/>
      </c>
      <c r="I43" s="11" t="str">
        <f t="shared" si="24"/>
        <v/>
      </c>
      <c r="J43" s="11" t="str">
        <f t="shared" si="24"/>
        <v/>
      </c>
      <c r="K43" s="11" t="str">
        <f t="shared" si="24"/>
        <v/>
      </c>
      <c r="L43" s="11" t="str">
        <f t="shared" si="24"/>
        <v/>
      </c>
      <c r="M43" s="11" t="str">
        <f t="shared" si="24"/>
        <v/>
      </c>
      <c r="N43" s="6"/>
      <c r="O43" s="11">
        <f t="shared" si="19"/>
        <v>1.7002024827432916</v>
      </c>
      <c r="P43" s="11" t="str">
        <f t="shared" si="19"/>
        <v/>
      </c>
      <c r="Q43" s="11" t="str">
        <f t="shared" si="19"/>
        <v/>
      </c>
      <c r="R43" s="11" t="str">
        <f t="shared" si="19"/>
        <v/>
      </c>
      <c r="S43" s="11" t="str">
        <f t="shared" si="19"/>
        <v/>
      </c>
      <c r="T43" s="11" t="str">
        <f t="shared" si="19"/>
        <v/>
      </c>
      <c r="U43" s="11" t="str">
        <f t="shared" si="19"/>
        <v/>
      </c>
      <c r="V43" s="11" t="str">
        <f t="shared" si="19"/>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5">B4</f>
        <v>Témoin solvant</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Atenolol-0,01mg/L</v>
      </c>
      <c r="J45" s="7" t="str">
        <f t="shared" si="25"/>
        <v>Atenolol-0,1mg/L</v>
      </c>
      <c r="K45" s="7" t="str">
        <f t="shared" si="25"/>
        <v>Atenolol-1mg/L</v>
      </c>
      <c r="L45" s="7" t="str">
        <f t="shared" si="25"/>
        <v>Atenolol-10mg/L</v>
      </c>
      <c r="M45" s="7" t="str">
        <f t="shared" si="25"/>
        <v>Atenolol-100mg/L</v>
      </c>
      <c r="N45" s="7"/>
      <c r="O45" s="7" t="str">
        <f t="shared" si="25"/>
        <v>Testo -30µg/L</v>
      </c>
      <c r="P45" s="7" t="str">
        <f t="shared" si="25"/>
        <v>Testo 30µg/L + EE2 -64ng/L</v>
      </c>
      <c r="Q45" s="7" t="str">
        <f t="shared" si="25"/>
        <v>Testo 30µg/L + FAD-10mg/L</v>
      </c>
      <c r="R45" s="7" t="str">
        <f t="shared" si="25"/>
        <v>Atenolol-0,01mg/L + Testostérone</v>
      </c>
      <c r="S45" s="7" t="str">
        <f t="shared" si="25"/>
        <v>Atenolol-0,1mg/L + Testostérone</v>
      </c>
      <c r="T45" s="7" t="str">
        <f t="shared" si="25"/>
        <v>Atenolol-1mg/L + Testostérone</v>
      </c>
      <c r="U45" s="7" t="str">
        <f t="shared" si="25"/>
        <v>Atenolol-10mg/L + Testostérone</v>
      </c>
      <c r="V45" s="7" t="str">
        <f t="shared" si="25"/>
        <v>Atenolol-100mg/L + Testostérone</v>
      </c>
    </row>
    <row r="46" spans="1:22" x14ac:dyDescent="0.25">
      <c r="A46" s="8" t="s">
        <v>0</v>
      </c>
      <c r="B46" s="10">
        <f t="shared" ref="B46:H46" si="26">AVERAGE(B28:B43)</f>
        <v>3.7859251383083561E-2</v>
      </c>
      <c r="C46" s="10">
        <f t="shared" si="26"/>
        <v>6.6280526945018556E-2</v>
      </c>
      <c r="D46" s="10">
        <f t="shared" si="26"/>
        <v>5.0453108862308402E-2</v>
      </c>
      <c r="E46" s="10">
        <f t="shared" si="26"/>
        <v>0.14545339203503907</v>
      </c>
      <c r="F46" s="10">
        <f t="shared" si="26"/>
        <v>0.32486777510290954</v>
      </c>
      <c r="G46" s="10">
        <f t="shared" si="26"/>
        <v>1.3072808430602969</v>
      </c>
      <c r="H46" s="10">
        <f t="shared" si="26"/>
        <v>1.7397204307315974</v>
      </c>
      <c r="I46" s="10">
        <f>AVERAGE(I28:I43)</f>
        <v>5.793986049833795E-2</v>
      </c>
      <c r="J46" s="9">
        <f>AVERAGE(J28:J43)</f>
        <v>2.1177060025855482E-2</v>
      </c>
      <c r="K46" s="9">
        <f t="shared" ref="K46:M46" si="27">AVERAGE(K28:K43)</f>
        <v>3.1245220532507698E-2</v>
      </c>
      <c r="L46" s="9">
        <f t="shared" si="27"/>
        <v>3.0943979945513858E-2</v>
      </c>
      <c r="M46" s="9">
        <f t="shared" si="27"/>
        <v>3.9322523101683861E-2</v>
      </c>
      <c r="N46" s="8" t="s">
        <v>0</v>
      </c>
      <c r="O46" s="10">
        <f t="shared" ref="O46:V46" si="28">AVERAGE(O28:O43)</f>
        <v>0.99999999999999978</v>
      </c>
      <c r="P46" s="10">
        <f t="shared" si="28"/>
        <v>1.2476146472562859</v>
      </c>
      <c r="Q46" s="10">
        <f t="shared" si="28"/>
        <v>4.8784038483442864E-2</v>
      </c>
      <c r="R46" s="10">
        <f t="shared" si="28"/>
        <v>0.95677453912344368</v>
      </c>
      <c r="S46" s="10">
        <f t="shared" si="28"/>
        <v>1.1728342575285216</v>
      </c>
      <c r="T46" s="10">
        <f t="shared" si="28"/>
        <v>1.2689411567867999</v>
      </c>
      <c r="U46" s="10">
        <f t="shared" si="28"/>
        <v>1.0392076253349825</v>
      </c>
      <c r="V46" s="10">
        <f t="shared" si="28"/>
        <v>1.05772288576175</v>
      </c>
    </row>
    <row r="47" spans="1:22" x14ac:dyDescent="0.25">
      <c r="A47" s="8" t="s">
        <v>1</v>
      </c>
      <c r="B47" s="8">
        <f t="shared" ref="B47:M47" si="29">STDEV(B28:B43)</f>
        <v>3.7475748334120741E-2</v>
      </c>
      <c r="C47" s="8">
        <f t="shared" si="29"/>
        <v>3.2253363554860075E-2</v>
      </c>
      <c r="D47" s="8">
        <f t="shared" si="29"/>
        <v>3.7792005328591706E-2</v>
      </c>
      <c r="E47" s="8">
        <f t="shared" si="29"/>
        <v>0.2092457239998447</v>
      </c>
      <c r="F47" s="8">
        <f t="shared" si="29"/>
        <v>0.45695222610363173</v>
      </c>
      <c r="G47" s="8">
        <f t="shared" si="29"/>
        <v>0.3859588098242428</v>
      </c>
      <c r="H47" s="8">
        <f t="shared" si="29"/>
        <v>0.8779739954515704</v>
      </c>
      <c r="I47" s="8">
        <f t="shared" si="29"/>
        <v>5.4571403072096285E-2</v>
      </c>
      <c r="J47" s="8">
        <f t="shared" si="29"/>
        <v>1.2836616572691258E-2</v>
      </c>
      <c r="K47" s="8">
        <f t="shared" si="29"/>
        <v>3.1325680492001309E-2</v>
      </c>
      <c r="L47" s="8">
        <f t="shared" si="29"/>
        <v>2.1119063365832552E-2</v>
      </c>
      <c r="M47" s="8">
        <f t="shared" si="29"/>
        <v>2.5310087231630477E-2</v>
      </c>
      <c r="N47" s="8" t="s">
        <v>1</v>
      </c>
      <c r="O47" s="8">
        <f t="shared" ref="O47:V47" si="30">STDEV(O28:O43)</f>
        <v>0.5515464460033328</v>
      </c>
      <c r="P47" s="8">
        <f t="shared" si="30"/>
        <v>0.70350432837752819</v>
      </c>
      <c r="Q47" s="8">
        <f t="shared" si="30"/>
        <v>3.4699032300155169E-2</v>
      </c>
      <c r="R47" s="8">
        <f t="shared" si="30"/>
        <v>0.4746366555981717</v>
      </c>
      <c r="S47" s="8">
        <f t="shared" si="30"/>
        <v>0.43961591859473159</v>
      </c>
      <c r="T47" s="8">
        <f t="shared" si="30"/>
        <v>0.49197888470687084</v>
      </c>
      <c r="U47" s="8">
        <f t="shared" si="30"/>
        <v>0.4014320632211491</v>
      </c>
      <c r="V47" s="8">
        <f t="shared" si="30"/>
        <v>0.47552973657705772</v>
      </c>
    </row>
    <row r="48" spans="1:22" x14ac:dyDescent="0.25">
      <c r="A48" s="8" t="s">
        <v>2</v>
      </c>
      <c r="B48" s="8">
        <f t="shared" ref="B48:M48" si="31" xml:space="preserve"> B47/SQRT(COUNT(B28:B43))</f>
        <v>1.3249677888548618E-2</v>
      </c>
      <c r="C48" s="8">
        <f t="shared" si="31"/>
        <v>1.1403286042858304E-2</v>
      </c>
      <c r="D48" s="8">
        <f t="shared" si="31"/>
        <v>1.3361491621242666E-2</v>
      </c>
      <c r="E48" s="8">
        <f t="shared" si="31"/>
        <v>7.3979535187289447E-2</v>
      </c>
      <c r="F48" s="8">
        <f t="shared" si="31"/>
        <v>0.16155700887808325</v>
      </c>
      <c r="G48" s="8">
        <f t="shared" si="31"/>
        <v>0.13645704584270557</v>
      </c>
      <c r="H48" s="8">
        <f t="shared" si="31"/>
        <v>0.3104106829446262</v>
      </c>
      <c r="I48" s="8">
        <f t="shared" si="31"/>
        <v>2.0626051603518995E-2</v>
      </c>
      <c r="J48" s="8">
        <f t="shared" si="31"/>
        <v>4.5384293130208029E-3</v>
      </c>
      <c r="K48" s="8">
        <f t="shared" si="31"/>
        <v>1.1075300550588635E-2</v>
      </c>
      <c r="L48" s="8">
        <f t="shared" si="31"/>
        <v>7.4667164591442946E-3</v>
      </c>
      <c r="M48" s="8">
        <f t="shared" si="31"/>
        <v>8.9484671569544805E-3</v>
      </c>
      <c r="N48" s="8" t="s">
        <v>2</v>
      </c>
      <c r="O48" s="8">
        <f t="shared" ref="O48:V48" si="32" xml:space="preserve"> O47/SQRT(COUNT(O28:O43))</f>
        <v>0.1378866115008332</v>
      </c>
      <c r="P48" s="8">
        <f t="shared" si="32"/>
        <v>0.26589964273492278</v>
      </c>
      <c r="Q48" s="8">
        <f t="shared" si="32"/>
        <v>1.2267960520025382E-2</v>
      </c>
      <c r="R48" s="8">
        <f t="shared" si="32"/>
        <v>0.16780939888658555</v>
      </c>
      <c r="S48" s="8">
        <f t="shared" si="32"/>
        <v>0.15542769857794397</v>
      </c>
      <c r="T48" s="8">
        <f t="shared" si="32"/>
        <v>0.17394080278841151</v>
      </c>
      <c r="U48" s="8">
        <f t="shared" si="32"/>
        <v>0.14192766704469068</v>
      </c>
      <c r="V48" s="8">
        <f t="shared" si="32"/>
        <v>0.16812515069474507</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row r="52" spans="1:22" x14ac:dyDescent="0.25">
      <c r="A52" s="45" t="str">
        <f t="shared" ref="A52:H52" si="33">A27</f>
        <v>Noms des groupes</v>
      </c>
      <c r="B52" s="46" t="str">
        <f t="shared" si="33"/>
        <v>Témoin solvant</v>
      </c>
      <c r="C52" s="46" t="str">
        <f t="shared" si="33"/>
        <v>EE2-33,8ng/L</v>
      </c>
      <c r="D52" s="46" t="str">
        <f t="shared" si="33"/>
        <v>EE2-50,6ng/L</v>
      </c>
      <c r="E52" s="46" t="str">
        <f t="shared" si="33"/>
        <v>EE2-76ng/L</v>
      </c>
      <c r="F52" s="46" t="str">
        <f t="shared" si="33"/>
        <v>EE2-114ng/L</v>
      </c>
      <c r="G52" s="46" t="str">
        <f t="shared" si="33"/>
        <v>EE2-170,9ng/L</v>
      </c>
      <c r="H52" s="46" t="str">
        <f t="shared" si="33"/>
        <v>EE2-488ng/L</v>
      </c>
      <c r="I52" s="46" t="str">
        <f>I4</f>
        <v>Atenolol-0,01mg/L</v>
      </c>
      <c r="J52" s="46" t="str">
        <f>J4</f>
        <v>Atenolol-0,1mg/L</v>
      </c>
      <c r="K52" s="46" t="str">
        <f t="shared" ref="K52:M52" si="34">K4</f>
        <v>Atenolol-1mg/L</v>
      </c>
      <c r="L52" s="46" t="str">
        <f t="shared" si="34"/>
        <v>Atenolol-10mg/L</v>
      </c>
      <c r="M52" s="46" t="str">
        <f t="shared" si="34"/>
        <v>Atenolol-100mg/L</v>
      </c>
      <c r="N52" s="47"/>
      <c r="O52" s="46" t="str">
        <f>O27</f>
        <v>Testo -30µg/L</v>
      </c>
      <c r="P52" s="46" t="str">
        <f>P27</f>
        <v>Testo 30µg/L + EE2 -64ng/L</v>
      </c>
      <c r="Q52" s="46" t="str">
        <f>Q27</f>
        <v>Testo 30µg/L + FAD-10mg/L</v>
      </c>
      <c r="R52" s="46" t="str">
        <f>R27</f>
        <v>Atenolol-0,01mg/L + Testostérone</v>
      </c>
      <c r="S52" s="46" t="str">
        <f t="shared" ref="S52:V52" si="35">S27</f>
        <v>Atenolol-0,1mg/L + Testostérone</v>
      </c>
      <c r="T52" s="46" t="str">
        <f t="shared" si="35"/>
        <v>Atenolol-1mg/L + Testostérone</v>
      </c>
      <c r="U52" s="46" t="str">
        <f t="shared" si="35"/>
        <v>Atenolol-10mg/L + Testostérone</v>
      </c>
      <c r="V52" s="46" t="str">
        <f t="shared" si="35"/>
        <v>Atenolol-100mg/L + Testostérone</v>
      </c>
    </row>
    <row r="53" spans="1:22" s="3" customFormat="1" x14ac:dyDescent="0.25">
      <c r="A53" s="61" t="s">
        <v>32</v>
      </c>
      <c r="B53" s="142">
        <f t="shared" ref="B53:V53" si="36">B46</f>
        <v>3.7859251383083561E-2</v>
      </c>
      <c r="C53" s="142">
        <f t="shared" si="36"/>
        <v>6.6280526945018556E-2</v>
      </c>
      <c r="D53" s="142">
        <f t="shared" si="36"/>
        <v>5.0453108862308402E-2</v>
      </c>
      <c r="E53" s="142">
        <f t="shared" si="36"/>
        <v>0.14545339203503907</v>
      </c>
      <c r="F53" s="142">
        <f t="shared" si="36"/>
        <v>0.32486777510290954</v>
      </c>
      <c r="G53" s="142">
        <f t="shared" si="36"/>
        <v>1.3072808430602969</v>
      </c>
      <c r="H53" s="142">
        <f t="shared" si="36"/>
        <v>1.7397204307315974</v>
      </c>
      <c r="I53" s="142">
        <f t="shared" si="36"/>
        <v>5.793986049833795E-2</v>
      </c>
      <c r="J53" s="142">
        <f t="shared" si="36"/>
        <v>2.1177060025855482E-2</v>
      </c>
      <c r="K53" s="142">
        <f t="shared" si="36"/>
        <v>3.1245220532507698E-2</v>
      </c>
      <c r="L53" s="142">
        <f t="shared" si="36"/>
        <v>3.0943979945513858E-2</v>
      </c>
      <c r="M53" s="142">
        <f t="shared" si="36"/>
        <v>3.9322523101683861E-2</v>
      </c>
      <c r="N53" s="142"/>
      <c r="O53" s="142">
        <f t="shared" si="36"/>
        <v>0.99999999999999978</v>
      </c>
      <c r="P53" s="142">
        <f t="shared" si="36"/>
        <v>1.2476146472562859</v>
      </c>
      <c r="Q53" s="142">
        <f t="shared" si="36"/>
        <v>4.8784038483442864E-2</v>
      </c>
      <c r="R53" s="142">
        <f t="shared" si="36"/>
        <v>0.95677453912344368</v>
      </c>
      <c r="S53" s="142">
        <f t="shared" si="36"/>
        <v>1.1728342575285216</v>
      </c>
      <c r="T53" s="142">
        <f t="shared" si="36"/>
        <v>1.2689411567867999</v>
      </c>
      <c r="U53" s="142">
        <f t="shared" si="36"/>
        <v>1.0392076253349825</v>
      </c>
      <c r="V53" s="142">
        <f t="shared" si="36"/>
        <v>1.05772288576175</v>
      </c>
    </row>
    <row r="54" spans="1:22" s="3" customFormat="1" x14ac:dyDescent="0.25">
      <c r="A54" s="61" t="s">
        <v>2</v>
      </c>
      <c r="B54" s="142">
        <f t="shared" ref="B54:V54" si="37">B48</f>
        <v>1.3249677888548618E-2</v>
      </c>
      <c r="C54" s="142">
        <f t="shared" si="37"/>
        <v>1.1403286042858304E-2</v>
      </c>
      <c r="D54" s="142">
        <f t="shared" si="37"/>
        <v>1.3361491621242666E-2</v>
      </c>
      <c r="E54" s="142">
        <f t="shared" si="37"/>
        <v>7.3979535187289447E-2</v>
      </c>
      <c r="F54" s="142">
        <f t="shared" si="37"/>
        <v>0.16155700887808325</v>
      </c>
      <c r="G54" s="142">
        <f t="shared" si="37"/>
        <v>0.13645704584270557</v>
      </c>
      <c r="H54" s="142">
        <f t="shared" si="37"/>
        <v>0.3104106829446262</v>
      </c>
      <c r="I54" s="142">
        <f t="shared" si="37"/>
        <v>2.0626051603518995E-2</v>
      </c>
      <c r="J54" s="142">
        <f t="shared" si="37"/>
        <v>4.5384293130208029E-3</v>
      </c>
      <c r="K54" s="142">
        <f t="shared" si="37"/>
        <v>1.1075300550588635E-2</v>
      </c>
      <c r="L54" s="142">
        <f t="shared" si="37"/>
        <v>7.4667164591442946E-3</v>
      </c>
      <c r="M54" s="142">
        <f t="shared" si="37"/>
        <v>8.9484671569544805E-3</v>
      </c>
      <c r="N54" s="142"/>
      <c r="O54" s="142">
        <f t="shared" si="37"/>
        <v>0.1378866115008332</v>
      </c>
      <c r="P54" s="142">
        <f t="shared" si="37"/>
        <v>0.26589964273492278</v>
      </c>
      <c r="Q54" s="142">
        <f t="shared" si="37"/>
        <v>1.2267960520025382E-2</v>
      </c>
      <c r="R54" s="142">
        <f t="shared" si="37"/>
        <v>0.16780939888658555</v>
      </c>
      <c r="S54" s="142">
        <f t="shared" si="37"/>
        <v>0.15542769857794397</v>
      </c>
      <c r="T54" s="142">
        <f t="shared" si="37"/>
        <v>0.17394080278841151</v>
      </c>
      <c r="U54" s="142">
        <f t="shared" si="37"/>
        <v>0.14192766704469068</v>
      </c>
      <c r="V54" s="142">
        <f t="shared" si="37"/>
        <v>0.16812515069474507</v>
      </c>
    </row>
    <row r="55" spans="1:22" s="3" customFormat="1" x14ac:dyDescent="0.25">
      <c r="A55" s="61" t="s">
        <v>79</v>
      </c>
      <c r="B55" s="142">
        <f>(B53*100/$B53)-100</f>
        <v>0</v>
      </c>
      <c r="C55" s="142">
        <f t="shared" ref="C55:V55" si="38">(C53*100/$B53)-100</f>
        <v>75.070886305571037</v>
      </c>
      <c r="D55" s="142">
        <f t="shared" si="38"/>
        <v>33.26494058689201</v>
      </c>
      <c r="E55" s="142">
        <f t="shared" si="38"/>
        <v>284.19510878134059</v>
      </c>
      <c r="F55" s="142">
        <f t="shared" si="38"/>
        <v>758.0934995668415</v>
      </c>
      <c r="G55" s="142">
        <f t="shared" si="38"/>
        <v>3353.0023582146741</v>
      </c>
      <c r="H55" s="142">
        <f t="shared" si="38"/>
        <v>4495.2319900042903</v>
      </c>
      <c r="I55" s="142">
        <f t="shared" si="38"/>
        <v>53.040164244311768</v>
      </c>
      <c r="J55" s="142">
        <f t="shared" si="38"/>
        <v>-44.063711636628106</v>
      </c>
      <c r="K55" s="142">
        <f t="shared" si="38"/>
        <v>-17.47005186037876</v>
      </c>
      <c r="L55" s="142">
        <f t="shared" si="38"/>
        <v>-18.265737395588374</v>
      </c>
      <c r="M55" s="142">
        <f t="shared" si="38"/>
        <v>3.8650307788550862</v>
      </c>
      <c r="N55" s="142"/>
      <c r="O55" s="142">
        <f t="shared" si="38"/>
        <v>2541.3623182386118</v>
      </c>
      <c r="P55" s="142">
        <f t="shared" si="38"/>
        <v>3195.4023169453121</v>
      </c>
      <c r="Q55" s="142">
        <f t="shared" si="38"/>
        <v>28.856320981668318</v>
      </c>
      <c r="R55" s="142">
        <f t="shared" si="38"/>
        <v>2427.1882146907792</v>
      </c>
      <c r="S55" s="142">
        <f t="shared" si="38"/>
        <v>2997.8802133751979</v>
      </c>
      <c r="T55" s="142">
        <f t="shared" si="38"/>
        <v>3251.7333555987684</v>
      </c>
      <c r="U55" s="142">
        <f t="shared" si="38"/>
        <v>2644.9238623860529</v>
      </c>
      <c r="V55" s="142">
        <f t="shared" si="38"/>
        <v>2693.8293735896914</v>
      </c>
    </row>
    <row r="56" spans="1:22" s="3" customFormat="1" x14ac:dyDescent="0.25">
      <c r="A56" s="61" t="s">
        <v>81</v>
      </c>
      <c r="B56" s="142">
        <f>[1]!SWTEST(B28:B43)</f>
        <v>3.4011616744520135E-2</v>
      </c>
      <c r="C56" s="142">
        <f>[1]!SWTEST(C28:C43)</f>
        <v>0.15808001092102497</v>
      </c>
      <c r="D56" s="142">
        <f>[1]!SWTEST(D28:D43)</f>
        <v>0.11324779281111208</v>
      </c>
      <c r="E56" s="142">
        <f>[1]!SWTEST(E28:E43)</f>
        <v>4.9232398909004882E-4</v>
      </c>
      <c r="F56" s="142">
        <f>[1]!SWTEST(F28:F43)</f>
        <v>1.3895537172562422E-3</v>
      </c>
      <c r="G56" s="142">
        <f>[1]!SWTEST(G28:G43)</f>
        <v>0.68616905756985369</v>
      </c>
      <c r="H56" s="142">
        <f>[1]!SWTEST(H28:H43)</f>
        <v>0.1755565917268499</v>
      </c>
      <c r="I56" s="142">
        <f>[1]!SWTEST(I28:I43)</f>
        <v>0.14388590319338179</v>
      </c>
      <c r="J56" s="142">
        <f>[1]!SWTEST(J28:J43)</f>
        <v>0.52131411219406321</v>
      </c>
      <c r="K56" s="142">
        <f>[1]!SWTEST(K28:K43)</f>
        <v>7.7040717634515588E-3</v>
      </c>
      <c r="L56" s="142">
        <f>[1]!SWTEST(L28:L43)</f>
        <v>5.0687428915795918E-2</v>
      </c>
      <c r="M56" s="142">
        <f>[1]!SWTEST(M28:M43)</f>
        <v>6.7249762806917968E-3</v>
      </c>
      <c r="N56" s="142" t="e">
        <f>[1]!SWTEST(N28:N43)</f>
        <v>#VALUE!</v>
      </c>
      <c r="O56" s="142">
        <f>[1]!SWTEST(O28:O43)</f>
        <v>1.891220001485705E-2</v>
      </c>
      <c r="P56" s="142">
        <f>[1]!SWTEST(P28:P43)</f>
        <v>0.41344822145683913</v>
      </c>
      <c r="Q56" s="142">
        <f>[1]!SWTEST(Q28:Q43)</f>
        <v>6.618896930207685E-2</v>
      </c>
      <c r="R56" s="142">
        <f>[1]!SWTEST(R28:R43)</f>
        <v>0.26976042150878998</v>
      </c>
      <c r="S56" s="142">
        <f>[1]!SWTEST(S28:S43)</f>
        <v>0.39296182277596581</v>
      </c>
      <c r="T56" s="142">
        <f>[1]!SWTEST(T28:T43)</f>
        <v>0.21814815640459584</v>
      </c>
      <c r="U56" s="142">
        <f>[1]!SWTEST(U28:U43)</f>
        <v>0.19472502868362951</v>
      </c>
      <c r="V56" s="142">
        <f>[1]!SWTEST(V28:V43)</f>
        <v>0.10257537766382752</v>
      </c>
    </row>
    <row r="57" spans="1:22" s="3" customFormat="1" x14ac:dyDescent="0.25">
      <c r="A57" s="61" t="s">
        <v>85</v>
      </c>
      <c r="B57" s="142" t="str">
        <f>IF(B56&gt;0.05,"Oui","Non")</f>
        <v>Non</v>
      </c>
      <c r="C57" s="142" t="str">
        <f t="shared" ref="C57:V57" si="39">IF(C56&gt;0.05,"Oui","Non")</f>
        <v>Oui</v>
      </c>
      <c r="D57" s="142" t="str">
        <f t="shared" si="39"/>
        <v>Oui</v>
      </c>
      <c r="E57" s="142" t="str">
        <f t="shared" si="39"/>
        <v>Non</v>
      </c>
      <c r="F57" s="142" t="str">
        <f t="shared" si="39"/>
        <v>Non</v>
      </c>
      <c r="G57" s="142" t="str">
        <f t="shared" si="39"/>
        <v>Oui</v>
      </c>
      <c r="H57" s="142" t="str">
        <f t="shared" si="39"/>
        <v>Oui</v>
      </c>
      <c r="I57" s="142" t="str">
        <f t="shared" si="39"/>
        <v>Oui</v>
      </c>
      <c r="J57" s="142" t="str">
        <f t="shared" si="39"/>
        <v>Oui</v>
      </c>
      <c r="K57" s="142" t="str">
        <f t="shared" si="39"/>
        <v>Non</v>
      </c>
      <c r="L57" s="142" t="str">
        <f t="shared" si="39"/>
        <v>Oui</v>
      </c>
      <c r="M57" s="142" t="str">
        <f t="shared" si="39"/>
        <v>Non</v>
      </c>
      <c r="N57" s="142"/>
      <c r="O57" s="142" t="str">
        <f t="shared" si="39"/>
        <v>Non</v>
      </c>
      <c r="P57" s="142" t="str">
        <f t="shared" si="39"/>
        <v>Oui</v>
      </c>
      <c r="Q57" s="142" t="str">
        <f t="shared" si="39"/>
        <v>Oui</v>
      </c>
      <c r="R57" s="142" t="str">
        <f t="shared" si="39"/>
        <v>Oui</v>
      </c>
      <c r="S57" s="142" t="str">
        <f t="shared" si="39"/>
        <v>Oui</v>
      </c>
      <c r="T57" s="142" t="str">
        <f t="shared" si="39"/>
        <v>Oui</v>
      </c>
      <c r="U57" s="142" t="str">
        <f t="shared" si="39"/>
        <v>Oui</v>
      </c>
      <c r="V57" s="142" t="str">
        <f t="shared" si="39"/>
        <v>Oui</v>
      </c>
    </row>
    <row r="58" spans="1:22" s="3" customFormat="1" x14ac:dyDescent="0.2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25">
      <c r="A59" s="61" t="s">
        <v>82</v>
      </c>
      <c r="B59" s="151"/>
      <c r="C59" s="151" t="str">
        <f t="shared" ref="C59:O59" si="40">IF($B57="Non",IF(C57="Non","MW",IF(C57="Oui","MW","")),IF($B57="Oui",IF(C57="Oui","T-Test Welch",IF(C57="Non","MW",""))))</f>
        <v>MW</v>
      </c>
      <c r="D59" s="151" t="str">
        <f t="shared" si="40"/>
        <v>MW</v>
      </c>
      <c r="E59" s="151" t="str">
        <f t="shared" si="40"/>
        <v>MW</v>
      </c>
      <c r="F59" s="151" t="str">
        <f t="shared" si="40"/>
        <v>MW</v>
      </c>
      <c r="G59" s="151" t="str">
        <f t="shared" si="40"/>
        <v>MW</v>
      </c>
      <c r="H59" s="151" t="str">
        <f t="shared" si="40"/>
        <v>MW</v>
      </c>
      <c r="I59" s="151" t="str">
        <f t="shared" si="40"/>
        <v>MW</v>
      </c>
      <c r="J59" s="151" t="str">
        <f t="shared" si="40"/>
        <v>MW</v>
      </c>
      <c r="K59" s="151" t="str">
        <f t="shared" si="40"/>
        <v>MW</v>
      </c>
      <c r="L59" s="151" t="str">
        <f t="shared" si="40"/>
        <v>MW</v>
      </c>
      <c r="M59" s="151" t="str">
        <f t="shared" si="40"/>
        <v>MW</v>
      </c>
      <c r="N59" s="151"/>
      <c r="O59" s="151" t="str">
        <f t="shared" si="40"/>
        <v>MW</v>
      </c>
      <c r="P59" s="151" t="str">
        <f t="shared" ref="P59:V59" si="41">IF($O57="Non",IF(P57="Non","MW",IF(P57="Oui","MW","")),IF($O57="Oui",IF(P57="Oui","T-Test Welch",IF(P57="Non","MW",""))))</f>
        <v>MW</v>
      </c>
      <c r="Q59" s="151" t="str">
        <f t="shared" si="41"/>
        <v>MW</v>
      </c>
      <c r="R59" s="151" t="str">
        <f t="shared" si="41"/>
        <v>MW</v>
      </c>
      <c r="S59" s="151" t="str">
        <f t="shared" si="41"/>
        <v>MW</v>
      </c>
      <c r="T59" s="151" t="str">
        <f t="shared" si="41"/>
        <v>MW</v>
      </c>
      <c r="U59" s="151" t="str">
        <f t="shared" si="41"/>
        <v>MW</v>
      </c>
      <c r="V59" s="151" t="str">
        <f t="shared" si="41"/>
        <v>MW</v>
      </c>
    </row>
    <row r="60" spans="1:22" s="3" customFormat="1" x14ac:dyDescent="0.25">
      <c r="A60" s="61" t="s">
        <v>83</v>
      </c>
      <c r="B60" s="152"/>
      <c r="C60" s="152">
        <f>IF(C59="MW",[1]!MTEST($B28:$B43,C28:C43,2), IF(C59="T-Test Welch",_xlfn.T.TEST($B28:$B43,C28:C43,2,3),""))</f>
        <v>0.20757844233562395</v>
      </c>
      <c r="D60" s="152">
        <f>IF(D59="MW",[1]!MTEST($B28:$B43,D28:D43,2), IF(D59="T-Test Welch",_xlfn.T.TEST($B28:$B43,D28:D43,2,3),""))</f>
        <v>0.24799581483148536</v>
      </c>
      <c r="E60" s="152">
        <f>IF(E59="MW",[1]!MTEST($B28:$B43,E28:E43,2), IF(E59="T-Test Welch",_xlfn.T.TEST($B28:$B43,E28:E43,2,3),""))</f>
        <v>9.2891940883705226E-2</v>
      </c>
      <c r="F60" s="152">
        <f>IF(F59="MW",[1]!MTEST($B28:$B43,F28:F43,2), IF(F59="T-Test Welch",_xlfn.T.TEST($B28:$B43,F28:F43,2,3),""))</f>
        <v>2.08625823327655E-2</v>
      </c>
      <c r="G60" s="152">
        <f>IF(G59="MW",[1]!MTEST($B28:$B43,G28:G43,2), IF(G59="T-Test Welch",_xlfn.T.TEST($B28:$B43,G28:G43,2,3),""))</f>
        <v>7.7753044694039986E-4</v>
      </c>
      <c r="H60" s="152">
        <f>IF(H59="MW",[1]!MTEST($B28:$B43,H28:H43,2), IF(H59="T-Test Welch",_xlfn.T.TEST($B28:$B43,H28:H43,2,3),""))</f>
        <v>7.7753044694039986E-4</v>
      </c>
      <c r="I60" s="152">
        <f>IF(I59="MW",[1]!MTEST($B28:$B43,I28:I43,2), IF(I59="T-Test Welch",_xlfn.T.TEST($B28:$B43,I28:I43,2,3),""))</f>
        <v>0.29762146789111621</v>
      </c>
      <c r="J60" s="152">
        <f>IF(J59="MW",[1]!MTEST($B28:$B43,J28:J43,2), IF(J59="T-Test Welch",_xlfn.T.TEST($B28:$B43,J28:J43,2,3),""))</f>
        <v>0.52861212525568768</v>
      </c>
      <c r="K60" s="152">
        <f>IF(K59="MW",[1]!MTEST($B28:$B43,K28:K43,2), IF(K59="T-Test Welch",_xlfn.T.TEST($B28:$B43,K28:K43,2,3),""))</f>
        <v>0.59951017856000322</v>
      </c>
      <c r="L60" s="152">
        <f>IF(L59="MW",[1]!MTEST($B28:$B43,L28:L43,2), IF(L59="T-Test Welch",_xlfn.T.TEST($B28:$B43,L28:L43,2,3),""))</f>
        <v>0.91635914027348853</v>
      </c>
      <c r="M60" s="152">
        <f>IF(M59="MW",[1]!MTEST($B28:$B43,M28:M43,2), IF(M59="T-Test Welch",_xlfn.T.TEST($B28:$B43,M28:M43,2,3),""))</f>
        <v>0.34456236532569795</v>
      </c>
      <c r="N60" s="152" t="str">
        <f>IF(N59="MW",[1]!MTEST($B28:$B43,N28:N43,2), IF(N59="T-Test Welch",_xlfn.T.TEST($B28:$B43,N28:N43,2,3),""))</f>
        <v/>
      </c>
      <c r="O60" s="152">
        <f>IF(O59="MW",[1]!MTEST($B28:$B43,O28:O43,2), IF(O59="T-Test Welch",_xlfn.T.TEST($B28:$B43,O28:O43,2,3),""))</f>
        <v>8.884941911446731E-5</v>
      </c>
      <c r="P60" s="152">
        <f>IF(P59="MW",[1]!MTEST($B28:$B43,P28:P43,2), IF(P59="T-Test Welch",_xlfn.T.TEST($B28:$B43,P28:P43,2,3),""))</f>
        <v>1.5087255494406593E-2</v>
      </c>
      <c r="Q60" s="152">
        <f>IF(Q59="MW",[1]!MTEST($B28:$B43,Q28:Q43,2), IF(Q59="T-Test Welch",_xlfn.T.TEST($B28:$B43,Q28:Q43,2,3),""))</f>
        <v>0.1721672360665969</v>
      </c>
      <c r="R60" s="152">
        <f>IF(R59="MW",[1]!MTEST($B28:$B43,R28:R43,2), IF(R59="T-Test Welch",_xlfn.T.TEST($B28:$B43,R28:R43,2,3),""))</f>
        <v>7.7753044694039986E-4</v>
      </c>
      <c r="S60" s="152">
        <f>IF(S59="MW",[1]!MTEST($B28:$B43,S28:S43,2), IF(S59="T-Test Welch",_xlfn.T.TEST($B28:$B43,S28:S43,2,3),""))</f>
        <v>7.7753044694039986E-4</v>
      </c>
      <c r="T60" s="152">
        <f>IF(T59="MW",[1]!MTEST($B28:$B43,T28:T43,2), IF(T59="T-Test Welch",_xlfn.T.TEST($B28:$B43,T28:T43,2,3),""))</f>
        <v>7.7753044694039986E-4</v>
      </c>
      <c r="U60" s="152">
        <f>IF(U59="MW",[1]!MTEST($B28:$B43,U28:U43,2), IF(U59="T-Test Welch",_xlfn.T.TEST($B28:$B43,U28:U43,2,3),""))</f>
        <v>7.7753044694039986E-4</v>
      </c>
      <c r="V60" s="152">
        <f>IF(V59="MW",[1]!MTEST($B28:$B43,V28:V43,2), IF(V59="T-Test Welch",_xlfn.T.TEST($B28:$B43,V28:V43,2,3),""))</f>
        <v>7.7753044694039986E-4</v>
      </c>
    </row>
    <row r="61" spans="1:22" s="3" customFormat="1" ht="15.75" thickBot="1" x14ac:dyDescent="0.3">
      <c r="A61" s="62" t="s">
        <v>84</v>
      </c>
      <c r="B61" s="143"/>
      <c r="C61" s="143" t="str">
        <f t="shared" ref="C61:O61" si="42">IF(C60&gt;0.05,"NS",IF(C60&gt;0.01,"*",IF(C60&gt;0.001,"**","***")))</f>
        <v>NS</v>
      </c>
      <c r="D61" s="143" t="str">
        <f t="shared" si="42"/>
        <v>NS</v>
      </c>
      <c r="E61" s="143" t="str">
        <f t="shared" si="42"/>
        <v>NS</v>
      </c>
      <c r="F61" s="143" t="str">
        <f t="shared" si="42"/>
        <v>*</v>
      </c>
      <c r="G61" s="143" t="str">
        <f t="shared" si="42"/>
        <v>***</v>
      </c>
      <c r="H61" s="143" t="str">
        <f t="shared" si="42"/>
        <v>***</v>
      </c>
      <c r="I61" s="143" t="str">
        <f t="shared" si="42"/>
        <v>NS</v>
      </c>
      <c r="J61" s="143" t="str">
        <f t="shared" si="42"/>
        <v>NS</v>
      </c>
      <c r="K61" s="143" t="str">
        <f t="shared" si="42"/>
        <v>NS</v>
      </c>
      <c r="L61" s="143" t="str">
        <f t="shared" si="42"/>
        <v>NS</v>
      </c>
      <c r="M61" s="143" t="str">
        <f t="shared" si="42"/>
        <v>NS</v>
      </c>
      <c r="N61" s="143"/>
      <c r="O61" s="143" t="str">
        <f t="shared" si="42"/>
        <v>***</v>
      </c>
      <c r="P61" s="143" t="str">
        <f>IF(P60&gt;0.05,"NS",IF(P60&gt;0.01,"*",IF(P60&gt;0.001,"**","***")))</f>
        <v>*</v>
      </c>
      <c r="Q61" s="143" t="str">
        <f t="shared" ref="Q61:V61" si="43">IF(Q60&gt;0.05,"NS",IF(Q60&gt;0.01,"*",IF(Q60&gt;0.001,"**","***")))</f>
        <v>NS</v>
      </c>
      <c r="R61" s="143" t="str">
        <f t="shared" si="43"/>
        <v>***</v>
      </c>
      <c r="S61" s="143" t="str">
        <f t="shared" si="43"/>
        <v>***</v>
      </c>
      <c r="T61" s="143" t="str">
        <f t="shared" si="43"/>
        <v>***</v>
      </c>
      <c r="U61" s="143" t="str">
        <f t="shared" si="43"/>
        <v>***</v>
      </c>
      <c r="V61" s="143" t="str">
        <f t="shared" si="43"/>
        <v>***</v>
      </c>
    </row>
    <row r="63" spans="1:22" x14ac:dyDescent="0.25">
      <c r="A63" s="2" t="s">
        <v>39</v>
      </c>
    </row>
    <row r="64" spans="1:22" x14ac:dyDescent="0.25">
      <c r="A64" s="1" t="s">
        <v>23</v>
      </c>
      <c r="B64" s="1">
        <f>B46+(3*B47)</f>
        <v>0.15028649638544578</v>
      </c>
    </row>
    <row r="65" spans="1:22" x14ac:dyDescent="0.25">
      <c r="A65" s="1" t="s">
        <v>24</v>
      </c>
      <c r="B65" s="1">
        <f>B46+(10*B47)</f>
        <v>0.41261673472429095</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2"/>
      <c r="C73" s="12"/>
      <c r="D73" s="12"/>
      <c r="E73" s="12"/>
      <c r="F73" s="12"/>
      <c r="N73" s="12"/>
      <c r="O73" s="12"/>
      <c r="P73" s="12"/>
      <c r="Q73" s="12"/>
      <c r="R73" s="12"/>
      <c r="S73" s="12"/>
      <c r="T73" s="12"/>
      <c r="U73" s="12"/>
      <c r="V73" s="12"/>
    </row>
    <row r="74" spans="1:22" ht="16.5" x14ac:dyDescent="0.2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3"/>
  <sheetViews>
    <sheetView showGridLines="0" tabSelected="1" topLeftCell="O50" zoomScale="70" zoomScaleNormal="70" workbookViewId="0">
      <selection activeCell="H86" sqref="H86"/>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Atenolol-0,01mg/L</v>
      </c>
      <c r="J4" s="35" t="str">
        <f>'R1'!J4</f>
        <v>Atenolol-0,1mg/L</v>
      </c>
      <c r="K4" s="35" t="str">
        <f>'R1'!K4</f>
        <v>Atenolol-1mg/L</v>
      </c>
      <c r="L4" s="35" t="str">
        <f>'R1'!L4</f>
        <v>Atenolol-10mg/L</v>
      </c>
      <c r="M4" s="35" t="str">
        <f>'R1'!M4</f>
        <v>Atenolol-100mg/L</v>
      </c>
      <c r="O4" s="35" t="str">
        <f>'R1'!O4</f>
        <v>Testo -30µg/L</v>
      </c>
      <c r="P4" s="35" t="str">
        <f>'R1'!P4</f>
        <v>Testo 30µg/L + EE2 -64ng/L</v>
      </c>
      <c r="Q4" s="35" t="str">
        <f>'R1'!Q4</f>
        <v>Testo 30µg/L + FAD-10mg/L</v>
      </c>
      <c r="R4" s="35" t="str">
        <f>'R1'!R4</f>
        <v>Atenolol-0,01mg/L + Testostérone</v>
      </c>
      <c r="S4" s="35" t="str">
        <f>'R1'!S4</f>
        <v>Atenolol-0,1mg/L + Testostérone</v>
      </c>
      <c r="T4" s="35" t="str">
        <f>'R1'!T4</f>
        <v>Atenolol-1mg/L + Testostérone</v>
      </c>
      <c r="U4" s="35" t="str">
        <f>'R1'!U4</f>
        <v>Atenolol-10mg/L + Testostérone</v>
      </c>
      <c r="V4" s="35" t="str">
        <f>'R1'!V4</f>
        <v>Atenolol-100mg/L + Testostérone</v>
      </c>
    </row>
    <row r="5" spans="1:22" s="1" customFormat="1" x14ac:dyDescent="0.25">
      <c r="A5" s="34"/>
      <c r="B5" s="35"/>
      <c r="C5" s="195" t="s">
        <v>163</v>
      </c>
      <c r="D5" s="35"/>
      <c r="E5" s="35"/>
      <c r="F5" s="35"/>
      <c r="G5" s="35"/>
      <c r="H5" s="35"/>
      <c r="I5" s="35"/>
      <c r="J5" s="35"/>
      <c r="K5" s="35"/>
      <c r="L5" s="35"/>
      <c r="M5" s="35"/>
      <c r="O5" s="35"/>
      <c r="P5" s="35"/>
      <c r="Q5" s="35"/>
      <c r="R5" s="35"/>
      <c r="S5" s="35"/>
      <c r="T5" s="35"/>
      <c r="U5" s="35"/>
      <c r="V5" s="35"/>
    </row>
    <row r="6" spans="1:22" s="1" customFormat="1" x14ac:dyDescent="0.25">
      <c r="A6" s="71" t="s">
        <v>4</v>
      </c>
      <c r="B6" s="53">
        <f>'R1'!B28</f>
        <v>0.15575017270628483</v>
      </c>
      <c r="C6" s="53">
        <f>'R1'!C28</f>
        <v>0.10657149177881878</v>
      </c>
      <c r="D6" s="53">
        <f>'R1'!D28</f>
        <v>9.4917254385702785E-3</v>
      </c>
      <c r="E6" s="53">
        <f>'R1'!E28</f>
        <v>0.12748153572153431</v>
      </c>
      <c r="F6" s="53">
        <f>'R1'!F28</f>
        <v>0.56359948093043</v>
      </c>
      <c r="G6" s="53">
        <f>'R1'!G28</f>
        <v>0.72557739323207937</v>
      </c>
      <c r="H6" s="53">
        <f>'R1'!H28</f>
        <v>2.2989101342160789</v>
      </c>
      <c r="I6" s="53">
        <f>'R1'!I28</f>
        <v>2.3157839667245619E-2</v>
      </c>
      <c r="J6" s="53">
        <f>'R1'!J28</f>
        <v>8.2470495629153248E-2</v>
      </c>
      <c r="K6" s="53">
        <f>'R1'!K28</f>
        <v>0.18833459409248396</v>
      </c>
      <c r="L6" s="53">
        <f>'R1'!L28</f>
        <v>5.2093382237363837E-2</v>
      </c>
      <c r="M6" s="53">
        <f>'R1'!M28</f>
        <v>0.17041327133550169</v>
      </c>
      <c r="N6"/>
      <c r="O6" s="53">
        <f>'R1'!O28</f>
        <v>0.88379544881124106</v>
      </c>
      <c r="P6" s="53">
        <f>'R1'!P28</f>
        <v>0.35900844030645279</v>
      </c>
      <c r="Q6" s="53">
        <f>'R1'!Q28</f>
        <v>9.500040995448851E-2</v>
      </c>
      <c r="R6" s="53">
        <f>'R1'!R28</f>
        <v>1.2294723696433212</v>
      </c>
      <c r="S6" s="53">
        <f>'R1'!S28</f>
        <v>1.0469198905781461</v>
      </c>
      <c r="T6" s="53">
        <f>'R1'!T28</f>
        <v>0.4954158075771054</v>
      </c>
      <c r="U6" s="53">
        <f>'R1'!U28</f>
        <v>0.12180723225250764</v>
      </c>
      <c r="V6" s="53">
        <f>'R1'!V28</f>
        <v>1.113719039283392</v>
      </c>
    </row>
    <row r="7" spans="1:22" s="1" customFormat="1" x14ac:dyDescent="0.25">
      <c r="A7" s="228" t="s">
        <v>34</v>
      </c>
      <c r="B7" s="53">
        <f>'R1'!B29</f>
        <v>0.13675104581055922</v>
      </c>
      <c r="C7" s="53">
        <f>'R1'!C29</f>
        <v>0.20472454631868184</v>
      </c>
      <c r="D7" s="53">
        <f>'R1'!D29</f>
        <v>4.9004791317333603E-2</v>
      </c>
      <c r="E7" s="53">
        <f>'R1'!E29</f>
        <v>0.14381304027578917</v>
      </c>
      <c r="F7" s="53">
        <f>'R1'!F29</f>
        <v>0.67222556929081967</v>
      </c>
      <c r="G7" s="53">
        <f>'R1'!G29</f>
        <v>1.3853573457279684</v>
      </c>
      <c r="H7" s="53">
        <f>'R1'!H29</f>
        <v>1.5107415132145736</v>
      </c>
      <c r="I7" s="53">
        <f>'R1'!I29</f>
        <v>0.14889684577321383</v>
      </c>
      <c r="J7" s="53">
        <f>'R1'!J29</f>
        <v>8.9644817591794157E-2</v>
      </c>
      <c r="K7" s="53">
        <f>'R1'!K29</f>
        <v>0.13692171716522056</v>
      </c>
      <c r="L7" s="53">
        <f>'R1'!L29</f>
        <v>0.13038959289110463</v>
      </c>
      <c r="M7" s="53">
        <f>'R1'!M29</f>
        <v>0.28239641541102767</v>
      </c>
      <c r="N7"/>
      <c r="O7" s="53">
        <f>'R1'!O29</f>
        <v>0.60014495191340744</v>
      </c>
      <c r="P7" s="53">
        <f>'R1'!P29</f>
        <v>1.5458633733177025</v>
      </c>
      <c r="Q7" s="53">
        <f>'R1'!Q29</f>
        <v>0.22662498242895773</v>
      </c>
      <c r="R7" s="53">
        <f>'R1'!R29</f>
        <v>1.0660481629514864</v>
      </c>
      <c r="S7" s="53">
        <f>'R1'!S29</f>
        <v>0.85754330841587145</v>
      </c>
      <c r="T7" s="53">
        <f>'R1'!T29</f>
        <v>0.64845345808736288</v>
      </c>
      <c r="U7" s="53">
        <f>'R1'!U29</f>
        <v>0.51389643199055846</v>
      </c>
      <c r="V7" s="53">
        <f>'R1'!V29</f>
        <v>0.56814999035188418</v>
      </c>
    </row>
    <row r="8" spans="1:22" s="1" customFormat="1" x14ac:dyDescent="0.25">
      <c r="A8" s="229"/>
      <c r="B8" s="53">
        <f>'R1'!B30</f>
        <v>0.24680967311436253</v>
      </c>
      <c r="C8" s="53">
        <f>'R1'!C30</f>
        <v>0.12369562151119978</v>
      </c>
      <c r="D8" s="53">
        <f>'R1'!D30</f>
        <v>8.6498920961439671E-2</v>
      </c>
      <c r="E8" s="53">
        <f>'R1'!E30</f>
        <v>0.25163985931772531</v>
      </c>
      <c r="F8" s="53">
        <f>'R1'!F30</f>
        <v>2.2464012855788646</v>
      </c>
      <c r="G8" s="53">
        <f>'R1'!G30</f>
        <v>4.9225916612606516E-2</v>
      </c>
      <c r="H8" s="53">
        <f>'R1'!H30</f>
        <v>1.9822136558086738</v>
      </c>
      <c r="I8" s="53">
        <f>'R1'!I30</f>
        <v>2.9636187930586238E-2</v>
      </c>
      <c r="J8" s="53">
        <f>'R1'!J30</f>
        <v>1.8471436813156519E-2</v>
      </c>
      <c r="K8" s="53">
        <f>'R1'!K30</f>
        <v>1.0102519182578812E-2</v>
      </c>
      <c r="L8" s="53">
        <f>'R1'!L30</f>
        <v>8.7648668682166198E-2</v>
      </c>
      <c r="M8" s="53">
        <f>'R1'!M30</f>
        <v>0.10993757937221263</v>
      </c>
      <c r="N8"/>
      <c r="O8" s="53">
        <f>'R1'!O30</f>
        <v>0.83168639055529214</v>
      </c>
      <c r="P8" s="53">
        <f>'R1'!P30</f>
        <v>1.4034446681784443</v>
      </c>
      <c r="Q8" s="53">
        <f>'R1'!Q30</f>
        <v>0.14970307067607272</v>
      </c>
      <c r="R8" s="53">
        <f>'R1'!R30</f>
        <v>0.78245154587912069</v>
      </c>
      <c r="S8" s="53">
        <f>'R1'!S30</f>
        <v>0.93100268872592196</v>
      </c>
      <c r="T8" s="53">
        <f>'R1'!T30</f>
        <v>6.2548352301375301E-2</v>
      </c>
      <c r="U8" s="53">
        <f>'R1'!U30</f>
        <v>2.9081506027936861E-2</v>
      </c>
      <c r="V8" s="53">
        <f>'R1'!V30</f>
        <v>0.8570156183333022</v>
      </c>
    </row>
    <row r="9" spans="1:22" s="1" customFormat="1" x14ac:dyDescent="0.25">
      <c r="A9" s="229"/>
      <c r="B9" s="53">
        <f>'R1'!B31</f>
        <v>2.7599395568798965E-2</v>
      </c>
      <c r="C9" s="53">
        <f>'R1'!C31</f>
        <v>4.9140580935275839E-2</v>
      </c>
      <c r="D9" s="53">
        <f>'R1'!D31</f>
        <v>0.14578012107148455</v>
      </c>
      <c r="E9" s="53">
        <f>'R1'!E31</f>
        <v>0.5484658941142756</v>
      </c>
      <c r="F9" s="53">
        <f>'R1'!F31</f>
        <v>0.23554858196218481</v>
      </c>
      <c r="G9" s="53">
        <f>'R1'!G31</f>
        <v>1.31331140245789</v>
      </c>
      <c r="H9" s="53">
        <f>'R1'!H31</f>
        <v>2.5773903479775386</v>
      </c>
      <c r="I9" s="53">
        <f>'R1'!I31</f>
        <v>7.765608925906814E-2</v>
      </c>
      <c r="J9" s="53">
        <f>'R1'!J31</f>
        <v>0.12281984076428791</v>
      </c>
      <c r="K9" s="53">
        <f>'R1'!K31</f>
        <v>0.22433223494252474</v>
      </c>
      <c r="L9" s="53">
        <f>'R1'!L31</f>
        <v>4.1745964194902958E-2</v>
      </c>
      <c r="M9" s="53">
        <f>'R1'!M31</f>
        <v>0.15135798069107059</v>
      </c>
      <c r="N9"/>
      <c r="O9" s="53">
        <f>'R1'!O31</f>
        <v>1.3550205124369141</v>
      </c>
      <c r="P9" s="53">
        <f>'R1'!P31</f>
        <v>1.6188781152992773</v>
      </c>
      <c r="Q9" s="53">
        <f>'R1'!Q31</f>
        <v>0.13290221989649914</v>
      </c>
      <c r="R9" s="53">
        <f>'R1'!R31</f>
        <v>0.39100682775283235</v>
      </c>
      <c r="S9" s="53">
        <f>'R1'!S31</f>
        <v>0.2602827439221177</v>
      </c>
      <c r="T9" s="53">
        <f>'R1'!T31</f>
        <v>0.81837277911539574</v>
      </c>
      <c r="U9" s="53">
        <f>'R1'!U31</f>
        <v>1.126682276135708</v>
      </c>
      <c r="V9" s="53">
        <f>'R1'!V31</f>
        <v>1.0373540933563938</v>
      </c>
    </row>
    <row r="10" spans="1:22" s="1" customFormat="1" x14ac:dyDescent="0.25">
      <c r="A10" s="229"/>
      <c r="B10" s="53">
        <f>'R1'!B32</f>
        <v>0.15185639503032189</v>
      </c>
      <c r="C10" s="53">
        <f>'R1'!C32</f>
        <v>7.8480793177212755E-3</v>
      </c>
      <c r="D10" s="53">
        <f>'R1'!D32</f>
        <v>3.2874168193291461E-2</v>
      </c>
      <c r="E10" s="53">
        <f>'R1'!E32</f>
        <v>0.24090168277225638</v>
      </c>
      <c r="F10" s="53">
        <f>'R1'!F32</f>
        <v>0.33942317565621505</v>
      </c>
      <c r="G10" s="53">
        <f>'R1'!G32</f>
        <v>1.7454794062421171</v>
      </c>
      <c r="H10" s="53">
        <f>'R1'!H32</f>
        <v>1.6476945824169644</v>
      </c>
      <c r="I10" s="53">
        <f>'R1'!I32</f>
        <v>0.20319535589644239</v>
      </c>
      <c r="J10" s="53">
        <f>'R1'!J32</f>
        <v>2.8895158654690441E-2</v>
      </c>
      <c r="K10" s="53">
        <f>'R1'!K32</f>
        <v>3.2045415502134814E-2</v>
      </c>
      <c r="L10" s="53">
        <f>'R1'!L32</f>
        <v>8.3070025479012904E-2</v>
      </c>
      <c r="M10" s="53">
        <f>'R1'!M32</f>
        <v>7.7754920846438952E-2</v>
      </c>
      <c r="N10"/>
      <c r="O10" s="53">
        <f>'R1'!O32</f>
        <v>1.4096692933330306</v>
      </c>
      <c r="P10" s="53">
        <f>'R1'!P32</f>
        <v>1.2182043748140845</v>
      </c>
      <c r="Q10" s="53">
        <f>'R1'!Q32</f>
        <v>0.19267072617368533</v>
      </c>
      <c r="R10" s="53">
        <f>'R1'!R32</f>
        <v>0.58858165619102343</v>
      </c>
      <c r="S10" s="53">
        <f>'R1'!S32</f>
        <v>1.0491810783980238</v>
      </c>
      <c r="T10" s="53">
        <f>'R1'!T32</f>
        <v>0.92262691932563157</v>
      </c>
      <c r="U10" s="53">
        <f>'R1'!U32</f>
        <v>0.92405738197519272</v>
      </c>
      <c r="V10" s="53">
        <f>'R1'!V32</f>
        <v>0.95102236595741296</v>
      </c>
    </row>
    <row r="11" spans="1:22" s="1" customFormat="1" x14ac:dyDescent="0.25">
      <c r="A11" s="229"/>
      <c r="B11" s="53">
        <f>'R1'!B33</f>
        <v>0.14544781024041947</v>
      </c>
      <c r="C11" s="53">
        <f>'R1'!C33</f>
        <v>4.4402478364263774E-2</v>
      </c>
      <c r="D11" s="53">
        <f>'R1'!D33</f>
        <v>9.837988964322987E-2</v>
      </c>
      <c r="E11" s="53">
        <f>'R1'!E33</f>
        <v>0.17476954346707066</v>
      </c>
      <c r="F11" s="53">
        <f>'R1'!F33</f>
        <v>0.16633325010098493</v>
      </c>
      <c r="G11" s="53">
        <f>'R1'!G33</f>
        <v>1.2285630048433478</v>
      </c>
      <c r="H11" s="53">
        <f>'R1'!H33</f>
        <v>1.824449166621553</v>
      </c>
      <c r="I11" s="53">
        <f>'R1'!I33</f>
        <v>0.13343665793408832</v>
      </c>
      <c r="J11" s="53">
        <f>'R1'!J33</f>
        <v>0.19027914709988156</v>
      </c>
      <c r="K11" s="53">
        <f>'R1'!K33</f>
        <v>0.12310958757138026</v>
      </c>
      <c r="L11" s="53">
        <f>'R1'!L33</f>
        <v>0.10793675880141694</v>
      </c>
      <c r="M11" s="53">
        <f>'R1'!M33</f>
        <v>0.14430263036616808</v>
      </c>
      <c r="N11"/>
      <c r="O11" s="53">
        <f>'R1'!O33</f>
        <v>1.6219837318288965</v>
      </c>
      <c r="P11" s="53" t="str">
        <f>'R1'!P33</f>
        <v/>
      </c>
      <c r="Q11" s="53">
        <f>'R1'!Q33</f>
        <v>0.12156363107628328</v>
      </c>
      <c r="R11" s="53">
        <f>'R1'!R33</f>
        <v>1.1428072932663489</v>
      </c>
      <c r="S11" s="53">
        <f>'R1'!S33</f>
        <v>0.45366979147485614</v>
      </c>
      <c r="T11" s="53">
        <f>'R1'!T33</f>
        <v>0.76249358648239007</v>
      </c>
      <c r="U11" s="53">
        <f>'R1'!U33</f>
        <v>1.0629594682167636</v>
      </c>
      <c r="V11" s="53">
        <f>'R1'!V33</f>
        <v>0.96792101017743115</v>
      </c>
    </row>
    <row r="12" spans="1:22" s="1" customFormat="1" x14ac:dyDescent="0.25">
      <c r="A12" s="229"/>
      <c r="B12" s="53">
        <f>'R1'!B34</f>
        <v>6.0785786450134216E-2</v>
      </c>
      <c r="C12" s="53">
        <f>'R1'!C34</f>
        <v>8.5272973256332721E-2</v>
      </c>
      <c r="D12" s="53">
        <f>'R1'!D34</f>
        <v>7.3407680593127592E-2</v>
      </c>
      <c r="E12" s="53">
        <f>'R1'!E34</f>
        <v>0.16090477982407386</v>
      </c>
      <c r="F12" s="53">
        <f>'R1'!F34</f>
        <v>0.73538808931371358</v>
      </c>
      <c r="G12" s="53">
        <f>'R1'!G34</f>
        <v>1.4409065114531467</v>
      </c>
      <c r="H12" s="53">
        <f>'R1'!H34</f>
        <v>1.6846466955509205</v>
      </c>
      <c r="I12" s="53">
        <f>'R1'!I34</f>
        <v>9.6794639286977582E-2</v>
      </c>
      <c r="J12" s="53">
        <f>'R1'!J34</f>
        <v>5.4100846948486978E-2</v>
      </c>
      <c r="K12" s="53">
        <f>'R1'!K34</f>
        <v>0.12640373158279095</v>
      </c>
      <c r="L12" s="53">
        <f>'R1'!L34</f>
        <v>2.6557563221047176E-2</v>
      </c>
      <c r="M12" s="53">
        <f>'R1'!M34</f>
        <v>5.4466897554652373E-2</v>
      </c>
      <c r="N12"/>
      <c r="O12" s="53">
        <f>'R1'!O34</f>
        <v>0.86260687004823577</v>
      </c>
      <c r="P12" s="53">
        <f>'R1'!P34</f>
        <v>1.636756770217594</v>
      </c>
      <c r="Q12" s="53">
        <f>'R1'!Q34</f>
        <v>0.10128555907487004</v>
      </c>
      <c r="R12" s="53">
        <f>'R1'!R34</f>
        <v>0.90494800387590846</v>
      </c>
      <c r="S12" s="53">
        <f>'R1'!S34</f>
        <v>0.58290621076037796</v>
      </c>
      <c r="T12" s="53">
        <f>'R1'!T34</f>
        <v>0.69091138344422909</v>
      </c>
      <c r="U12" s="53">
        <f>'R1'!U34</f>
        <v>1.1182841865765052</v>
      </c>
      <c r="V12" s="53">
        <f>'R1'!V34</f>
        <v>0.38828750569443865</v>
      </c>
    </row>
    <row r="13" spans="1:22" s="1" customFormat="1" x14ac:dyDescent="0.25">
      <c r="A13" s="229"/>
      <c r="B13" s="53">
        <f>'R1'!B35</f>
        <v>0.2284932316372823</v>
      </c>
      <c r="C13" s="53">
        <f>'R1'!C35</f>
        <v>0.14882064578883339</v>
      </c>
      <c r="D13" s="53">
        <f>'R1'!D35</f>
        <v>7.9003396339843657E-2</v>
      </c>
      <c r="E13" s="53">
        <f>'R1'!E35</f>
        <v>0.10623918094775371</v>
      </c>
      <c r="F13" s="53">
        <f>'R1'!F35</f>
        <v>0.71388287573822828</v>
      </c>
      <c r="G13" s="53">
        <f>'R1'!G35</f>
        <v>1.4162723230422034</v>
      </c>
      <c r="H13" s="53">
        <f>'R1'!H35</f>
        <v>2.1581868268219391</v>
      </c>
      <c r="I13" s="53">
        <f>'R1'!I35</f>
        <v>0.18676055572303424</v>
      </c>
      <c r="J13" s="53">
        <f>'R1'!J35</f>
        <v>2.0050043029081352E-2</v>
      </c>
      <c r="K13" s="53">
        <f>'R1'!K35</f>
        <v>0.18135668952827327</v>
      </c>
      <c r="L13" s="53">
        <f>'R1'!L35</f>
        <v>1.7115305483508609E-2</v>
      </c>
      <c r="M13" s="53">
        <f>'R1'!M35</f>
        <v>0.18033619109985416</v>
      </c>
      <c r="N13"/>
      <c r="O13" s="53">
        <f>'R1'!O35</f>
        <v>1.0359494286579478</v>
      </c>
      <c r="P13" s="53">
        <f>'R1'!P35</f>
        <v>1.100899481965657</v>
      </c>
      <c r="Q13" s="53" t="str">
        <f>'R1'!Q35</f>
        <v/>
      </c>
      <c r="R13" s="53">
        <f>'R1'!R35</f>
        <v>1.5259233738627946</v>
      </c>
      <c r="S13" s="53">
        <f>'R1'!S35</f>
        <v>0.59969242366829256</v>
      </c>
      <c r="T13" s="53">
        <f>'R1'!T35</f>
        <v>0.92531706945540004</v>
      </c>
      <c r="U13" s="53" t="str">
        <f>'R1'!U35</f>
        <v/>
      </c>
      <c r="V13" s="53">
        <f>'R1'!V35</f>
        <v>1.1072350850266501</v>
      </c>
    </row>
    <row r="14" spans="1:22" s="1" customFormat="1" x14ac:dyDescent="0.2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0.41505384026233733</v>
      </c>
      <c r="P14" s="53" t="str">
        <f>'R1'!P36</f>
        <v/>
      </c>
      <c r="Q14" s="53" t="str">
        <f>'R1'!Q36</f>
        <v/>
      </c>
      <c r="R14" s="53" t="str">
        <f>'R1'!R36</f>
        <v/>
      </c>
      <c r="S14" s="53" t="str">
        <f>'R1'!S36</f>
        <v/>
      </c>
      <c r="T14" s="53" t="str">
        <f>'R1'!T36</f>
        <v/>
      </c>
      <c r="U14" s="53" t="str">
        <f>'R1'!U36</f>
        <v/>
      </c>
      <c r="V14" s="53" t="str">
        <f>'R1'!V36</f>
        <v/>
      </c>
    </row>
    <row r="15" spans="1:22" s="1" customFormat="1" x14ac:dyDescent="0.2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1.0936465722807056</v>
      </c>
      <c r="P15" s="53" t="str">
        <f>'R1'!P37</f>
        <v/>
      </c>
      <c r="Q15" s="53" t="str">
        <f>'R1'!Q37</f>
        <v/>
      </c>
      <c r="R15" s="53" t="str">
        <f>'R1'!R37</f>
        <v/>
      </c>
      <c r="S15" s="53" t="str">
        <f>'R1'!S37</f>
        <v/>
      </c>
      <c r="T15" s="53" t="str">
        <f>'R1'!T37</f>
        <v/>
      </c>
      <c r="U15" s="53" t="str">
        <f>'R1'!U37</f>
        <v/>
      </c>
      <c r="V15" s="53" t="str">
        <f>'R1'!V37</f>
        <v/>
      </c>
    </row>
    <row r="16" spans="1:22" s="1" customFormat="1" x14ac:dyDescent="0.2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0.64924052917943409</v>
      </c>
      <c r="P16" s="53" t="str">
        <f>'R1'!P38</f>
        <v/>
      </c>
      <c r="Q16" s="53" t="str">
        <f>'R1'!Q38</f>
        <v/>
      </c>
      <c r="R16" s="53" t="str">
        <f>'R1'!R38</f>
        <v/>
      </c>
      <c r="S16" s="53" t="str">
        <f>'R1'!S38</f>
        <v/>
      </c>
      <c r="T16" s="53" t="str">
        <f>'R1'!T38</f>
        <v/>
      </c>
      <c r="U16" s="53" t="str">
        <f>'R1'!U38</f>
        <v/>
      </c>
      <c r="V16" s="53" t="str">
        <f>'R1'!V38</f>
        <v/>
      </c>
    </row>
    <row r="17" spans="1:22" s="1" customFormat="1" x14ac:dyDescent="0.2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1.6741623459288986</v>
      </c>
      <c r="P17" s="53" t="str">
        <f>'R1'!P39</f>
        <v/>
      </c>
      <c r="Q17" s="53" t="str">
        <f>'R1'!Q39</f>
        <v/>
      </c>
      <c r="R17" s="53" t="str">
        <f>'R1'!R39</f>
        <v/>
      </c>
      <c r="S17" s="53" t="str">
        <f>'R1'!S39</f>
        <v/>
      </c>
      <c r="T17" s="53" t="str">
        <f>'R1'!T39</f>
        <v/>
      </c>
      <c r="U17" s="53" t="str">
        <f>'R1'!U39</f>
        <v/>
      </c>
      <c r="V17" s="53" t="str">
        <f>'R1'!V39</f>
        <v/>
      </c>
    </row>
    <row r="18" spans="1:22" s="1" customFormat="1" x14ac:dyDescent="0.2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0.90455740109493932</v>
      </c>
      <c r="P18" s="53" t="str">
        <f>'R1'!P40</f>
        <v/>
      </c>
      <c r="Q18" s="53" t="str">
        <f>'R1'!Q40</f>
        <v/>
      </c>
      <c r="R18" s="53" t="str">
        <f>'R1'!R40</f>
        <v/>
      </c>
      <c r="S18" s="53" t="str">
        <f>'R1'!S40</f>
        <v/>
      </c>
      <c r="T18" s="53" t="str">
        <f>'R1'!T40</f>
        <v/>
      </c>
      <c r="U18" s="53" t="str">
        <f>'R1'!U40</f>
        <v/>
      </c>
      <c r="V18" s="53" t="str">
        <f>'R1'!V40</f>
        <v/>
      </c>
    </row>
    <row r="19" spans="1:22" s="1" customFormat="1" x14ac:dyDescent="0.2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1.0305277582434031</v>
      </c>
      <c r="P19" s="53" t="str">
        <f>'R1'!P41</f>
        <v/>
      </c>
      <c r="Q19" s="53" t="str">
        <f>'R1'!Q41</f>
        <v/>
      </c>
      <c r="R19" s="53" t="str">
        <f>'R1'!R41</f>
        <v/>
      </c>
      <c r="S19" s="53" t="str">
        <f>'R1'!S41</f>
        <v/>
      </c>
      <c r="T19" s="53" t="str">
        <f>'R1'!T41</f>
        <v/>
      </c>
      <c r="U19" s="53" t="str">
        <f>'R1'!U41</f>
        <v/>
      </c>
      <c r="V19" s="53" t="str">
        <f>'R1'!V41</f>
        <v/>
      </c>
    </row>
    <row r="20" spans="1:22" s="1" customFormat="1" x14ac:dyDescent="0.2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0.54780563266923532</v>
      </c>
      <c r="P20" s="53" t="str">
        <f>'R1'!P42</f>
        <v/>
      </c>
      <c r="Q20" s="53" t="str">
        <f>'R1'!Q42</f>
        <v/>
      </c>
      <c r="R20" s="53" t="str">
        <f>'R1'!R42</f>
        <v/>
      </c>
      <c r="S20" s="53" t="str">
        <f>'R1'!S42</f>
        <v/>
      </c>
      <c r="T20" s="53" t="str">
        <f>'R1'!T42</f>
        <v/>
      </c>
      <c r="U20" s="53" t="str">
        <f>'R1'!U42</f>
        <v/>
      </c>
      <c r="V20" s="53" t="str">
        <f>'R1'!V42</f>
        <v/>
      </c>
    </row>
    <row r="21" spans="1:22" s="1" customFormat="1" x14ac:dyDescent="0.2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1.0841492927560803</v>
      </c>
      <c r="P21" s="53" t="str">
        <f>'R1'!P43</f>
        <v/>
      </c>
      <c r="Q21" s="53" t="str">
        <f>'R1'!Q43</f>
        <v/>
      </c>
      <c r="R21" s="53" t="str">
        <f>'R1'!R43</f>
        <v/>
      </c>
      <c r="S21" s="53" t="str">
        <f>'R1'!S43</f>
        <v/>
      </c>
      <c r="T21" s="53" t="str">
        <f>'R1'!T43</f>
        <v/>
      </c>
      <c r="U21" s="53" t="str">
        <f>'R1'!U43</f>
        <v/>
      </c>
      <c r="V21" s="53" t="str">
        <f>'R1'!V43</f>
        <v/>
      </c>
    </row>
    <row r="22" spans="1:22" x14ac:dyDescent="0.25">
      <c r="A22" s="39" t="s">
        <v>5</v>
      </c>
      <c r="B22" s="54">
        <f>'R2'!B28</f>
        <v>9.5005332474508292E-2</v>
      </c>
      <c r="C22" s="54">
        <f>'R2'!C28</f>
        <v>0.129563858930175</v>
      </c>
      <c r="D22" s="54">
        <f>'R2'!D28</f>
        <v>0.37368632841131788</v>
      </c>
      <c r="E22" s="54">
        <f>'R2'!E28</f>
        <v>0.50426701478990887</v>
      </c>
      <c r="F22" s="54">
        <f>'R2'!F28</f>
        <v>1.8198840543505796</v>
      </c>
      <c r="G22" s="54">
        <f>'R2'!G28</f>
        <v>2.7942843294574722</v>
      </c>
      <c r="H22" s="54">
        <f>'R2'!H28</f>
        <v>3.2057190162121865</v>
      </c>
      <c r="I22" s="54">
        <f>'R2'!I28</f>
        <v>0.15515567054082052</v>
      </c>
      <c r="J22" s="54">
        <f>'R2'!J28</f>
        <v>4.3058928587017299E-2</v>
      </c>
      <c r="K22" s="54">
        <f>'R2'!K28</f>
        <v>0.31107716326571255</v>
      </c>
      <c r="L22" s="54">
        <f>'R2'!L28</f>
        <v>0.10057691297547168</v>
      </c>
      <c r="M22" s="54">
        <f>'R2'!M28</f>
        <v>0.36998448100190034</v>
      </c>
      <c r="O22" s="54">
        <f>'R2'!O28</f>
        <v>1.6641399301415638</v>
      </c>
      <c r="P22" s="54">
        <f>'R2'!P28</f>
        <v>1.818122055023641</v>
      </c>
      <c r="Q22" s="54">
        <f>'R2'!Q28</f>
        <v>1.7188898131071578E-2</v>
      </c>
      <c r="R22" s="54">
        <f>'R2'!R28</f>
        <v>0.45995073872279346</v>
      </c>
      <c r="S22" s="54">
        <f>'R2'!S28</f>
        <v>0.40805003764331926</v>
      </c>
      <c r="T22" s="54">
        <f>'R2'!T28</f>
        <v>0.71261178938856884</v>
      </c>
      <c r="U22" s="54">
        <f>'R2'!U28</f>
        <v>0.62862819732095854</v>
      </c>
      <c r="V22" s="54">
        <f>'R2'!V28</f>
        <v>1.6993900017132817</v>
      </c>
    </row>
    <row r="23" spans="1:22" x14ac:dyDescent="0.25">
      <c r="A23" s="228" t="s">
        <v>34</v>
      </c>
      <c r="B23" s="54">
        <f>'R2'!B29</f>
        <v>8.718046747041143E-2</v>
      </c>
      <c r="C23" s="54">
        <f>'R2'!C29</f>
        <v>0.24931802232525344</v>
      </c>
      <c r="D23" s="54">
        <f>'R2'!D29</f>
        <v>0.36098607033906011</v>
      </c>
      <c r="E23" s="54">
        <f>'R2'!E29</f>
        <v>0.62764282557052953</v>
      </c>
      <c r="F23" s="54">
        <f>'R2'!F29</f>
        <v>1.2280536609982238</v>
      </c>
      <c r="G23" s="54">
        <f>'R2'!G29</f>
        <v>1.4048311619279141</v>
      </c>
      <c r="H23" s="54">
        <f>'R2'!H29</f>
        <v>2.2396660268237971</v>
      </c>
      <c r="I23" s="54">
        <f>'R2'!I29</f>
        <v>3.3273885354668839E-2</v>
      </c>
      <c r="J23" s="54">
        <f>'R2'!J29</f>
        <v>5.317533718747363E-3</v>
      </c>
      <c r="K23" s="54">
        <f>'R2'!K29</f>
        <v>0.14818739301727687</v>
      </c>
      <c r="L23" s="54">
        <f>'R2'!L29</f>
        <v>0.21539309206619103</v>
      </c>
      <c r="M23" s="54">
        <f>'R2'!M29</f>
        <v>0.1095613966880581</v>
      </c>
      <c r="O23" s="54">
        <f>'R2'!O29</f>
        <v>0.45145041663138685</v>
      </c>
      <c r="P23" s="54">
        <f>'R2'!P29</f>
        <v>2.3429626970959605</v>
      </c>
      <c r="Q23" s="54">
        <f>'R2'!Q29</f>
        <v>2.2607282179243071E-2</v>
      </c>
      <c r="R23" s="54">
        <f>'R2'!R29</f>
        <v>0.98416458799374806</v>
      </c>
      <c r="S23" s="54">
        <f>'R2'!S29</f>
        <v>1.7603186481949276</v>
      </c>
      <c r="T23" s="54">
        <f>'R2'!T29</f>
        <v>1.7800496149470391</v>
      </c>
      <c r="U23" s="54">
        <f>'R2'!U29</f>
        <v>1.5376858631551316</v>
      </c>
      <c r="V23" s="54">
        <f>'R2'!V29</f>
        <v>0.8612589318441094</v>
      </c>
    </row>
    <row r="24" spans="1:22" x14ac:dyDescent="0.25">
      <c r="A24" s="229"/>
      <c r="B24" s="54">
        <f>'R2'!B30</f>
        <v>0.18001943882095656</v>
      </c>
      <c r="C24" s="54">
        <f>'R2'!C30</f>
        <v>5.1765033374415521E-2</v>
      </c>
      <c r="D24" s="54">
        <f>'R2'!D30</f>
        <v>6.5601938691238482E-2</v>
      </c>
      <c r="E24" s="54">
        <f>'R2'!E30</f>
        <v>0.30689155443483507</v>
      </c>
      <c r="F24" s="54">
        <f>'R2'!F30</f>
        <v>6.1114979471248443E-2</v>
      </c>
      <c r="G24" s="54">
        <f>'R2'!G30</f>
        <v>2.0159851187174862</v>
      </c>
      <c r="H24" s="54">
        <f>'R2'!H30</f>
        <v>3.8019024619582416</v>
      </c>
      <c r="I24" s="54">
        <f>'R2'!I30</f>
        <v>0.19297710535307785</v>
      </c>
      <c r="J24" s="54" t="str">
        <f>'R2'!J30</f>
        <v/>
      </c>
      <c r="K24" s="54">
        <f>'R2'!K30</f>
        <v>8.1065255669885553E-2</v>
      </c>
      <c r="L24" s="54">
        <f>'R2'!L30</f>
        <v>0.10670573156647539</v>
      </c>
      <c r="M24" s="54">
        <f>'R2'!M30</f>
        <v>0.14512298372177501</v>
      </c>
      <c r="O24" s="54">
        <f>'R2'!O30</f>
        <v>0.84551523494167447</v>
      </c>
      <c r="P24" s="54">
        <f>'R2'!P30</f>
        <v>1.7090378564816358</v>
      </c>
      <c r="Q24" s="54">
        <f>'R2'!Q30</f>
        <v>5.9795280874784078E-2</v>
      </c>
      <c r="R24" s="54">
        <f>'R2'!R30</f>
        <v>2.0412285964918984</v>
      </c>
      <c r="S24" s="54">
        <f>'R2'!S30</f>
        <v>0.86092300419919432</v>
      </c>
      <c r="T24" s="54">
        <f>'R2'!T30</f>
        <v>1.764121345933769</v>
      </c>
      <c r="U24" s="54">
        <f>'R2'!U30</f>
        <v>1.3913823702994861</v>
      </c>
      <c r="V24" s="54">
        <f>'R2'!V30</f>
        <v>1.7296220490366532</v>
      </c>
    </row>
    <row r="25" spans="1:22" x14ac:dyDescent="0.25">
      <c r="A25" s="229"/>
      <c r="B25" s="54">
        <f>'R2'!B31</f>
        <v>6.1964843596506732E-2</v>
      </c>
      <c r="C25" s="54">
        <f>'R2'!C31</f>
        <v>0.12480356330146797</v>
      </c>
      <c r="D25" s="54">
        <f>'R2'!D31</f>
        <v>0.12190611732912385</v>
      </c>
      <c r="E25" s="54">
        <f>'R2'!E31</f>
        <v>5.1068365701949135E-2</v>
      </c>
      <c r="F25" s="54">
        <f>'R2'!F31</f>
        <v>0.9522558639237283</v>
      </c>
      <c r="G25" s="54">
        <f>'R2'!G31</f>
        <v>1.1343892377053364</v>
      </c>
      <c r="H25" s="54">
        <f>'R2'!H31</f>
        <v>2.6203692970446029</v>
      </c>
      <c r="I25" s="54">
        <f>'R2'!I31</f>
        <v>2.903216852305621E-2</v>
      </c>
      <c r="J25" s="54">
        <f>'R2'!J31</f>
        <v>2.6347388681886623E-2</v>
      </c>
      <c r="K25" s="54">
        <f>'R2'!K31</f>
        <v>4.1711536169933297E-2</v>
      </c>
      <c r="L25" s="54">
        <f>'R2'!L31</f>
        <v>0.14111474340677363</v>
      </c>
      <c r="M25" s="54">
        <f>'R2'!M31</f>
        <v>1.9539351126205765E-2</v>
      </c>
      <c r="O25" s="54">
        <f>'R2'!O31</f>
        <v>0.74567148785312742</v>
      </c>
      <c r="P25" s="54">
        <f>'R2'!P31</f>
        <v>1.9802248725427922</v>
      </c>
      <c r="Q25" s="54">
        <f>'R2'!Q31</f>
        <v>1.3440227354421375E-2</v>
      </c>
      <c r="R25" s="54">
        <f>'R2'!R31</f>
        <v>0.87950643827435848</v>
      </c>
      <c r="S25" s="54">
        <f>'R2'!S31</f>
        <v>1.3182148159827261</v>
      </c>
      <c r="T25" s="54">
        <f>'R2'!T31</f>
        <v>1.5270020513917484</v>
      </c>
      <c r="U25" s="54">
        <f>'R2'!U31</f>
        <v>1.6108184400163692</v>
      </c>
      <c r="V25" s="54" t="str">
        <f>'R2'!V31</f>
        <v/>
      </c>
    </row>
    <row r="26" spans="1:22" x14ac:dyDescent="0.25">
      <c r="A26" s="229"/>
      <c r="B26" s="54">
        <f>'R2'!B32</f>
        <v>4.1777729203610885E-2</v>
      </c>
      <c r="C26" s="54">
        <f>'R2'!C32</f>
        <v>0.10117945367380889</v>
      </c>
      <c r="D26" s="54">
        <f>'R2'!D32</f>
        <v>4.9445795957436423E-2</v>
      </c>
      <c r="E26" s="54">
        <f>'R2'!E32</f>
        <v>0.43849963353444843</v>
      </c>
      <c r="F26" s="54">
        <f>'R2'!F32</f>
        <v>0.18604052364735324</v>
      </c>
      <c r="G26" s="54">
        <f>'R2'!G32</f>
        <v>1.0474979545525516</v>
      </c>
      <c r="H26" s="54">
        <f>'R2'!H32</f>
        <v>4.1964758540726255</v>
      </c>
      <c r="I26" s="54">
        <f>'R2'!I32</f>
        <v>8.4049785101287994E-2</v>
      </c>
      <c r="J26" s="54">
        <f>'R2'!J32</f>
        <v>1.4166109606443168E-2</v>
      </c>
      <c r="K26" s="54">
        <f>'R2'!K32</f>
        <v>0.15930654203600744</v>
      </c>
      <c r="L26" s="54">
        <f>'R2'!L32</f>
        <v>6.2647264158943367E-2</v>
      </c>
      <c r="M26" s="54">
        <f>'R2'!M32</f>
        <v>5.7789319798571687E-2</v>
      </c>
      <c r="O26" s="54">
        <f>'R2'!O32</f>
        <v>0.30668273022097192</v>
      </c>
      <c r="P26" s="54">
        <f>'R2'!P32</f>
        <v>2.4763988885162469</v>
      </c>
      <c r="Q26" s="54">
        <f>'R2'!Q32</f>
        <v>1.6774451301104786E-2</v>
      </c>
      <c r="R26" s="54">
        <f>'R2'!R32</f>
        <v>0.62611054088283458</v>
      </c>
      <c r="S26" s="54">
        <f>'R2'!S32</f>
        <v>1.2832208722317677</v>
      </c>
      <c r="T26" s="54">
        <f>'R2'!T32</f>
        <v>1.4274558928149466</v>
      </c>
      <c r="U26" s="54">
        <f>'R2'!U32</f>
        <v>0.72195853388764231</v>
      </c>
      <c r="V26" s="54">
        <f>'R2'!V32</f>
        <v>2.3630871402127145</v>
      </c>
    </row>
    <row r="27" spans="1:22" x14ac:dyDescent="0.25">
      <c r="A27" s="229"/>
      <c r="B27" s="54">
        <f>'R2'!B33</f>
        <v>1.7693790097744137E-2</v>
      </c>
      <c r="C27" s="54">
        <f>'R2'!C33</f>
        <v>9.7512503679969817E-2</v>
      </c>
      <c r="D27" s="54">
        <f>'R2'!D33</f>
        <v>0.49500751382978175</v>
      </c>
      <c r="E27" s="54">
        <f>'R2'!E33</f>
        <v>0.13107181147489774</v>
      </c>
      <c r="F27" s="54">
        <f>'R2'!F33</f>
        <v>0.3927625684216125</v>
      </c>
      <c r="G27" s="54">
        <f>'R2'!G33</f>
        <v>1.4930735993751505</v>
      </c>
      <c r="H27" s="54">
        <f>'R2'!H33</f>
        <v>3.2473887715313587</v>
      </c>
      <c r="I27" s="54">
        <f>'R2'!I33</f>
        <v>7.1555069605189842E-2</v>
      </c>
      <c r="J27" s="54">
        <f>'R2'!J33</f>
        <v>3.3705620812536911E-2</v>
      </c>
      <c r="K27" s="54">
        <f>'R2'!K33</f>
        <v>0.13624655393357157</v>
      </c>
      <c r="L27" s="54">
        <f>'R2'!L33</f>
        <v>0.28812362828877991</v>
      </c>
      <c r="M27" s="54">
        <f>'R2'!M33</f>
        <v>0.34662498342906362</v>
      </c>
      <c r="O27" s="54">
        <f>'R2'!O33</f>
        <v>0.79679396055721208</v>
      </c>
      <c r="P27" s="54">
        <f>'R2'!P33</f>
        <v>1.5412830983577575</v>
      </c>
      <c r="Q27" s="54">
        <f>'R2'!Q33</f>
        <v>1.7086206882935735E-2</v>
      </c>
      <c r="R27" s="54">
        <f>'R2'!R33</f>
        <v>0.8032677513068015</v>
      </c>
      <c r="S27" s="54">
        <f>'R2'!S33</f>
        <v>0.1522931219840549</v>
      </c>
      <c r="T27" s="54">
        <f>'R2'!T33</f>
        <v>0.50483113631513221</v>
      </c>
      <c r="U27" s="54">
        <f>'R2'!U33</f>
        <v>1.0764605683642825</v>
      </c>
      <c r="V27" s="54">
        <f>'R2'!V33</f>
        <v>0.66072493521940445</v>
      </c>
    </row>
    <row r="28" spans="1:22" x14ac:dyDescent="0.25">
      <c r="A28" s="229"/>
      <c r="B28" s="54">
        <f>'R2'!B34</f>
        <v>5.9377312287281846E-2</v>
      </c>
      <c r="C28" s="54">
        <f>'R2'!C34</f>
        <v>4.1067214620834673E-2</v>
      </c>
      <c r="D28" s="54">
        <f>'R2'!D34</f>
        <v>0.10836351888634257</v>
      </c>
      <c r="E28" s="54">
        <f>'R2'!E34</f>
        <v>8.2750816850316364E-2</v>
      </c>
      <c r="F28" s="54">
        <f>'R2'!F34</f>
        <v>0.50534307179687565</v>
      </c>
      <c r="G28" s="54">
        <f>'R2'!G34</f>
        <v>1.136590096045158</v>
      </c>
      <c r="H28" s="54">
        <f>'R2'!H34</f>
        <v>3.0069332520440546</v>
      </c>
      <c r="I28" s="54">
        <f>'R2'!I34</f>
        <v>6.3507373397032038E-2</v>
      </c>
      <c r="J28" s="54">
        <f>'R2'!J34</f>
        <v>7.5740838515955269E-2</v>
      </c>
      <c r="K28" s="54">
        <f>'R2'!K34</f>
        <v>0.34676089125395421</v>
      </c>
      <c r="L28" s="54">
        <f>'R2'!L34</f>
        <v>0.31867599546798897</v>
      </c>
      <c r="M28" s="54">
        <f>'R2'!M34</f>
        <v>1.3441908193245112E-2</v>
      </c>
      <c r="O28" s="54">
        <f>'R2'!O34</f>
        <v>1.6476512214404939</v>
      </c>
      <c r="P28" s="54">
        <f>'R2'!P34</f>
        <v>1.7208951338638181</v>
      </c>
      <c r="Q28" s="54">
        <f>'R2'!Q34</f>
        <v>0.17040840242683669</v>
      </c>
      <c r="R28" s="54">
        <f>'R2'!R34</f>
        <v>1.4697000147721722</v>
      </c>
      <c r="S28" s="54">
        <f>'R2'!S34</f>
        <v>2.336605604584705</v>
      </c>
      <c r="T28" s="54">
        <f>'R2'!T34</f>
        <v>2.1597360577194289</v>
      </c>
      <c r="U28" s="54">
        <f>'R2'!U34</f>
        <v>1.8240280424105837</v>
      </c>
      <c r="V28" s="54">
        <f>'R2'!V34</f>
        <v>1.3894061040424932</v>
      </c>
    </row>
    <row r="29" spans="1:22" x14ac:dyDescent="0.25">
      <c r="A29" s="229"/>
      <c r="B29" s="54">
        <f>'R2'!B35</f>
        <v>0.31453889084316788</v>
      </c>
      <c r="C29" s="54">
        <f>'R2'!C35</f>
        <v>8.970556762332613E-3</v>
      </c>
      <c r="D29" s="54" t="str">
        <f>'R2'!D35</f>
        <v/>
      </c>
      <c r="E29" s="54">
        <f>'R2'!E35</f>
        <v>0.10450831494424513</v>
      </c>
      <c r="F29" s="54" t="str">
        <f>'R2'!F35</f>
        <v/>
      </c>
      <c r="G29" s="54">
        <f>'R2'!G35</f>
        <v>1.5099176854275245</v>
      </c>
      <c r="H29" s="54" t="str">
        <f>'R2'!H35</f>
        <v/>
      </c>
      <c r="I29" s="54">
        <f>'R2'!I35</f>
        <v>0.13050768994967452</v>
      </c>
      <c r="J29" s="54">
        <f>'R2'!J35</f>
        <v>3.1671965915704876E-2</v>
      </c>
      <c r="K29" s="54">
        <f>'R2'!K35</f>
        <v>2.1705552170280949E-2</v>
      </c>
      <c r="L29" s="54">
        <f>'R2'!L35</f>
        <v>0.21443901593386114</v>
      </c>
      <c r="M29" s="54">
        <f>'R2'!M35</f>
        <v>3.9935449812852734E-2</v>
      </c>
      <c r="O29" s="54" t="str">
        <f>'R2'!O35</f>
        <v/>
      </c>
      <c r="P29" s="54" t="str">
        <f>'R2'!P35</f>
        <v/>
      </c>
      <c r="Q29" s="54">
        <f>'R2'!Q35</f>
        <v>2.0594597747735741E-2</v>
      </c>
      <c r="R29" s="54">
        <f>'R2'!R35</f>
        <v>1.4105456937688392</v>
      </c>
      <c r="S29" s="54">
        <f>'R2'!S35</f>
        <v>0.92515994168567162</v>
      </c>
      <c r="T29" s="54">
        <f>'R2'!T35</f>
        <v>1.8128357368830488</v>
      </c>
      <c r="U29" s="54">
        <f>'R2'!U35</f>
        <v>0.56861368703959292</v>
      </c>
      <c r="V29" s="54">
        <f>'R2'!V35</f>
        <v>2.2664837302165539</v>
      </c>
    </row>
    <row r="30" spans="1:22" x14ac:dyDescent="0.2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0.49523722846902563</v>
      </c>
      <c r="P30" s="54" t="str">
        <f>'R2'!P36</f>
        <v/>
      </c>
      <c r="Q30" s="54" t="str">
        <f>'R2'!Q36</f>
        <v/>
      </c>
      <c r="R30" s="54" t="str">
        <f>'R2'!R36</f>
        <v/>
      </c>
      <c r="S30" s="54" t="str">
        <f>'R2'!S36</f>
        <v/>
      </c>
      <c r="T30" s="54" t="str">
        <f>'R2'!T36</f>
        <v/>
      </c>
      <c r="U30" s="54" t="str">
        <f>'R2'!U36</f>
        <v/>
      </c>
      <c r="V30" s="54" t="str">
        <f>'R2'!V36</f>
        <v/>
      </c>
    </row>
    <row r="31" spans="1:22" s="1" customFormat="1" x14ac:dyDescent="0.2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4.5932042416389263E-2</v>
      </c>
      <c r="P31" s="54" t="str">
        <f>'R2'!P37</f>
        <v/>
      </c>
      <c r="Q31" s="54" t="str">
        <f>'R2'!Q37</f>
        <v/>
      </c>
      <c r="R31" s="54" t="str">
        <f>'R2'!R37</f>
        <v/>
      </c>
      <c r="S31" s="54" t="str">
        <f>'R2'!S37</f>
        <v/>
      </c>
      <c r="T31" s="54" t="str">
        <f>'R2'!T37</f>
        <v/>
      </c>
      <c r="U31" s="54" t="str">
        <f>'R2'!U37</f>
        <v/>
      </c>
      <c r="V31" s="54" t="str">
        <f>'R2'!V37</f>
        <v/>
      </c>
    </row>
    <row r="32" spans="1:22" s="1" customFormat="1" x14ac:dyDescent="0.2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0.44304061971663</v>
      </c>
      <c r="P32" s="54" t="str">
        <f>'R2'!P38</f>
        <v/>
      </c>
      <c r="Q32" s="54" t="str">
        <f>'R2'!Q38</f>
        <v/>
      </c>
      <c r="R32" s="54" t="str">
        <f>'R2'!R38</f>
        <v/>
      </c>
      <c r="S32" s="54" t="str">
        <f>'R2'!S38</f>
        <v/>
      </c>
      <c r="T32" s="54" t="str">
        <f>'R2'!T38</f>
        <v/>
      </c>
      <c r="U32" s="54" t="str">
        <f>'R2'!U38</f>
        <v/>
      </c>
      <c r="V32" s="54" t="str">
        <f>'R2'!V38</f>
        <v/>
      </c>
    </row>
    <row r="33" spans="1:22" s="1" customFormat="1" x14ac:dyDescent="0.2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1.5239759011894727</v>
      </c>
      <c r="P33" s="54" t="str">
        <f>'R2'!P39</f>
        <v/>
      </c>
      <c r="Q33" s="54" t="str">
        <f>'R2'!Q39</f>
        <v/>
      </c>
      <c r="R33" s="54" t="str">
        <f>'R2'!R39</f>
        <v/>
      </c>
      <c r="S33" s="54" t="str">
        <f>'R2'!S39</f>
        <v/>
      </c>
      <c r="T33" s="54" t="str">
        <f>'R2'!T39</f>
        <v/>
      </c>
      <c r="U33" s="54" t="str">
        <f>'R2'!U39</f>
        <v/>
      </c>
      <c r="V33" s="54" t="str">
        <f>'R2'!V39</f>
        <v/>
      </c>
    </row>
    <row r="34" spans="1:22" s="1" customFormat="1" x14ac:dyDescent="0.2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1.4956121462386551</v>
      </c>
      <c r="P34" s="54" t="str">
        <f>'R2'!P40</f>
        <v/>
      </c>
      <c r="Q34" s="54" t="str">
        <f>'R2'!Q40</f>
        <v/>
      </c>
      <c r="R34" s="54" t="str">
        <f>'R2'!R40</f>
        <v/>
      </c>
      <c r="S34" s="54" t="str">
        <f>'R2'!S40</f>
        <v/>
      </c>
      <c r="T34" s="54" t="str">
        <f>'R2'!T40</f>
        <v/>
      </c>
      <c r="U34" s="54" t="str">
        <f>'R2'!U40</f>
        <v/>
      </c>
      <c r="V34" s="54" t="str">
        <f>'R2'!V40</f>
        <v/>
      </c>
    </row>
    <row r="35" spans="1:22" s="1" customFormat="1" x14ac:dyDescent="0.2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3.0363049500095056</v>
      </c>
      <c r="P35" s="54" t="str">
        <f>'R2'!P41</f>
        <v/>
      </c>
      <c r="Q35" s="54" t="str">
        <f>'R2'!Q41</f>
        <v/>
      </c>
      <c r="R35" s="54" t="str">
        <f>'R2'!R41</f>
        <v/>
      </c>
      <c r="S35" s="54" t="str">
        <f>'R2'!S41</f>
        <v/>
      </c>
      <c r="T35" s="54" t="str">
        <f>'R2'!T41</f>
        <v/>
      </c>
      <c r="U35" s="54" t="str">
        <f>'R2'!U41</f>
        <v/>
      </c>
      <c r="V35" s="54" t="str">
        <f>'R2'!V41</f>
        <v/>
      </c>
    </row>
    <row r="36" spans="1:22" x14ac:dyDescent="0.2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0.86827603373348539</v>
      </c>
      <c r="P36" s="54" t="str">
        <f>'R2'!P42</f>
        <v/>
      </c>
      <c r="Q36" s="54" t="str">
        <f>'R2'!Q42</f>
        <v/>
      </c>
      <c r="R36" s="54" t="str">
        <f>'R2'!R42</f>
        <v/>
      </c>
      <c r="S36" s="54" t="str">
        <f>'R2'!S42</f>
        <v/>
      </c>
      <c r="T36" s="54" t="str">
        <f>'R2'!T42</f>
        <v/>
      </c>
      <c r="U36" s="54" t="str">
        <f>'R2'!U42</f>
        <v/>
      </c>
      <c r="V36" s="54" t="str">
        <f>'R2'!V42</f>
        <v/>
      </c>
    </row>
    <row r="37" spans="1:22" x14ac:dyDescent="0.2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0.63371609644040594</v>
      </c>
      <c r="P37" s="54" t="str">
        <f>'R2'!P43</f>
        <v/>
      </c>
      <c r="Q37" s="54" t="str">
        <f>'R2'!Q43</f>
        <v/>
      </c>
      <c r="R37" s="54" t="str">
        <f>'R2'!R43</f>
        <v/>
      </c>
      <c r="S37" s="54" t="str">
        <f>'R2'!S43</f>
        <v/>
      </c>
      <c r="T37" s="54" t="str">
        <f>'R2'!T43</f>
        <v/>
      </c>
      <c r="U37" s="54" t="str">
        <f>'R2'!U43</f>
        <v/>
      </c>
      <c r="V37" s="54" t="str">
        <f>'R2'!V43</f>
        <v/>
      </c>
    </row>
    <row r="38" spans="1:22" s="1" customFormat="1" x14ac:dyDescent="0.25">
      <c r="A38" s="154" t="s">
        <v>115</v>
      </c>
      <c r="B38" s="155">
        <f>'R3'!B28</f>
        <v>2.5766367742862371E-2</v>
      </c>
      <c r="C38" s="155">
        <f>'R3'!C28</f>
        <v>0.10017782316814099</v>
      </c>
      <c r="D38" s="155">
        <f>'R3'!D28</f>
        <v>4.9444052782562593E-2</v>
      </c>
      <c r="E38" s="155">
        <f>'R3'!E28</f>
        <v>0.16389715124702825</v>
      </c>
      <c r="F38" s="155">
        <f>'R3'!F28</f>
        <v>0.16810538926045174</v>
      </c>
      <c r="G38" s="155">
        <f>'R3'!G28</f>
        <v>1.2754973335911719</v>
      </c>
      <c r="H38" s="155">
        <f>'R3'!H28</f>
        <v>0.23373464700555485</v>
      </c>
      <c r="I38" s="155">
        <f>'R3'!I28</f>
        <v>0.14610612142583082</v>
      </c>
      <c r="J38" s="155">
        <f>'R3'!J28</f>
        <v>4.6548061031389455E-2</v>
      </c>
      <c r="K38" s="155">
        <f>'R3'!K28</f>
        <v>0.10250270378008677</v>
      </c>
      <c r="L38" s="155">
        <f>'R3'!L28</f>
        <v>2.2968192734348539E-2</v>
      </c>
      <c r="M38" s="155">
        <f>'R3'!M28</f>
        <v>2.1102871097101333E-2</v>
      </c>
      <c r="N38"/>
      <c r="O38" s="155">
        <f>'R3'!O28</f>
        <v>1.4471911339071331</v>
      </c>
      <c r="P38" s="155">
        <f>'R3'!P28</f>
        <v>1.4547643577259366</v>
      </c>
      <c r="Q38" s="155">
        <f>'R3'!Q28</f>
        <v>0.11677797907641145</v>
      </c>
      <c r="R38" s="155">
        <f>'R3'!R28</f>
        <v>1.0283533205249988</v>
      </c>
      <c r="S38" s="155">
        <f>'R3'!S28</f>
        <v>1.6212837550499635</v>
      </c>
      <c r="T38" s="155">
        <f>'R3'!T28</f>
        <v>0.83978446331073453</v>
      </c>
      <c r="U38" s="155">
        <f>'R3'!U28</f>
        <v>1.2127890994408359</v>
      </c>
      <c r="V38" s="155">
        <f>'R3'!V28</f>
        <v>1.3786046526703732</v>
      </c>
    </row>
    <row r="39" spans="1:22" s="1" customFormat="1" x14ac:dyDescent="0.25">
      <c r="A39" s="228" t="s">
        <v>34</v>
      </c>
      <c r="B39" s="155">
        <f>'R3'!B29</f>
        <v>8.3975930309871188E-2</v>
      </c>
      <c r="C39" s="155">
        <f>'R3'!C29</f>
        <v>8.3730233137364746E-2</v>
      </c>
      <c r="D39" s="155">
        <f>'R3'!D29</f>
        <v>2.6941965812775654E-2</v>
      </c>
      <c r="E39" s="155">
        <f>'R3'!E29</f>
        <v>5.2194474735604957E-2</v>
      </c>
      <c r="F39" s="155">
        <f>'R3'!F29</f>
        <v>0.3376155142360226</v>
      </c>
      <c r="G39" s="155">
        <f>'R3'!G29</f>
        <v>1.8000955847366054</v>
      </c>
      <c r="H39" s="155">
        <f>'R3'!H29</f>
        <v>2.5884420484619857</v>
      </c>
      <c r="I39" s="155">
        <f>'R3'!I29</f>
        <v>2.0150634093103005E-2</v>
      </c>
      <c r="J39" s="155">
        <f>'R3'!J29</f>
        <v>2.0837661923434503E-2</v>
      </c>
      <c r="K39" s="155">
        <f>'R3'!K29</f>
        <v>8.0759145855409855E-3</v>
      </c>
      <c r="L39" s="155">
        <f>'R3'!L29</f>
        <v>6.0544199179534783E-2</v>
      </c>
      <c r="M39" s="155">
        <f>'R3'!M29</f>
        <v>2.2150100738327863E-2</v>
      </c>
      <c r="N39"/>
      <c r="O39" s="155">
        <f>'R3'!O29</f>
        <v>0.20978623294975429</v>
      </c>
      <c r="P39" s="155">
        <f>'R3'!P29</f>
        <v>1.9394437502342221</v>
      </c>
      <c r="Q39" s="155">
        <f>'R3'!Q29</f>
        <v>3.2007640745612291E-2</v>
      </c>
      <c r="R39" s="155">
        <f>'R3'!R29</f>
        <v>0.39968421687464128</v>
      </c>
      <c r="S39" s="155">
        <f>'R3'!S29</f>
        <v>1.0149352254112298</v>
      </c>
      <c r="T39" s="155">
        <f>'R3'!T29</f>
        <v>1.7623801701778652</v>
      </c>
      <c r="U39" s="155">
        <f>'R3'!U29</f>
        <v>1.4546471573505457</v>
      </c>
      <c r="V39" s="155">
        <f>'R3'!V29</f>
        <v>0.59416764944064782</v>
      </c>
    </row>
    <row r="40" spans="1:22" s="1" customFormat="1" x14ac:dyDescent="0.25">
      <c r="A40" s="229"/>
      <c r="B40" s="155">
        <f>'R3'!B30</f>
        <v>1.4881238463940492E-2</v>
      </c>
      <c r="C40" s="155">
        <f>'R3'!C30</f>
        <v>8.5447545976336123E-2</v>
      </c>
      <c r="D40" s="155">
        <f>'R3'!D30</f>
        <v>1.5110247740717658E-2</v>
      </c>
      <c r="E40" s="155">
        <f>'R3'!E30</f>
        <v>1.2795251497780762E-2</v>
      </c>
      <c r="F40" s="155">
        <f>'R3'!F30</f>
        <v>1.4046475260086269</v>
      </c>
      <c r="G40" s="155">
        <f>'R3'!G30</f>
        <v>1.4447644571312388</v>
      </c>
      <c r="H40" s="155">
        <f>'R3'!H30</f>
        <v>2.090101816141285</v>
      </c>
      <c r="I40" s="155">
        <f>'R3'!I30</f>
        <v>1.8933059547009155E-2</v>
      </c>
      <c r="J40" s="155">
        <f>'R3'!J30</f>
        <v>6.0234317792684962E-3</v>
      </c>
      <c r="K40" s="155">
        <f>'R3'!K30</f>
        <v>9.1356601485644718E-3</v>
      </c>
      <c r="L40" s="155">
        <f>'R3'!L30</f>
        <v>6.6385861263782833E-2</v>
      </c>
      <c r="M40" s="155">
        <f>'R3'!M30</f>
        <v>4.6603901297868192E-2</v>
      </c>
      <c r="N40"/>
      <c r="O40" s="155">
        <f>'R3'!O30</f>
        <v>1.4125809516383256</v>
      </c>
      <c r="P40" s="155">
        <f>'R3'!P30</f>
        <v>0.85041529473242794</v>
      </c>
      <c r="Q40" s="155">
        <f>'R3'!Q30</f>
        <v>4.8617488470248597E-2</v>
      </c>
      <c r="R40" s="155">
        <f>'R3'!R30</f>
        <v>0.34743390187255757</v>
      </c>
      <c r="S40" s="155">
        <f>'R3'!S30</f>
        <v>1.3691324746860065</v>
      </c>
      <c r="T40" s="155">
        <f>'R3'!T30</f>
        <v>0.92027249504475783</v>
      </c>
      <c r="U40" s="155">
        <f>'R3'!U30</f>
        <v>0.92487180747617548</v>
      </c>
      <c r="V40" s="155">
        <f>'R3'!V30</f>
        <v>1.4383249832745963</v>
      </c>
    </row>
    <row r="41" spans="1:22" s="1" customFormat="1" x14ac:dyDescent="0.25">
      <c r="A41" s="229"/>
      <c r="B41" s="155">
        <f>'R3'!B31</f>
        <v>3.7011827201107968E-2</v>
      </c>
      <c r="C41" s="155">
        <f>'R3'!C31</f>
        <v>6.9834607468881135E-2</v>
      </c>
      <c r="D41" s="155">
        <f>'R3'!D31</f>
        <v>5.5369667819171783E-2</v>
      </c>
      <c r="E41" s="155">
        <f>'R3'!E31</f>
        <v>0.12153768785947321</v>
      </c>
      <c r="F41" s="155">
        <f>'R3'!F31</f>
        <v>1.1410156152250699E-2</v>
      </c>
      <c r="G41" s="155">
        <f>'R3'!G31</f>
        <v>0.56246437023945173</v>
      </c>
      <c r="H41" s="155">
        <f>'R3'!H31</f>
        <v>2.3572290708695536</v>
      </c>
      <c r="I41" s="155">
        <f>'R3'!I31</f>
        <v>4.9064082233649803E-2</v>
      </c>
      <c r="J41" s="155">
        <f>'R3'!J31</f>
        <v>1.3375990269159631E-2</v>
      </c>
      <c r="K41" s="155">
        <f>'R3'!K31</f>
        <v>1.3387286690884063E-2</v>
      </c>
      <c r="L41" s="155">
        <f>'R3'!L31</f>
        <v>2.002778550684978E-2</v>
      </c>
      <c r="M41" s="155">
        <f>'R3'!M31</f>
        <v>3.4135475819523899E-2</v>
      </c>
      <c r="N41"/>
      <c r="O41" s="155">
        <f>'R3'!O31</f>
        <v>1.5874833208293122</v>
      </c>
      <c r="P41" s="155">
        <f>'R3'!P31</f>
        <v>1.9622390306951294</v>
      </c>
      <c r="Q41" s="155">
        <f>'R3'!Q31</f>
        <v>2.8514222327331005E-2</v>
      </c>
      <c r="R41" s="155">
        <f>'R3'!R31</f>
        <v>0.51785839516566412</v>
      </c>
      <c r="S41" s="155">
        <f>'R3'!S31</f>
        <v>0.40855883982347124</v>
      </c>
      <c r="T41" s="155">
        <f>'R3'!T31</f>
        <v>1.6677284794962604</v>
      </c>
      <c r="U41" s="155">
        <f>'R3'!U31</f>
        <v>1.4183613819820902</v>
      </c>
      <c r="V41" s="155">
        <f>'R3'!V31</f>
        <v>0.93384951027324103</v>
      </c>
    </row>
    <row r="42" spans="1:22" s="1" customFormat="1" x14ac:dyDescent="0.25">
      <c r="A42" s="229"/>
      <c r="B42" s="155">
        <f>'R3'!B32</f>
        <v>3.5547785271935551E-3</v>
      </c>
      <c r="C42" s="155">
        <f>'R3'!C32</f>
        <v>1.1555340845095418E-2</v>
      </c>
      <c r="D42" s="155">
        <f>'R3'!D32</f>
        <v>7.1954226963356793E-2</v>
      </c>
      <c r="E42" s="155">
        <f>'R3'!E32</f>
        <v>3.2856541164517784E-2</v>
      </c>
      <c r="F42" s="155">
        <f>'R3'!F32</f>
        <v>0.10545864358745663</v>
      </c>
      <c r="G42" s="155">
        <f>'R3'!G32</f>
        <v>1.6863375371292642</v>
      </c>
      <c r="H42" s="155">
        <f>'R3'!H32</f>
        <v>2.071621126936968</v>
      </c>
      <c r="I42" s="155">
        <f>'R3'!I32</f>
        <v>3.6971391146071644E-3</v>
      </c>
      <c r="J42" s="155">
        <f>'R3'!J32</f>
        <v>1.7095593858786975E-2</v>
      </c>
      <c r="K42" s="155">
        <f>'R3'!K32</f>
        <v>3.8572658925510192E-2</v>
      </c>
      <c r="L42" s="155">
        <f>'R3'!L32</f>
        <v>1.1789998332734801E-2</v>
      </c>
      <c r="M42" s="155">
        <f>'R3'!M32</f>
        <v>2.3040849264985241E-2</v>
      </c>
      <c r="N42"/>
      <c r="O42" s="155">
        <f>'R3'!O32</f>
        <v>1.6610739885215675</v>
      </c>
      <c r="P42" s="155">
        <f>'R3'!P32</f>
        <v>1.6062823637367725</v>
      </c>
      <c r="Q42" s="155">
        <f>'R3'!Q32</f>
        <v>8.5617762512774753E-2</v>
      </c>
      <c r="R42" s="155">
        <f>'R3'!R32</f>
        <v>1.1840208359931337</v>
      </c>
      <c r="S42" s="155">
        <f>'R3'!S32</f>
        <v>0.70597924656381172</v>
      </c>
      <c r="T42" s="155">
        <f>'R3'!T32</f>
        <v>1.3967391322225222</v>
      </c>
      <c r="U42" s="155">
        <f>'R3'!U32</f>
        <v>0.98409214305066384</v>
      </c>
      <c r="V42" s="155">
        <f>'R3'!V32</f>
        <v>0.1394404623978425</v>
      </c>
    </row>
    <row r="43" spans="1:22" s="1" customFormat="1" x14ac:dyDescent="0.25">
      <c r="A43" s="229"/>
      <c r="B43" s="155">
        <f>'R3'!B33</f>
        <v>0.10731555709262484</v>
      </c>
      <c r="C43" s="155">
        <f>'R3'!C33</f>
        <v>6.3727415289894535E-2</v>
      </c>
      <c r="D43" s="155">
        <f>'R3'!D33</f>
        <v>1.9259885566445627E-2</v>
      </c>
      <c r="E43" s="155">
        <f>'R3'!E33</f>
        <v>0.64730325731116967</v>
      </c>
      <c r="F43" s="155">
        <f>'R3'!F33</f>
        <v>5.1733760445048196E-2</v>
      </c>
      <c r="G43" s="155">
        <f>'R3'!G33</f>
        <v>1.0450439119912791</v>
      </c>
      <c r="H43" s="155">
        <f>'R3'!H33</f>
        <v>2.5416316023623606</v>
      </c>
      <c r="I43" s="155">
        <f>'R3'!I33</f>
        <v>4.6495173238770511E-2</v>
      </c>
      <c r="J43" s="155">
        <f>'R3'!J33</f>
        <v>1.1171326690678995E-2</v>
      </c>
      <c r="K43" s="155">
        <f>'R3'!K33</f>
        <v>2.4492952930289785E-2</v>
      </c>
      <c r="L43" s="155">
        <f>'R3'!L33</f>
        <v>2.3596556192770193E-2</v>
      </c>
      <c r="M43" s="155">
        <f>'R3'!M33</f>
        <v>2.717379919498393E-2</v>
      </c>
      <c r="N43"/>
      <c r="O43" s="155">
        <f>'R3'!O33</f>
        <v>1.3963621141474691</v>
      </c>
      <c r="P43" s="155">
        <f>'R3'!P33</f>
        <v>0.91309567293373883</v>
      </c>
      <c r="Q43" s="155">
        <f>'R3'!Q33</f>
        <v>3.7880239621173852E-2</v>
      </c>
      <c r="R43" s="155">
        <f>'R3'!R33</f>
        <v>1.5685669491780323</v>
      </c>
      <c r="S43" s="155">
        <f>'R3'!S33</f>
        <v>1.1747971792867045</v>
      </c>
      <c r="T43" s="155">
        <f>'R3'!T33</f>
        <v>0.40043979344589148</v>
      </c>
      <c r="U43" s="155">
        <f>'R3'!U33</f>
        <v>0.87368515327419027</v>
      </c>
      <c r="V43" s="155">
        <f>'R3'!V33</f>
        <v>1.1720633168609627</v>
      </c>
    </row>
    <row r="44" spans="1:22" s="1" customFormat="1" x14ac:dyDescent="0.25">
      <c r="A44" s="229"/>
      <c r="B44" s="155">
        <f>'R3'!B34</f>
        <v>1.5313968437043534E-2</v>
      </c>
      <c r="C44" s="155">
        <f>'R3'!C34</f>
        <v>9.18423476197954E-2</v>
      </c>
      <c r="D44" s="155">
        <f>'R3'!D34</f>
        <v>3.4573982371917847E-2</v>
      </c>
      <c r="E44" s="155">
        <f>'R3'!E34</f>
        <v>3.2705644076596506E-2</v>
      </c>
      <c r="F44" s="155">
        <f>'R3'!F34</f>
        <v>0.40413564887621178</v>
      </c>
      <c r="G44" s="155">
        <f>'R3'!G34</f>
        <v>1.2434954694248506</v>
      </c>
      <c r="H44" s="155">
        <f>'R3'!H34</f>
        <v>1.2488486896379454</v>
      </c>
      <c r="I44" s="155">
        <f>'R3'!I34</f>
        <v>0.12113281383539519</v>
      </c>
      <c r="J44" s="155">
        <f>'R3'!J34</f>
        <v>2.3292323016782589E-2</v>
      </c>
      <c r="K44" s="155">
        <f>'R3'!K34</f>
        <v>1.4451204227839872E-2</v>
      </c>
      <c r="L44" s="155">
        <f>'R3'!L34</f>
        <v>3.0946418945658902E-2</v>
      </c>
      <c r="M44" s="155">
        <f>'R3'!M34</f>
        <v>4.3172099725356544E-2</v>
      </c>
      <c r="N44"/>
      <c r="O44" s="155">
        <f>'R3'!O34</f>
        <v>1.3867210033109505</v>
      </c>
      <c r="P44" s="155">
        <f>'R3'!P34</f>
        <v>7.0620607357730122E-3</v>
      </c>
      <c r="Q44" s="155">
        <f>'R3'!Q34</f>
        <v>2.4233263599056486E-2</v>
      </c>
      <c r="R44" s="155">
        <f>'R3'!R34</f>
        <v>1.1810790167129195</v>
      </c>
      <c r="S44" s="155">
        <f>'R3'!S34</f>
        <v>1.4709523867939083</v>
      </c>
      <c r="T44" s="155">
        <f>'R3'!T34</f>
        <v>1.6803002415596975</v>
      </c>
      <c r="U44" s="155">
        <f>'R3'!U34</f>
        <v>0.20415945961512785</v>
      </c>
      <c r="V44" s="155">
        <f>'R3'!V34</f>
        <v>1.3300013489114946</v>
      </c>
    </row>
    <row r="45" spans="1:22" s="1" customFormat="1" x14ac:dyDescent="0.25">
      <c r="A45" s="229"/>
      <c r="B45" s="155">
        <f>'R3'!B35</f>
        <v>1.5054343290024579E-2</v>
      </c>
      <c r="C45" s="155">
        <f>'R3'!C35</f>
        <v>2.3928902054640197E-2</v>
      </c>
      <c r="D45" s="155">
        <f>'R3'!D35</f>
        <v>0.13097084184151922</v>
      </c>
      <c r="E45" s="155">
        <f>'R3'!E35</f>
        <v>0.10033712838814125</v>
      </c>
      <c r="F45" s="155">
        <f>'R3'!F35</f>
        <v>0.11583556225720765</v>
      </c>
      <c r="G45" s="155">
        <f>'R3'!G35</f>
        <v>1.4005480802385153</v>
      </c>
      <c r="H45" s="155">
        <f>'R3'!H35</f>
        <v>0.78615444443712557</v>
      </c>
      <c r="I45" s="155" t="str">
        <f>'R3'!I35</f>
        <v/>
      </c>
      <c r="J45" s="155">
        <f>'R3'!J35</f>
        <v>3.1072091637343237E-2</v>
      </c>
      <c r="K45" s="155">
        <f>'R3'!K35</f>
        <v>3.9343382971345459E-2</v>
      </c>
      <c r="L45" s="155">
        <f>'R3'!L35</f>
        <v>1.1292827408431008E-2</v>
      </c>
      <c r="M45" s="155">
        <f>'R3'!M35</f>
        <v>9.7201087675323886E-2</v>
      </c>
      <c r="N45"/>
      <c r="O45" s="155">
        <f>'R3'!O35</f>
        <v>0.5182369536618614</v>
      </c>
      <c r="P45" s="155" t="str">
        <f>'R3'!P35</f>
        <v/>
      </c>
      <c r="Q45" s="155">
        <f>'R3'!Q35</f>
        <v>1.6623711514934473E-2</v>
      </c>
      <c r="R45" s="155">
        <f>'R3'!R35</f>
        <v>1.4271996766656017</v>
      </c>
      <c r="S45" s="155">
        <f>'R3'!S35</f>
        <v>1.6170349526130752</v>
      </c>
      <c r="T45" s="155">
        <f>'R3'!T35</f>
        <v>1.4838844790366692</v>
      </c>
      <c r="U45" s="155">
        <f>'R3'!U35</f>
        <v>1.2410548004902291</v>
      </c>
      <c r="V45" s="155">
        <f>'R3'!V35</f>
        <v>1.4753311622648422</v>
      </c>
    </row>
    <row r="46" spans="1:22" s="1" customFormat="1" x14ac:dyDescent="0.25">
      <c r="A46" s="229"/>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0.58918862319717469</v>
      </c>
      <c r="P46" s="155" t="str">
        <f>'R3'!P36</f>
        <v/>
      </c>
      <c r="Q46" s="155" t="str">
        <f>'R3'!Q36</f>
        <v/>
      </c>
      <c r="R46" s="155" t="str">
        <f>'R3'!R36</f>
        <v/>
      </c>
      <c r="S46" s="155" t="str">
        <f>'R3'!S36</f>
        <v/>
      </c>
      <c r="T46" s="155" t="str">
        <f>'R3'!T36</f>
        <v/>
      </c>
      <c r="U46" s="155" t="str">
        <f>'R3'!U36</f>
        <v/>
      </c>
      <c r="V46" s="155" t="str">
        <f>'R3'!V36</f>
        <v/>
      </c>
    </row>
    <row r="47" spans="1:22" s="1" customFormat="1" x14ac:dyDescent="0.25">
      <c r="A47" s="229"/>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0.26193051562974273</v>
      </c>
      <c r="P47" s="155" t="str">
        <f>'R3'!P37</f>
        <v/>
      </c>
      <c r="Q47" s="155" t="str">
        <f>'R3'!Q37</f>
        <v/>
      </c>
      <c r="R47" s="155" t="str">
        <f>'R3'!R37</f>
        <v/>
      </c>
      <c r="S47" s="155" t="str">
        <f>'R3'!S37</f>
        <v/>
      </c>
      <c r="T47" s="155" t="str">
        <f>'R3'!T37</f>
        <v/>
      </c>
      <c r="U47" s="155" t="str">
        <f>'R3'!U37</f>
        <v/>
      </c>
      <c r="V47" s="155" t="str">
        <f>'R3'!V37</f>
        <v/>
      </c>
    </row>
    <row r="48" spans="1:22" s="1" customFormat="1" x14ac:dyDescent="0.25">
      <c r="A48" s="229"/>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0.84960272257884073</v>
      </c>
      <c r="P48" s="155" t="str">
        <f>'R3'!P38</f>
        <v/>
      </c>
      <c r="Q48" s="155" t="str">
        <f>'R3'!Q38</f>
        <v/>
      </c>
      <c r="R48" s="155" t="str">
        <f>'R3'!R38</f>
        <v/>
      </c>
      <c r="S48" s="155" t="str">
        <f>'R3'!S38</f>
        <v/>
      </c>
      <c r="T48" s="155" t="str">
        <f>'R3'!T38</f>
        <v/>
      </c>
      <c r="U48" s="155" t="str">
        <f>'R3'!U38</f>
        <v/>
      </c>
      <c r="V48" s="155" t="str">
        <f>'R3'!V38</f>
        <v/>
      </c>
    </row>
    <row r="49" spans="1:24" s="1" customFormat="1" x14ac:dyDescent="0.25">
      <c r="A49" s="229"/>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1.4926641093482709</v>
      </c>
      <c r="P49" s="155" t="str">
        <f>'R3'!P39</f>
        <v/>
      </c>
      <c r="Q49" s="155" t="str">
        <f>'R3'!Q39</f>
        <v/>
      </c>
      <c r="R49" s="155" t="str">
        <f>'R3'!R39</f>
        <v/>
      </c>
      <c r="S49" s="155" t="str">
        <f>'R3'!S39</f>
        <v/>
      </c>
      <c r="T49" s="155" t="str">
        <f>'R3'!T39</f>
        <v/>
      </c>
      <c r="U49" s="155" t="str">
        <f>'R3'!U39</f>
        <v/>
      </c>
      <c r="V49" s="155" t="str">
        <f>'R3'!V39</f>
        <v/>
      </c>
    </row>
    <row r="50" spans="1:24" s="1" customFormat="1" x14ac:dyDescent="0.25">
      <c r="A50" s="229"/>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0.50994884606370117</v>
      </c>
      <c r="P50" s="155" t="str">
        <f>'R3'!P40</f>
        <v/>
      </c>
      <c r="Q50" s="155" t="str">
        <f>'R3'!Q40</f>
        <v/>
      </c>
      <c r="R50" s="155" t="str">
        <f>'R3'!R40</f>
        <v/>
      </c>
      <c r="S50" s="155" t="str">
        <f>'R3'!S40</f>
        <v/>
      </c>
      <c r="T50" s="155" t="str">
        <f>'R3'!T40</f>
        <v/>
      </c>
      <c r="U50" s="155" t="str">
        <f>'R3'!U40</f>
        <v/>
      </c>
      <c r="V50" s="155" t="str">
        <f>'R3'!V40</f>
        <v/>
      </c>
    </row>
    <row r="51" spans="1:24" s="1" customFormat="1" x14ac:dyDescent="0.25">
      <c r="A51" s="229"/>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0.4019572366413976</v>
      </c>
      <c r="P51" s="155" t="str">
        <f>'R3'!P41</f>
        <v/>
      </c>
      <c r="Q51" s="155" t="str">
        <f>'R3'!Q41</f>
        <v/>
      </c>
      <c r="R51" s="155" t="str">
        <f>'R3'!R41</f>
        <v/>
      </c>
      <c r="S51" s="155" t="str">
        <f>'R3'!S41</f>
        <v/>
      </c>
      <c r="T51" s="155" t="str">
        <f>'R3'!T41</f>
        <v/>
      </c>
      <c r="U51" s="155" t="str">
        <f>'R3'!U41</f>
        <v/>
      </c>
      <c r="V51" s="155" t="str">
        <f>'R3'!V41</f>
        <v/>
      </c>
    </row>
    <row r="52" spans="1:24" s="1" customFormat="1" x14ac:dyDescent="0.25">
      <c r="A52" s="229"/>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0.57506976483120475</v>
      </c>
      <c r="P52" s="155" t="str">
        <f>'R3'!P42</f>
        <v/>
      </c>
      <c r="Q52" s="155" t="str">
        <f>'R3'!Q42</f>
        <v/>
      </c>
      <c r="R52" s="155" t="str">
        <f>'R3'!R42</f>
        <v/>
      </c>
      <c r="S52" s="155" t="str">
        <f>'R3'!S42</f>
        <v/>
      </c>
      <c r="T52" s="155" t="str">
        <f>'R3'!T42</f>
        <v/>
      </c>
      <c r="U52" s="155" t="str">
        <f>'R3'!U42</f>
        <v/>
      </c>
      <c r="V52" s="155" t="str">
        <f>'R3'!V42</f>
        <v/>
      </c>
    </row>
    <row r="53" spans="1:24" s="1" customFormat="1" x14ac:dyDescent="0.25">
      <c r="A53" s="230"/>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1.7002024827432916</v>
      </c>
      <c r="P53" s="155" t="str">
        <f>'R3'!P43</f>
        <v/>
      </c>
      <c r="Q53" s="155" t="str">
        <f>'R3'!Q43</f>
        <v/>
      </c>
      <c r="R53" s="155" t="str">
        <f>'R3'!R43</f>
        <v/>
      </c>
      <c r="S53" s="155" t="str">
        <f>'R3'!S43</f>
        <v/>
      </c>
      <c r="T53" s="155" t="str">
        <f>'R3'!T43</f>
        <v/>
      </c>
      <c r="U53" s="155" t="str">
        <f>'R3'!U43</f>
        <v/>
      </c>
      <c r="V53" s="155"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Atenolol-0,01mg/L</v>
      </c>
      <c r="J55" s="15" t="str">
        <f t="shared" si="0"/>
        <v>Atenolol-0,1mg/L</v>
      </c>
      <c r="K55" s="15" t="str">
        <f t="shared" si="0"/>
        <v>Atenolol-1mg/L</v>
      </c>
      <c r="L55" s="15" t="str">
        <f t="shared" si="0"/>
        <v>Atenolol-10mg/L</v>
      </c>
      <c r="M55" s="15" t="str">
        <f t="shared" si="0"/>
        <v>Atenolol-100mg/L</v>
      </c>
      <c r="O55" s="15" t="str">
        <f t="shared" ref="O55:V55" si="1">O4</f>
        <v>Testo -30µg/L</v>
      </c>
      <c r="P55" s="15" t="str">
        <f t="shared" si="1"/>
        <v>Testo 30µg/L + EE2 -64ng/L</v>
      </c>
      <c r="Q55" s="15" t="str">
        <f t="shared" si="1"/>
        <v>Testo 30µg/L + FAD-10mg/L</v>
      </c>
      <c r="R55" s="15" t="str">
        <f t="shared" si="1"/>
        <v>Atenolol-0,01mg/L + Testostérone</v>
      </c>
      <c r="S55" s="15" t="str">
        <f t="shared" si="1"/>
        <v>Atenolol-0,1mg/L + Testostérone</v>
      </c>
      <c r="T55" s="15" t="str">
        <f t="shared" si="1"/>
        <v>Atenolol-1mg/L + Testostérone</v>
      </c>
      <c r="U55" s="15" t="str">
        <f t="shared" si="1"/>
        <v>Atenolol-10mg/L + Testostérone</v>
      </c>
      <c r="V55" s="15" t="str">
        <f t="shared" si="1"/>
        <v>Atenolol-100mg/L + Testostérone</v>
      </c>
    </row>
    <row r="56" spans="1:24" x14ac:dyDescent="0.25">
      <c r="A56" t="s">
        <v>48</v>
      </c>
      <c r="B56" s="9">
        <f t="shared" ref="B56:V56" si="2">AVERAGE(B6:B53)</f>
        <v>9.6413555267375828E-2</v>
      </c>
      <c r="C56" s="9">
        <f t="shared" si="2"/>
        <v>8.7704201645813898E-2</v>
      </c>
      <c r="D56" s="9">
        <f t="shared" si="2"/>
        <v>0.11100273251743865</v>
      </c>
      <c r="E56" s="9">
        <f t="shared" si="2"/>
        <v>0.21518929125091338</v>
      </c>
      <c r="F56" s="9">
        <f t="shared" si="2"/>
        <v>0.58335648834801479</v>
      </c>
      <c r="G56" s="9">
        <f t="shared" si="2"/>
        <v>1.3458128846375972</v>
      </c>
      <c r="H56" s="9">
        <f t="shared" si="2"/>
        <v>2.2574109151377342</v>
      </c>
      <c r="I56" s="9">
        <f t="shared" si="2"/>
        <v>8.9790084468862177E-2</v>
      </c>
      <c r="J56" s="9">
        <f t="shared" si="2"/>
        <v>4.374594141633336E-2</v>
      </c>
      <c r="K56" s="9">
        <f t="shared" si="2"/>
        <v>0.10494288088933629</v>
      </c>
      <c r="L56" s="9">
        <f t="shared" si="2"/>
        <v>9.3407728517463304E-2</v>
      </c>
      <c r="M56" s="9">
        <f t="shared" si="2"/>
        <v>0.10781441438591959</v>
      </c>
      <c r="N56" s="9"/>
      <c r="O56" s="9">
        <f t="shared" si="2"/>
        <v>1.0000000000000002</v>
      </c>
      <c r="P56" s="9">
        <f t="shared" si="2"/>
        <v>1.4859658265130984</v>
      </c>
      <c r="Q56" s="9">
        <f t="shared" si="2"/>
        <v>7.5996445828110118E-2</v>
      </c>
      <c r="R56" s="9">
        <f t="shared" si="2"/>
        <v>0.99832957952599288</v>
      </c>
      <c r="S56" s="9">
        <f t="shared" si="2"/>
        <v>1.0086940934449224</v>
      </c>
      <c r="T56" s="9">
        <f t="shared" si="2"/>
        <v>1.1319296764782072</v>
      </c>
      <c r="U56" s="9">
        <f t="shared" si="2"/>
        <v>0.98130457340648169</v>
      </c>
      <c r="V56" s="9">
        <f t="shared" si="2"/>
        <v>1.1488026385460919</v>
      </c>
    </row>
    <row r="57" spans="1:24" x14ac:dyDescent="0.25">
      <c r="A57" t="s">
        <v>1</v>
      </c>
      <c r="B57" s="3">
        <f>STDEV(B6:B53)</f>
        <v>8.3497190363385126E-2</v>
      </c>
      <c r="C57" s="3">
        <f t="shared" ref="C57:V57" si="3">STDEV(C6:C53)</f>
        <v>5.8595968439792541E-2</v>
      </c>
      <c r="D57" s="3">
        <f t="shared" si="3"/>
        <v>0.12593594017690202</v>
      </c>
      <c r="E57" s="3">
        <f t="shared" si="3"/>
        <v>0.19375628689998928</v>
      </c>
      <c r="F57" s="3">
        <f t="shared" si="3"/>
        <v>0.59231585460944014</v>
      </c>
      <c r="G57" s="3">
        <f t="shared" si="3"/>
        <v>0.51445753795143001</v>
      </c>
      <c r="H57" s="3">
        <f t="shared" si="3"/>
        <v>0.90184095929133579</v>
      </c>
      <c r="I57" s="3">
        <f t="shared" si="3"/>
        <v>6.2306642115454731E-2</v>
      </c>
      <c r="J57" s="3">
        <f t="shared" si="3"/>
        <v>4.3699628221444277E-2</v>
      </c>
      <c r="K57" s="3">
        <f t="shared" si="3"/>
        <v>9.5952523935177308E-2</v>
      </c>
      <c r="L57" s="3">
        <f t="shared" si="3"/>
        <v>8.6567243290179979E-2</v>
      </c>
      <c r="M57" s="3">
        <f t="shared" si="3"/>
        <v>0.10206967383958526</v>
      </c>
      <c r="N57" s="3"/>
      <c r="O57" s="3">
        <f t="shared" si="3"/>
        <v>0.56493886223519629</v>
      </c>
      <c r="P57" s="3">
        <f t="shared" si="3"/>
        <v>0.59523227703901771</v>
      </c>
      <c r="Q57" s="3">
        <f t="shared" si="3"/>
        <v>6.4613272055162221E-2</v>
      </c>
      <c r="R57" s="3">
        <f t="shared" si="3"/>
        <v>0.4423549561046336</v>
      </c>
      <c r="S57" s="3">
        <f t="shared" si="3"/>
        <v>0.52913258834322929</v>
      </c>
      <c r="T57" s="3">
        <f t="shared" si="3"/>
        <v>0.56318166737232633</v>
      </c>
      <c r="U57" s="3">
        <f t="shared" si="3"/>
        <v>0.47786635679030126</v>
      </c>
      <c r="V57" s="3">
        <f t="shared" si="3"/>
        <v>0.54272652469295746</v>
      </c>
      <c r="W57" s="3"/>
      <c r="X57" s="3"/>
    </row>
    <row r="58" spans="1:24" x14ac:dyDescent="0.25">
      <c r="A58" t="s">
        <v>2</v>
      </c>
      <c r="B58" s="3">
        <f xml:space="preserve"> B57/SQRT(COUNT(B6:B53))</f>
        <v>1.704379261219386E-2</v>
      </c>
      <c r="C58" s="3">
        <f t="shared" ref="C58:V58" si="4" xml:space="preserve"> C57/SQRT(COUNT(C6:C53))</f>
        <v>1.1960851971809889E-2</v>
      </c>
      <c r="D58" s="3">
        <f t="shared" si="4"/>
        <v>2.6259458774713546E-2</v>
      </c>
      <c r="E58" s="3">
        <f t="shared" si="4"/>
        <v>3.95503364467732E-2</v>
      </c>
      <c r="F58" s="3">
        <f t="shared" si="4"/>
        <v>0.1235063933606029</v>
      </c>
      <c r="G58" s="3">
        <f t="shared" si="4"/>
        <v>0.10501320519245963</v>
      </c>
      <c r="H58" s="3">
        <f t="shared" si="4"/>
        <v>0.18804683919930312</v>
      </c>
      <c r="I58" s="3">
        <f t="shared" si="4"/>
        <v>1.2991832972567901E-2</v>
      </c>
      <c r="J58" s="3">
        <f t="shared" si="4"/>
        <v>9.1120023731064616E-3</v>
      </c>
      <c r="K58" s="3">
        <f t="shared" si="4"/>
        <v>1.9586226931114521E-2</v>
      </c>
      <c r="L58" s="3">
        <f t="shared" si="4"/>
        <v>1.7670464541692649E-2</v>
      </c>
      <c r="M58" s="3">
        <f t="shared" si="4"/>
        <v>2.0834884926607383E-2</v>
      </c>
      <c r="N58" s="3"/>
      <c r="O58" s="3">
        <f t="shared" si="4"/>
        <v>8.2404802336767127E-2</v>
      </c>
      <c r="P58" s="3">
        <f t="shared" si="4"/>
        <v>0.12989033169582018</v>
      </c>
      <c r="Q58" s="3">
        <f t="shared" si="4"/>
        <v>1.3472798562892515E-2</v>
      </c>
      <c r="R58" s="3">
        <f t="shared" si="4"/>
        <v>9.029532730396693E-2</v>
      </c>
      <c r="S58" s="3">
        <f t="shared" si="4"/>
        <v>0.10800873730992118</v>
      </c>
      <c r="T58" s="3">
        <f t="shared" si="4"/>
        <v>0.11495897646267009</v>
      </c>
      <c r="U58" s="3">
        <f t="shared" si="4"/>
        <v>9.9642023383718706E-2</v>
      </c>
      <c r="V58" s="3">
        <f t="shared" si="4"/>
        <v>0.11316630328958455</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Atenolol-0,01mg/L</v>
      </c>
      <c r="J62" s="3" t="str">
        <f t="shared" si="6"/>
        <v>Atenolol-0,1mg/L</v>
      </c>
      <c r="K62" s="3" t="str">
        <f t="shared" si="6"/>
        <v>Atenolol-1mg/L</v>
      </c>
      <c r="L62" s="3" t="str">
        <f t="shared" si="6"/>
        <v>Atenolol-10mg/L</v>
      </c>
      <c r="M62" s="3" t="str">
        <f t="shared" si="6"/>
        <v>Atenolol-100mg/L</v>
      </c>
      <c r="N62" s="3"/>
      <c r="O62" s="3" t="str">
        <f t="shared" si="6"/>
        <v>Testo -30µg/L</v>
      </c>
      <c r="P62" s="3" t="str">
        <f t="shared" si="6"/>
        <v>Testo 30µg/L + EE2 -64ng/L</v>
      </c>
      <c r="Q62" s="3" t="str">
        <f t="shared" si="6"/>
        <v>Testo 30µg/L + FAD-10mg/L</v>
      </c>
      <c r="R62" s="3" t="str">
        <f t="shared" si="6"/>
        <v>Atenolol-0,01mg/L + Testostérone</v>
      </c>
      <c r="S62" s="3" t="str">
        <f t="shared" si="6"/>
        <v>Atenolol-0,1mg/L + Testostérone</v>
      </c>
      <c r="T62" s="3" t="str">
        <f t="shared" si="6"/>
        <v>Atenolol-1mg/L + Testostérone</v>
      </c>
      <c r="U62" s="3" t="str">
        <f t="shared" si="6"/>
        <v>Atenolol-10mg/L + Testostérone</v>
      </c>
      <c r="V62" s="3" t="str">
        <f t="shared" si="6"/>
        <v>Atenolol-100mg/L + Testostérone</v>
      </c>
    </row>
    <row r="63" spans="1:24" s="1" customFormat="1" x14ac:dyDescent="0.25">
      <c r="A63" s="1" t="s">
        <v>49</v>
      </c>
      <c r="B63" s="3">
        <f>COUNT(B6:B53)</f>
        <v>24</v>
      </c>
      <c r="C63" s="3">
        <f t="shared" ref="C63:V63" si="7">COUNT(C6:C53)</f>
        <v>24</v>
      </c>
      <c r="D63" s="3">
        <f t="shared" si="7"/>
        <v>23</v>
      </c>
      <c r="E63" s="3">
        <f t="shared" si="7"/>
        <v>24</v>
      </c>
      <c r="F63" s="3">
        <f t="shared" si="7"/>
        <v>23</v>
      </c>
      <c r="G63" s="3">
        <f t="shared" si="7"/>
        <v>24</v>
      </c>
      <c r="H63" s="3">
        <f t="shared" si="7"/>
        <v>23</v>
      </c>
      <c r="I63" s="3">
        <f t="shared" si="7"/>
        <v>23</v>
      </c>
      <c r="J63" s="3">
        <f t="shared" si="7"/>
        <v>23</v>
      </c>
      <c r="K63" s="3">
        <f t="shared" si="7"/>
        <v>24</v>
      </c>
      <c r="L63" s="3">
        <f t="shared" si="7"/>
        <v>24</v>
      </c>
      <c r="M63" s="3">
        <f t="shared" si="7"/>
        <v>24</v>
      </c>
      <c r="N63" s="3"/>
      <c r="O63" s="3">
        <f t="shared" si="7"/>
        <v>47</v>
      </c>
      <c r="P63" s="3">
        <f t="shared" si="7"/>
        <v>21</v>
      </c>
      <c r="Q63" s="3">
        <f t="shared" si="7"/>
        <v>23</v>
      </c>
      <c r="R63" s="3">
        <f t="shared" si="7"/>
        <v>24</v>
      </c>
      <c r="S63" s="3">
        <f t="shared" si="7"/>
        <v>24</v>
      </c>
      <c r="T63" s="3">
        <f t="shared" si="7"/>
        <v>24</v>
      </c>
      <c r="U63" s="3">
        <f t="shared" si="7"/>
        <v>23</v>
      </c>
      <c r="V63" s="3">
        <f t="shared" si="7"/>
        <v>23</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75" thickBot="1" x14ac:dyDescent="0.3"/>
    <row r="72" spans="1:22" s="48" customFormat="1" ht="27" thickBot="1" x14ac:dyDescent="0.3">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Atenolol-0,01mg/L</v>
      </c>
      <c r="J74" s="46" t="str">
        <f t="shared" si="9"/>
        <v>Atenolol-0,1mg/L</v>
      </c>
      <c r="K74" s="46" t="str">
        <f t="shared" si="9"/>
        <v>Atenolol-1mg/L</v>
      </c>
      <c r="L74" s="46" t="str">
        <f t="shared" si="9"/>
        <v>Atenolol-10mg/L</v>
      </c>
      <c r="M74" s="46" t="str">
        <f t="shared" si="9"/>
        <v>Atenolol-100mg/L</v>
      </c>
      <c r="N74" s="46"/>
      <c r="O74" s="46" t="str">
        <f t="shared" ref="O74:V74" si="10">O4</f>
        <v>Testo -30µg/L</v>
      </c>
      <c r="P74" s="46" t="str">
        <f t="shared" si="10"/>
        <v>Testo 30µg/L + EE2 -64ng/L</v>
      </c>
      <c r="Q74" s="46" t="str">
        <f t="shared" si="10"/>
        <v>Testo 30µg/L + FAD-10mg/L</v>
      </c>
      <c r="R74" s="46" t="str">
        <f t="shared" si="10"/>
        <v>Atenolol-0,01mg/L + Testostérone</v>
      </c>
      <c r="S74" s="46" t="str">
        <f t="shared" si="10"/>
        <v>Atenolol-0,1mg/L + Testostérone</v>
      </c>
      <c r="T74" s="46" t="str">
        <f t="shared" si="10"/>
        <v>Atenolol-1mg/L + Testostérone</v>
      </c>
      <c r="U74" s="46" t="str">
        <f t="shared" si="10"/>
        <v>Atenolol-10mg/L + Testostérone</v>
      </c>
      <c r="V74" s="46" t="str">
        <f t="shared" si="10"/>
        <v>Atenolol-100mg/L + Testostérone</v>
      </c>
    </row>
    <row r="75" spans="1:22" s="3" customFormat="1" x14ac:dyDescent="0.25">
      <c r="A75" s="61" t="s">
        <v>32</v>
      </c>
      <c r="B75" s="142">
        <f>B56</f>
        <v>9.6413555267375828E-2</v>
      </c>
      <c r="C75" s="142">
        <f t="shared" ref="C75:V75" si="11">C56</f>
        <v>8.7704201645813898E-2</v>
      </c>
      <c r="D75" s="142">
        <f t="shared" si="11"/>
        <v>0.11100273251743865</v>
      </c>
      <c r="E75" s="142">
        <f t="shared" si="11"/>
        <v>0.21518929125091338</v>
      </c>
      <c r="F75" s="142">
        <f t="shared" si="11"/>
        <v>0.58335648834801479</v>
      </c>
      <c r="G75" s="142">
        <f t="shared" si="11"/>
        <v>1.3458128846375972</v>
      </c>
      <c r="H75" s="142">
        <f t="shared" si="11"/>
        <v>2.2574109151377342</v>
      </c>
      <c r="I75" s="142">
        <f t="shared" si="11"/>
        <v>8.9790084468862177E-2</v>
      </c>
      <c r="J75" s="142">
        <f t="shared" si="11"/>
        <v>4.374594141633336E-2</v>
      </c>
      <c r="K75" s="142">
        <f t="shared" si="11"/>
        <v>0.10494288088933629</v>
      </c>
      <c r="L75" s="142">
        <f t="shared" si="11"/>
        <v>9.3407728517463304E-2</v>
      </c>
      <c r="M75" s="142">
        <f t="shared" si="11"/>
        <v>0.10781441438591959</v>
      </c>
      <c r="N75" s="142"/>
      <c r="O75" s="142">
        <f t="shared" si="11"/>
        <v>1.0000000000000002</v>
      </c>
      <c r="P75" s="142">
        <f t="shared" si="11"/>
        <v>1.4859658265130984</v>
      </c>
      <c r="Q75" s="142">
        <f t="shared" si="11"/>
        <v>7.5996445828110118E-2</v>
      </c>
      <c r="R75" s="142">
        <f t="shared" si="11"/>
        <v>0.99832957952599288</v>
      </c>
      <c r="S75" s="142">
        <f t="shared" si="11"/>
        <v>1.0086940934449224</v>
      </c>
      <c r="T75" s="142">
        <f t="shared" si="11"/>
        <v>1.1319296764782072</v>
      </c>
      <c r="U75" s="142">
        <f t="shared" si="11"/>
        <v>0.98130457340648169</v>
      </c>
      <c r="V75" s="142">
        <f t="shared" si="11"/>
        <v>1.1488026385460919</v>
      </c>
    </row>
    <row r="76" spans="1:22" s="3" customFormat="1" x14ac:dyDescent="0.25">
      <c r="A76" s="61" t="s">
        <v>2</v>
      </c>
      <c r="B76" s="142">
        <f>B58</f>
        <v>1.704379261219386E-2</v>
      </c>
      <c r="C76" s="142">
        <f t="shared" ref="C76:V76" si="12">C58</f>
        <v>1.1960851971809889E-2</v>
      </c>
      <c r="D76" s="142">
        <f t="shared" si="12"/>
        <v>2.6259458774713546E-2</v>
      </c>
      <c r="E76" s="142">
        <f t="shared" si="12"/>
        <v>3.95503364467732E-2</v>
      </c>
      <c r="F76" s="142">
        <f t="shared" si="12"/>
        <v>0.1235063933606029</v>
      </c>
      <c r="G76" s="142">
        <f t="shared" si="12"/>
        <v>0.10501320519245963</v>
      </c>
      <c r="H76" s="142">
        <f t="shared" si="12"/>
        <v>0.18804683919930312</v>
      </c>
      <c r="I76" s="142">
        <f t="shared" si="12"/>
        <v>1.2991832972567901E-2</v>
      </c>
      <c r="J76" s="142">
        <f t="shared" si="12"/>
        <v>9.1120023731064616E-3</v>
      </c>
      <c r="K76" s="142">
        <f t="shared" si="12"/>
        <v>1.9586226931114521E-2</v>
      </c>
      <c r="L76" s="142">
        <f t="shared" si="12"/>
        <v>1.7670464541692649E-2</v>
      </c>
      <c r="M76" s="142">
        <f t="shared" si="12"/>
        <v>2.0834884926607383E-2</v>
      </c>
      <c r="N76" s="142"/>
      <c r="O76" s="142">
        <f t="shared" si="12"/>
        <v>8.2404802336767127E-2</v>
      </c>
      <c r="P76" s="142">
        <f t="shared" si="12"/>
        <v>0.12989033169582018</v>
      </c>
      <c r="Q76" s="142">
        <f t="shared" si="12"/>
        <v>1.3472798562892515E-2</v>
      </c>
      <c r="R76" s="142">
        <f t="shared" si="12"/>
        <v>9.029532730396693E-2</v>
      </c>
      <c r="S76" s="142">
        <f t="shared" si="12"/>
        <v>0.10800873730992118</v>
      </c>
      <c r="T76" s="142">
        <f t="shared" si="12"/>
        <v>0.11495897646267009</v>
      </c>
      <c r="U76" s="142">
        <f t="shared" si="12"/>
        <v>9.9642023383718706E-2</v>
      </c>
      <c r="V76" s="142">
        <f t="shared" si="12"/>
        <v>0.11316630328958455</v>
      </c>
    </row>
    <row r="77" spans="1:22" s="3" customFormat="1" x14ac:dyDescent="0.25">
      <c r="A77" s="61" t="s">
        <v>79</v>
      </c>
      <c r="B77" s="142">
        <f>(B75*100/$B$75)-100</f>
        <v>0</v>
      </c>
      <c r="C77" s="142">
        <f t="shared" ref="C77:M77" si="13">(C75*100/$B$75)-100</f>
        <v>-9.0333289726833499</v>
      </c>
      <c r="D77" s="142">
        <f t="shared" si="13"/>
        <v>15.131873531272504</v>
      </c>
      <c r="E77" s="142">
        <f t="shared" si="13"/>
        <v>123.1940214777336</v>
      </c>
      <c r="F77" s="142">
        <f t="shared" si="13"/>
        <v>505.05650551962322</v>
      </c>
      <c r="G77" s="142">
        <f t="shared" si="13"/>
        <v>1295.8751763746957</v>
      </c>
      <c r="H77" s="142">
        <f t="shared" si="13"/>
        <v>2241.383334405044</v>
      </c>
      <c r="I77" s="142">
        <f t="shared" si="13"/>
        <v>-6.8698543271693779</v>
      </c>
      <c r="J77" s="142">
        <f t="shared" si="13"/>
        <v>-54.626772869212921</v>
      </c>
      <c r="K77" s="142">
        <f t="shared" si="13"/>
        <v>8.8466041920213172</v>
      </c>
      <c r="L77" s="142">
        <f t="shared" si="13"/>
        <v>-3.1176391551755529</v>
      </c>
      <c r="M77" s="142">
        <f t="shared" si="13"/>
        <v>11.824954579184109</v>
      </c>
      <c r="N77" s="142"/>
      <c r="O77" s="142">
        <f>(O75*100/$O$75)-100</f>
        <v>0</v>
      </c>
      <c r="P77" s="142">
        <f t="shared" ref="P77:V77" si="14">(P75*100/$O$75)-100</f>
        <v>48.596582651309802</v>
      </c>
      <c r="Q77" s="142">
        <f t="shared" si="14"/>
        <v>-92.40035541718899</v>
      </c>
      <c r="R77" s="142">
        <f t="shared" si="14"/>
        <v>-0.16704204740074147</v>
      </c>
      <c r="S77" s="142">
        <f t="shared" si="14"/>
        <v>0.86940934449221174</v>
      </c>
      <c r="T77" s="142">
        <f t="shared" si="14"/>
        <v>13.192967647820694</v>
      </c>
      <c r="U77" s="142">
        <f t="shared" si="14"/>
        <v>-1.8695426593518647</v>
      </c>
      <c r="V77" s="142">
        <f t="shared" si="14"/>
        <v>14.880263854609154</v>
      </c>
    </row>
    <row r="78" spans="1:22" s="3" customFormat="1" x14ac:dyDescent="0.25">
      <c r="A78" s="61" t="s">
        <v>81</v>
      </c>
      <c r="B78" s="142">
        <f>[2]!DPTEST(B6:B53)</f>
        <v>6.2881787829519031E-2</v>
      </c>
      <c r="C78" s="142">
        <f>[2]!DPTEST(C6:C53)</f>
        <v>3.7212486103889386E-2</v>
      </c>
      <c r="D78" s="142">
        <f>[2]!DPTEST(D6:D53)</f>
        <v>4.9054335953369055E-5</v>
      </c>
      <c r="E78" s="142">
        <f>[2]!DPTEST(E6:E53)</f>
        <v>4.6122347026295252E-2</v>
      </c>
      <c r="F78" s="142">
        <f>[2]!DPTEST(F6:F53)</f>
        <v>3.4418164319456324E-3</v>
      </c>
      <c r="G78" s="142">
        <f>[2]!DPTEST(G6:G53)</f>
        <v>6.4680466438466366E-2</v>
      </c>
      <c r="H78" s="142">
        <f>[2]!DPTEST(H6:H53)</f>
        <v>0.69775482994527027</v>
      </c>
      <c r="I78" s="142">
        <f>[2]!DPTEST(I6:I53)</f>
        <v>0.14823692268619837</v>
      </c>
      <c r="J78" s="142">
        <f>[2]!DPTEST(J6:J53)</f>
        <v>1.9675434000498981E-5</v>
      </c>
      <c r="K78" s="142">
        <f>[2]!DPTEST(K6:K53)</f>
        <v>6.8253404907845261E-2</v>
      </c>
      <c r="L78" s="142">
        <f>[2]!DPTEST(L6:L53)</f>
        <v>9.4393337554623535E-3</v>
      </c>
      <c r="M78" s="142">
        <f>[2]!DPTEST(M6:M53)</f>
        <v>6.7623947865103062E-3</v>
      </c>
      <c r="N78" s="142" t="e">
        <f>[2]!DPTEST(N6:N53)</f>
        <v>#N/A</v>
      </c>
      <c r="O78" s="142">
        <f>[2]!DPTEST(O6:O53)</f>
        <v>3.5505457907085702E-3</v>
      </c>
      <c r="P78" s="142">
        <f>[2]!DPTEST(P6:P53)</f>
        <v>0.12921484502594172</v>
      </c>
      <c r="Q78" s="142">
        <f>[2]!DPTEST(Q6:Q53)</f>
        <v>0.18394462481711682</v>
      </c>
      <c r="R78" s="142">
        <f>[2]!DPTEST(R6:R53)</f>
        <v>0.73547423843340565</v>
      </c>
      <c r="S78" s="142">
        <f>[2]!DPTEST(S6:S53)</f>
        <v>0.47938228287931017</v>
      </c>
      <c r="T78" s="142">
        <f>[2]!DPTEST(T6:T53)</f>
        <v>0.22198822022228337</v>
      </c>
      <c r="U78" s="142">
        <f>[2]!DPTEST(U6:U53)</f>
        <v>0.66237774422363627</v>
      </c>
      <c r="V78" s="142">
        <f>[2]!DPTEST(V6:V53)</f>
        <v>0.44328187785826922</v>
      </c>
    </row>
    <row r="79" spans="1:22" s="3" customFormat="1" x14ac:dyDescent="0.25">
      <c r="A79" s="61" t="s">
        <v>85</v>
      </c>
      <c r="B79" s="142" t="str">
        <f>IF(B78&gt;0.05,"Oui","Non")</f>
        <v>Oui</v>
      </c>
      <c r="C79" s="142" t="str">
        <f t="shared" ref="C79:V79" si="15">IF(C78&gt;0.05,"Oui","Non")</f>
        <v>Non</v>
      </c>
      <c r="D79" s="142" t="str">
        <f t="shared" si="15"/>
        <v>Non</v>
      </c>
      <c r="E79" s="142" t="str">
        <f t="shared" si="15"/>
        <v>Non</v>
      </c>
      <c r="F79" s="142" t="str">
        <f t="shared" si="15"/>
        <v>Non</v>
      </c>
      <c r="G79" s="142" t="str">
        <f t="shared" si="15"/>
        <v>Oui</v>
      </c>
      <c r="H79" s="142" t="str">
        <f t="shared" si="15"/>
        <v>Oui</v>
      </c>
      <c r="I79" s="142" t="str">
        <f t="shared" si="15"/>
        <v>Oui</v>
      </c>
      <c r="J79" s="142" t="str">
        <f t="shared" si="15"/>
        <v>Non</v>
      </c>
      <c r="K79" s="142" t="str">
        <f t="shared" si="15"/>
        <v>Oui</v>
      </c>
      <c r="L79" s="142" t="str">
        <f t="shared" si="15"/>
        <v>Non</v>
      </c>
      <c r="M79" s="142" t="str">
        <f t="shared" si="15"/>
        <v>Non</v>
      </c>
      <c r="N79" s="142"/>
      <c r="O79" s="142" t="str">
        <f t="shared" si="15"/>
        <v>Non</v>
      </c>
      <c r="P79" s="142" t="str">
        <f t="shared" si="15"/>
        <v>Oui</v>
      </c>
      <c r="Q79" s="142" t="str">
        <f t="shared" si="15"/>
        <v>Oui</v>
      </c>
      <c r="R79" s="142" t="str">
        <f t="shared" si="15"/>
        <v>Oui</v>
      </c>
      <c r="S79" s="142" t="str">
        <f t="shared" si="15"/>
        <v>Oui</v>
      </c>
      <c r="T79" s="142" t="str">
        <f t="shared" si="15"/>
        <v>Oui</v>
      </c>
      <c r="U79" s="142" t="str">
        <f t="shared" si="15"/>
        <v>Oui</v>
      </c>
      <c r="V79" s="142" t="str">
        <f t="shared" si="15"/>
        <v>Oui</v>
      </c>
    </row>
    <row r="80" spans="1:22" s="3" customFormat="1" x14ac:dyDescent="0.25">
      <c r="A80" s="61" t="s">
        <v>121</v>
      </c>
      <c r="B80" s="142" t="str">
        <f>IF(COUNTIF(B79:I79, "Non")=0, "Oui","Non")</f>
        <v>Non</v>
      </c>
      <c r="C80" s="142"/>
      <c r="D80" s="142"/>
      <c r="E80" s="142"/>
      <c r="F80" s="142"/>
      <c r="G80" s="142"/>
      <c r="H80" s="142"/>
      <c r="I80" s="142"/>
      <c r="J80" s="142" t="str">
        <f>IF(COUNTIF(J79:M79, "Non")&gt;0, "Oui","Non")</f>
        <v>Oui</v>
      </c>
      <c r="K80" s="142"/>
      <c r="L80" s="142"/>
      <c r="M80" s="142"/>
      <c r="N80" s="142"/>
      <c r="O80" s="142"/>
      <c r="P80" s="142"/>
      <c r="Q80" s="142"/>
      <c r="R80" s="142" t="str">
        <f>IF(COUNTIF(R79:V79, "Non")&gt;0, "Oui","Non")</f>
        <v>Non</v>
      </c>
      <c r="S80" s="142"/>
      <c r="T80" s="142"/>
      <c r="U80" s="142"/>
      <c r="V80" s="142"/>
    </row>
    <row r="81" spans="1:22" s="3" customFormat="1" x14ac:dyDescent="0.25">
      <c r="A81" s="61" t="s">
        <v>82</v>
      </c>
      <c r="B81" s="142"/>
      <c r="C81" s="142" t="str">
        <f t="shared" ref="C81:M81" si="16">IF($B80="Non","Kruskal-Wallis","ANOVA")</f>
        <v>Kruskal-Wallis</v>
      </c>
      <c r="D81" s="142" t="str">
        <f t="shared" si="16"/>
        <v>Kruskal-Wallis</v>
      </c>
      <c r="E81" s="142" t="str">
        <f t="shared" si="16"/>
        <v>Kruskal-Wallis</v>
      </c>
      <c r="F81" s="142" t="str">
        <f t="shared" si="16"/>
        <v>Kruskal-Wallis</v>
      </c>
      <c r="G81" s="142" t="str">
        <f t="shared" si="16"/>
        <v>Kruskal-Wallis</v>
      </c>
      <c r="H81" s="142" t="str">
        <f t="shared" si="16"/>
        <v>Kruskal-Wallis</v>
      </c>
      <c r="I81" s="142" t="str">
        <f t="shared" si="16"/>
        <v>Kruskal-Wallis</v>
      </c>
      <c r="J81" s="142" t="str">
        <f t="shared" si="16"/>
        <v>Kruskal-Wallis</v>
      </c>
      <c r="K81" s="142" t="str">
        <f t="shared" si="16"/>
        <v>Kruskal-Wallis</v>
      </c>
      <c r="L81" s="142" t="str">
        <f t="shared" si="16"/>
        <v>Kruskal-Wallis</v>
      </c>
      <c r="M81" s="142" t="str">
        <f t="shared" si="16"/>
        <v>Kruskal-Wallis</v>
      </c>
      <c r="N81" s="142"/>
      <c r="O81" s="142" t="str">
        <f>IF($B79="Non",IF(O79="Non","Mann Withney",IF(O79="Oui","Mann Withney","")),IF($B79="Oui",IF(O79="Oui","T-Test Welch",IF(O79="Non","Mann Withney",""))))</f>
        <v>Mann Withney</v>
      </c>
      <c r="P81" s="142" t="str">
        <f t="shared" ref="P81:V81" si="17">IF($O79="Non",IF(P79="Non","Mann Withney",IF(P$79="Oui","Mann Withney","")),IF($O79="Oui",IF(P79="Oui","T-Test Welch",IF(P79="Non","Mann Withney",""))))</f>
        <v>Mann Withney</v>
      </c>
      <c r="Q81" s="142" t="str">
        <f t="shared" si="17"/>
        <v>Mann Withney</v>
      </c>
      <c r="R81" s="142" t="str">
        <f t="shared" si="17"/>
        <v>Mann Withney</v>
      </c>
      <c r="S81" s="142" t="str">
        <f t="shared" si="17"/>
        <v>Mann Withney</v>
      </c>
      <c r="T81" s="142" t="str">
        <f t="shared" si="17"/>
        <v>Mann Withney</v>
      </c>
      <c r="U81" s="142" t="str">
        <f t="shared" si="17"/>
        <v>Mann Withney</v>
      </c>
      <c r="V81" s="142" t="str">
        <f t="shared" si="17"/>
        <v>Mann Withney</v>
      </c>
    </row>
    <row r="82" spans="1:22" s="3" customFormat="1" x14ac:dyDescent="0.25">
      <c r="A82" s="61" t="s">
        <v>83</v>
      </c>
      <c r="B82" s="142"/>
      <c r="C82" s="197">
        <v>0.99990000000000001</v>
      </c>
      <c r="D82" s="197">
        <v>0.99990000000000001</v>
      </c>
      <c r="E82" s="235">
        <v>0.49409999999999998</v>
      </c>
      <c r="F82" s="235">
        <v>3.2000000000000002E-3</v>
      </c>
      <c r="G82" s="197">
        <v>1E-4</v>
      </c>
      <c r="H82" s="197">
        <v>1E-4</v>
      </c>
      <c r="I82" s="235">
        <v>0.99990000000000001</v>
      </c>
      <c r="J82" s="235">
        <v>7.1099999999999997E-2</v>
      </c>
      <c r="K82" s="235">
        <v>0.99990000000000001</v>
      </c>
      <c r="L82" s="235">
        <v>0.99990000000000001</v>
      </c>
      <c r="M82" s="197">
        <v>0.99990000000000001</v>
      </c>
      <c r="N82" s="142"/>
      <c r="O82" s="197">
        <v>1E-4</v>
      </c>
      <c r="P82" s="235">
        <v>5.0000000000000001E-4</v>
      </c>
      <c r="Q82" s="235">
        <v>1E-4</v>
      </c>
      <c r="R82" s="197">
        <v>0.99990000000000001</v>
      </c>
      <c r="S82" s="197">
        <v>0.99990000000000001</v>
      </c>
      <c r="T82" s="197">
        <v>0.99990000000000001</v>
      </c>
      <c r="U82" s="197">
        <v>0.99990000000000001</v>
      </c>
      <c r="V82" s="197">
        <v>0.99990000000000001</v>
      </c>
    </row>
    <row r="83" spans="1:22" s="3" customFormat="1" ht="15.75" thickBot="1" x14ac:dyDescent="0.3">
      <c r="A83" s="62" t="s">
        <v>84</v>
      </c>
      <c r="B83" s="143"/>
      <c r="C83" s="143" t="str">
        <f t="shared" ref="C83:O83" si="18">IF(C82&gt;0.05,"NS",IF(C82&gt;0.01,"*",IF(C82&gt;0.001,"**","***")))</f>
        <v>NS</v>
      </c>
      <c r="D83" s="143" t="str">
        <f t="shared" si="18"/>
        <v>NS</v>
      </c>
      <c r="E83" s="143" t="str">
        <f t="shared" si="18"/>
        <v>NS</v>
      </c>
      <c r="F83" s="143" t="str">
        <f t="shared" si="18"/>
        <v>**</v>
      </c>
      <c r="G83" s="143" t="str">
        <f t="shared" si="18"/>
        <v>***</v>
      </c>
      <c r="H83" s="143" t="str">
        <f t="shared" si="18"/>
        <v>***</v>
      </c>
      <c r="I83" s="143" t="str">
        <f t="shared" si="18"/>
        <v>NS</v>
      </c>
      <c r="J83" s="143" t="str">
        <f t="shared" si="18"/>
        <v>NS</v>
      </c>
      <c r="K83" s="143" t="str">
        <f t="shared" si="18"/>
        <v>NS</v>
      </c>
      <c r="L83" s="143" t="str">
        <f t="shared" si="18"/>
        <v>NS</v>
      </c>
      <c r="M83" s="143" t="str">
        <f t="shared" si="18"/>
        <v>NS</v>
      </c>
      <c r="N83" s="143"/>
      <c r="O83" s="143" t="str">
        <f t="shared" si="18"/>
        <v>***</v>
      </c>
      <c r="P83" s="143" t="str">
        <f t="shared" ref="P83" si="19">IF(P82&gt;0.05,"NS",IF(P82&gt;0.01,"*",IF(P82&gt;0.001,"**","***")))</f>
        <v>***</v>
      </c>
      <c r="Q83" s="143" t="str">
        <f t="shared" ref="Q83:V83" si="20">IF(Q82&gt;0.05,"NS",IF(Q82&gt;0.01,"*",IF(Q82&gt;0.001,"**","***")))</f>
        <v>***</v>
      </c>
      <c r="R83" s="143" t="str">
        <f t="shared" si="20"/>
        <v>NS</v>
      </c>
      <c r="S83" s="143" t="str">
        <f t="shared" si="20"/>
        <v>NS</v>
      </c>
      <c r="T83" s="143" t="str">
        <f t="shared" si="20"/>
        <v>NS</v>
      </c>
      <c r="U83" s="143" t="str">
        <f t="shared" si="20"/>
        <v>NS</v>
      </c>
      <c r="V83" s="143" t="str">
        <f t="shared" si="20"/>
        <v>NS</v>
      </c>
    </row>
    <row r="84" spans="1:22" s="1" customFormat="1" x14ac:dyDescent="0.25"/>
    <row r="85" spans="1:22" s="1" customFormat="1" x14ac:dyDescent="0.25">
      <c r="A85" s="2" t="s">
        <v>39</v>
      </c>
    </row>
    <row r="86" spans="1:22" x14ac:dyDescent="0.25">
      <c r="A86" s="1" t="s">
        <v>23</v>
      </c>
      <c r="B86" s="1">
        <f>B56+(3*B57)</f>
        <v>0.34690512635753123</v>
      </c>
    </row>
    <row r="87" spans="1:22" x14ac:dyDescent="0.25">
      <c r="A87" s="1" t="s">
        <v>24</v>
      </c>
      <c r="B87" s="1">
        <f>B56+(10*B57)</f>
        <v>0.93138545890122704</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1" t="s">
        <v>57</v>
      </c>
      <c r="B93" s="232"/>
      <c r="C93" s="232"/>
      <c r="D93" s="232"/>
      <c r="E93" s="232"/>
      <c r="F93" s="232"/>
      <c r="G93" s="232"/>
      <c r="H93" s="232"/>
      <c r="I93" s="232"/>
      <c r="J93" s="232"/>
      <c r="K93" s="232"/>
      <c r="L93" s="232"/>
      <c r="M93" s="232"/>
      <c r="N93" s="232"/>
      <c r="O93" s="232"/>
      <c r="P93" s="232"/>
      <c r="Q93" s="232"/>
      <c r="R93" s="232"/>
      <c r="S93" s="232"/>
      <c r="T93" s="232"/>
      <c r="U93" s="232"/>
      <c r="V93" s="232"/>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1" t="s">
        <v>103</v>
      </c>
      <c r="B1" s="232"/>
      <c r="C1" s="232"/>
      <c r="D1" s="232"/>
      <c r="E1" s="232"/>
      <c r="F1" s="232"/>
      <c r="G1" s="232"/>
      <c r="H1" s="232"/>
      <c r="I1" s="232"/>
      <c r="J1" s="232"/>
      <c r="K1" s="232"/>
      <c r="L1" s="232"/>
      <c r="M1" s="232"/>
      <c r="N1" s="232"/>
      <c r="O1" s="233"/>
    </row>
    <row r="2" spans="1:15" s="48" customFormat="1" ht="27" thickBot="1" x14ac:dyDescent="0.3">
      <c r="A2" s="231" t="s">
        <v>104</v>
      </c>
      <c r="B2" s="232"/>
      <c r="C2" s="232"/>
      <c r="D2" s="232"/>
      <c r="E2" s="232"/>
      <c r="F2" s="232"/>
      <c r="G2" s="232"/>
      <c r="H2" s="232"/>
      <c r="I2" s="232"/>
      <c r="J2" s="232"/>
      <c r="K2" s="232"/>
      <c r="L2" s="232"/>
      <c r="M2" s="232"/>
      <c r="N2" s="232"/>
      <c r="O2" s="233"/>
    </row>
    <row r="3" spans="1:15" s="77" customFormat="1" ht="15.75" x14ac:dyDescent="0.25">
      <c r="H3" s="78"/>
      <c r="I3" s="78"/>
      <c r="J3" s="78"/>
      <c r="K3" s="78"/>
      <c r="L3" s="78"/>
      <c r="M3" s="78"/>
      <c r="N3" s="78"/>
    </row>
    <row r="4" spans="1:15" s="77" customFormat="1" ht="15.75" x14ac:dyDescent="0.25">
      <c r="O4"/>
    </row>
    <row r="5" spans="1:15" s="77" customFormat="1" ht="45.75" customHeight="1" thickBot="1" x14ac:dyDescent="0.3">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75" x14ac:dyDescent="0.25">
      <c r="A6" s="80" t="s">
        <v>28</v>
      </c>
      <c r="B6" s="100">
        <v>64</v>
      </c>
      <c r="C6" s="80"/>
      <c r="D6" s="80"/>
      <c r="E6" s="90"/>
      <c r="F6" s="91"/>
      <c r="G6" s="129">
        <f>IF(F6="NS","NC",ROUND(B6,2-(1+INT(LOG10(ABS(B6))))))</f>
        <v>64</v>
      </c>
      <c r="H6" s="121"/>
      <c r="I6" s="121"/>
      <c r="J6" s="122"/>
      <c r="K6" s="123"/>
      <c r="L6" s="125"/>
      <c r="M6" s="122"/>
      <c r="N6" s="92"/>
      <c r="O6"/>
    </row>
    <row r="7" spans="1:15" s="77" customFormat="1" ht="15.75" x14ac:dyDescent="0.25">
      <c r="A7" s="80" t="str">
        <f>'Page de garde'!A14</f>
        <v>Atenolol-0,01mg/L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Atenolol-0,01mg/L : 0%</v>
      </c>
      <c r="O7"/>
    </row>
    <row r="8" spans="1:15" s="77" customFormat="1" ht="15.75" x14ac:dyDescent="0.25">
      <c r="A8" s="80" t="str">
        <f>'Page de garde'!A15</f>
        <v>Atenolol-0,1mg/L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Atenolol-0,1mg/L : 0%</v>
      </c>
      <c r="O8"/>
    </row>
    <row r="9" spans="1:15" s="77" customFormat="1" ht="15.75" x14ac:dyDescent="0.25">
      <c r="A9" s="80" t="str">
        <f>'Page de garde'!A16</f>
        <v>Atenolol-1mg/L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Atenolol-1mg/L : 0%</v>
      </c>
      <c r="O9"/>
    </row>
    <row r="10" spans="1:15" s="77" customFormat="1" ht="15.75" x14ac:dyDescent="0.25">
      <c r="A10" s="80" t="str">
        <f>'Page de garde'!A17</f>
        <v>Atenolol-10mg/L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Atenolol-10mg/L : 0%</v>
      </c>
      <c r="O10"/>
    </row>
    <row r="11" spans="1:15" s="77" customFormat="1" ht="15.75" x14ac:dyDescent="0.25">
      <c r="A11" s="80" t="str">
        <f>'Page de garde'!A18</f>
        <v>Atenolol-100mg/L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Atenolol-100mg/L : 0%</v>
      </c>
      <c r="O11"/>
    </row>
    <row r="12" spans="1:15" s="77" customFormat="1" ht="15.75" x14ac:dyDescent="0.25">
      <c r="A12" s="80" t="str">
        <f>'Page de garde'!A19</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75" x14ac:dyDescent="0.25">
      <c r="A13" s="80" t="str">
        <f>'Page de garde'!A20</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75" x14ac:dyDescent="0.25">
      <c r="A14" s="80" t="str">
        <f>'Page de garde'!A21</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75" x14ac:dyDescent="0.25">
      <c r="A15" s="80" t="str">
        <f>'Page de garde'!A22</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75" x14ac:dyDescent="0.25">
      <c r="A16" s="80" t="str">
        <f>'Page de garde'!A23</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75" x14ac:dyDescent="0.25">
      <c r="A17" s="80" t="str">
        <f>'Page de garde'!A24</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75" x14ac:dyDescent="0.25">
      <c r="A18" s="80" t="str">
        <f>'Page de garde'!A25</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75" x14ac:dyDescent="0.25">
      <c r="A19" s="80" t="str">
        <f>'Page de garde'!A26</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75" x14ac:dyDescent="0.25">
      <c r="A20" s="80" t="str">
        <f>'Page de garde'!A27</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75" x14ac:dyDescent="0.25">
      <c r="A21" s="80" t="str">
        <f>'Page de garde'!A28</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75" x14ac:dyDescent="0.25">
      <c r="A22" s="80" t="str">
        <f>'Page de garde'!A29</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75" x14ac:dyDescent="0.25">
      <c r="A23" s="80" t="str">
        <f>'Page de garde'!A30</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75" x14ac:dyDescent="0.25">
      <c r="A24" s="80" t="str">
        <f>'Page de garde'!A31</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75" x14ac:dyDescent="0.25">
      <c r="A25" s="80" t="str">
        <f>'Page de garde'!A32</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75" x14ac:dyDescent="0.25">
      <c r="A26" s="80" t="str">
        <f>'Page de garde'!A33</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75" x14ac:dyDescent="0.25">
      <c r="A27"/>
      <c r="B27"/>
      <c r="C27"/>
      <c r="D27"/>
      <c r="E27"/>
      <c r="F27"/>
      <c r="G27"/>
      <c r="H27"/>
      <c r="I27"/>
      <c r="J27"/>
      <c r="K27"/>
      <c r="L27"/>
      <c r="M27"/>
      <c r="N27"/>
      <c r="O27" s="1"/>
    </row>
    <row r="28" spans="1:15" s="77" customFormat="1" ht="32.25" thickBot="1" x14ac:dyDescent="0.3">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75" x14ac:dyDescent="0.25">
      <c r="A29" s="84" t="s">
        <v>29</v>
      </c>
      <c r="B29" s="100"/>
      <c r="C29" s="80"/>
      <c r="D29" s="80"/>
      <c r="E29" s="82"/>
      <c r="F29" s="91"/>
      <c r="G29" s="134"/>
      <c r="H29" s="121"/>
      <c r="I29" s="121"/>
      <c r="J29" s="122"/>
      <c r="K29" s="123"/>
      <c r="L29" s="125"/>
      <c r="M29" s="122"/>
      <c r="N29" s="92"/>
      <c r="O29"/>
    </row>
    <row r="30" spans="1:15" s="77" customFormat="1" ht="15.75" x14ac:dyDescent="0.25">
      <c r="A30" s="84" t="s">
        <v>31</v>
      </c>
      <c r="B30" s="100"/>
      <c r="C30" s="80"/>
      <c r="D30" s="80"/>
      <c r="E30" s="82"/>
      <c r="F30" s="91"/>
      <c r="G30" s="133" t="e">
        <f>IF(F30="NS","NC",ROUND(B30-$B$29,2-(1+INT(LOG10(ABS(B30-$B$29))))))</f>
        <v>#NUM!</v>
      </c>
      <c r="H30" s="121"/>
      <c r="I30" s="134"/>
      <c r="J30" s="135"/>
      <c r="K30" s="136"/>
      <c r="L30" s="135"/>
      <c r="M30" s="135"/>
      <c r="N30" s="137"/>
      <c r="O30"/>
    </row>
    <row r="31" spans="1:15" s="77" customFormat="1" ht="15.75" x14ac:dyDescent="0.2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75" x14ac:dyDescent="0.25">
      <c r="A32" s="128" t="str">
        <f>'Page de garde'!A38</f>
        <v>Atenolol-0,01mg/L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Atenolol-0,01mg/L : 0%</v>
      </c>
    </row>
    <row r="33" spans="1:14" s="77" customFormat="1" ht="15.75" x14ac:dyDescent="0.25">
      <c r="A33" s="128" t="str">
        <f>'Page de garde'!A39</f>
        <v>Atenolol-0,1mg/L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Atenolol-0,1mg/L : 0%</v>
      </c>
    </row>
    <row r="34" spans="1:14" s="77" customFormat="1" ht="15.75" x14ac:dyDescent="0.25">
      <c r="A34" s="128" t="str">
        <f>'Page de garde'!A40</f>
        <v>Atenolol-1mg/L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Atenolol-1mg/L : 0%</v>
      </c>
    </row>
    <row r="35" spans="1:14" s="77" customFormat="1" ht="15.75" x14ac:dyDescent="0.25">
      <c r="A35" s="128" t="str">
        <f>'Page de garde'!A41</f>
        <v>Atenolol-10mg/L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Atenolol-10mg/L : 0%</v>
      </c>
    </row>
    <row r="36" spans="1:14" s="77" customFormat="1" ht="15.75" x14ac:dyDescent="0.25">
      <c r="A36" s="128" t="str">
        <f>'Page de garde'!A42</f>
        <v>Atenolol-100mg/L + Testostérone</v>
      </c>
      <c r="B36" s="99"/>
      <c r="C36" s="87"/>
      <c r="D36" s="87"/>
      <c r="E36" s="82"/>
      <c r="F36" s="94" t="str">
        <f>HLOOKUP(A36,'pooled normalised values'!$B$74:$V$83,10,FALSE)</f>
        <v>NS</v>
      </c>
      <c r="G36" s="133" t="str">
        <f t="shared" si="6"/>
        <v>NC</v>
      </c>
      <c r="H36" s="124" t="str">
        <f>IF(VLOOKUP(A36,liste_groupe[],4,FALSE)="%",VLOOKUP(A36,liste_groupe[],3,FALSE)/100,IF(ISBLANK(VLOOKUP(A36,liste_groupe[],4,FALSE)),"Non","Non"))</f>
        <v>Non</v>
      </c>
      <c r="I36" s="133" t="str">
        <f t="shared" si="7"/>
        <v>NC</v>
      </c>
      <c r="J36" s="138" t="e">
        <f t="shared" si="8"/>
        <v>#NUM!</v>
      </c>
      <c r="K36" s="139">
        <f t="shared" si="9"/>
        <v>0</v>
      </c>
      <c r="L36" s="140"/>
      <c r="M36" s="132">
        <f t="shared" si="10"/>
        <v>0</v>
      </c>
      <c r="N36" s="141" t="str">
        <f>IF(H36="Non",CONCATENATE(VLOOKUP(A36,liste_groupe[],5,FALSE),"-",VLOOKUP(A36,liste_groupe[],3,FALSE),VLOOKUP(A36,liste_groupe[],4,FALSE)," : ",ROUND(K36,0),"%"),CONCATENATE(VLOOKUP(A36,liste_groupe[],5,FALSE)," : ",ROUND(K36,0),"%"))</f>
        <v>Atenolol-100mg/L : 0%</v>
      </c>
    </row>
    <row r="37" spans="1:14" s="77" customFormat="1" ht="15.75" x14ac:dyDescent="0.25">
      <c r="A37" s="128">
        <f>'Page de garde'!A43</f>
        <v>0</v>
      </c>
      <c r="B37" s="99"/>
      <c r="C37" s="87"/>
      <c r="D37" s="87"/>
      <c r="E37" s="82"/>
      <c r="F37" s="94" t="e">
        <f>HLOOKUP(A37,'pooled normalised values'!$B$74:$V$83,10,FALSE)</f>
        <v>#N/A</v>
      </c>
      <c r="G37" s="133" t="e">
        <f t="shared" si="6"/>
        <v>#N/A</v>
      </c>
      <c r="H37" s="124" t="e">
        <f>IF(VLOOKUP(A37,liste_groupe[],4,FALSE)="%",VLOOKUP(A37,liste_groupe[],3,FALSE)/100,IF(ISBLANK(VLOOKUP(A37,liste_groupe[],4,FALSE)),"Non","Non"))</f>
        <v>#N/A</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75" x14ac:dyDescent="0.25">
      <c r="A38" s="128">
        <f>'Page de garde'!A44</f>
        <v>0</v>
      </c>
      <c r="B38" s="99"/>
      <c r="C38" s="87"/>
      <c r="D38" s="87"/>
      <c r="E38" s="82"/>
      <c r="F38" s="94" t="e">
        <f>HLOOKUP(A38,'pooled normalised values'!$B$74:$V$83,10,FALSE)</f>
        <v>#N/A</v>
      </c>
      <c r="G38" s="133" t="e">
        <f t="shared" si="6"/>
        <v>#N/A</v>
      </c>
      <c r="H38" s="124" t="e">
        <f>IF(VLOOKUP(A38,liste_groupe[],4,FALSE)="%",VLOOKUP(A38,liste_groupe[],3,FALSE)/100,IF(ISBLANK(VLOOKUP(A38,liste_groupe[],4,FALSE)),"Non","Non"))</f>
        <v>#N/A</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75" x14ac:dyDescent="0.25">
      <c r="A39" s="128">
        <f>'Page de garde'!A45</f>
        <v>0</v>
      </c>
      <c r="B39" s="99"/>
      <c r="C39" s="87"/>
      <c r="D39" s="87"/>
      <c r="E39" s="82"/>
      <c r="F39" s="94" t="e">
        <f>HLOOKUP(A39,'pooled normalised values'!$B$74:$V$83,10,FALSE)</f>
        <v>#N/A</v>
      </c>
      <c r="G39" s="133" t="e">
        <f t="shared" ref="G39:G50" si="11">IF(F39="NS","NC",ROUND(B39-$B$29,2-(1+INT(LOG10(ABS(B39-$B$29))))))</f>
        <v>#N/A</v>
      </c>
      <c r="H39" s="124" t="e">
        <f>IF(VLOOKUP(A39,liste_groupe[],4,FALSE)="%",VLOOKUP(A39,liste_groupe[],3,FALSE)/100,IF(ISBLANK(VLOOKUP(A39,liste_groupe[],4,FALSE)),"Non","Non"))</f>
        <v>#N/A</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75" x14ac:dyDescent="0.25">
      <c r="A40" s="128">
        <f>'Page de garde'!A46</f>
        <v>0</v>
      </c>
      <c r="B40" s="99"/>
      <c r="C40" s="87"/>
      <c r="D40" s="87"/>
      <c r="E40" s="82"/>
      <c r="F40" s="94" t="e">
        <f>HLOOKUP(A40,'pooled normalised values'!$B$74:$V$83,10,FALSE)</f>
        <v>#N/A</v>
      </c>
      <c r="G40" s="133" t="e">
        <f t="shared" si="11"/>
        <v>#N/A</v>
      </c>
      <c r="H40" s="124" t="e">
        <f>IF(VLOOKUP(A40,liste_groupe[],4,FALSE)="%",VLOOKUP(A40,liste_groupe[],3,FALSE)/100,IF(ISBLANK(VLOOKUP(A40,liste_groupe[],4,FALSE)),"Non","Non"))</f>
        <v>#N/A</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75" x14ac:dyDescent="0.25">
      <c r="A41" s="128">
        <f>'Page de garde'!A47</f>
        <v>0</v>
      </c>
      <c r="B41" s="99"/>
      <c r="C41" s="87"/>
      <c r="D41" s="87"/>
      <c r="E41" s="82"/>
      <c r="F41" s="94" t="e">
        <f>HLOOKUP(A41,'pooled normalised values'!$B$74:$V$83,10,FALSE)</f>
        <v>#N/A</v>
      </c>
      <c r="G41" s="133" t="e">
        <f t="shared" si="11"/>
        <v>#N/A</v>
      </c>
      <c r="H41" s="124" t="e">
        <f>IF(VLOOKUP(A41,liste_groupe[],4,FALSE)="%",VLOOKUP(A41,liste_groupe[],3,FALSE)/100,IF(ISBLANK(VLOOKUP(A41,liste_groupe[],4,FALSE)),"Non","Non"))</f>
        <v>#N/A</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75" x14ac:dyDescent="0.25">
      <c r="A42" s="128">
        <f>'Page de garde'!A48</f>
        <v>0</v>
      </c>
      <c r="B42" s="99"/>
      <c r="C42" s="87"/>
      <c r="D42" s="87"/>
      <c r="E42" s="82"/>
      <c r="F42" s="94" t="e">
        <f>HLOOKUP(A42,'pooled normalised values'!$B$74:$V$83,10,FALSE)</f>
        <v>#N/A</v>
      </c>
      <c r="G42" s="133" t="e">
        <f t="shared" si="11"/>
        <v>#N/A</v>
      </c>
      <c r="H42" s="124" t="e">
        <f>IF(VLOOKUP(A42,liste_groupe[],4,FALSE)="%",VLOOKUP(A42,liste_groupe[],3,FALSE)/100,IF(ISBLANK(VLOOKUP(A42,liste_groupe[],4,FALSE)),"Non","Non"))</f>
        <v>#N/A</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75" x14ac:dyDescent="0.25">
      <c r="A43" s="128">
        <f>'Page de garde'!A49</f>
        <v>0</v>
      </c>
      <c r="B43" s="99"/>
      <c r="C43" s="87"/>
      <c r="D43" s="87"/>
      <c r="E43" s="82"/>
      <c r="F43" s="94" t="e">
        <f>HLOOKUP(A43,'pooled normalised values'!$B$74:$V$83,10,FALSE)</f>
        <v>#N/A</v>
      </c>
      <c r="G43" s="133" t="e">
        <f t="shared" si="11"/>
        <v>#N/A</v>
      </c>
      <c r="H43" s="124" t="e">
        <f>IF(VLOOKUP(A43,liste_groupe[],4,FALSE)="%",VLOOKUP(A43,liste_groupe[],3,FALSE)/100,IF(ISBLANK(VLOOKUP(A43,liste_groupe[],4,FALSE)),"Non","Non"))</f>
        <v>#N/A</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75" x14ac:dyDescent="0.25">
      <c r="A44" s="128">
        <f>'Page de garde'!A50</f>
        <v>0</v>
      </c>
      <c r="B44" s="99"/>
      <c r="C44" s="87"/>
      <c r="D44" s="87"/>
      <c r="E44" s="82"/>
      <c r="F44" s="94" t="e">
        <f>HLOOKUP(A44,'pooled normalised values'!$B$74:$V$83,10,FALSE)</f>
        <v>#N/A</v>
      </c>
      <c r="G44" s="133" t="e">
        <f t="shared" si="11"/>
        <v>#N/A</v>
      </c>
      <c r="H44" s="124" t="e">
        <f>IF(VLOOKUP(A44,liste_groupe[],4,FALSE)="%",VLOOKUP(A44,liste_groupe[],3,FALSE)/100,IF(ISBLANK(VLOOKUP(A44,liste_groupe[],4,FALSE)),"Non","Non"))</f>
        <v>#N/A</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75" x14ac:dyDescent="0.25">
      <c r="A45" s="128">
        <f>'Page de garde'!A51</f>
        <v>0</v>
      </c>
      <c r="B45" s="99"/>
      <c r="C45" s="87"/>
      <c r="D45" s="87"/>
      <c r="E45" s="82"/>
      <c r="F45" s="94" t="e">
        <f>HLOOKUP(A45,'pooled normalised values'!$B$74:$V$83,10,FALSE)</f>
        <v>#N/A</v>
      </c>
      <c r="G45" s="133" t="e">
        <f t="shared" si="11"/>
        <v>#N/A</v>
      </c>
      <c r="H45" s="124" t="e">
        <f>IF(VLOOKUP(A45,liste_groupe[],4,FALSE)="%",VLOOKUP(A45,liste_groupe[],3,FALSE)/100,IF(ISBLANK(VLOOKUP(A45,liste_groupe[],4,FALSE)),"Non","Non"))</f>
        <v>#N/A</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75" x14ac:dyDescent="0.25">
      <c r="A46" s="128">
        <f>'Page de garde'!A52</f>
        <v>0</v>
      </c>
      <c r="B46" s="99"/>
      <c r="C46" s="87"/>
      <c r="D46" s="87"/>
      <c r="E46" s="82"/>
      <c r="F46" s="94" t="e">
        <f>HLOOKUP(A46,'pooled normalised values'!$B$74:$V$83,10,FALSE)</f>
        <v>#N/A</v>
      </c>
      <c r="G46" s="133" t="e">
        <f t="shared" si="11"/>
        <v>#N/A</v>
      </c>
      <c r="H46" s="124" t="e">
        <f>IF(VLOOKUP(A46,liste_groupe[],4,FALSE)="%",VLOOKUP(A46,liste_groupe[],3,FALSE)/100,IF(ISBLANK(VLOOKUP(A46,liste_groupe[],4,FALSE)),"Non","Non"))</f>
        <v>#N/A</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75" x14ac:dyDescent="0.25">
      <c r="A47" s="128">
        <f>'Page de garde'!A53</f>
        <v>0</v>
      </c>
      <c r="B47" s="99"/>
      <c r="C47" s="87"/>
      <c r="D47" s="87"/>
      <c r="E47" s="82"/>
      <c r="F47" s="94" t="e">
        <f>HLOOKUP(A47,'pooled normalised values'!$B$74:$V$83,10,FALSE)</f>
        <v>#N/A</v>
      </c>
      <c r="G47" s="133" t="e">
        <f t="shared" si="11"/>
        <v>#N/A</v>
      </c>
      <c r="H47" s="124" t="e">
        <f>IF(VLOOKUP(A47,liste_groupe[],4,FALSE)="%",VLOOKUP(A47,liste_groupe[],3,FALSE)/100,IF(ISBLANK(VLOOKUP(A47,liste_groupe[],4,FALSE)),"Non","Non"))</f>
        <v>#N/A</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75" x14ac:dyDescent="0.25">
      <c r="A48" s="128">
        <f>'Page de garde'!A54</f>
        <v>0</v>
      </c>
      <c r="B48" s="99"/>
      <c r="C48" s="87"/>
      <c r="D48" s="87"/>
      <c r="E48" s="82"/>
      <c r="F48" s="94" t="e">
        <f>HLOOKUP(A48,'pooled normalised values'!$B$74:$V$83,10,FALSE)</f>
        <v>#N/A</v>
      </c>
      <c r="G48" s="133" t="e">
        <f t="shared" si="11"/>
        <v>#N/A</v>
      </c>
      <c r="H48" s="124" t="e">
        <f>IF(VLOOKUP(A48,liste_groupe[],4,FALSE)="%",VLOOKUP(A48,liste_groupe[],3,FALSE)/100,IF(ISBLANK(VLOOKUP(A48,liste_groupe[],4,FALSE)),"Non","Non"))</f>
        <v>#N/A</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75" x14ac:dyDescent="0.25">
      <c r="A49" s="128">
        <f>'Page de garde'!A55</f>
        <v>0</v>
      </c>
      <c r="B49" s="99"/>
      <c r="C49" s="87"/>
      <c r="D49" s="87"/>
      <c r="E49" s="82"/>
      <c r="F49" s="94" t="e">
        <f>HLOOKUP(A49,'pooled normalised values'!$B$74:$V$83,10,FALSE)</f>
        <v>#N/A</v>
      </c>
      <c r="G49" s="133" t="e">
        <f t="shared" si="11"/>
        <v>#N/A</v>
      </c>
      <c r="H49" s="124" t="e">
        <f>IF(VLOOKUP(A49,liste_groupe[],4,FALSE)="%",VLOOKUP(A49,liste_groupe[],3,FALSE)/100,IF(ISBLANK(VLOOKUP(A49,liste_groupe[],4,FALSE)),"Non","Non"))</f>
        <v>#N/A</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75" x14ac:dyDescent="0.25">
      <c r="A50" s="128">
        <f>'Page de garde'!A56</f>
        <v>0</v>
      </c>
      <c r="B50" s="99"/>
      <c r="C50" s="87"/>
      <c r="D50" s="87"/>
      <c r="E50" s="82"/>
      <c r="F50" s="94" t="e">
        <f>HLOOKUP(A50,'pooled normalised values'!$B$74:$V$83,10,FALSE)</f>
        <v>#N/A</v>
      </c>
      <c r="G50" s="133" t="e">
        <f t="shared" si="11"/>
        <v>#N/A</v>
      </c>
      <c r="H50" s="124" t="e">
        <f>IF(VLOOKUP(A50,liste_groupe[],4,FALSE)="%",VLOOKUP(A50,liste_groupe[],3,FALSE)/100,IF(ISBLANK(VLOOKUP(A50,liste_groupe[],4,FALSE)),"Non","Non"))</f>
        <v>#N/A</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75" x14ac:dyDescent="0.25">
      <c r="A51" s="128">
        <f>'Page de garde'!A57</f>
        <v>0</v>
      </c>
      <c r="B51" s="99"/>
      <c r="C51" s="87"/>
      <c r="D51" s="87"/>
      <c r="E51" s="82"/>
      <c r="F51" s="94" t="e">
        <f>HLOOKUP(A51,'pooled normalised values'!$B$74:$V$83,10,FALSE)</f>
        <v>#N/A</v>
      </c>
      <c r="G51" s="133" t="e">
        <f t="shared" si="6"/>
        <v>#N/A</v>
      </c>
      <c r="H51" s="124" t="e">
        <f>IF(VLOOKUP(A51,liste_groupe[],4,FALSE)="%",VLOOKUP(A51,liste_groupe[],3,FALSE)/100,IF(ISBLANK(VLOOKUP(A51,liste_groupe[],4,FALSE)),"Non","Non"))</f>
        <v>#N/A</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5" thickBot="1" x14ac:dyDescent="0.3">
      <c r="E52" s="78"/>
      <c r="F52" s="78"/>
      <c r="G52" s="78"/>
      <c r="H52" s="78"/>
      <c r="I52" s="78"/>
      <c r="J52" s="78"/>
      <c r="K52" s="78"/>
      <c r="L52" s="78"/>
      <c r="M52" s="78"/>
      <c r="N52" s="78"/>
    </row>
    <row r="53" spans="1:15" s="48" customFormat="1" ht="27" thickBot="1" x14ac:dyDescent="0.3">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80" customWidth="1"/>
    <col min="2" max="2" width="46.28515625" style="180" customWidth="1"/>
    <col min="3" max="3" width="15.28515625" style="180" customWidth="1"/>
    <col min="4" max="4" width="24.7109375" style="180" customWidth="1"/>
    <col min="5" max="5" width="24.42578125" style="180" customWidth="1"/>
    <col min="6" max="6" width="23.140625" style="180" customWidth="1"/>
    <col min="7" max="7" width="21.28515625" style="180" customWidth="1"/>
    <col min="8" max="16384" width="11.42578125" style="180"/>
  </cols>
  <sheetData>
    <row r="1" spans="1:7" ht="30.75" thickBot="1" x14ac:dyDescent="0.3">
      <c r="A1" s="185" t="s">
        <v>130</v>
      </c>
      <c r="B1" s="186" t="s">
        <v>131</v>
      </c>
      <c r="C1" s="186" t="s">
        <v>137</v>
      </c>
      <c r="D1" s="186" t="s">
        <v>136</v>
      </c>
      <c r="E1" s="186" t="s">
        <v>138</v>
      </c>
      <c r="F1" s="187" t="s">
        <v>139</v>
      </c>
      <c r="G1" s="188" t="s">
        <v>140</v>
      </c>
    </row>
    <row r="2" spans="1:7" ht="60" x14ac:dyDescent="0.25">
      <c r="A2" s="181" t="s">
        <v>132</v>
      </c>
      <c r="B2" s="182" t="s">
        <v>133</v>
      </c>
      <c r="C2" s="182" t="s">
        <v>134</v>
      </c>
      <c r="D2" s="182" t="s">
        <v>141</v>
      </c>
      <c r="E2" s="182" t="s">
        <v>135</v>
      </c>
      <c r="F2" s="183" t="s">
        <v>134</v>
      </c>
      <c r="G2" s="184" t="s">
        <v>134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9.6413555267375828E-2</v>
      </c>
      <c r="D2" s="17" t="s">
        <v>9</v>
      </c>
      <c r="E2" s="18"/>
      <c r="F2" s="19" t="str">
        <f>'pooled normalised values'!J74</f>
        <v>Atenolol-0,1mg/L</v>
      </c>
      <c r="G2" s="19" t="str">
        <f>'pooled normalised values'!K74</f>
        <v>Atenolol-1mg/L</v>
      </c>
      <c r="H2" s="19" t="str">
        <f>'pooled normalised values'!L74</f>
        <v>Atenolol-10mg/L</v>
      </c>
      <c r="I2" s="19" t="str">
        <f>'pooled normalised values'!M74</f>
        <v>Atenolol-100mg/L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Atenolol-0,01mg/L + Testostérone</v>
      </c>
      <c r="W2" s="19" t="str">
        <f>'pooled normalised values'!S74</f>
        <v>Atenolol-0,1mg/L + Testostérone</v>
      </c>
      <c r="X2" s="19" t="str">
        <f>'pooled normalised values'!T74</f>
        <v>Atenolol-1mg/L + Testostérone</v>
      </c>
      <c r="Y2" s="19" t="str">
        <f>'pooled normalised values'!U74</f>
        <v>Atenolol-10mg/L + Testostérone</v>
      </c>
      <c r="Z2" s="19" t="str">
        <f>'pooled normalised values'!V74</f>
        <v>Atenolol-100mg/L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4.374594141633336E-2</v>
      </c>
      <c r="G3" s="19">
        <f>HLOOKUP(G2,'pooled normalised values'!C74:W83,2,FALSE)</f>
        <v>0.10494288088933629</v>
      </c>
      <c r="H3" s="19">
        <f>HLOOKUP(H2,'pooled normalised values'!C74:X83,2,FALSE)</f>
        <v>9.3407728517463304E-2</v>
      </c>
      <c r="I3" s="19">
        <f>HLOOKUP(I2,'pooled normalised values'!D74:Y83,2,FALSE)</f>
        <v>0.10781441438591959</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0.99832957952599288</v>
      </c>
      <c r="W3" s="19">
        <f>HLOOKUP(W2,'pooled normalised values'!N74:AM83,2,FALSE)</f>
        <v>1.0086940934449224</v>
      </c>
      <c r="X3" s="19">
        <f>HLOOKUP(X2,'pooled normalised values'!N74:AN83,2,FALSE)</f>
        <v>1.1319296764782072</v>
      </c>
      <c r="Y3" s="19">
        <f>HLOOKUP(Y2,'pooled normalised values'!N74:AO83,2,FALSE)</f>
        <v>0.98130457340648169</v>
      </c>
      <c r="Z3" s="19">
        <f>HLOOKUP(Z2,'pooled normalised values'!N74:AP83,2,FALSE)</f>
        <v>1.1488026385460919</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1.0000000000000002</v>
      </c>
      <c r="D4" s="21" t="s">
        <v>2</v>
      </c>
      <c r="E4" s="22"/>
      <c r="F4" s="19">
        <f>HLOOKUP(F2,'pooled normalised values'!B74:V83,3,FALSE)</f>
        <v>9.1120023731064616E-3</v>
      </c>
      <c r="G4" s="19">
        <f>HLOOKUP(G2,'pooled normalised values'!C74:W83,3,FALSE)</f>
        <v>1.9586226931114521E-2</v>
      </c>
      <c r="H4" s="19">
        <f>HLOOKUP(H2,'pooled normalised values'!C74:X83,3,FALSE)</f>
        <v>1.7670464541692649E-2</v>
      </c>
      <c r="I4" s="19">
        <f>HLOOKUP(I2,'pooled normalised values'!D74:Y83,3,FALSE)</f>
        <v>2.0834884926607383E-2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9.029532730396693E-2</v>
      </c>
      <c r="W4" s="19">
        <f>HLOOKUP(W2,'pooled normalised values'!N74:AM83,3,FALSE)</f>
        <v>0.10800873730992118</v>
      </c>
      <c r="X4" s="19">
        <f>HLOOKUP(X2,'pooled normalised values'!N74:AN83,3,FALSE)</f>
        <v>0.11495897646267009</v>
      </c>
      <c r="Y4" s="19">
        <f>HLOOKUP(Y2,'pooled normalised values'!N74:AO83,3,FALSE)</f>
        <v>9.9642023383718706E-2</v>
      </c>
      <c r="Z4" s="19">
        <f>HLOOKUP(Z2,'pooled normalised values'!N74:AP83,3,FALSE)</f>
        <v>0.11316630328958455</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1.4859658265130984</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7.5996445828110118E-2</v>
      </c>
      <c r="D6" s="21" t="s">
        <v>12</v>
      </c>
      <c r="E6" s="24">
        <f>$B$2</f>
        <v>9.6413555267375828E-2</v>
      </c>
      <c r="F6" s="24">
        <f>$B$2</f>
        <v>9.6413555267375828E-2</v>
      </c>
      <c r="G6" s="24">
        <f t="shared" ref="G6:R6" si="0">$B$2</f>
        <v>9.6413555267375828E-2</v>
      </c>
      <c r="H6" s="24">
        <f t="shared" si="0"/>
        <v>9.6413555267375828E-2</v>
      </c>
      <c r="I6" s="24">
        <f t="shared" si="0"/>
        <v>9.6413555267375828E-2</v>
      </c>
      <c r="J6" s="24">
        <f t="shared" si="0"/>
        <v>9.6413555267375828E-2</v>
      </c>
      <c r="K6" s="24">
        <f t="shared" si="0"/>
        <v>9.6413555267375828E-2</v>
      </c>
      <c r="L6" s="24">
        <f t="shared" si="0"/>
        <v>9.6413555267375828E-2</v>
      </c>
      <c r="M6" s="24">
        <f t="shared" si="0"/>
        <v>9.6413555267375828E-2</v>
      </c>
      <c r="N6" s="24">
        <f t="shared" si="0"/>
        <v>9.6413555267375828E-2</v>
      </c>
      <c r="O6" s="24">
        <f t="shared" si="0"/>
        <v>9.6413555267375828E-2</v>
      </c>
      <c r="P6" s="24">
        <f t="shared" si="0"/>
        <v>9.6413555267375828E-2</v>
      </c>
      <c r="Q6" s="24">
        <f t="shared" si="0"/>
        <v>9.6413555267375828E-2</v>
      </c>
      <c r="R6" s="24">
        <f t="shared" si="0"/>
        <v>9.6413555267375828E-2</v>
      </c>
      <c r="S6" s="24">
        <f>$B$2</f>
        <v>9.6413555267375828E-2</v>
      </c>
      <c r="T6" s="24">
        <f>$B$2</f>
        <v>9.6413555267375828E-2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7.5996445828110118E-2</v>
      </c>
      <c r="V8" s="25">
        <f t="shared" ref="V8:AJ8" si="2">$B$6</f>
        <v>7.5996445828110118E-2</v>
      </c>
      <c r="W8" s="25">
        <f t="shared" si="2"/>
        <v>7.5996445828110118E-2</v>
      </c>
      <c r="X8" s="25">
        <f t="shared" si="2"/>
        <v>7.5996445828110118E-2</v>
      </c>
      <c r="Y8" s="25">
        <f t="shared" si="2"/>
        <v>7.5996445828110118E-2</v>
      </c>
      <c r="Z8" s="25">
        <f t="shared" si="2"/>
        <v>7.5996445828110118E-2</v>
      </c>
      <c r="AA8" s="25">
        <f t="shared" si="2"/>
        <v>7.5996445828110118E-2</v>
      </c>
      <c r="AB8" s="25">
        <f t="shared" si="2"/>
        <v>7.5996445828110118E-2</v>
      </c>
      <c r="AC8" s="25">
        <f t="shared" si="2"/>
        <v>7.5996445828110118E-2</v>
      </c>
      <c r="AD8" s="25">
        <f t="shared" si="2"/>
        <v>7.5996445828110118E-2</v>
      </c>
      <c r="AE8" s="25">
        <f t="shared" si="2"/>
        <v>7.5996445828110118E-2</v>
      </c>
      <c r="AF8" s="25">
        <f t="shared" si="2"/>
        <v>7.5996445828110118E-2</v>
      </c>
      <c r="AG8" s="25">
        <f t="shared" si="2"/>
        <v>7.5996445828110118E-2</v>
      </c>
      <c r="AH8" s="25">
        <f t="shared" si="2"/>
        <v>7.5996445828110118E-2</v>
      </c>
      <c r="AI8" s="25">
        <f t="shared" si="2"/>
        <v>7.5996445828110118E-2</v>
      </c>
      <c r="AJ8" s="25">
        <f t="shared" si="2"/>
        <v>7.5996445828110118E-2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1.4099693806849882</v>
      </c>
      <c r="V9" s="25">
        <f>$B$5-V8</f>
        <v>1.4099693806849882</v>
      </c>
      <c r="W9" s="25">
        <f t="shared" ref="W9:AH9" si="4">$B$5-W8</f>
        <v>1.4099693806849882</v>
      </c>
      <c r="X9" s="25">
        <f t="shared" si="4"/>
        <v>1.4099693806849882</v>
      </c>
      <c r="Y9" s="25">
        <f t="shared" si="4"/>
        <v>1.4099693806849882</v>
      </c>
      <c r="Z9" s="25">
        <f t="shared" si="4"/>
        <v>1.4099693806849882</v>
      </c>
      <c r="AA9" s="25">
        <f t="shared" si="4"/>
        <v>1.4099693806849882</v>
      </c>
      <c r="AB9" s="25">
        <f t="shared" si="4"/>
        <v>1.4099693806849882</v>
      </c>
      <c r="AC9" s="25">
        <f t="shared" si="4"/>
        <v>1.4099693806849882</v>
      </c>
      <c r="AD9" s="25">
        <f t="shared" si="4"/>
        <v>1.4099693806849882</v>
      </c>
      <c r="AE9" s="25">
        <f t="shared" si="4"/>
        <v>1.4099693806849882</v>
      </c>
      <c r="AF9" s="25">
        <f t="shared" si="4"/>
        <v>1.4099693806849882</v>
      </c>
      <c r="AG9" s="25">
        <f t="shared" si="4"/>
        <v>1.4099693806849882</v>
      </c>
      <c r="AH9" s="25">
        <f t="shared" si="4"/>
        <v>1.4099693806849882</v>
      </c>
      <c r="AI9" s="25">
        <f>$B$5-AI8</f>
        <v>1.4099693806849882</v>
      </c>
      <c r="AJ9" s="25">
        <f>$B$5-AJ8</f>
        <v>1.4099693806849882</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1.0900306193150118</v>
      </c>
      <c r="V10" s="25">
        <f>2.5-V9</f>
        <v>1.0900306193150118</v>
      </c>
      <c r="W10" s="25">
        <f t="shared" ref="W10:AH10" si="6">2.5-W9</f>
        <v>1.0900306193150118</v>
      </c>
      <c r="X10" s="25">
        <f t="shared" si="6"/>
        <v>1.0900306193150118</v>
      </c>
      <c r="Y10" s="25">
        <f t="shared" si="6"/>
        <v>1.0900306193150118</v>
      </c>
      <c r="Z10" s="25">
        <f t="shared" si="6"/>
        <v>1.0900306193150118</v>
      </c>
      <c r="AA10" s="25">
        <f t="shared" si="6"/>
        <v>1.0900306193150118</v>
      </c>
      <c r="AB10" s="25">
        <f t="shared" si="6"/>
        <v>1.0900306193150118</v>
      </c>
      <c r="AC10" s="25">
        <f t="shared" si="6"/>
        <v>1.0900306193150118</v>
      </c>
      <c r="AD10" s="25">
        <f t="shared" si="6"/>
        <v>1.0900306193150118</v>
      </c>
      <c r="AE10" s="25">
        <f t="shared" si="6"/>
        <v>1.0900306193150118</v>
      </c>
      <c r="AF10" s="25">
        <f t="shared" si="6"/>
        <v>1.0900306193150118</v>
      </c>
      <c r="AG10" s="25">
        <f t="shared" si="6"/>
        <v>1.0900306193150118</v>
      </c>
      <c r="AH10" s="25">
        <f t="shared" si="6"/>
        <v>1.0900306193150118</v>
      </c>
      <c r="AI10" s="25">
        <f>2.5-AI9</f>
        <v>1.0900306193150118</v>
      </c>
      <c r="AJ10" s="25">
        <f>2.5-AJ9</f>
        <v>1.0900306193150118</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9.6413555267375828E-2</v>
      </c>
      <c r="D2" s="17" t="s">
        <v>9</v>
      </c>
      <c r="E2" s="18"/>
      <c r="F2" s="19" t="str">
        <f>'pooled normalised values'!J74</f>
        <v>Atenolol-0,1mg/L</v>
      </c>
      <c r="G2" s="18"/>
      <c r="H2" s="20"/>
      <c r="I2" s="19" t="str">
        <f>'pooled normalised values'!R74</f>
        <v>Atenolol-0,01mg/L + Testostérone</v>
      </c>
      <c r="J2" s="20"/>
      <c r="K2" s="17" t="s">
        <v>9</v>
      </c>
    </row>
    <row r="3" spans="1:11" x14ac:dyDescent="0.2">
      <c r="A3" s="17" t="s">
        <v>71</v>
      </c>
      <c r="B3" s="63">
        <f>'summary results'!E6</f>
        <v>0</v>
      </c>
      <c r="D3" s="21" t="s">
        <v>10</v>
      </c>
      <c r="E3" s="22"/>
      <c r="F3" s="19">
        <f>HLOOKUP(F2,'pooled normalised values'!B74:V83,2,FALSE)</f>
        <v>4.374594141633336E-2</v>
      </c>
      <c r="G3" s="22"/>
      <c r="H3" s="20"/>
      <c r="I3" s="19">
        <f>HLOOKUP(I2,'pooled normalised values'!N74:AL83,2,FALSE)</f>
        <v>0.99832957952599288</v>
      </c>
      <c r="J3" s="20"/>
      <c r="K3" s="21" t="s">
        <v>10</v>
      </c>
    </row>
    <row r="4" spans="1:11" x14ac:dyDescent="0.2">
      <c r="A4" s="17" t="s">
        <v>72</v>
      </c>
      <c r="B4" s="63">
        <f>'pooled normalised values'!O75</f>
        <v>1.0000000000000002</v>
      </c>
      <c r="D4" s="21" t="s">
        <v>2</v>
      </c>
      <c r="E4" s="22"/>
      <c r="F4" s="19">
        <f>HLOOKUP(F2,'pooled normalised values'!B74:V83,3,FALSE)</f>
        <v>9.1120023731064616E-3</v>
      </c>
      <c r="G4" s="22"/>
      <c r="H4" s="20"/>
      <c r="I4" s="19">
        <f>HLOOKUP(I2,'pooled normalised values'!N74:AL83,3,FALSE)</f>
        <v>9.029532730396693E-2</v>
      </c>
      <c r="J4" s="20"/>
      <c r="K4" s="21" t="s">
        <v>2</v>
      </c>
    </row>
    <row r="5" spans="1:11" x14ac:dyDescent="0.2">
      <c r="A5" s="17" t="s">
        <v>73</v>
      </c>
      <c r="B5" s="63">
        <f>'pooled normalised values'!P75</f>
        <v>1.4859658265130984</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7.5996445828110118E-2</v>
      </c>
      <c r="D6" s="21" t="s">
        <v>12</v>
      </c>
      <c r="E6" s="24">
        <f>$B$2</f>
        <v>9.6413555267375828E-2</v>
      </c>
      <c r="F6" s="24">
        <f>$B$2</f>
        <v>9.6413555267375828E-2</v>
      </c>
      <c r="G6" s="24">
        <f>$B$2</f>
        <v>9.6413555267375828E-2</v>
      </c>
      <c r="H6" s="25"/>
      <c r="I6" s="25"/>
      <c r="J6" s="25"/>
      <c r="K6" s="21" t="s">
        <v>12</v>
      </c>
    </row>
    <row r="7" spans="1:11" x14ac:dyDescent="0.2">
      <c r="B7" s="26"/>
      <c r="D7" s="26" t="s">
        <v>13</v>
      </c>
      <c r="E7" s="24"/>
      <c r="F7" s="24"/>
      <c r="G7" s="27"/>
      <c r="H7" s="25">
        <f t="shared" ref="H7:J7" si="0">$B$4</f>
        <v>1.0000000000000002</v>
      </c>
      <c r="I7" s="25">
        <f t="shared" si="0"/>
        <v>1.0000000000000002</v>
      </c>
      <c r="J7" s="25">
        <f t="shared" si="0"/>
        <v>1.0000000000000002</v>
      </c>
      <c r="K7" s="26" t="s">
        <v>13</v>
      </c>
    </row>
    <row r="8" spans="1:11" x14ac:dyDescent="0.2">
      <c r="D8" s="28" t="s">
        <v>14</v>
      </c>
      <c r="E8" s="24">
        <v>0</v>
      </c>
      <c r="F8" s="24">
        <v>0</v>
      </c>
      <c r="G8" s="27">
        <v>0</v>
      </c>
      <c r="H8" s="25">
        <f>$B$6</f>
        <v>7.5996445828110118E-2</v>
      </c>
      <c r="I8" s="25">
        <f t="shared" ref="I8:J8" si="1">$B$6</f>
        <v>7.5996445828110118E-2</v>
      </c>
      <c r="J8" s="25">
        <f t="shared" si="1"/>
        <v>7.5996445828110118E-2</v>
      </c>
      <c r="K8" s="28" t="s">
        <v>14</v>
      </c>
    </row>
    <row r="9" spans="1:11" x14ac:dyDescent="0.2">
      <c r="D9" s="28" t="s">
        <v>15</v>
      </c>
      <c r="E9" s="29">
        <f>$B$3-E8</f>
        <v>0</v>
      </c>
      <c r="F9" s="29">
        <f>$B$3-F8</f>
        <v>0</v>
      </c>
      <c r="G9" s="29">
        <f>$B$3-G8</f>
        <v>0</v>
      </c>
      <c r="H9" s="25">
        <f>$B$5-H8</f>
        <v>1.4099693806849882</v>
      </c>
      <c r="I9" s="25">
        <f>$B$5-I8</f>
        <v>1.4099693806849882</v>
      </c>
      <c r="J9" s="25">
        <f>$B$5-J8</f>
        <v>1.4099693806849882</v>
      </c>
      <c r="K9" s="28" t="s">
        <v>15</v>
      </c>
    </row>
    <row r="10" spans="1:11" x14ac:dyDescent="0.2">
      <c r="D10" s="28" t="s">
        <v>16</v>
      </c>
      <c r="E10" s="27">
        <f t="shared" ref="E10:J10" si="2">2.5-E9</f>
        <v>2.5</v>
      </c>
      <c r="F10" s="27">
        <f t="shared" si="2"/>
        <v>2.5</v>
      </c>
      <c r="G10" s="27">
        <f t="shared" si="2"/>
        <v>2.5</v>
      </c>
      <c r="H10" s="25">
        <f t="shared" si="2"/>
        <v>1.0900306193150118</v>
      </c>
      <c r="I10" s="25">
        <f t="shared" si="2"/>
        <v>1.0900306193150118</v>
      </c>
      <c r="J10" s="25">
        <f t="shared" si="2"/>
        <v>1.0900306193150118</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7" t="s">
        <v>101</v>
      </c>
      <c r="B1" s="147" t="s">
        <v>102</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25">
      <c r="A2" s="1" t="str">
        <f>Q6</f>
        <v xml:space="preserve"> </v>
      </c>
      <c r="B2">
        <f t="shared" ref="B2:B3" si="0">U6</f>
        <v>0</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105</v>
      </c>
      <c r="U2" s="119" t="s">
        <v>7</v>
      </c>
      <c r="V2" s="1" t="s">
        <v>105</v>
      </c>
    </row>
    <row r="3" spans="1:23" x14ac:dyDescent="0.25">
      <c r="A3" s="1" t="str">
        <f>Q7</f>
        <v>(vide)</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105</v>
      </c>
      <c r="U3" s="119" t="s">
        <v>78</v>
      </c>
      <c r="V3" s="1" t="s">
        <v>50</v>
      </c>
    </row>
    <row r="4" spans="1:23" x14ac:dyDescent="0.2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2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111</v>
      </c>
    </row>
    <row r="7" spans="1:23" x14ac:dyDescent="0.2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c r="Q7" s="146" t="s">
        <v>105</v>
      </c>
    </row>
    <row r="8" spans="1:23" x14ac:dyDescent="0.2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9D65AD-0A5B-4C4C-8528-D69F0C08D756}"/>
</file>

<file path=customXml/itemProps2.xml><?xml version="1.0" encoding="utf-8"?>
<ds:datastoreItem xmlns:ds="http://schemas.openxmlformats.org/officeDocument/2006/customXml" ds:itemID="{93166C87-CE80-4EA9-925E-A49C91233B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2021-11-22T12:47:28Z</dcterms:modified>
</cp:coreProperties>
</file>