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8.xml" ContentType="application/vnd.openxmlformats-officedocument.drawingml.chartshapes+xml"/>
  <Override PartName="/xl/drawings/drawing14.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9.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6.xml" ContentType="application/vnd.openxmlformats-officedocument.drawingml.chartshapes+xml"/>
  <Override PartName="/xl/drawings/drawing2.xml" ContentType="application/vnd.openxmlformats-officedocument.drawingml.chartshapes+xml"/>
  <Override PartName="/xl/drawings/drawing1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5.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4.xml" ContentType="application/vnd.openxmlformats-officedocument.spreadsheetml.table+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hidePivotFieldList="1" defaultThemeVersion="124226"/>
  <xr:revisionPtr revIDLastSave="0" documentId="13_ncr:1_{ACE75BDF-6C02-4BA0-871A-2ED04DBC92D1}" xr6:coauthVersionLast="47" xr6:coauthVersionMax="47" xr10:uidLastSave="{00000000-0000-0000-0000-000000000000}"/>
  <bookViews>
    <workbookView xWindow="-110" yWindow="-110" windowWidth="19420" windowHeight="10420" tabRatio="855" firstSheet="3" activeTab="12"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 r:id="rId20"/>
  </externalReferences>
  <definedNames>
    <definedName name="_xlnm.Print_Area" localSheetId="0">'Page de garde'!$A$1:$I$51</definedName>
  </definedNames>
  <calcPr calcId="181029"/>
  <pivotCaches>
    <pivotCache cacheId="108" r:id="rId21"/>
    <pivotCache cacheId="109" r:id="rId22"/>
    <pivotCache cacheId="110" r:id="rId23"/>
    <pivotCache cacheId="111" r:id="rId24"/>
  </pivotCache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N56" i="33"/>
  <c r="B39" i="10" l="1"/>
  <c r="C39" i="10"/>
  <c r="D39" i="10"/>
  <c r="E39" i="10"/>
  <c r="B40" i="10"/>
  <c r="C40" i="10"/>
  <c r="D40" i="10"/>
  <c r="E40" i="10"/>
  <c r="B41" i="10"/>
  <c r="C41" i="10"/>
  <c r="D41" i="10"/>
  <c r="E41" i="10"/>
  <c r="B42" i="10"/>
  <c r="C42" i="10"/>
  <c r="D42" i="10"/>
  <c r="E42" i="10"/>
  <c r="C38" i="10"/>
  <c r="D38" i="10"/>
  <c r="E38" i="10"/>
  <c r="B38" i="10"/>
  <c r="A7" i="10" l="1"/>
  <c r="A8" i="10"/>
  <c r="A9" i="10"/>
  <c r="A10" i="10"/>
  <c r="A11" i="10"/>
  <c r="A12" i="10"/>
  <c r="A13" i="10"/>
  <c r="A14" i="10"/>
  <c r="A7" i="22" s="1"/>
  <c r="A15" i="10"/>
  <c r="A8" i="22" s="1"/>
  <c r="A16" i="10"/>
  <c r="A9" i="22" s="1"/>
  <c r="A17" i="10"/>
  <c r="A10" i="22" s="1"/>
  <c r="A18" i="10"/>
  <c r="A11" i="22" s="1"/>
  <c r="A19" i="10"/>
  <c r="A12" i="22" s="1"/>
  <c r="A20" i="10"/>
  <c r="A13" i="22" s="1"/>
  <c r="A21" i="10"/>
  <c r="A14" i="22" s="1"/>
  <c r="A22" i="10"/>
  <c r="A15" i="22" s="1"/>
  <c r="A23" i="10"/>
  <c r="A16" i="22" s="1"/>
  <c r="A24" i="10"/>
  <c r="A17" i="22" s="1"/>
  <c r="A25" i="10"/>
  <c r="A18" i="22" s="1"/>
  <c r="A26" i="10"/>
  <c r="A19" i="22" s="1"/>
  <c r="A27" i="10"/>
  <c r="A20" i="22" s="1"/>
  <c r="A28" i="10"/>
  <c r="A21" i="22" s="1"/>
  <c r="A29" i="10"/>
  <c r="A22" i="22" s="1"/>
  <c r="A30" i="10"/>
  <c r="A23" i="22" s="1"/>
  <c r="A31" i="10"/>
  <c r="A24" i="22" s="1"/>
  <c r="A32" i="10"/>
  <c r="A25" i="22" s="1"/>
  <c r="A33" i="10"/>
  <c r="A26" i="22" s="1"/>
  <c r="A34" i="10"/>
  <c r="A35" i="10"/>
  <c r="A36" i="10"/>
  <c r="A37" i="10"/>
  <c r="A38" i="10"/>
  <c r="A39" i="10"/>
  <c r="A40" i="10"/>
  <c r="A41" i="10"/>
  <c r="A42"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O29" i="33"/>
  <c r="O39"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O35" i="33" s="1"/>
  <c r="O45" i="4" s="1"/>
  <c r="L23" i="33"/>
  <c r="J23" i="33"/>
  <c r="I23" i="33"/>
  <c r="H23" i="33"/>
  <c r="G23" i="33"/>
  <c r="F23" i="33"/>
  <c r="E23" i="33"/>
  <c r="D23" i="33"/>
  <c r="C23" i="33"/>
  <c r="B23" i="33"/>
  <c r="A22" i="33"/>
  <c r="H22" i="33"/>
  <c r="G45" i="33"/>
  <c r="F27" i="33"/>
  <c r="F52" i="33" s="1"/>
  <c r="E45" i="33"/>
  <c r="D22" i="33"/>
  <c r="C45" i="33"/>
  <c r="B45" i="33"/>
  <c r="U28" i="33" l="1"/>
  <c r="Q28" i="33"/>
  <c r="V29" i="33"/>
  <c r="V39" i="4" s="1"/>
  <c r="R33" i="33"/>
  <c r="R43" i="4" s="1"/>
  <c r="V33" i="33"/>
  <c r="V43" i="4" s="1"/>
  <c r="S34" i="33"/>
  <c r="S44" i="4" s="1"/>
  <c r="P35" i="33"/>
  <c r="P45" i="4" s="1"/>
  <c r="T35" i="33"/>
  <c r="T45" i="4" s="1"/>
  <c r="R28" i="33"/>
  <c r="R29" i="33"/>
  <c r="R39" i="4" s="1"/>
  <c r="P31" i="33"/>
  <c r="P41" i="4" s="1"/>
  <c r="Q32" i="33"/>
  <c r="Q42" i="4" s="1"/>
  <c r="S28" i="33"/>
  <c r="S29" i="33"/>
  <c r="S39" i="4" s="1"/>
  <c r="P30" i="33"/>
  <c r="P40" i="4" s="1"/>
  <c r="T30" i="33"/>
  <c r="T40" i="4" s="1"/>
  <c r="Q31" i="33"/>
  <c r="Q41" i="4" s="1"/>
  <c r="U31" i="33"/>
  <c r="U41" i="4" s="1"/>
  <c r="R32" i="33"/>
  <c r="R42" i="4" s="1"/>
  <c r="V32" i="33"/>
  <c r="V42" i="4" s="1"/>
  <c r="S33" i="33"/>
  <c r="S43" i="4" s="1"/>
  <c r="P34" i="33"/>
  <c r="P44" i="4" s="1"/>
  <c r="T34" i="33"/>
  <c r="T44" i="4" s="1"/>
  <c r="Q35" i="33"/>
  <c r="Q45" i="4" s="1"/>
  <c r="U35" i="33"/>
  <c r="U45" i="4" s="1"/>
  <c r="V28" i="33"/>
  <c r="S30" i="33"/>
  <c r="S40" i="4" s="1"/>
  <c r="T31" i="33"/>
  <c r="T41" i="4" s="1"/>
  <c r="U32" i="33"/>
  <c r="U42" i="4" s="1"/>
  <c r="P28" i="33"/>
  <c r="T28" i="33"/>
  <c r="P29" i="33"/>
  <c r="P39" i="4" s="1"/>
  <c r="T29" i="33"/>
  <c r="T39" i="4" s="1"/>
  <c r="Q30" i="33"/>
  <c r="Q40" i="4" s="1"/>
  <c r="U30" i="33"/>
  <c r="U40" i="4" s="1"/>
  <c r="R31" i="33"/>
  <c r="R41" i="4" s="1"/>
  <c r="V31" i="33"/>
  <c r="V41" i="4" s="1"/>
  <c r="S32" i="33"/>
  <c r="S42" i="4" s="1"/>
  <c r="P33" i="33"/>
  <c r="P43" i="4" s="1"/>
  <c r="T33" i="33"/>
  <c r="T43" i="4" s="1"/>
  <c r="Q34" i="33"/>
  <c r="Q44" i="4" s="1"/>
  <c r="U34" i="33"/>
  <c r="U44" i="4" s="1"/>
  <c r="R35" i="33"/>
  <c r="R45" i="4" s="1"/>
  <c r="V35" i="33"/>
  <c r="V45" i="4" s="1"/>
  <c r="Q29" i="33"/>
  <c r="U29" i="33"/>
  <c r="R30" i="33"/>
  <c r="R40" i="4" s="1"/>
  <c r="V30" i="33"/>
  <c r="V40" i="4" s="1"/>
  <c r="S31" i="33"/>
  <c r="S41" i="4" s="1"/>
  <c r="P32" i="33"/>
  <c r="P42" i="4" s="1"/>
  <c r="T32" i="33"/>
  <c r="T42" i="4" s="1"/>
  <c r="Q33" i="33"/>
  <c r="Q43" i="4" s="1"/>
  <c r="U33" i="33"/>
  <c r="U43" i="4" s="1"/>
  <c r="R34" i="33"/>
  <c r="R44" i="4" s="1"/>
  <c r="V34" i="33"/>
  <c r="V44" i="4" s="1"/>
  <c r="S35" i="33"/>
  <c r="S45" i="4" s="1"/>
  <c r="O36" i="33"/>
  <c r="O46" i="4" s="1"/>
  <c r="O37" i="33"/>
  <c r="O47" i="4" s="1"/>
  <c r="O38" i="33"/>
  <c r="O48" i="4" s="1"/>
  <c r="O39" i="33"/>
  <c r="O49" i="4" s="1"/>
  <c r="O40" i="33"/>
  <c r="O50" i="4" s="1"/>
  <c r="O41" i="33"/>
  <c r="O51" i="4" s="1"/>
  <c r="O42" i="33"/>
  <c r="O52" i="4" s="1"/>
  <c r="O43" i="33"/>
  <c r="O53" i="4" s="1"/>
  <c r="C29" i="33"/>
  <c r="C39" i="4" s="1"/>
  <c r="K29" i="33"/>
  <c r="K39" i="4" s="1"/>
  <c r="C31" i="33"/>
  <c r="C41" i="4" s="1"/>
  <c r="K32" i="33"/>
  <c r="K42" i="4" s="1"/>
  <c r="G29" i="33"/>
  <c r="G39" i="4" s="1"/>
  <c r="C30" i="33"/>
  <c r="C40" i="4" s="1"/>
  <c r="G33" i="33"/>
  <c r="G43" i="4" s="1"/>
  <c r="K33" i="33"/>
  <c r="K43" i="4" s="1"/>
  <c r="G35" i="33"/>
  <c r="G45" i="4" s="1"/>
  <c r="D28" i="33"/>
  <c r="H28" i="33"/>
  <c r="L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D35" i="33"/>
  <c r="D45" i="4" s="1"/>
  <c r="H35" i="33"/>
  <c r="H45" i="4" s="1"/>
  <c r="L35" i="33"/>
  <c r="L45" i="4" s="1"/>
  <c r="G28" i="33"/>
  <c r="G30" i="33"/>
  <c r="G40" i="4" s="1"/>
  <c r="K30" i="33"/>
  <c r="K40" i="4" s="1"/>
  <c r="G31" i="33"/>
  <c r="G41" i="4" s="1"/>
  <c r="K31" i="33"/>
  <c r="K41" i="4" s="1"/>
  <c r="C32" i="33"/>
  <c r="C42" i="4" s="1"/>
  <c r="G32" i="33"/>
  <c r="G42" i="4" s="1"/>
  <c r="C33" i="33"/>
  <c r="C43" i="4" s="1"/>
  <c r="G34" i="33"/>
  <c r="G44" i="4" s="1"/>
  <c r="C35" i="33"/>
  <c r="C45" i="4" s="1"/>
  <c r="K35" i="33"/>
  <c r="K45" i="4" s="1"/>
  <c r="E28" i="33"/>
  <c r="B29" i="33"/>
  <c r="B39" i="4" s="1"/>
  <c r="E29" i="33"/>
  <c r="E39" i="4" s="1"/>
  <c r="I29" i="33"/>
  <c r="I39" i="4" s="1"/>
  <c r="M29" i="33"/>
  <c r="M39" i="4" s="1"/>
  <c r="B30" i="33"/>
  <c r="B40" i="4" s="1"/>
  <c r="E30" i="33"/>
  <c r="E40" i="4" s="1"/>
  <c r="I30" i="33"/>
  <c r="I40" i="4" s="1"/>
  <c r="M30" i="33"/>
  <c r="M40" i="4" s="1"/>
  <c r="B31" i="33"/>
  <c r="B41" i="4" s="1"/>
  <c r="E31" i="33"/>
  <c r="E41" i="4" s="1"/>
  <c r="I31" i="33"/>
  <c r="I41" i="4" s="1"/>
  <c r="M31" i="33"/>
  <c r="M41" i="4" s="1"/>
  <c r="B32" i="33"/>
  <c r="B42" i="4" s="1"/>
  <c r="E32" i="33"/>
  <c r="E42" i="4" s="1"/>
  <c r="I32" i="33"/>
  <c r="I42" i="4" s="1"/>
  <c r="M32" i="33"/>
  <c r="M42" i="4" s="1"/>
  <c r="B33" i="33"/>
  <c r="B43" i="4" s="1"/>
  <c r="E33" i="33"/>
  <c r="E43" i="4" s="1"/>
  <c r="I33" i="33"/>
  <c r="I43" i="4" s="1"/>
  <c r="M33" i="33"/>
  <c r="M43" i="4" s="1"/>
  <c r="B34" i="33"/>
  <c r="B44" i="4" s="1"/>
  <c r="E34" i="33"/>
  <c r="E44" i="4" s="1"/>
  <c r="I34" i="33"/>
  <c r="I44" i="4" s="1"/>
  <c r="M34" i="33"/>
  <c r="M44" i="4" s="1"/>
  <c r="B35" i="33"/>
  <c r="B45" i="4" s="1"/>
  <c r="E35" i="33"/>
  <c r="E45" i="4" s="1"/>
  <c r="I35" i="33"/>
  <c r="I45" i="4" s="1"/>
  <c r="M35" i="33"/>
  <c r="M45" i="4" s="1"/>
  <c r="C28" i="33"/>
  <c r="K28" i="33"/>
  <c r="C34" i="33"/>
  <c r="C44" i="4" s="1"/>
  <c r="K34" i="33"/>
  <c r="K44" i="4" s="1"/>
  <c r="I28" i="33"/>
  <c r="M28" i="33"/>
  <c r="B28" i="33"/>
  <c r="F28" i="33"/>
  <c r="J28" i="33"/>
  <c r="O28" i="33"/>
  <c r="F29" i="33"/>
  <c r="F39" i="4" s="1"/>
  <c r="J29" i="33"/>
  <c r="J39" i="4" s="1"/>
  <c r="F30" i="33"/>
  <c r="F40" i="4" s="1"/>
  <c r="J30" i="33"/>
  <c r="J40" i="4" s="1"/>
  <c r="O30" i="33"/>
  <c r="O40" i="4" s="1"/>
  <c r="F31" i="33"/>
  <c r="F41" i="4" s="1"/>
  <c r="J31" i="33"/>
  <c r="J41" i="4" s="1"/>
  <c r="O31" i="33"/>
  <c r="O41" i="4" s="1"/>
  <c r="F32" i="33"/>
  <c r="F42" i="4" s="1"/>
  <c r="J32" i="33"/>
  <c r="J42" i="4" s="1"/>
  <c r="O32" i="33"/>
  <c r="O42" i="4" s="1"/>
  <c r="F33" i="33"/>
  <c r="F43" i="4" s="1"/>
  <c r="J33" i="33"/>
  <c r="J43" i="4" s="1"/>
  <c r="O33" i="33"/>
  <c r="O43" i="4" s="1"/>
  <c r="F34" i="33"/>
  <c r="F44" i="4" s="1"/>
  <c r="J34" i="33"/>
  <c r="J44" i="4" s="1"/>
  <c r="O34" i="33"/>
  <c r="O44" i="4" s="1"/>
  <c r="F35" i="33"/>
  <c r="F45" i="4" s="1"/>
  <c r="J35" i="33"/>
  <c r="J45" i="4" s="1"/>
  <c r="U38" i="4"/>
  <c r="V38" i="4"/>
  <c r="B22" i="33"/>
  <c r="E22" i="33"/>
  <c r="I45" i="33"/>
  <c r="I52" i="33"/>
  <c r="I27" i="33"/>
  <c r="P38" i="4"/>
  <c r="T46" i="33"/>
  <c r="T53" i="33" s="1"/>
  <c r="B27" i="33"/>
  <c r="B52" i="33" s="1"/>
  <c r="Q38" i="4"/>
  <c r="D27" i="33"/>
  <c r="D52" i="33" s="1"/>
  <c r="I22" i="33"/>
  <c r="E27" i="33"/>
  <c r="E52" i="33" s="1"/>
  <c r="S46" i="33"/>
  <c r="S53" i="33" s="1"/>
  <c r="D45" i="33"/>
  <c r="U46" i="33"/>
  <c r="U53" i="33" s="1"/>
  <c r="Q46" i="33"/>
  <c r="Q53" i="33" s="1"/>
  <c r="F22" i="33"/>
  <c r="R47" i="33"/>
  <c r="R48" i="33" s="1"/>
  <c r="R54" i="33" s="1"/>
  <c r="F45" i="33"/>
  <c r="G22" i="33"/>
  <c r="G27" i="33"/>
  <c r="G52" i="33" s="1"/>
  <c r="C22" i="33"/>
  <c r="C27" i="33"/>
  <c r="C52" i="33" s="1"/>
  <c r="H27" i="33"/>
  <c r="H52" i="33" s="1"/>
  <c r="H45" i="33"/>
  <c r="U56" i="33"/>
  <c r="R56" i="33"/>
  <c r="S56" i="33"/>
  <c r="E56" i="33"/>
  <c r="F56" i="33"/>
  <c r="Q56" i="33"/>
  <c r="V56" i="33"/>
  <c r="P56" i="33"/>
  <c r="D56" i="33"/>
  <c r="G56" i="33"/>
  <c r="C56" i="33"/>
  <c r="I56" i="33"/>
  <c r="J56" i="33"/>
  <c r="T56" i="33"/>
  <c r="H56" i="33"/>
  <c r="K56" i="33"/>
  <c r="M56" i="33"/>
  <c r="O56" i="33"/>
  <c r="L56" i="33"/>
  <c r="B56" i="33"/>
  <c r="B57" i="33" l="1"/>
  <c r="L57" i="33"/>
  <c r="M57" i="33"/>
  <c r="K57" i="33"/>
  <c r="H57" i="33"/>
  <c r="J57" i="33"/>
  <c r="I57" i="33"/>
  <c r="C57" i="33"/>
  <c r="C59" i="33" s="1"/>
  <c r="G57" i="33"/>
  <c r="D57" i="33"/>
  <c r="F57" i="33"/>
  <c r="E57" i="33"/>
  <c r="E59" i="33" s="1"/>
  <c r="E60" i="33" s="1"/>
  <c r="E61" i="33" s="1"/>
  <c r="B38" i="4"/>
  <c r="L38" i="4"/>
  <c r="O38" i="4"/>
  <c r="M38" i="4"/>
  <c r="H38" i="4"/>
  <c r="J38" i="4"/>
  <c r="I38" i="4"/>
  <c r="C38" i="4"/>
  <c r="D38" i="4"/>
  <c r="F38" i="4"/>
  <c r="E38" i="4"/>
  <c r="S38" i="4"/>
  <c r="R38" i="4"/>
  <c r="P46" i="33"/>
  <c r="P53" i="33" s="1"/>
  <c r="T47" i="33"/>
  <c r="T48" i="33" s="1"/>
  <c r="T54" i="33" s="1"/>
  <c r="R46" i="33"/>
  <c r="R53" i="33" s="1"/>
  <c r="U47" i="33"/>
  <c r="U48" i="33" s="1"/>
  <c r="U54" i="33" s="1"/>
  <c r="T38" i="4"/>
  <c r="U57" i="33"/>
  <c r="P57" i="33"/>
  <c r="V57" i="33"/>
  <c r="Q57" i="33"/>
  <c r="S57" i="33"/>
  <c r="R57" i="33"/>
  <c r="T57" i="33"/>
  <c r="V46" i="33"/>
  <c r="V53" i="33" s="1"/>
  <c r="P47" i="33"/>
  <c r="P48" i="33" s="1"/>
  <c r="P54" i="33" s="1"/>
  <c r="U39" i="4"/>
  <c r="V47" i="33"/>
  <c r="V48" i="33" s="1"/>
  <c r="V54" i="33" s="1"/>
  <c r="S47" i="33"/>
  <c r="S48" i="33" s="1"/>
  <c r="S54" i="33" s="1"/>
  <c r="Q47" i="33"/>
  <c r="Q48" i="33" s="1"/>
  <c r="Q54" i="33" s="1"/>
  <c r="Q39" i="4"/>
  <c r="B46" i="33"/>
  <c r="B53" i="33" s="1"/>
  <c r="H47" i="33"/>
  <c r="H48" i="33" s="1"/>
  <c r="H54" i="33" s="1"/>
  <c r="I46" i="33"/>
  <c r="I53" i="33" s="1"/>
  <c r="K47" i="33"/>
  <c r="K48" i="33" s="1"/>
  <c r="K54" i="33" s="1"/>
  <c r="E47" i="33"/>
  <c r="E48" i="33" s="1"/>
  <c r="E54" i="33" s="1"/>
  <c r="E46" i="33"/>
  <c r="E53" i="33" s="1"/>
  <c r="G47" i="33"/>
  <c r="G48" i="33" s="1"/>
  <c r="G54" i="33" s="1"/>
  <c r="F46" i="33"/>
  <c r="F53" i="33" s="1"/>
  <c r="O47" i="33"/>
  <c r="O48" i="33" s="1"/>
  <c r="O54" i="33" s="1"/>
  <c r="F47" i="33"/>
  <c r="F48" i="33" s="1"/>
  <c r="F54" i="33" s="1"/>
  <c r="C47" i="33"/>
  <c r="C48" i="33" s="1"/>
  <c r="C54" i="33" s="1"/>
  <c r="H46" i="33"/>
  <c r="H53" i="33" s="1"/>
  <c r="K38" i="4"/>
  <c r="M46" i="33"/>
  <c r="M53" i="33" s="1"/>
  <c r="M47" i="33"/>
  <c r="M48" i="33" s="1"/>
  <c r="M54" i="33" s="1"/>
  <c r="O57" i="33"/>
  <c r="O59" i="33" s="1"/>
  <c r="O60" i="33" s="1"/>
  <c r="O61" i="33" s="1"/>
  <c r="I47" i="33"/>
  <c r="I48" i="33" s="1"/>
  <c r="I54" i="33" s="1"/>
  <c r="B47" i="33"/>
  <c r="B48" i="33" s="1"/>
  <c r="B54" i="33" s="1"/>
  <c r="L47" i="33"/>
  <c r="L48" i="33" s="1"/>
  <c r="L54" i="33" s="1"/>
  <c r="D47" i="33"/>
  <c r="D48" i="33" s="1"/>
  <c r="D54" i="33" s="1"/>
  <c r="J46" i="33"/>
  <c r="J53" i="33" s="1"/>
  <c r="G46" i="33"/>
  <c r="G53" i="33" s="1"/>
  <c r="L46" i="33"/>
  <c r="L53" i="33" s="1"/>
  <c r="K46" i="33"/>
  <c r="K53" i="33" s="1"/>
  <c r="G38" i="4"/>
  <c r="J47" i="33"/>
  <c r="J48" i="33" s="1"/>
  <c r="J54" i="33" s="1"/>
  <c r="D46" i="33"/>
  <c r="D53" i="33" s="1"/>
  <c r="O46" i="33"/>
  <c r="O53" i="33" s="1"/>
  <c r="C46" i="33"/>
  <c r="C53" i="33" s="1"/>
  <c r="J59" i="33"/>
  <c r="J60" i="33" s="1"/>
  <c r="J61" i="33" s="1"/>
  <c r="F59" i="33"/>
  <c r="F60" i="33" s="1"/>
  <c r="F61" i="33" s="1"/>
  <c r="I59" i="33"/>
  <c r="D59" i="33"/>
  <c r="D60" i="33" s="1"/>
  <c r="D61" i="33" s="1"/>
  <c r="H59" i="33"/>
  <c r="H60" i="33" s="1"/>
  <c r="H61" i="33" s="1"/>
  <c r="M59" i="33"/>
  <c r="M60" i="33" s="1"/>
  <c r="M61" i="33" s="1"/>
  <c r="G59" i="33"/>
  <c r="G60" i="33" s="1"/>
  <c r="G61" i="33" s="1"/>
  <c r="L59" i="33"/>
  <c r="L60" i="33" s="1"/>
  <c r="L61" i="33" s="1"/>
  <c r="K59" i="33"/>
  <c r="K60" i="33" s="1"/>
  <c r="K61" i="33" s="1"/>
  <c r="M55" i="33" l="1"/>
  <c r="T59" i="33"/>
  <c r="R59" i="33"/>
  <c r="R60" i="33" s="1"/>
  <c r="R61" i="33" s="1"/>
  <c r="B64" i="33"/>
  <c r="B65" i="33"/>
  <c r="Q59" i="33"/>
  <c r="Q60" i="33" s="1"/>
  <c r="Q61" i="33" s="1"/>
  <c r="P59" i="33"/>
  <c r="P60" i="33" s="1"/>
  <c r="P61" i="33" s="1"/>
  <c r="V59" i="33"/>
  <c r="V60" i="33" s="1"/>
  <c r="V61" i="33" s="1"/>
  <c r="U59" i="33"/>
  <c r="S59" i="33"/>
  <c r="S60" i="33" s="1"/>
  <c r="S61" i="33" s="1"/>
  <c r="D55" i="33"/>
  <c r="B55" i="33"/>
  <c r="K55" i="33"/>
  <c r="P55" i="33"/>
  <c r="L55" i="33"/>
  <c r="T55" i="33"/>
  <c r="G55" i="33"/>
  <c r="S55" i="33"/>
  <c r="F55" i="33"/>
  <c r="O55" i="33"/>
  <c r="C55" i="33"/>
  <c r="J55" i="33"/>
  <c r="R55" i="33"/>
  <c r="Q55" i="33"/>
  <c r="H55" i="33"/>
  <c r="I55" i="33"/>
  <c r="E55" i="33"/>
  <c r="V55" i="33"/>
  <c r="U55" i="33"/>
  <c r="I60" i="33"/>
  <c r="C60" i="33"/>
  <c r="C61" i="33" l="1"/>
  <c r="I61" i="33"/>
  <c r="M4" i="33"/>
  <c r="U60" i="33"/>
  <c r="T60" i="33"/>
  <c r="U61" i="33" l="1"/>
  <c r="T61" i="33"/>
  <c r="L4" i="33"/>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R29" i="23"/>
  <c r="R23" i="4" s="1"/>
  <c r="P36" i="23"/>
  <c r="P30" i="4" s="1"/>
  <c r="Q36" i="23"/>
  <c r="Q30" i="4" s="1"/>
  <c r="R36" i="23"/>
  <c r="R30" i="4" s="1"/>
  <c r="S36" i="23"/>
  <c r="S30" i="4" s="1"/>
  <c r="T36" i="23"/>
  <c r="T30" i="4" s="1"/>
  <c r="U36" i="23"/>
  <c r="U30" i="4" s="1"/>
  <c r="V36" i="23"/>
  <c r="V30" i="4" s="1"/>
  <c r="P37" i="23"/>
  <c r="P31" i="4" s="1"/>
  <c r="Q37" i="23"/>
  <c r="Q31" i="4" s="1"/>
  <c r="R37" i="23"/>
  <c r="R31" i="4" s="1"/>
  <c r="S37" i="23"/>
  <c r="S31" i="4" s="1"/>
  <c r="T37" i="23"/>
  <c r="T31" i="4" s="1"/>
  <c r="U37" i="23"/>
  <c r="U31" i="4" s="1"/>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U33" i="4" s="1"/>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R43" i="23"/>
  <c r="S43" i="23"/>
  <c r="T43" i="23"/>
  <c r="U43" i="23"/>
  <c r="U37" i="4" s="1"/>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V28" i="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Q37" i="4"/>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H32" i="23"/>
  <c r="H26" i="4" s="1"/>
  <c r="J41" i="23"/>
  <c r="J35" i="4" s="1"/>
  <c r="J37" i="23"/>
  <c r="J31" i="4" s="1"/>
  <c r="E34" i="23"/>
  <c r="E28" i="4" s="1"/>
  <c r="J43" i="23"/>
  <c r="J39" i="23"/>
  <c r="J33" i="4" s="1"/>
  <c r="C34" i="23"/>
  <c r="C28" i="4" s="1"/>
  <c r="E32" i="23"/>
  <c r="E26" i="4" s="1"/>
  <c r="I28" i="23"/>
  <c r="G33" i="23"/>
  <c r="G27" i="4" s="1"/>
  <c r="D35" i="23"/>
  <c r="D29" i="4" s="1"/>
  <c r="P22" i="23"/>
  <c r="S23" i="1"/>
  <c r="T23" i="1"/>
  <c r="U23" i="1"/>
  <c r="V23" i="1"/>
  <c r="S24" i="1"/>
  <c r="T24" i="1"/>
  <c r="U24" i="1"/>
  <c r="V24" i="1"/>
  <c r="L23" i="1"/>
  <c r="M23" i="1"/>
  <c r="L24" i="1"/>
  <c r="M24" i="1"/>
  <c r="I23" i="1"/>
  <c r="I24" i="1"/>
  <c r="J32"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H33" i="1"/>
  <c r="H11" i="4" s="1"/>
  <c r="F30" i="1"/>
  <c r="G34" i="1"/>
  <c r="G12" i="4" s="1"/>
  <c r="Q34" i="1"/>
  <c r="Q12" i="4" s="1"/>
  <c r="O40" i="1"/>
  <c r="O18" i="4" s="1"/>
  <c r="P33" i="1"/>
  <c r="P11" i="4" s="1"/>
  <c r="Q28" i="1"/>
  <c r="Q35" i="1"/>
  <c r="Q13"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Q33" i="1" l="1"/>
  <c r="Q11" i="4" s="1"/>
  <c r="P30" i="1"/>
  <c r="P8" i="4" s="1"/>
  <c r="O43" i="1"/>
  <c r="E29" i="1"/>
  <c r="T35" i="23"/>
  <c r="T29" i="4" s="1"/>
  <c r="P35" i="23"/>
  <c r="P29" i="4" s="1"/>
  <c r="S34" i="23"/>
  <c r="S28" i="4" s="1"/>
  <c r="V33" i="23"/>
  <c r="V27" i="4" s="1"/>
  <c r="R33" i="23"/>
  <c r="R27" i="4" s="1"/>
  <c r="U32" i="23"/>
  <c r="U26" i="4" s="1"/>
  <c r="Q32" i="23"/>
  <c r="Q26" i="4" s="1"/>
  <c r="T31" i="23"/>
  <c r="T25" i="4" s="1"/>
  <c r="P31" i="23"/>
  <c r="P25" i="4" s="1"/>
  <c r="S30" i="23"/>
  <c r="S24" i="4" s="1"/>
  <c r="V29" i="23"/>
  <c r="V23" i="4" s="1"/>
  <c r="U28" i="23"/>
  <c r="U47" i="23" s="1"/>
  <c r="U48" i="23" s="1"/>
  <c r="U54" i="23" s="1"/>
  <c r="Q28" i="23"/>
  <c r="S35" i="23"/>
  <c r="S29" i="4" s="1"/>
  <c r="V34" i="23"/>
  <c r="V28" i="4" s="1"/>
  <c r="R34" i="23"/>
  <c r="R28" i="4" s="1"/>
  <c r="U33" i="23"/>
  <c r="U27" i="4" s="1"/>
  <c r="Q33" i="23"/>
  <c r="Q27" i="4" s="1"/>
  <c r="T32" i="23"/>
  <c r="T26" i="4" s="1"/>
  <c r="P32" i="23"/>
  <c r="P26" i="4" s="1"/>
  <c r="S31" i="23"/>
  <c r="S25" i="4" s="1"/>
  <c r="V30" i="23"/>
  <c r="V24" i="4" s="1"/>
  <c r="R30" i="23"/>
  <c r="R24" i="4" s="1"/>
  <c r="U29" i="23"/>
  <c r="U23" i="4" s="1"/>
  <c r="Q29" i="23"/>
  <c r="Q23" i="4" s="1"/>
  <c r="T28" i="23"/>
  <c r="P28" i="23"/>
  <c r="P34" i="1"/>
  <c r="P12" i="4" s="1"/>
  <c r="O32" i="1"/>
  <c r="O10" i="4" s="1"/>
  <c r="E33" i="1"/>
  <c r="E11" i="4" s="1"/>
  <c r="I30" i="1"/>
  <c r="I8" i="4" s="1"/>
  <c r="V35" i="23"/>
  <c r="V29" i="4" s="1"/>
  <c r="R35" i="23"/>
  <c r="R29" i="4" s="1"/>
  <c r="U34" i="23"/>
  <c r="U28" i="4" s="1"/>
  <c r="Q34" i="23"/>
  <c r="Q28" i="4" s="1"/>
  <c r="T33" i="23"/>
  <c r="T27" i="4" s="1"/>
  <c r="P33" i="23"/>
  <c r="P27" i="4" s="1"/>
  <c r="S32" i="23"/>
  <c r="S26" i="4" s="1"/>
  <c r="V31" i="23"/>
  <c r="V25" i="4" s="1"/>
  <c r="R31" i="23"/>
  <c r="R25" i="4" s="1"/>
  <c r="U30" i="23"/>
  <c r="U24" i="4" s="1"/>
  <c r="Q30" i="23"/>
  <c r="Q24" i="4" s="1"/>
  <c r="T29" i="23"/>
  <c r="T23" i="4" s="1"/>
  <c r="P29" i="23"/>
  <c r="P46" i="23" s="1"/>
  <c r="P53" i="23" s="1"/>
  <c r="S28" i="23"/>
  <c r="U35" i="23"/>
  <c r="Q35" i="23"/>
  <c r="Q29" i="4" s="1"/>
  <c r="T34" i="23"/>
  <c r="T28" i="4" s="1"/>
  <c r="P34" i="23"/>
  <c r="P28" i="4" s="1"/>
  <c r="S33" i="23"/>
  <c r="S27" i="4" s="1"/>
  <c r="V32" i="23"/>
  <c r="V26" i="4" s="1"/>
  <c r="R32" i="23"/>
  <c r="R26" i="4" s="1"/>
  <c r="U31" i="23"/>
  <c r="U25" i="4" s="1"/>
  <c r="Q31" i="23"/>
  <c r="Q25" i="4" s="1"/>
  <c r="T30" i="23"/>
  <c r="T24" i="4" s="1"/>
  <c r="P30" i="23"/>
  <c r="P24" i="4" s="1"/>
  <c r="S29" i="23"/>
  <c r="S23" i="4" s="1"/>
  <c r="V28" i="23"/>
  <c r="R28" i="23"/>
  <c r="O9" i="12"/>
  <c r="O10" i="12" s="1"/>
  <c r="O41" i="23"/>
  <c r="O35" i="4" s="1"/>
  <c r="J34" i="23"/>
  <c r="J28" i="4" s="1"/>
  <c r="O40" i="23"/>
  <c r="O34" i="4" s="1"/>
  <c r="F30" i="23"/>
  <c r="F24" i="4" s="1"/>
  <c r="O43" i="23"/>
  <c r="O37" i="4" s="1"/>
  <c r="O39" i="23"/>
  <c r="O33" i="4" s="1"/>
  <c r="O42" i="23"/>
  <c r="O36" i="4" s="1"/>
  <c r="O36" i="23"/>
  <c r="O30" i="4" s="1"/>
  <c r="D31" i="23"/>
  <c r="D25" i="4" s="1"/>
  <c r="D30" i="23"/>
  <c r="D24" i="4" s="1"/>
  <c r="F32" i="23"/>
  <c r="F26" i="4" s="1"/>
  <c r="O35" i="23"/>
  <c r="O29" i="4" s="1"/>
  <c r="H31" i="23"/>
  <c r="H25" i="4" s="1"/>
  <c r="C30" i="23"/>
  <c r="C24" i="4" s="1"/>
  <c r="J28" i="23"/>
  <c r="D34" i="23"/>
  <c r="D28" i="4" s="1"/>
  <c r="O33" i="23"/>
  <c r="O27" i="4" s="1"/>
  <c r="O29" i="23"/>
  <c r="O23" i="4" s="1"/>
  <c r="M35" i="23"/>
  <c r="M29" i="4" s="1"/>
  <c r="K33" i="23"/>
  <c r="K27" i="4" s="1"/>
  <c r="K31" i="23"/>
  <c r="K25" i="4" s="1"/>
  <c r="G32" i="23"/>
  <c r="G26" i="4" s="1"/>
  <c r="H28" i="23"/>
  <c r="E35" i="23"/>
  <c r="E29" i="4" s="1"/>
  <c r="D29" i="23"/>
  <c r="D23" i="4" s="1"/>
  <c r="G30" i="23"/>
  <c r="G24" i="4" s="1"/>
  <c r="I32" i="23"/>
  <c r="I26" i="4" s="1"/>
  <c r="G34" i="23"/>
  <c r="G28" i="4" s="1"/>
  <c r="I34" i="23"/>
  <c r="I28" i="4" s="1"/>
  <c r="D28" i="23"/>
  <c r="J30" i="23"/>
  <c r="J24" i="4" s="1"/>
  <c r="C33" i="23"/>
  <c r="C27" i="4" s="1"/>
  <c r="E29" i="23"/>
  <c r="E23" i="4" s="1"/>
  <c r="H30" i="23"/>
  <c r="H24" i="4" s="1"/>
  <c r="J32" i="23"/>
  <c r="J26" i="4" s="1"/>
  <c r="H34" i="23"/>
  <c r="H28" i="4" s="1"/>
  <c r="F29" i="23"/>
  <c r="F23" i="4" s="1"/>
  <c r="L35" i="23"/>
  <c r="L29" i="4" s="1"/>
  <c r="K34" i="23"/>
  <c r="K28" i="4" s="1"/>
  <c r="M32" i="23"/>
  <c r="M26" i="4" s="1"/>
  <c r="L30" i="23"/>
  <c r="L24" i="4" s="1"/>
  <c r="K29" i="23"/>
  <c r="K23" i="4" s="1"/>
  <c r="L34" i="23"/>
  <c r="L28" i="4" s="1"/>
  <c r="L29" i="23"/>
  <c r="L23" i="4" s="1"/>
  <c r="I30" i="23"/>
  <c r="I24" i="4" s="1"/>
  <c r="F33" i="23"/>
  <c r="F27" i="4" s="1"/>
  <c r="G29" i="23"/>
  <c r="G23" i="4" s="1"/>
  <c r="I35" i="23"/>
  <c r="I29" i="4" s="1"/>
  <c r="H29" i="23"/>
  <c r="H23" i="4" s="1"/>
  <c r="F31" i="23"/>
  <c r="F25" i="4" s="1"/>
  <c r="D33" i="23"/>
  <c r="D27" i="4" s="1"/>
  <c r="F35" i="23"/>
  <c r="F29" i="4" s="1"/>
  <c r="C32" i="23"/>
  <c r="C26" i="4" s="1"/>
  <c r="H35" i="23"/>
  <c r="H29" i="4" s="1"/>
  <c r="C29" i="23"/>
  <c r="C23" i="4" s="1"/>
  <c r="E31" i="23"/>
  <c r="E25" i="4" s="1"/>
  <c r="I29" i="23"/>
  <c r="C31" i="23"/>
  <c r="C25" i="4" s="1"/>
  <c r="E33" i="23"/>
  <c r="E27" i="4" s="1"/>
  <c r="C35" i="23"/>
  <c r="C29" i="4" s="1"/>
  <c r="J29" i="23"/>
  <c r="K35" i="23"/>
  <c r="K29" i="4" s="1"/>
  <c r="M33" i="23"/>
  <c r="M27" i="4" s="1"/>
  <c r="L32" i="23"/>
  <c r="L26" i="4" s="1"/>
  <c r="M31" i="23"/>
  <c r="M25" i="4" s="1"/>
  <c r="K30" i="23"/>
  <c r="K24" i="4" s="1"/>
  <c r="M28" i="23"/>
  <c r="M30" i="23"/>
  <c r="M24" i="4" s="1"/>
  <c r="K28" i="23"/>
  <c r="G28" i="23"/>
  <c r="J33" i="23"/>
  <c r="J27" i="4" s="1"/>
  <c r="D32" i="23"/>
  <c r="D26" i="4" s="1"/>
  <c r="E28" i="23"/>
  <c r="J31" i="23"/>
  <c r="J25" i="4" s="1"/>
  <c r="H33" i="23"/>
  <c r="H27" i="4" s="1"/>
  <c r="J35" i="23"/>
  <c r="J29" i="4" s="1"/>
  <c r="I31" i="23"/>
  <c r="I25" i="4" s="1"/>
  <c r="F34" i="23"/>
  <c r="F28" i="4" s="1"/>
  <c r="F28" i="23"/>
  <c r="G31" i="23"/>
  <c r="G25" i="4" s="1"/>
  <c r="I33" i="23"/>
  <c r="I27" i="4" s="1"/>
  <c r="G35" i="23"/>
  <c r="G29" i="4" s="1"/>
  <c r="C28" i="23"/>
  <c r="E30" i="23"/>
  <c r="E24" i="4" s="1"/>
  <c r="M34" i="23"/>
  <c r="M28" i="4" s="1"/>
  <c r="L33" i="23"/>
  <c r="L27" i="4" s="1"/>
  <c r="K32" i="23"/>
  <c r="K26" i="4" s="1"/>
  <c r="L31" i="23"/>
  <c r="L25" i="4" s="1"/>
  <c r="M29" i="23"/>
  <c r="M23" i="4" s="1"/>
  <c r="L28" i="23"/>
  <c r="H35" i="1"/>
  <c r="H13" i="4" s="1"/>
  <c r="G30" i="1"/>
  <c r="G8" i="4" s="1"/>
  <c r="O38" i="1"/>
  <c r="O16" i="4" s="1"/>
  <c r="O41" i="1"/>
  <c r="O19" i="4" s="1"/>
  <c r="P28" i="1"/>
  <c r="Q31" i="1"/>
  <c r="Q9" i="4" s="1"/>
  <c r="G35" i="1"/>
  <c r="G13" i="4" s="1"/>
  <c r="T35" i="1"/>
  <c r="T13" i="4" s="1"/>
  <c r="S34" i="1"/>
  <c r="S12" i="4" s="1"/>
  <c r="V33" i="1"/>
  <c r="V11" i="4" s="1"/>
  <c r="U32" i="1"/>
  <c r="U10" i="4" s="1"/>
  <c r="T31" i="1"/>
  <c r="T9" i="4" s="1"/>
  <c r="S30" i="1"/>
  <c r="S8" i="4" s="1"/>
  <c r="V29" i="1"/>
  <c r="V47" i="1" s="1"/>
  <c r="V48" i="1" s="1"/>
  <c r="V54" i="1" s="1"/>
  <c r="U28" i="1"/>
  <c r="S35" i="1"/>
  <c r="S13" i="4" s="1"/>
  <c r="V34" i="1"/>
  <c r="V12" i="4" s="1"/>
  <c r="U33" i="1"/>
  <c r="U11" i="4" s="1"/>
  <c r="T32" i="1"/>
  <c r="T10" i="4" s="1"/>
  <c r="S31" i="1"/>
  <c r="S9" i="4" s="1"/>
  <c r="V30" i="1"/>
  <c r="V8" i="4" s="1"/>
  <c r="U29" i="1"/>
  <c r="U7" i="4" s="1"/>
  <c r="T28" i="1"/>
  <c r="R33" i="1"/>
  <c r="R11" i="4" s="1"/>
  <c r="V35" i="1"/>
  <c r="V13" i="4" s="1"/>
  <c r="U34" i="1"/>
  <c r="U12" i="4" s="1"/>
  <c r="T33" i="1"/>
  <c r="T11" i="4" s="1"/>
  <c r="S32" i="1"/>
  <c r="S10" i="4" s="1"/>
  <c r="V31" i="1"/>
  <c r="V9" i="4" s="1"/>
  <c r="U30" i="1"/>
  <c r="U8" i="4" s="1"/>
  <c r="T29" i="1"/>
  <c r="T7" i="4" s="1"/>
  <c r="S28" i="1"/>
  <c r="U35" i="1"/>
  <c r="U13" i="4" s="1"/>
  <c r="T34" i="1"/>
  <c r="T12" i="4" s="1"/>
  <c r="S33" i="1"/>
  <c r="S11" i="4" s="1"/>
  <c r="V32" i="1"/>
  <c r="V10" i="4" s="1"/>
  <c r="U31" i="1"/>
  <c r="U9" i="4" s="1"/>
  <c r="T30" i="1"/>
  <c r="T8" i="4" s="1"/>
  <c r="S29" i="1"/>
  <c r="S7" i="4" s="1"/>
  <c r="O42" i="1"/>
  <c r="O20" i="4" s="1"/>
  <c r="O39" i="1"/>
  <c r="O17" i="4" s="1"/>
  <c r="F34" i="1"/>
  <c r="F12" i="4" s="1"/>
  <c r="E32" i="1"/>
  <c r="E10" i="4" s="1"/>
  <c r="C33" i="1"/>
  <c r="C11" i="4" s="1"/>
  <c r="B33" i="1"/>
  <c r="B11" i="4" s="1"/>
  <c r="F29" i="1"/>
  <c r="F7" i="4" s="1"/>
  <c r="I33" i="1"/>
  <c r="I11" i="4" s="1"/>
  <c r="I29" i="1"/>
  <c r="I34" i="1"/>
  <c r="I12" i="4" s="1"/>
  <c r="E30" i="1"/>
  <c r="E8" i="4" s="1"/>
  <c r="H31" i="1"/>
  <c r="F32" i="1"/>
  <c r="F10" i="4" s="1"/>
  <c r="E35" i="1"/>
  <c r="E13" i="4" s="1"/>
  <c r="H30" i="1"/>
  <c r="H8" i="4" s="1"/>
  <c r="F33" i="1"/>
  <c r="F11" i="4" s="1"/>
  <c r="C35" i="1"/>
  <c r="C13" i="4" s="1"/>
  <c r="H32" i="1"/>
  <c r="H10" i="4" s="1"/>
  <c r="F35" i="1"/>
  <c r="F13" i="4" s="1"/>
  <c r="D33" i="1"/>
  <c r="D11" i="4" s="1"/>
  <c r="D35" i="1"/>
  <c r="D13" i="4" s="1"/>
  <c r="H34" i="1"/>
  <c r="H12" i="4" s="1"/>
  <c r="G29" i="1"/>
  <c r="G7" i="4" s="1"/>
  <c r="J31" i="1"/>
  <c r="J9" i="4" s="1"/>
  <c r="K35" i="1"/>
  <c r="K13" i="4" s="1"/>
  <c r="M29" i="1"/>
  <c r="M7" i="4" s="1"/>
  <c r="J35" i="1"/>
  <c r="J13" i="4" s="1"/>
  <c r="J30" i="1"/>
  <c r="J8" i="4" s="1"/>
  <c r="M33" i="1"/>
  <c r="M11" i="4" s="1"/>
  <c r="L28" i="1"/>
  <c r="J34" i="1"/>
  <c r="J12" i="4" s="1"/>
  <c r="L32" i="1"/>
  <c r="L10" i="4" s="1"/>
  <c r="K31" i="1"/>
  <c r="J28" i="1"/>
  <c r="M34" i="1"/>
  <c r="M12" i="4" s="1"/>
  <c r="L33" i="1"/>
  <c r="L11" i="4" s="1"/>
  <c r="K32" i="1"/>
  <c r="K10" i="4" s="1"/>
  <c r="M30" i="1"/>
  <c r="M8" i="4" s="1"/>
  <c r="L29" i="1"/>
  <c r="K28" i="1"/>
  <c r="K6" i="4" s="1"/>
  <c r="J33" i="1"/>
  <c r="J11" i="4" s="1"/>
  <c r="J29" i="1"/>
  <c r="J7" i="4" s="1"/>
  <c r="M35" i="1"/>
  <c r="M13" i="4" s="1"/>
  <c r="L34" i="1"/>
  <c r="L12" i="4" s="1"/>
  <c r="K33" i="1"/>
  <c r="K11" i="4" s="1"/>
  <c r="M31" i="1"/>
  <c r="M9" i="4" s="1"/>
  <c r="L30" i="1"/>
  <c r="L8" i="4" s="1"/>
  <c r="K29" i="1"/>
  <c r="K7" i="4" s="1"/>
  <c r="L35" i="1"/>
  <c r="L13" i="4" s="1"/>
  <c r="K34" i="1"/>
  <c r="K12" i="4" s="1"/>
  <c r="M32" i="1"/>
  <c r="M10" i="4" s="1"/>
  <c r="L31" i="1"/>
  <c r="L9" i="4" s="1"/>
  <c r="K30" i="1"/>
  <c r="K8" i="4" s="1"/>
  <c r="M28" i="1"/>
  <c r="M6" i="4" s="1"/>
  <c r="Q6" i="4"/>
  <c r="I22" i="4"/>
  <c r="S6" i="4"/>
  <c r="Q22" i="4"/>
  <c r="T6" i="4"/>
  <c r="M22" i="4"/>
  <c r="P6" i="4"/>
  <c r="S22"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O29" i="1"/>
  <c r="O7" i="4" s="1"/>
  <c r="B27" i="23"/>
  <c r="B52" i="23" s="1"/>
  <c r="K45" i="23"/>
  <c r="E27" i="23"/>
  <c r="E52" i="23" s="1"/>
  <c r="Q30" i="1"/>
  <c r="Q8" i="4" s="1"/>
  <c r="B29" i="1"/>
  <c r="B7" i="4" s="1"/>
  <c r="P35" i="1"/>
  <c r="P13" i="4" s="1"/>
  <c r="P31" i="1"/>
  <c r="P9" i="4" s="1"/>
  <c r="H22" i="23"/>
  <c r="R47" i="23"/>
  <c r="R48" i="23" s="1"/>
  <c r="R54" i="23" s="1"/>
  <c r="P37" i="1"/>
  <c r="F22" i="23"/>
  <c r="O36" i="1"/>
  <c r="Q46" i="23"/>
  <c r="Q53" i="23" s="1"/>
  <c r="H45" i="23"/>
  <c r="Q47" i="23"/>
  <c r="Q48" i="23" s="1"/>
  <c r="Q54" i="23" s="1"/>
  <c r="T46" i="23"/>
  <c r="T53" i="23" s="1"/>
  <c r="R31" i="1"/>
  <c r="R9" i="4" s="1"/>
  <c r="R22" i="4"/>
  <c r="V22" i="4"/>
  <c r="U29" i="4"/>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K9" i="4"/>
  <c r="B32" i="1"/>
  <c r="D28" i="1"/>
  <c r="C32" i="1"/>
  <c r="B28" i="1"/>
  <c r="D32" i="1"/>
  <c r="B30" i="1"/>
  <c r="B8" i="4" s="1"/>
  <c r="C28" i="1"/>
  <c r="D31" i="1"/>
  <c r="D9" i="4" s="1"/>
  <c r="O28" i="1"/>
  <c r="C30" i="1"/>
  <c r="C8" i="4" s="1"/>
  <c r="C31" i="1"/>
  <c r="C9" i="4" s="1"/>
  <c r="D29" i="1"/>
  <c r="D7" i="4" s="1"/>
  <c r="D30" i="1"/>
  <c r="V6" i="4"/>
  <c r="G21" i="4"/>
  <c r="I21" i="4"/>
  <c r="F21" i="4"/>
  <c r="H21" i="4"/>
  <c r="E21" i="4"/>
  <c r="L52" i="23"/>
  <c r="E7" i="4"/>
  <c r="D17" i="4"/>
  <c r="F8" i="4"/>
  <c r="H9" i="4"/>
  <c r="J10" i="4"/>
  <c r="C4" i="4"/>
  <c r="A47" i="22"/>
  <c r="G27" i="23"/>
  <c r="G52" i="23" s="1"/>
  <c r="A50" i="22"/>
  <c r="H50" i="22" s="1"/>
  <c r="K27" i="23"/>
  <c r="L22" i="1"/>
  <c r="I7" i="4"/>
  <c r="D27" i="1"/>
  <c r="D52" i="1" s="1"/>
  <c r="D45" i="1"/>
  <c r="D22" i="23"/>
  <c r="D45" i="23"/>
  <c r="D27" i="23"/>
  <c r="D52" i="23" s="1"/>
  <c r="S46" i="23"/>
  <c r="S53" i="23" s="1"/>
  <c r="S47" i="23"/>
  <c r="S48" i="23" s="1"/>
  <c r="S54"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Q56" i="23"/>
  <c r="S56" i="23"/>
  <c r="I56" i="23"/>
  <c r="K56" i="23"/>
  <c r="E56" i="23"/>
  <c r="S78" i="4"/>
  <c r="L56" i="1"/>
  <c r="T56" i="1"/>
  <c r="U56" i="1"/>
  <c r="B56" i="1"/>
  <c r="V56" i="1"/>
  <c r="G56" i="1"/>
  <c r="O56" i="23"/>
  <c r="Q56" i="1"/>
  <c r="E56" i="1"/>
  <c r="M56" i="1"/>
  <c r="I56" i="1"/>
  <c r="S56" i="1"/>
  <c r="U56" i="23"/>
  <c r="H56" i="1"/>
  <c r="T56" i="23"/>
  <c r="V56" i="23"/>
  <c r="D56" i="23"/>
  <c r="G56" i="23"/>
  <c r="L56" i="23"/>
  <c r="B56" i="23"/>
  <c r="M78" i="4"/>
  <c r="C56" i="1"/>
  <c r="O56" i="1"/>
  <c r="K56" i="1"/>
  <c r="D56" i="1"/>
  <c r="J56" i="1"/>
  <c r="R56" i="1"/>
  <c r="P56" i="23"/>
  <c r="R56" i="23"/>
  <c r="J56" i="23"/>
  <c r="H56" i="23"/>
  <c r="M56" i="23"/>
  <c r="F56" i="23"/>
  <c r="C56" i="23"/>
  <c r="P56" i="1"/>
  <c r="F56" i="1"/>
  <c r="R57" i="23" l="1"/>
  <c r="P57" i="23"/>
  <c r="V57" i="23"/>
  <c r="T57" i="23"/>
  <c r="U57" i="23"/>
  <c r="S57" i="23"/>
  <c r="Q57" i="23"/>
  <c r="U46" i="23"/>
  <c r="U53" i="23" s="1"/>
  <c r="V47" i="23"/>
  <c r="V48" i="23" s="1"/>
  <c r="V54" i="23" s="1"/>
  <c r="L47" i="1"/>
  <c r="L48" i="1" s="1"/>
  <c r="L54" i="1" s="1"/>
  <c r="C22" i="4"/>
  <c r="F22" i="4"/>
  <c r="H22" i="4"/>
  <c r="J22" i="4"/>
  <c r="P47" i="23"/>
  <c r="P48" i="23" s="1"/>
  <c r="P54" i="23" s="1"/>
  <c r="D22" i="4"/>
  <c r="T22" i="4"/>
  <c r="U22" i="4"/>
  <c r="V46" i="23"/>
  <c r="V53" i="23" s="1"/>
  <c r="T47" i="23"/>
  <c r="T48" i="23" s="1"/>
  <c r="T54" i="23" s="1"/>
  <c r="P23" i="4"/>
  <c r="R46" i="23"/>
  <c r="R53" i="23" s="1"/>
  <c r="E22" i="4"/>
  <c r="I46" i="23"/>
  <c r="I53" i="23" s="1"/>
  <c r="F46" i="23"/>
  <c r="F53" i="23" s="1"/>
  <c r="M46" i="23"/>
  <c r="M53" i="23" s="1"/>
  <c r="C46" i="23"/>
  <c r="C53" i="23" s="1"/>
  <c r="H46" i="23"/>
  <c r="H53" i="23" s="1"/>
  <c r="M47" i="23"/>
  <c r="M48" i="23" s="1"/>
  <c r="M54" i="23" s="1"/>
  <c r="I47" i="23"/>
  <c r="I48" i="23" s="1"/>
  <c r="I54" i="23" s="1"/>
  <c r="J47" i="23"/>
  <c r="J48" i="23" s="1"/>
  <c r="J54" i="23" s="1"/>
  <c r="H47" i="23"/>
  <c r="H48" i="23" s="1"/>
  <c r="H54" i="23" s="1"/>
  <c r="K47" i="23"/>
  <c r="K48" i="23" s="1"/>
  <c r="K54" i="23" s="1"/>
  <c r="J46" i="23"/>
  <c r="J53" i="23" s="1"/>
  <c r="F47" i="23"/>
  <c r="C47" i="23"/>
  <c r="C48" i="23" s="1"/>
  <c r="C54" i="23" s="1"/>
  <c r="K46" i="23"/>
  <c r="K53" i="23" s="1"/>
  <c r="E46" i="23"/>
  <c r="E53" i="23" s="1"/>
  <c r="E47" i="23"/>
  <c r="E48" i="23" s="1"/>
  <c r="E54" i="23" s="1"/>
  <c r="G57" i="23"/>
  <c r="D57" i="23"/>
  <c r="E57" i="23"/>
  <c r="K57" i="23"/>
  <c r="J57" i="23"/>
  <c r="I57" i="23"/>
  <c r="L57" i="23"/>
  <c r="C57" i="23"/>
  <c r="F57" i="23"/>
  <c r="M57" i="23"/>
  <c r="H57" i="23"/>
  <c r="F48" i="23"/>
  <c r="F54" i="23" s="1"/>
  <c r="G46" i="23"/>
  <c r="G53" i="23" s="1"/>
  <c r="G22" i="4"/>
  <c r="K22" i="4"/>
  <c r="K63" i="4" s="1"/>
  <c r="K64" i="4" s="1"/>
  <c r="J23" i="4"/>
  <c r="I23" i="4"/>
  <c r="D46" i="23"/>
  <c r="D53" i="23" s="1"/>
  <c r="L47" i="23"/>
  <c r="L48" i="23" s="1"/>
  <c r="L54" i="23" s="1"/>
  <c r="D47" i="23"/>
  <c r="D48" i="23" s="1"/>
  <c r="D54" i="23" s="1"/>
  <c r="G47" i="23"/>
  <c r="G48" i="23" s="1"/>
  <c r="G54" i="23" s="1"/>
  <c r="L22" i="4"/>
  <c r="L46" i="23"/>
  <c r="L53" i="23" s="1"/>
  <c r="J47" i="1"/>
  <c r="J48" i="1" s="1"/>
  <c r="J54" i="1" s="1"/>
  <c r="S46" i="1"/>
  <c r="S53" i="1" s="1"/>
  <c r="U46" i="1"/>
  <c r="U53" i="1" s="1"/>
  <c r="V46" i="1"/>
  <c r="V53" i="1" s="1"/>
  <c r="T46" i="1"/>
  <c r="T53" i="1" s="1"/>
  <c r="T47" i="1"/>
  <c r="T48" i="1" s="1"/>
  <c r="T54" i="1" s="1"/>
  <c r="S47" i="1"/>
  <c r="S48" i="1" s="1"/>
  <c r="S54" i="1" s="1"/>
  <c r="J6" i="4"/>
  <c r="U47" i="1"/>
  <c r="U48" i="1" s="1"/>
  <c r="U54" i="1" s="1"/>
  <c r="K47" i="1"/>
  <c r="K48" i="1" s="1"/>
  <c r="K54" i="1" s="1"/>
  <c r="T57" i="1"/>
  <c r="U57" i="1"/>
  <c r="V57" i="1"/>
  <c r="S57" i="1"/>
  <c r="U6" i="4"/>
  <c r="V7" i="4"/>
  <c r="V63" i="4" s="1"/>
  <c r="V64" i="4" s="1"/>
  <c r="L46" i="1"/>
  <c r="L53" i="1" s="1"/>
  <c r="L6" i="4"/>
  <c r="M47" i="1"/>
  <c r="M48" i="1" s="1"/>
  <c r="M54" i="1" s="1"/>
  <c r="K57" i="1"/>
  <c r="L57" i="1"/>
  <c r="M57" i="1"/>
  <c r="J57" i="1"/>
  <c r="J46" i="1"/>
  <c r="J53" i="1" s="1"/>
  <c r="M46" i="1"/>
  <c r="M53" i="1" s="1"/>
  <c r="M63" i="4"/>
  <c r="M64" i="4" s="1"/>
  <c r="F46" i="1"/>
  <c r="F53" i="1" s="1"/>
  <c r="L7" i="4"/>
  <c r="K46" i="1"/>
  <c r="K53" i="1" s="1"/>
  <c r="P47" i="1"/>
  <c r="P48" i="1" s="1"/>
  <c r="P54" i="1" s="1"/>
  <c r="O6" i="4"/>
  <c r="B6" i="4"/>
  <c r="G6" i="4"/>
  <c r="Q7" i="4"/>
  <c r="D6" i="4"/>
  <c r="R6" i="4"/>
  <c r="S63" i="4"/>
  <c r="S64" i="4" s="1"/>
  <c r="C6" i="4"/>
  <c r="B22" i="4"/>
  <c r="I6" i="4"/>
  <c r="P7" i="4"/>
  <c r="E6" i="4"/>
  <c r="H6" i="4"/>
  <c r="F6" i="4"/>
  <c r="U63" i="4"/>
  <c r="U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T57" i="4"/>
  <c r="T58" i="4" s="1"/>
  <c r="T76" i="4" s="1"/>
  <c r="H57" i="1"/>
  <c r="G57" i="1"/>
  <c r="F57" i="1"/>
  <c r="I57" i="1"/>
  <c r="E57" i="1"/>
  <c r="H7" i="4"/>
  <c r="G46" i="1"/>
  <c r="G53" i="1" s="1"/>
  <c r="H46" i="1"/>
  <c r="H53" i="1" s="1"/>
  <c r="H47" i="1"/>
  <c r="H48" i="1" s="1"/>
  <c r="H54" i="1" s="1"/>
  <c r="G11" i="4"/>
  <c r="F9" i="4"/>
  <c r="I13" i="4"/>
  <c r="E12" i="4"/>
  <c r="I55" i="4"/>
  <c r="I62" i="4"/>
  <c r="V56" i="4"/>
  <c r="V75" i="4" s="1"/>
  <c r="U57" i="4"/>
  <c r="U58" i="4" s="1"/>
  <c r="U76" i="4" s="1"/>
  <c r="S56" i="4"/>
  <c r="S75" i="4" s="1"/>
  <c r="O55" i="4"/>
  <c r="O62" i="4"/>
  <c r="F55" i="4"/>
  <c r="F62" i="4"/>
  <c r="M55" i="4"/>
  <c r="M62" i="4"/>
  <c r="J55" i="4"/>
  <c r="J62" i="4"/>
  <c r="P55" i="4"/>
  <c r="P62" i="4"/>
  <c r="G55" i="4"/>
  <c r="G62" i="4"/>
  <c r="H74" i="4"/>
  <c r="H62" i="4"/>
  <c r="U22" i="33"/>
  <c r="U45" i="33"/>
  <c r="U27" i="33"/>
  <c r="U52" i="33" s="1"/>
  <c r="R45" i="33"/>
  <c r="R27" i="33"/>
  <c r="R52" i="33" s="1"/>
  <c r="R22" i="33"/>
  <c r="U56" i="4"/>
  <c r="U75" i="4" s="1"/>
  <c r="M56" i="4"/>
  <c r="M75" i="4" s="1"/>
  <c r="T56" i="4"/>
  <c r="T75" i="4" s="1"/>
  <c r="C74" i="4"/>
  <c r="C62" i="4"/>
  <c r="D55" i="4"/>
  <c r="D62" i="4"/>
  <c r="S27" i="33"/>
  <c r="S52" i="33" s="1"/>
  <c r="S22" i="33"/>
  <c r="S45" i="33"/>
  <c r="A36" i="22"/>
  <c r="H36" i="22" s="1"/>
  <c r="V4" i="33"/>
  <c r="S57" i="4"/>
  <c r="S58" i="4" s="1"/>
  <c r="S76" i="4" s="1"/>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M79" i="4"/>
  <c r="S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G55" i="1" s="1"/>
  <c r="B47" i="1"/>
  <c r="B48" i="1" s="1"/>
  <c r="B54" i="1" s="1"/>
  <c r="D46" i="1"/>
  <c r="D53" i="1" s="1"/>
  <c r="O47" i="1"/>
  <c r="O48" i="1" s="1"/>
  <c r="O54" i="1" s="1"/>
  <c r="O46" i="1"/>
  <c r="O53" i="1" s="1"/>
  <c r="D47" i="1"/>
  <c r="D48" i="1" s="1"/>
  <c r="D54" i="1" s="1"/>
  <c r="D8" i="4"/>
  <c r="T4" i="1"/>
  <c r="T4" i="23"/>
  <c r="F74" i="4"/>
  <c r="I74" i="4"/>
  <c r="O74" i="4"/>
  <c r="P74" i="4"/>
  <c r="AD2" i="12"/>
  <c r="T78" i="4"/>
  <c r="L78" i="4"/>
  <c r="B78" i="4"/>
  <c r="F78" i="4"/>
  <c r="C78" i="4"/>
  <c r="E78" i="4"/>
  <c r="H78" i="4"/>
  <c r="V78" i="4"/>
  <c r="G78" i="4"/>
  <c r="I78" i="4"/>
  <c r="R78" i="4"/>
  <c r="K78" i="4"/>
  <c r="O78" i="4"/>
  <c r="P78" i="4"/>
  <c r="D78" i="4"/>
  <c r="U78" i="4"/>
  <c r="J78" i="4"/>
  <c r="Q78" i="4"/>
  <c r="T79" i="4" l="1"/>
  <c r="J56" i="4"/>
  <c r="J75" i="4" s="1"/>
  <c r="V57" i="4"/>
  <c r="V58" i="4" s="1"/>
  <c r="V76" i="4" s="1"/>
  <c r="L57" i="4"/>
  <c r="L58" i="4" s="1"/>
  <c r="L76" i="4" s="1"/>
  <c r="H4" i="12" s="1"/>
  <c r="I63" i="4"/>
  <c r="I64" i="4" s="1"/>
  <c r="J57" i="4"/>
  <c r="J58" i="4" s="1"/>
  <c r="J76" i="4" s="1"/>
  <c r="K56" i="4"/>
  <c r="K75" i="4" s="1"/>
  <c r="G3" i="12" s="1"/>
  <c r="K57" i="4"/>
  <c r="K58" i="4" s="1"/>
  <c r="K76" i="4" s="1"/>
  <c r="G4" i="12" s="1"/>
  <c r="K79" i="4"/>
  <c r="J63" i="4"/>
  <c r="J64" i="4" s="1"/>
  <c r="V4" i="4"/>
  <c r="V55" i="4" s="1"/>
  <c r="J79" i="4"/>
  <c r="V79" i="4"/>
  <c r="U79" i="4"/>
  <c r="L63" i="4"/>
  <c r="L64" i="4" s="1"/>
  <c r="L56" i="4"/>
  <c r="L75" i="4" s="1"/>
  <c r="H3" i="12" s="1"/>
  <c r="H56" i="4"/>
  <c r="H75" i="4" s="1"/>
  <c r="L79" i="4"/>
  <c r="R63" i="4"/>
  <c r="R64" i="4" s="1"/>
  <c r="I57" i="4"/>
  <c r="I58" i="4" s="1"/>
  <c r="I76" i="4" s="1"/>
  <c r="C63" i="4"/>
  <c r="C64" i="4" s="1"/>
  <c r="F63" i="4"/>
  <c r="F64" i="4" s="1"/>
  <c r="C55" i="23"/>
  <c r="F55" i="23"/>
  <c r="D63" i="4"/>
  <c r="D64" i="4" s="1"/>
  <c r="B63" i="4"/>
  <c r="B64" i="4" s="1"/>
  <c r="O63" i="4"/>
  <c r="O64" i="4" s="1"/>
  <c r="G56" i="4"/>
  <c r="G75" i="4" s="1"/>
  <c r="H57" i="4"/>
  <c r="H58" i="4" s="1"/>
  <c r="H76" i="4" s="1"/>
  <c r="H63" i="4"/>
  <c r="H64" i="4" s="1"/>
  <c r="P63" i="4"/>
  <c r="P64" i="4" s="1"/>
  <c r="G63" i="4"/>
  <c r="G64" i="4" s="1"/>
  <c r="E63" i="4"/>
  <c r="E64" i="4" s="1"/>
  <c r="Q63" i="4"/>
  <c r="Q64" i="4" s="1"/>
  <c r="Q55" i="23"/>
  <c r="V55" i="23"/>
  <c r="V27" i="23"/>
  <c r="V52" i="23" s="1"/>
  <c r="I56" i="4"/>
  <c r="I75" i="4" s="1"/>
  <c r="J4" i="12"/>
  <c r="M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AA2" i="12"/>
  <c r="P56" i="4"/>
  <c r="R57" i="4"/>
  <c r="R58" i="4" s="1"/>
  <c r="R76" i="4" s="1"/>
  <c r="Q57" i="4"/>
  <c r="Q58" i="4" s="1"/>
  <c r="Q76" i="4" s="1"/>
  <c r="Q79" i="4"/>
  <c r="P79" i="4"/>
  <c r="R79" i="4"/>
  <c r="U4" i="4"/>
  <c r="F2" i="27"/>
  <c r="O2" i="12"/>
  <c r="O4" i="12" s="1"/>
  <c r="U27" i="1"/>
  <c r="U52" i="1" s="1"/>
  <c r="C79" i="4"/>
  <c r="D79" i="4"/>
  <c r="L55" i="23"/>
  <c r="R55" i="23"/>
  <c r="T55" i="23"/>
  <c r="D55" i="23"/>
  <c r="H55" i="23"/>
  <c r="K55" i="23"/>
  <c r="J55" i="23"/>
  <c r="M55" i="23"/>
  <c r="G55" i="23"/>
  <c r="U55" i="23"/>
  <c r="E55" i="23"/>
  <c r="P55" i="23"/>
  <c r="I55" i="23"/>
  <c r="S55" i="23"/>
  <c r="R59" i="23"/>
  <c r="R60" i="23" s="1"/>
  <c r="O55" i="23"/>
  <c r="O79" i="4"/>
  <c r="B79" i="4"/>
  <c r="B64" i="23"/>
  <c r="L59" i="23"/>
  <c r="L60" i="23" s="1"/>
  <c r="F59" i="23"/>
  <c r="F60" i="23" s="1"/>
  <c r="Q59" i="23"/>
  <c r="Q60" i="23" s="1"/>
  <c r="V59" i="23"/>
  <c r="V60" i="23" s="1"/>
  <c r="P59" i="23"/>
  <c r="P60" i="23" s="1"/>
  <c r="T59" i="23"/>
  <c r="T60" i="23" s="1"/>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J59" i="23"/>
  <c r="J60" i="23" s="1"/>
  <c r="K59" i="23"/>
  <c r="K60" i="23" s="1"/>
  <c r="D59" i="23"/>
  <c r="D60" i="23" s="1"/>
  <c r="I59" i="23"/>
  <c r="I60" i="23" s="1"/>
  <c r="O59" i="23"/>
  <c r="O60" i="23" s="1"/>
  <c r="G59" i="23"/>
  <c r="G60" i="23" s="1"/>
  <c r="H59" i="23"/>
  <c r="H60" i="23" s="1"/>
  <c r="M59" i="23"/>
  <c r="M60" i="23" s="1"/>
  <c r="P55" i="1"/>
  <c r="C55" i="1"/>
  <c r="H55" i="1"/>
  <c r="U55" i="1"/>
  <c r="T55" i="1"/>
  <c r="F55" i="1"/>
  <c r="Q55" i="1"/>
  <c r="I55" i="1"/>
  <c r="L55" i="1"/>
  <c r="J55" i="1"/>
  <c r="D55" i="1"/>
  <c r="K55" i="1"/>
  <c r="E55" i="1"/>
  <c r="O55" i="1"/>
  <c r="O59" i="1"/>
  <c r="J59" i="1"/>
  <c r="F59" i="1"/>
  <c r="M59" i="1"/>
  <c r="I59" i="1"/>
  <c r="E59" i="1"/>
  <c r="L59" i="1"/>
  <c r="H59" i="1"/>
  <c r="D59" i="1"/>
  <c r="K59" i="1"/>
  <c r="C59" i="1"/>
  <c r="G59" i="1"/>
  <c r="S55" i="1"/>
  <c r="M55" i="1"/>
  <c r="R55" i="1"/>
  <c r="V55" i="1"/>
  <c r="T59" i="1"/>
  <c r="P59" i="1"/>
  <c r="S59" i="1"/>
  <c r="V59" i="1"/>
  <c r="R59" i="1"/>
  <c r="U59" i="1"/>
  <c r="Q59" i="1"/>
  <c r="B65" i="1"/>
  <c r="B64" i="1"/>
  <c r="B55" i="1"/>
  <c r="T27" i="23"/>
  <c r="T52" i="23" s="1"/>
  <c r="T45" i="23"/>
  <c r="T22" i="23"/>
  <c r="F3" i="12"/>
  <c r="J3" i="12"/>
  <c r="I3" i="12"/>
  <c r="T27" i="1"/>
  <c r="T52" i="1" s="1"/>
  <c r="T45" i="1"/>
  <c r="T4" i="4"/>
  <c r="T62" i="4" s="1"/>
  <c r="T22" i="1"/>
  <c r="H60" i="1"/>
  <c r="F60" i="1"/>
  <c r="U60" i="1"/>
  <c r="G60" i="1"/>
  <c r="L60" i="1"/>
  <c r="E60" i="1"/>
  <c r="K60" i="1"/>
  <c r="M60" i="1"/>
  <c r="C60" i="1"/>
  <c r="T60" i="1"/>
  <c r="S60" i="1"/>
  <c r="D60" i="1"/>
  <c r="J60" i="1"/>
  <c r="I60" i="1"/>
  <c r="V60" i="1"/>
  <c r="E60" i="23"/>
  <c r="O60" i="1"/>
  <c r="Q60" i="1"/>
  <c r="P60" i="1"/>
  <c r="R60" i="1"/>
  <c r="V62" i="4" l="1"/>
  <c r="F4" i="27"/>
  <c r="R80" i="4"/>
  <c r="V74" i="4"/>
  <c r="Z2" i="12" s="1"/>
  <c r="AH2" i="12"/>
  <c r="J80" i="4"/>
  <c r="B80" i="4"/>
  <c r="P75" i="4"/>
  <c r="B5" i="27" s="1"/>
  <c r="O81" i="4"/>
  <c r="AE2" i="12"/>
  <c r="U74" i="4"/>
  <c r="Y2" i="12" s="1"/>
  <c r="U62" i="4"/>
  <c r="B6" i="12"/>
  <c r="B6" i="27"/>
  <c r="R61" i="23"/>
  <c r="U55" i="4"/>
  <c r="F3" i="27"/>
  <c r="V77" i="4"/>
  <c r="U77" i="4"/>
  <c r="O77" i="4"/>
  <c r="S77" i="4"/>
  <c r="Q77" i="4"/>
  <c r="R77" i="4"/>
  <c r="P81" i="4"/>
  <c r="Q81" i="4"/>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B4" i="12" s="1"/>
  <c r="AF2" i="12"/>
  <c r="T55" i="4"/>
  <c r="T74" i="4"/>
  <c r="Q82" i="4"/>
  <c r="O82" i="4"/>
  <c r="P82" i="4"/>
  <c r="AD4" i="12" l="1"/>
  <c r="B5" i="12"/>
  <c r="P77" i="4"/>
  <c r="AE4" i="12"/>
  <c r="Z4" i="12"/>
  <c r="W4" i="12"/>
  <c r="AG4" i="12"/>
  <c r="AC4" i="12"/>
  <c r="AH4" i="12"/>
  <c r="AF4" i="12"/>
  <c r="Y4" i="12"/>
  <c r="AA4" i="12"/>
  <c r="K77" i="4"/>
  <c r="J77" i="4"/>
  <c r="G77" i="4"/>
  <c r="F77" i="4"/>
  <c r="L77" i="4"/>
  <c r="B77" i="4"/>
  <c r="B2" i="27"/>
  <c r="G6" i="27" s="1"/>
  <c r="M77" i="4"/>
  <c r="I77" i="4"/>
  <c r="B2" i="12"/>
  <c r="E6" i="12" s="1"/>
  <c r="H77" i="4"/>
  <c r="D77" i="4"/>
  <c r="C77" i="4"/>
  <c r="E77" i="4"/>
  <c r="AG8" i="12"/>
  <c r="U8" i="12"/>
  <c r="AJ8" i="12"/>
  <c r="AB8" i="12"/>
  <c r="Z8" i="12"/>
  <c r="AC8" i="12"/>
  <c r="V8" i="12"/>
  <c r="X8" i="12"/>
  <c r="AH8" i="12"/>
  <c r="AD8" i="12"/>
  <c r="AI8" i="12"/>
  <c r="W8" i="12"/>
  <c r="Y8" i="12"/>
  <c r="AE8" i="12"/>
  <c r="AA8" i="12"/>
  <c r="AF8" i="12"/>
  <c r="H8" i="27"/>
  <c r="H9" i="27" s="1"/>
  <c r="H10" i="27" s="1"/>
  <c r="J8" i="27"/>
  <c r="J9" i="27" s="1"/>
  <c r="J10" i="27" s="1"/>
  <c r="I8" i="27"/>
  <c r="I9" i="27" s="1"/>
  <c r="I10" i="27" s="1"/>
  <c r="P83" i="4"/>
  <c r="S5" i="12"/>
  <c r="Q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AF9" i="12" l="1"/>
  <c r="AF10" i="12" s="1"/>
  <c r="W9" i="12"/>
  <c r="W10" i="12" s="1"/>
  <c r="X9" i="12"/>
  <c r="X10" i="12" s="1"/>
  <c r="AB9" i="12"/>
  <c r="AB10" i="12" s="1"/>
  <c r="AE9" i="12"/>
  <c r="AE10" i="12" s="1"/>
  <c r="AD9" i="12"/>
  <c r="AD10" i="12" s="1"/>
  <c r="AC9" i="12"/>
  <c r="AC10" i="12" s="1"/>
  <c r="U9" i="12"/>
  <c r="U10" i="12" s="1"/>
  <c r="AA9" i="12"/>
  <c r="AA10" i="12" s="1"/>
  <c r="AI9" i="12"/>
  <c r="AI10" i="12" s="1"/>
  <c r="V9" i="12"/>
  <c r="V10" i="12" s="1"/>
  <c r="AJ9" i="12"/>
  <c r="AJ10" i="12" s="1"/>
  <c r="Y9" i="12"/>
  <c r="Y10" i="12" s="1"/>
  <c r="AH9" i="12"/>
  <c r="AH10" i="12" s="1"/>
  <c r="Z9" i="12"/>
  <c r="Z10" i="12" s="1"/>
  <c r="AG9" i="12"/>
  <c r="AG10" i="12" s="1"/>
  <c r="P5" i="12"/>
  <c r="R5" i="12"/>
  <c r="Q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I26" i="22" s="1"/>
  <c r="F7" i="22"/>
  <c r="F19" i="22"/>
  <c r="G19" i="22" s="1"/>
  <c r="F23" i="22"/>
  <c r="G23" i="22" s="1"/>
  <c r="N5" i="12"/>
  <c r="M5" i="12"/>
  <c r="I5" i="12"/>
  <c r="F20" i="22"/>
  <c r="I20" i="22" s="1"/>
  <c r="F9" i="22"/>
  <c r="F12" i="22"/>
  <c r="K12" i="22" s="1"/>
  <c r="M12" i="22" s="1"/>
  <c r="F16" i="22"/>
  <c r="G16" i="22" s="1"/>
  <c r="F22" i="22"/>
  <c r="I22" i="22" s="1"/>
  <c r="J5" i="12"/>
  <c r="F15" i="22"/>
  <c r="G15" i="22" s="1"/>
  <c r="L5" i="12"/>
  <c r="F21" i="22"/>
  <c r="G21" i="22" s="1"/>
  <c r="F5" i="12"/>
  <c r="F24" i="22"/>
  <c r="G24" i="22" s="1"/>
  <c r="F10" i="22"/>
  <c r="F11" i="22"/>
  <c r="F13" i="22"/>
  <c r="G13" i="22" s="1"/>
  <c r="F14" i="22"/>
  <c r="I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I33" i="22"/>
  <c r="K33" i="22" s="1"/>
  <c r="N33" i="22" s="1"/>
  <c r="G46" i="22"/>
  <c r="J46" i="22" s="1"/>
  <c r="I46" i="22"/>
  <c r="M46" i="22" s="1"/>
  <c r="K46" i="22"/>
  <c r="N46" i="22" s="1"/>
  <c r="G37" i="22"/>
  <c r="J37" i="22" s="1"/>
  <c r="I37" i="22"/>
  <c r="K37" i="22"/>
  <c r="L3" i="28" s="1"/>
  <c r="G40" i="22"/>
  <c r="J40" i="22" s="1"/>
  <c r="I40" i="22"/>
  <c r="M40" i="22" s="1"/>
  <c r="K40" i="22"/>
  <c r="N40" i="22" s="1"/>
  <c r="G26" i="22"/>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I9" i="22" l="1"/>
  <c r="I32" i="22"/>
  <c r="K32" i="22" s="1"/>
  <c r="N32" i="22" s="1"/>
  <c r="I34" i="22"/>
  <c r="K34" i="22" s="1"/>
  <c r="N34" i="22" s="1"/>
  <c r="I36" i="22"/>
  <c r="I35" i="22"/>
  <c r="K35" i="22" s="1"/>
  <c r="N35" i="22" s="1"/>
  <c r="K13" i="22"/>
  <c r="M13" i="22" s="1"/>
  <c r="K26" i="22"/>
  <c r="M26" i="22" s="1"/>
  <c r="M33" i="22"/>
  <c r="I17" i="22"/>
  <c r="G17" i="22"/>
  <c r="K14" i="22"/>
  <c r="M14" i="22" s="1"/>
  <c r="K16" i="22"/>
  <c r="M16" i="22" s="1"/>
  <c r="I19" i="22"/>
  <c r="K15" i="22"/>
  <c r="M15" i="22" s="1"/>
  <c r="I12" i="22"/>
  <c r="I25" i="22"/>
  <c r="I13" i="22"/>
  <c r="K9" i="22"/>
  <c r="M9" i="22" s="1"/>
  <c r="N37" i="22"/>
  <c r="L10" i="28"/>
  <c r="L15" i="28"/>
  <c r="L7" i="28"/>
  <c r="L12" i="28"/>
  <c r="L8" i="28"/>
  <c r="L13" i="28"/>
  <c r="L5" i="28"/>
  <c r="L14" i="28"/>
  <c r="L6" i="28"/>
  <c r="L11" i="28"/>
  <c r="L4" i="28"/>
  <c r="L9" i="28"/>
  <c r="I24" i="22"/>
  <c r="G12" i="22"/>
  <c r="I15" i="22"/>
  <c r="G14" i="22"/>
  <c r="M37" i="22"/>
  <c r="K15" i="28"/>
  <c r="K7" i="28"/>
  <c r="K10" i="28"/>
  <c r="K12" i="28"/>
  <c r="K13" i="28"/>
  <c r="K5" i="28"/>
  <c r="K8" i="28"/>
  <c r="K11" i="28"/>
  <c r="K14" i="28"/>
  <c r="K6" i="28"/>
  <c r="K9" i="28"/>
  <c r="K4" i="28"/>
  <c r="G22" i="22"/>
  <c r="K19" i="22"/>
  <c r="M19" i="22" s="1"/>
  <c r="G10" i="22"/>
  <c r="I10" i="22" s="1"/>
  <c r="K10" i="22" s="1"/>
  <c r="K18" i="22"/>
  <c r="M18" i="22" s="1"/>
  <c r="I18" i="22"/>
  <c r="G11" i="22"/>
  <c r="I11" i="22" s="1"/>
  <c r="K11" i="22" s="1"/>
  <c r="M11" i="22" s="1"/>
  <c r="K21" i="22"/>
  <c r="M21" i="22" s="1"/>
  <c r="K25" i="22"/>
  <c r="M25" i="22" s="1"/>
  <c r="K24" i="22"/>
  <c r="M24" i="22" s="1"/>
  <c r="G7" i="22"/>
  <c r="I7" i="22" s="1"/>
  <c r="I16" i="22"/>
  <c r="G20" i="22"/>
  <c r="K23" i="22"/>
  <c r="M23" i="22" s="1"/>
  <c r="I21" i="22"/>
  <c r="K22" i="22"/>
  <c r="M22" i="22" s="1"/>
  <c r="I8" i="22"/>
  <c r="K8" i="22" s="1"/>
  <c r="M8" i="22" s="1"/>
  <c r="I23" i="22"/>
  <c r="K20" i="22"/>
  <c r="M20" i="22" s="1"/>
  <c r="H3" i="28"/>
  <c r="N12" i="22"/>
  <c r="N17" i="22"/>
  <c r="L2" i="28"/>
  <c r="K3" i="28"/>
  <c r="K2" i="28"/>
  <c r="G13" i="28"/>
  <c r="G14" i="28"/>
  <c r="G4" i="28"/>
  <c r="G8" i="28"/>
  <c r="G11" i="28"/>
  <c r="G12" i="28"/>
  <c r="G9" i="28"/>
  <c r="G6" i="28"/>
  <c r="G15" i="28"/>
  <c r="G7" i="28"/>
  <c r="G5" i="28"/>
  <c r="G10" i="28"/>
  <c r="H6" i="28"/>
  <c r="H15" i="28"/>
  <c r="H12" i="28"/>
  <c r="H9" i="28"/>
  <c r="H14" i="28"/>
  <c r="H10" i="28"/>
  <c r="H13" i="28"/>
  <c r="H11" i="28"/>
  <c r="H8" i="28"/>
  <c r="H5" i="28"/>
  <c r="H4" i="28"/>
  <c r="H7" i="28"/>
  <c r="H2" i="28"/>
  <c r="M32" i="22" l="1"/>
  <c r="N10" i="22"/>
  <c r="M10" i="22"/>
  <c r="G3" i="28"/>
  <c r="K7" i="22"/>
  <c r="M34" i="22"/>
  <c r="M35" i="22"/>
  <c r="M36" i="22"/>
  <c r="K36" i="22"/>
  <c r="N36" i="22" s="1"/>
  <c r="N13" i="22"/>
  <c r="N26" i="22"/>
  <c r="N9" i="22"/>
  <c r="N16" i="22"/>
  <c r="N15" i="22"/>
  <c r="N14" i="22"/>
  <c r="G2" i="28"/>
  <c r="N19" i="22"/>
  <c r="N20" i="22"/>
  <c r="N11" i="22"/>
  <c r="N18" i="22"/>
  <c r="N21" i="22"/>
  <c r="N8" i="22"/>
  <c r="N24" i="22"/>
  <c r="N25" i="22"/>
  <c r="N23" i="22"/>
  <c r="N22" i="22"/>
  <c r="N7" i="22" l="1"/>
  <c r="M7"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<sst xmlns="http://schemas.openxmlformats.org/spreadsheetml/2006/main" count="7633" uniqueCount="4231">
  <si>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</si>
  <si>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</si>
  <si>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</si>
  <si>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</si>
  <si>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</si>
  <si>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</si>
  <si>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</si>
  <si>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</si>
  <si>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</si>
  <si>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</si>
  <si>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</si>
  <si>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</si>
  <si>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</si>
  <si>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</si>
  <si>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</si>
  <si>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</si>
  <si>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</si>
  <si>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</si>
  <si>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</si>
  <si>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</si>
  <si>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</si>
  <si>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</si>
  <si>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</si>
  <si>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</si>
  <si>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</si>
  <si>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</si>
  <si>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</si>
  <si>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</si>
  <si>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</si>
  <si>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</si>
  <si>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</si>
  <si>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</si>
  <si>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</si>
  <si>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</si>
  <si>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</si>
  <si>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</si>
  <si>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</si>
  <si>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</si>
  <si>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</si>
  <si>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</si>
  <si>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</si>
  <si>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</si>
  <si>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</si>
  <si>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</si>
  <si>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</si>
  <si>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</si>
  <si>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</si>
  <si>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</si>
  <si>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</si>
  <si>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</si>
  <si>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</si>
  <si>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</si>
  <si>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</si>
  <si>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</si>
  <si>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</si>
  <si>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</si>
  <si>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</si>
  <si>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</si>
  <si>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</si>
  <si>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</si>
  <si>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</si>
  <si>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</si>
  <si>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</si>
  <si>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</si>
  <si>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</si>
  <si>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</si>
  <si>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</si>
  <si>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</si>
  <si>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</si>
  <si>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</si>
  <si>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</si>
  <si>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</si>
  <si>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</si>
  <si>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</si>
  <si>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</si>
  <si>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</si>
  <si>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</si>
  <si>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</si>
  <si>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</si>
  <si>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</si>
  <si>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</si>
  <si>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</si>
  <si>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</si>
  <si>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</si>
  <si>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</si>
  <si>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</si>
  <si>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</si>
  <si>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</si>
  <si>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</si>
  <si>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</si>
  <si>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</si>
  <si>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</si>
  <si>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</si>
  <si>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</si>
  <si>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</si>
  <si>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</si>
  <si>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</si>
  <si>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</si>
  <si>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</si>
  <si>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</si>
  <si>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</si>
  <si>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</si>
  <si>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</si>
  <si>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</si>
  <si>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</si>
  <si>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</si>
  <si>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</si>
  <si>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</si>
  <si>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</si>
  <si>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</si>
  <si>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</si>
  <si>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</si>
  <si>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</si>
  <si>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</si>
  <si>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</si>
  <si>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</si>
  <si>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</si>
  <si>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</si>
  <si>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</si>
  <si>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</si>
  <si>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</si>
  <si>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</si>
  <si>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</si>
  <si>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</si>
  <si>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</si>
  <si>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</si>
  <si>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</si>
  <si>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</si>
  <si>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</si>
  <si>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</si>
  <si>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</si>
  <si>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</si>
  <si>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</si>
  <si>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</si>
  <si>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</si>
  <si>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</si>
  <si>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</si>
  <si>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</si>
  <si>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</si>
  <si>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</si>
  <si>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</si>
  <si>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</si>
  <si>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</si>
  <si>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</si>
  <si>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</si>
  <si>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</si>
  <si>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</si>
  <si>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</si>
  <si>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</si>
  <si>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</si>
  <si>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</si>
  <si>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</si>
  <si>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</si>
  <si>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</si>
  <si>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</si>
  <si>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</si>
  <si>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</si>
  <si>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</si>
  <si>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</si>
  <si>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</si>
  <si>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</si>
  <si>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</si>
  <si>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</si>
  <si>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</si>
  <si>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</si>
  <si>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</si>
  <si>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2020-CHG-CZA-Test-1</t>
  </si>
  <si>
    <t>2020-CHG-CZA-Test-2</t>
  </si>
  <si>
    <t>2020-CHG-CZA-Test-3</t>
  </si>
  <si>
    <t>47-19</t>
  </si>
  <si>
    <t>Prochloraz</t>
  </si>
  <si>
    <t>47-20</t>
  </si>
  <si>
    <t>47-21</t>
  </si>
  <si>
    <t>47-22</t>
  </si>
  <si>
    <t>47-23</t>
  </si>
  <si>
    <t xml:space="preserve">F:\Données chgh\2020-CHG-CZA-Test-1\plaque 1/@01 TS/A1_01.tif </t>
  </si>
  <si>
    <t xml:space="preserve"> 8132.8404 </t>
  </si>
  <si>
    <t xml:space="preserve"> 69.7793 </t>
  </si>
  <si>
    <t xml:space="preserve">F:\Données chgh\2020-CHG-CZA-Test-1\plaque 1/@01 TS/A1_02.tif </t>
  </si>
  <si>
    <t xml:space="preserve"> 11052.8762 </t>
  </si>
  <si>
    <t xml:space="preserve"> 70.7182 </t>
  </si>
  <si>
    <t xml:space="preserve">F:\Données chgh\2020-CHG-CZA-Test-1\plaque 1/@01 TS/A1_03.tif </t>
  </si>
  <si>
    <t xml:space="preserve"> 12112.741 </t>
  </si>
  <si>
    <t xml:space="preserve"> 71.0893 </t>
  </si>
  <si>
    <t>F:\Données chgh\2020-CHG-CZA-Test-1\plaque 1/@01 TS/B1_01- exclu.tif</t>
  </si>
  <si>
    <t>F:\Données chgh\2020-CHG-CZA-Test-1\plaque 1/@01 TS/B1_02- exclu.tif</t>
  </si>
  <si>
    <t xml:space="preserve">F:\Données chgh\2020-CHG-CZA-Test-1\plaque 1/@01 TS/B1_03.tif </t>
  </si>
  <si>
    <t xml:space="preserve"> 886.8257 </t>
  </si>
  <si>
    <t xml:space="preserve"> 62.7317 </t>
  </si>
  <si>
    <t xml:space="preserve">F:\Données chgh\2020-CHG-CZA-Test-1\plaque 1/@01 TS/C1_01.tif </t>
  </si>
  <si>
    <t xml:space="preserve"> 3568.9326 </t>
  </si>
  <si>
    <t xml:space="preserve"> 66.3515 </t>
  </si>
  <si>
    <t xml:space="preserve">F:\Données chgh\2020-CHG-CZA-Test-1\plaque 1/@01 TS/C1_02.tif </t>
  </si>
  <si>
    <t xml:space="preserve"> 410.968 </t>
  </si>
  <si>
    <t xml:space="preserve"> 62.4211 </t>
  </si>
  <si>
    <t>F:\Données chgh\2020-CHG-CZA-Test-1\plaque 1/@01 TS/C1_03- exclu.tif</t>
  </si>
  <si>
    <t xml:space="preserve">F:\Données chgh\2020-CHG-CZA-Test-1\plaque 1/@01 TS/D1_01.tif </t>
  </si>
  <si>
    <t xml:space="preserve"> 6424.0787 </t>
  </si>
  <si>
    <t xml:space="preserve"> 66.6465 </t>
  </si>
  <si>
    <t xml:space="preserve">F:\Données chgh\2020-CHG-CZA-Test-1\plaque 1/@01 TS/D1_02.tif </t>
  </si>
  <si>
    <t xml:space="preserve"> 5256.0644 </t>
  </si>
  <si>
    <t xml:space="preserve"> 65.5473 </t>
  </si>
  <si>
    <t xml:space="preserve">F:\Données chgh\2020-CHG-CZA-Test-1\plaque 1/@01 TS/D1_03.tif </t>
  </si>
  <si>
    <t xml:space="preserve"> 7959.8012 </t>
  </si>
  <si>
    <t xml:space="preserve"> 68.8207 </t>
  </si>
  <si>
    <t xml:space="preserve">F:\Données chgh\2020-CHG-CZA-Test-1\plaque 1/@01 TS/E1_01.tif </t>
  </si>
  <si>
    <t xml:space="preserve"> 865.1958 </t>
  </si>
  <si>
    <t xml:space="preserve"> 64.3 </t>
  </si>
  <si>
    <t xml:space="preserve">F:\Données chgh\2020-CHG-CZA-Test-1\plaque 1/@01 TS/E1_02.tif </t>
  </si>
  <si>
    <t xml:space="preserve"> 173.0392 </t>
  </si>
  <si>
    <t xml:space="preserve"> 62.75 </t>
  </si>
  <si>
    <t xml:space="preserve">F:\Données chgh\2020-CHG-CZA-Test-1\plaque 1/@01 TS/E1_03.tif </t>
  </si>
  <si>
    <t xml:space="preserve"> 692.1566 </t>
  </si>
  <si>
    <t xml:space="preserve"> 62.5 </t>
  </si>
  <si>
    <t xml:space="preserve">F:\Données chgh\2020-CHG-CZA-Test-1\plaque 1/@01 TS/F1_01.tif </t>
  </si>
  <si>
    <t xml:space="preserve"> 1816.9111 </t>
  </si>
  <si>
    <t xml:space="preserve"> 64.3333 </t>
  </si>
  <si>
    <t xml:space="preserve">F:\Données chgh\2020-CHG-CZA-Test-1\plaque 1/@01 TS/F1_02.tif </t>
  </si>
  <si>
    <t xml:space="preserve"> 843.5659 </t>
  </si>
  <si>
    <t xml:space="preserve"> 62.7949 </t>
  </si>
  <si>
    <t xml:space="preserve">F:\Données chgh\2020-CHG-CZA-Test-1\plaque 1/@01 TS/F1_03.tif </t>
  </si>
  <si>
    <t xml:space="preserve"> 1168.0143 </t>
  </si>
  <si>
    <t xml:space="preserve"> 63.9444 </t>
  </si>
  <si>
    <t xml:space="preserve">F:\Données chgh\2020-CHG-CZA-Test-1\plaque 1/@01 TS/G1_01.tif </t>
  </si>
  <si>
    <t xml:space="preserve"> 2184.6194 </t>
  </si>
  <si>
    <t xml:space="preserve"> 64.604 </t>
  </si>
  <si>
    <t xml:space="preserve">F:\Données chgh\2020-CHG-CZA-Test-1\plaque 1/@01 TS/G1_02.tif </t>
  </si>
  <si>
    <t xml:space="preserve"> 432.5979 </t>
  </si>
  <si>
    <t xml:space="preserve"> 64.2 </t>
  </si>
  <si>
    <t xml:space="preserve">F:\Données chgh\2020-CHG-CZA-Test-1\plaque 1/@01 TS/G1_03.tif </t>
  </si>
  <si>
    <t xml:space="preserve"> 1903.4307 </t>
  </si>
  <si>
    <t xml:space="preserve"> 67.7386 </t>
  </si>
  <si>
    <t xml:space="preserve">F:\Données chgh\2020-CHG-CZA-Test-1\plaque 1/@01 TS/H1_01.tif </t>
  </si>
  <si>
    <t xml:space="preserve"> 259.5587 </t>
  </si>
  <si>
    <t xml:space="preserve"> 62.5833 </t>
  </si>
  <si>
    <t xml:space="preserve">F:\Données chgh\2020-CHG-CZA-Test-1\plaque 1/@01 TS/H1_02.tif </t>
  </si>
  <si>
    <t xml:space="preserve"> 2920.0358 </t>
  </si>
  <si>
    <t xml:space="preserve"> 64.6296 </t>
  </si>
  <si>
    <t xml:space="preserve">F:\Données chgh\2020-CHG-CZA-Test-1\plaque 1/@01 TS/H1_03.tif </t>
  </si>
  <si>
    <t xml:space="preserve"> 3071.445 </t>
  </si>
  <si>
    <t xml:space="preserve"> 69.4085 </t>
  </si>
  <si>
    <t xml:space="preserve">group </t>
  </si>
  <si>
    <t xml:space="preserve"> mean of mean fluo </t>
  </si>
  <si>
    <t xml:space="preserve"> SD mean fluo </t>
  </si>
  <si>
    <t xml:space="preserve"> mean of total fluo </t>
  </si>
  <si>
    <t xml:space="preserve"> SD total fluo </t>
  </si>
  <si>
    <t xml:space="preserve"> n fluorescent </t>
  </si>
  <si>
    <t xml:space="preserve">F:\Données chgh\2020-CHG-CZA-Test-1\plaque 1/@01 TS/ </t>
  </si>
  <si>
    <t xml:space="preserve"> 65.9327 </t>
  </si>
  <si>
    <t xml:space="preserve"> 3.425 </t>
  </si>
  <si>
    <t xml:space="preserve"> 235121.542 </t>
  </si>
  <si>
    <t xml:space="preserve"> 267204.308 </t>
  </si>
  <si>
    <t xml:space="preserve">file name </t>
  </si>
  <si>
    <t xml:space="preserve">F:\Données chgh\2020-CHG-CZA-Test-1\plaque 1/@02 EE2 34/A2_01.tif </t>
  </si>
  <si>
    <t xml:space="preserve"> 1341.0535 </t>
  </si>
  <si>
    <t xml:space="preserve"> 64.371 </t>
  </si>
  <si>
    <t xml:space="preserve">F:\Données chgh\2020-CHG-CZA-Test-1\plaque 1/@02 EE2 34/A2_02.tif </t>
  </si>
  <si>
    <t xml:space="preserve"> 2509.0678 </t>
  </si>
  <si>
    <t xml:space="preserve"> 64.2845 </t>
  </si>
  <si>
    <t xml:space="preserve">F:\Données chgh\2020-CHG-CZA-Test-1\plaque 1/@02 EE2 34/A2_03.tif </t>
  </si>
  <si>
    <t xml:space="preserve"> 562.3773 </t>
  </si>
  <si>
    <t xml:space="preserve"> 62.2692 </t>
  </si>
  <si>
    <t>F:\Données chgh\2020-CHG-CZA-Test-1\plaque 1/@02 EE2 34/B2_01- exclu.tif</t>
  </si>
  <si>
    <t xml:space="preserve">F:\Données chgh\2020-CHG-CZA-Test-1\plaque 1/@02 EE2 34/B2_02.tif </t>
  </si>
  <si>
    <t xml:space="preserve"> 5688.6623 </t>
  </si>
  <si>
    <t xml:space="preserve"> 70.9544 </t>
  </si>
  <si>
    <t>F:\Données chgh\2020-CHG-CZA-Test-1\plaque 1/@02 EE2 34/B2_03- exclu.tif</t>
  </si>
  <si>
    <t xml:space="preserve">F:\Données chgh\2020-CHG-CZA-Test-1\plaque 1/@02 EE2 34/C2_01.tif </t>
  </si>
  <si>
    <t xml:space="preserve"> 2379.2884 </t>
  </si>
  <si>
    <t xml:space="preserve"> 66.7727 </t>
  </si>
  <si>
    <t xml:space="preserve">F:\Données chgh\2020-CHG-CZA-Test-1\plaque 1/@02 EE2 34/C2_02.tif </t>
  </si>
  <si>
    <t xml:space="preserve"> 2314.3987 </t>
  </si>
  <si>
    <t xml:space="preserve"> 65.6262 </t>
  </si>
  <si>
    <t xml:space="preserve">F:\Données chgh\2020-CHG-CZA-Test-1\plaque 1/@02 EE2 34/C2_03.tif </t>
  </si>
  <si>
    <t xml:space="preserve"> 930.0855 </t>
  </si>
  <si>
    <t xml:space="preserve"> 63.3256 </t>
  </si>
  <si>
    <t xml:space="preserve">F:\Données chgh\2020-CHG-CZA-Test-1\plaque 1/@02 EE2 34/D2_01.tif </t>
  </si>
  <si>
    <t xml:space="preserve"> 7916.5414 </t>
  </si>
  <si>
    <t xml:space="preserve"> 67.2158 </t>
  </si>
  <si>
    <t xml:space="preserve">F:\Données chgh\2020-CHG-CZA-Test-1\plaque 1/@02 EE2 34/D2_02.tif </t>
  </si>
  <si>
    <t xml:space="preserve"> 8760.1073 </t>
  </si>
  <si>
    <t xml:space="preserve"> 69.5926 </t>
  </si>
  <si>
    <t xml:space="preserve">F:\Données chgh\2020-CHG-CZA-Test-1\plaque 1/@02 EE2 34/D2_03.tif </t>
  </si>
  <si>
    <t xml:space="preserve"> 9365.7444 </t>
  </si>
  <si>
    <t xml:space="preserve"> 71.7182 </t>
  </si>
  <si>
    <t xml:space="preserve">F:\Données chgh\2020-CHG-CZA-Test-1\plaque 1/@02 EE2 34/E2_01.tif </t>
  </si>
  <si>
    <t xml:space="preserve"> 3439.1532 </t>
  </si>
  <si>
    <t xml:space="preserve"> 64.7044 </t>
  </si>
  <si>
    <t xml:space="preserve">F:\Données chgh\2020-CHG-CZA-Test-1\plaque 1/@02 EE2 34/E2_02.tif </t>
  </si>
  <si>
    <t xml:space="preserve"> 129.7794 </t>
  </si>
  <si>
    <t xml:space="preserve">F:\Données chgh\2020-CHG-CZA-Test-1\plaque 1/@02 EE2 34/E2_03.tif </t>
  </si>
  <si>
    <t xml:space="preserve"> 2963.2956 </t>
  </si>
  <si>
    <t xml:space="preserve"> 65.6058 </t>
  </si>
  <si>
    <t xml:space="preserve">F:\Données chgh\2020-CHG-CZA-Test-1\plaque 1/@02 EE2 34/F2_01.tif </t>
  </si>
  <si>
    <t xml:space="preserve"> 2271.1389 </t>
  </si>
  <si>
    <t xml:space="preserve"> 67.2857 </t>
  </si>
  <si>
    <t xml:space="preserve">F:\Données chgh\2020-CHG-CZA-Test-1\plaque 1/@02 EE2 34/F2_02.tif </t>
  </si>
  <si>
    <t xml:space="preserve"> 497.4876 </t>
  </si>
  <si>
    <t xml:space="preserve"> 61.6522 </t>
  </si>
  <si>
    <t>F:\Données chgh\2020-CHG-CZA-Test-1\plaque 1/@02 EE2 34/F2_03- exclu.tif</t>
  </si>
  <si>
    <t xml:space="preserve">F:\Données chgh\2020-CHG-CZA-Test-1\plaque 1/@02 EE2 34/G2_01.tif </t>
  </si>
  <si>
    <t xml:space="preserve"> 3850.1212 </t>
  </si>
  <si>
    <t xml:space="preserve"> 66.5225 </t>
  </si>
  <si>
    <t xml:space="preserve">F:\Données chgh\2020-CHG-CZA-Test-1\plaque 1/@02 EE2 34/G2_02.tif </t>
  </si>
  <si>
    <t xml:space="preserve"> 627.2669 </t>
  </si>
  <si>
    <t xml:space="preserve"> 64.7241 </t>
  </si>
  <si>
    <t xml:space="preserve">F:\Données chgh\2020-CHG-CZA-Test-1\plaque 1/@02 EE2 34/G2_03.tif </t>
  </si>
  <si>
    <t xml:space="preserve"> 3806.8615 </t>
  </si>
  <si>
    <t xml:space="preserve"> 66.108 </t>
  </si>
  <si>
    <t xml:space="preserve">F:\Données chgh\2020-CHG-CZA-Test-1\plaque 1/@02 EE2 34/H2_01.tif </t>
  </si>
  <si>
    <t xml:space="preserve"> 6251.0395 </t>
  </si>
  <si>
    <t xml:space="preserve"> 70.6644 </t>
  </si>
  <si>
    <t xml:space="preserve">F:\Données chgh\2020-CHG-CZA-Test-1\plaque 1/@02 EE2 34/H2_02.tif </t>
  </si>
  <si>
    <t xml:space="preserve"> 670.5267 </t>
  </si>
  <si>
    <t xml:space="preserve"> 62.9677 </t>
  </si>
  <si>
    <t xml:space="preserve">F:\Données chgh\2020-CHG-CZA-Test-1\plaque 1/@02 EE2 34/H2_03.tif </t>
  </si>
  <si>
    <t xml:space="preserve"> 72.0304 </t>
  </si>
  <si>
    <t xml:space="preserve">F:\Données chgh\2020-CHG-CZA-Test-1\plaque 1/@02 EE2 34/ </t>
  </si>
  <si>
    <t xml:space="preserve"> 65.9031 </t>
  </si>
  <si>
    <t xml:space="preserve"> 3.0883 </t>
  </si>
  <si>
    <t xml:space="preserve"> 207285.625 </t>
  </si>
  <si>
    <t xml:space="preserve"> 201389.357 </t>
  </si>
  <si>
    <t xml:space="preserve">F:\Données chgh\2020-CHG-CZA-Test-1\plaque 1/@03 EE2 51/A3_01.tif </t>
  </si>
  <si>
    <t xml:space="preserve"> 4066.4202 </t>
  </si>
  <si>
    <t xml:space="preserve"> 65.1702 </t>
  </si>
  <si>
    <t xml:space="preserve">F:\Données chgh\2020-CHG-CZA-Test-1\plaque 1/@03 EE2 51/A3_02.tif </t>
  </si>
  <si>
    <t xml:space="preserve"> 62.3077 </t>
  </si>
  <si>
    <t xml:space="preserve">F:\Données chgh\2020-CHG-CZA-Test-1\plaque 1/@03 EE2 51/A3_03.tif </t>
  </si>
  <si>
    <t xml:space="preserve"> 1881.8008 </t>
  </si>
  <si>
    <t xml:space="preserve"> 64.4598 </t>
  </si>
  <si>
    <t xml:space="preserve">F:\Données chgh\2020-CHG-CZA-Test-1\plaque 1/@03 EE2 51/B3_01.tif </t>
  </si>
  <si>
    <t xml:space="preserve"> 4369.2387 </t>
  </si>
  <si>
    <t xml:space="preserve"> 64.7574 </t>
  </si>
  <si>
    <t xml:space="preserve">F:\Données chgh\2020-CHG-CZA-Test-1\plaque 1/@03 EE2 51/B3_02.tif </t>
  </si>
  <si>
    <t xml:space="preserve"> 63.5806 </t>
  </si>
  <si>
    <t xml:space="preserve">F:\Données chgh\2020-CHG-CZA-Test-1\plaque 1/@03 EE2 51/B3_03.tif </t>
  </si>
  <si>
    <t xml:space="preserve"> 1514.0926 </t>
  </si>
  <si>
    <t xml:space="preserve"> 64.2857 </t>
  </si>
  <si>
    <t xml:space="preserve">F:\Données chgh\2020-CHG-CZA-Test-1\plaque 1/@03 EE2 51/C3_01.tif </t>
  </si>
  <si>
    <t xml:space="preserve"> 6510.5983 </t>
  </si>
  <si>
    <t xml:space="preserve"> 64.1196 </t>
  </si>
  <si>
    <t xml:space="preserve">F:\Données chgh\2020-CHG-CZA-Test-1\plaque 1/@03 EE2 51/C3_02.tif </t>
  </si>
  <si>
    <t xml:space="preserve"> 1362.6834 </t>
  </si>
  <si>
    <t xml:space="preserve"> 62.3968 </t>
  </si>
  <si>
    <t xml:space="preserve">F:\Données chgh\2020-CHG-CZA-Test-1\plaque 1/@03 EE2 51/C3_03.tif </t>
  </si>
  <si>
    <t xml:space="preserve"> 15573.5241 </t>
  </si>
  <si>
    <t xml:space="preserve"> 76.1625 </t>
  </si>
  <si>
    <t xml:space="preserve">F:\Données chgh\2020-CHG-CZA-Test-1\plaque 1/@03 EE2 51/D3_01.tif </t>
  </si>
  <si>
    <t xml:space="preserve"> 4780.2067 </t>
  </si>
  <si>
    <t xml:space="preserve"> 67.4027 </t>
  </si>
  <si>
    <t xml:space="preserve">F:\Données chgh\2020-CHG-CZA-Test-1\plaque 1/@03 EE2 51/D3_02.tif </t>
  </si>
  <si>
    <t xml:space="preserve"> 3374.2636 </t>
  </si>
  <si>
    <t xml:space="preserve"> 65.9487 </t>
  </si>
  <si>
    <t xml:space="preserve">F:\Données chgh\2020-CHG-CZA-Test-1\plaque 1/@03 EE2 51/D3_03.tif </t>
  </si>
  <si>
    <t xml:space="preserve"> 4001.5305 </t>
  </si>
  <si>
    <t xml:space="preserve"> 66.4811 </t>
  </si>
  <si>
    <t xml:space="preserve">F:\Données chgh\2020-CHG-CZA-Test-1\plaque 1/@03 EE2 51/E3_01.tif </t>
  </si>
  <si>
    <t xml:space="preserve"> 4434.1284 </t>
  </si>
  <si>
    <t xml:space="preserve"> 64.7951 </t>
  </si>
  <si>
    <t xml:space="preserve">F:\Données chgh\2020-CHG-CZA-Test-1\plaque 1/@03 EE2 51/E3_02.tif </t>
  </si>
  <si>
    <t xml:space="preserve"> 1925.0606 </t>
  </si>
  <si>
    <t xml:space="preserve"> 64.6292 </t>
  </si>
  <si>
    <t xml:space="preserve">F:\Données chgh\2020-CHG-CZA-Test-1\plaque 1/@03 EE2 51/E3_03.tif </t>
  </si>
  <si>
    <t xml:space="preserve"> 8003.061 </t>
  </si>
  <si>
    <t xml:space="preserve"> 68.1351 </t>
  </si>
  <si>
    <t xml:space="preserve">F:\Données chgh\2020-CHG-CZA-Test-1\plaque 1/@03 EE2 51/F3_01.tif </t>
  </si>
  <si>
    <t xml:space="preserve"> 9062.9258 </t>
  </si>
  <si>
    <t xml:space="preserve"> 71.2029 </t>
  </si>
  <si>
    <t xml:space="preserve">F:\Données chgh\2020-CHG-CZA-Test-1\plaque 1/@03 EE2 51/F3_02.tif </t>
  </si>
  <si>
    <t xml:space="preserve"> 2098.0998 </t>
  </si>
  <si>
    <t xml:space="preserve"> 63.9175 </t>
  </si>
  <si>
    <t xml:space="preserve">F:\Données chgh\2020-CHG-CZA-Test-1\plaque 1/@03 EE2 51/F3_03.tif </t>
  </si>
  <si>
    <t xml:space="preserve"> 5169.5448 </t>
  </si>
  <si>
    <t xml:space="preserve"> 65.5397 </t>
  </si>
  <si>
    <t xml:space="preserve">F:\Données chgh\2020-CHG-CZA-Test-1\plaque 1/@03 EE2 51/G3_01.tif </t>
  </si>
  <si>
    <t xml:space="preserve"> 584.0072 </t>
  </si>
  <si>
    <t xml:space="preserve"> 63.2222 </t>
  </si>
  <si>
    <t xml:space="preserve">F:\Données chgh\2020-CHG-CZA-Test-1\plaque 1/@03 EE2 51/G3_02.tif </t>
  </si>
  <si>
    <t xml:space="preserve"> 63.65 </t>
  </si>
  <si>
    <t xml:space="preserve">F:\Données chgh\2020-CHG-CZA-Test-1\plaque 1/@03 EE2 51/G3_03.tif </t>
  </si>
  <si>
    <t xml:space="preserve"> 324.4484 </t>
  </si>
  <si>
    <t xml:space="preserve"> 63.1333 </t>
  </si>
  <si>
    <t xml:space="preserve">F:\Données chgh\2020-CHG-CZA-Test-1\plaque 1/@03 EE2 51/H3_01.tif </t>
  </si>
  <si>
    <t xml:space="preserve"> 64.6923 </t>
  </si>
  <si>
    <t xml:space="preserve">F:\Données chgh\2020-CHG-CZA-Test-1\plaque 1/@03 EE2 51/H3_02.tif </t>
  </si>
  <si>
    <t xml:space="preserve"> 63.6923 </t>
  </si>
  <si>
    <t xml:space="preserve">F:\Données chgh\2020-CHG-CZA-Test-1\plaque 1/@03 EE2 51/H3_03.tif </t>
  </si>
  <si>
    <t xml:space="preserve"> 346.0783 </t>
  </si>
  <si>
    <t xml:space="preserve"> 63.5 </t>
  </si>
  <si>
    <t xml:space="preserve">F:\Données chgh\2020-CHG-CZA-Test-1\plaque 1/@03 EE2 51/ </t>
  </si>
  <si>
    <t xml:space="preserve"> 65.2993 </t>
  </si>
  <si>
    <t xml:space="preserve"> 3.0324 </t>
  </si>
  <si>
    <t xml:space="preserve"> 234006.625 </t>
  </si>
  <si>
    <t xml:space="preserve"> 266019.641 </t>
  </si>
  <si>
    <t xml:space="preserve">F:\Données chgh\2020-CHG-CZA-Test-1\plaque 1/@04 EE2 76/A4_01.tif </t>
  </si>
  <si>
    <t xml:space="preserve"> 6683.6374 </t>
  </si>
  <si>
    <t xml:space="preserve"> 65.7767 </t>
  </si>
  <si>
    <t xml:space="preserve">F:\Données chgh\2020-CHG-CZA-Test-1\plaque 1/@04 EE2 76/A4_02.tif </t>
  </si>
  <si>
    <t xml:space="preserve"> 6229.4097 </t>
  </si>
  <si>
    <t xml:space="preserve"> 64.4583 </t>
  </si>
  <si>
    <t xml:space="preserve">F:\Données chgh\2020-CHG-CZA-Test-1\plaque 1/@04 EE2 76/A4_03.tif </t>
  </si>
  <si>
    <t xml:space="preserve"> 64.7924 </t>
  </si>
  <si>
    <t xml:space="preserve">F:\Données chgh\2020-CHG-CZA-Test-1\plaque 1/@04 EE2 76/B4_01.tif </t>
  </si>
  <si>
    <t xml:space="preserve"> 6164.52 </t>
  </si>
  <si>
    <t xml:space="preserve"> 64.4561 </t>
  </si>
  <si>
    <t xml:space="preserve">F:\Données chgh\2020-CHG-CZA-Test-1\plaque 1/@04 EE2 76/B4_02.tif </t>
  </si>
  <si>
    <t xml:space="preserve"> 63.8679 </t>
  </si>
  <si>
    <t xml:space="preserve">F:\Données chgh\2020-CHG-CZA-Test-1\plaque 1/@04 EE2 76/B4_03.tif </t>
  </si>
  <si>
    <t xml:space="preserve"> 3525.6728 </t>
  </si>
  <si>
    <t xml:space="preserve"> 64.135 </t>
  </si>
  <si>
    <t xml:space="preserve">F:\Données chgh\2020-CHG-CZA-Test-1\plaque 1/@04 EE2 76/C4_01.tif </t>
  </si>
  <si>
    <t xml:space="preserve"> 5753.552 </t>
  </si>
  <si>
    <t xml:space="preserve"> 69.4211 </t>
  </si>
  <si>
    <t xml:space="preserve">F:\Données chgh\2020-CHG-CZA-Test-1\plaque 1/@04 EE2 76/C4_02.tif </t>
  </si>
  <si>
    <t xml:space="preserve"> 1319.4236 </t>
  </si>
  <si>
    <t xml:space="preserve"> 65.082 </t>
  </si>
  <si>
    <t>F:\Données chgh\2020-CHG-CZA-Test-1\plaque 1/@04 EE2 76/C4_03- exclu.tif</t>
  </si>
  <si>
    <t xml:space="preserve">F:\Données chgh\2020-CHG-CZA-Test-1\plaque 1/@04 EE2 76/D4_01.tif </t>
  </si>
  <si>
    <t xml:space="preserve"> 4088.0501 </t>
  </si>
  <si>
    <t xml:space="preserve"> 65.0582 </t>
  </si>
  <si>
    <t xml:space="preserve">F:\Données chgh\2020-CHG-CZA-Test-1\plaque 1/@04 EE2 76/D4_02.tif </t>
  </si>
  <si>
    <t xml:space="preserve"> 64.4 </t>
  </si>
  <si>
    <t xml:space="preserve">F:\Données chgh\2020-CHG-CZA-Test-1\plaque 1/@04 EE2 76/D4_03.tif </t>
  </si>
  <si>
    <t xml:space="preserve"> 5623.7726 </t>
  </si>
  <si>
    <t xml:space="preserve"> 70.6269 </t>
  </si>
  <si>
    <t xml:space="preserve">F:\Données chgh\2020-CHG-CZA-Test-1\plaque 1/@04 EE2 76/E4_01.tif </t>
  </si>
  <si>
    <t xml:space="preserve"> 4888.3562 </t>
  </si>
  <si>
    <t xml:space="preserve"> 64.3761 </t>
  </si>
  <si>
    <t xml:space="preserve">F:\Données chgh\2020-CHG-CZA-Test-1\plaque 1/@04 EE2 76/E4_02.tif </t>
  </si>
  <si>
    <t xml:space="preserve"> 7246.0147 </t>
  </si>
  <si>
    <t xml:space="preserve"> 64.4179 </t>
  </si>
  <si>
    <t xml:space="preserve">F:\Données chgh\2020-CHG-CZA-Test-1\plaque 1/@04 EE2 76/E4_03.tif </t>
  </si>
  <si>
    <t xml:space="preserve"> 5104.6551 </t>
  </si>
  <si>
    <t xml:space="preserve"> 63.5085 </t>
  </si>
  <si>
    <t xml:space="preserve">F:\Données chgh\2020-CHG-CZA-Test-1\plaque 1/@04 EE2 76/F4_01.tif </t>
  </si>
  <si>
    <t xml:space="preserve"> 8543.8084 </t>
  </si>
  <si>
    <t xml:space="preserve"> 64.3696 </t>
  </si>
  <si>
    <t xml:space="preserve">F:\Données chgh\2020-CHG-CZA-Test-1\plaque 1/@04 EE2 76/F4_02.tif </t>
  </si>
  <si>
    <t xml:space="preserve"> 6034.7406 </t>
  </si>
  <si>
    <t xml:space="preserve"> 64.1004 </t>
  </si>
  <si>
    <t xml:space="preserve">F:\Données chgh\2020-CHG-CZA-Test-1\plaque 1/@04 EE2 76/F4_03.tif </t>
  </si>
  <si>
    <t xml:space="preserve"> 3828.4913 </t>
  </si>
  <si>
    <t xml:space="preserve"> 64.1017 </t>
  </si>
  <si>
    <t xml:space="preserve">F:\Données chgh\2020-CHG-CZA-Test-1\plaque 1/@04 EE2 76/G4_01.tif </t>
  </si>
  <si>
    <t xml:space="preserve"> 64.557 </t>
  </si>
  <si>
    <t xml:space="preserve">F:\Données chgh\2020-CHG-CZA-Test-1\plaque 1/@04 EE2 76/G4_02.tif </t>
  </si>
  <si>
    <t xml:space="preserve"> 4563.9078 </t>
  </si>
  <si>
    <t xml:space="preserve"> 66.2749 </t>
  </si>
  <si>
    <t xml:space="preserve">F:\Données chgh\2020-CHG-CZA-Test-1\plaque 1/@04 EE2 76/G4_03.tif </t>
  </si>
  <si>
    <t xml:space="preserve"> 1557.3524 </t>
  </si>
  <si>
    <t xml:space="preserve"> 63.625 </t>
  </si>
  <si>
    <t xml:space="preserve">F:\Données chgh\2020-CHG-CZA-Test-1\plaque 1/@04 EE2 76/H4_01.tif </t>
  </si>
  <si>
    <t xml:space="preserve"> 2617.2173 </t>
  </si>
  <si>
    <t xml:space="preserve"> 64.5289 </t>
  </si>
  <si>
    <t xml:space="preserve">F:\Données chgh\2020-CHG-CZA-Test-1\plaque 1/@04 EE2 76/H4_02.tif </t>
  </si>
  <si>
    <t xml:space="preserve"> 66.1469 </t>
  </si>
  <si>
    <t xml:space="preserve">F:\Données chgh\2020-CHG-CZA-Test-1\plaque 1/@04 EE2 76/H4_03.tif </t>
  </si>
  <si>
    <t xml:space="preserve"> 4672.0572 </t>
  </si>
  <si>
    <t xml:space="preserve"> 66.287 </t>
  </si>
  <si>
    <t xml:space="preserve">F:\Données chgh\2020-CHG-CZA-Test-1\plaque 1/@04 EE2 76/ </t>
  </si>
  <si>
    <t xml:space="preserve"> 65.06 </t>
  </si>
  <si>
    <t xml:space="preserve"> 1.7489 </t>
  </si>
  <si>
    <t xml:space="preserve"> 299639.833 </t>
  </si>
  <si>
    <t xml:space="preserve"> 130336.419 </t>
  </si>
  <si>
    <t xml:space="preserve">F:\Données chgh\2020-CHG-CZA-Test-1\plaque 1/@05 EE2 114/A5_01.tif </t>
  </si>
  <si>
    <t xml:space="preserve"> 16460.3498 </t>
  </si>
  <si>
    <t xml:space="preserve"> 70.2142 </t>
  </si>
  <si>
    <t xml:space="preserve">F:\Données chgh\2020-CHG-CZA-Test-1\plaque 1/@05 EE2 114/A5_02.tif </t>
  </si>
  <si>
    <t xml:space="preserve"> 14708.3283 </t>
  </si>
  <si>
    <t xml:space="preserve"> 69.4044 </t>
  </si>
  <si>
    <t xml:space="preserve">F:\Données chgh\2020-CHG-CZA-Test-1\plaque 1/@05 EE2 114/A5_03.tif </t>
  </si>
  <si>
    <t xml:space="preserve"> 10144.4206 </t>
  </si>
  <si>
    <t xml:space="preserve"> 66.8443 </t>
  </si>
  <si>
    <t xml:space="preserve">F:\Données chgh\2020-CHG-CZA-Test-1\plaque 1/@05 EE2 114/B5_01.tif </t>
  </si>
  <si>
    <t xml:space="preserve"> 35148.5788 </t>
  </si>
  <si>
    <t xml:space="preserve"> 68.4037 </t>
  </si>
  <si>
    <t xml:space="preserve">F:\Données chgh\2020-CHG-CZA-Test-1\plaque 1/@05 EE2 114/B5_02.tif </t>
  </si>
  <si>
    <t xml:space="preserve"> 24701.3397 </t>
  </si>
  <si>
    <t xml:space="preserve"> 66.1813 </t>
  </si>
  <si>
    <t xml:space="preserve">F:\Données chgh\2020-CHG-CZA-Test-1\plaque 1/@05 EE2 114/B5_03.tif </t>
  </si>
  <si>
    <t xml:space="preserve"> 23273.7666 </t>
  </si>
  <si>
    <t xml:space="preserve"> 66.434 </t>
  </si>
  <si>
    <t xml:space="preserve">F:\Données chgh\2020-CHG-CZA-Test-1\plaque 1/@05 EE2 114/C5_01.tif </t>
  </si>
  <si>
    <t xml:space="preserve"> 26777.8096 </t>
  </si>
  <si>
    <t xml:space="preserve"> 72.0969 </t>
  </si>
  <si>
    <t xml:space="preserve">F:\Données chgh\2020-CHG-CZA-Test-1\plaque 1/@05 EE2 114/C5_02.tif </t>
  </si>
  <si>
    <t xml:space="preserve"> 26237.0622 </t>
  </si>
  <si>
    <t xml:space="preserve"> 69.6101 </t>
  </si>
  <si>
    <t xml:space="preserve">F:\Données chgh\2020-CHG-CZA-Test-1\plaque 1/@05 EE2 114/C5_03.tif </t>
  </si>
  <si>
    <t xml:space="preserve"> 28724.5001 </t>
  </si>
  <si>
    <t xml:space="preserve"> 71.5587 </t>
  </si>
  <si>
    <t xml:space="preserve">F:\Données chgh\2020-CHG-CZA-Test-1\plaque 1/@05 EE2 114/D5_01.tif </t>
  </si>
  <si>
    <t xml:space="preserve"> 9214.3351 </t>
  </si>
  <si>
    <t xml:space="preserve"> 64.9554 </t>
  </si>
  <si>
    <t xml:space="preserve">F:\Données chgh\2020-CHG-CZA-Test-1\plaque 1/@05 EE2 114/D5_02.tif </t>
  </si>
  <si>
    <t xml:space="preserve"> 7462.3136 </t>
  </si>
  <si>
    <t xml:space="preserve"> 65.3391 </t>
  </si>
  <si>
    <t xml:space="preserve">F:\Données chgh\2020-CHG-CZA-Test-1\plaque 1/@05 EE2 114/D5_03.tif </t>
  </si>
  <si>
    <t xml:space="preserve"> 7765.1322 </t>
  </si>
  <si>
    <t xml:space="preserve"> 65.3565 </t>
  </si>
  <si>
    <t xml:space="preserve">F:\Données chgh\2020-CHG-CZA-Test-1\plaque 1/@05 EE2 114/E5_01.tif </t>
  </si>
  <si>
    <t xml:space="preserve"> 12242.5204 </t>
  </si>
  <si>
    <t xml:space="preserve"> 65.5318 </t>
  </si>
  <si>
    <t xml:space="preserve">F:\Données chgh\2020-CHG-CZA-Test-1\plaque 1/@05 EE2 114/E5_02.tif </t>
  </si>
  <si>
    <t xml:space="preserve"> 8868.2568 </t>
  </si>
  <si>
    <t xml:space="preserve"> 64.7 </t>
  </si>
  <si>
    <t xml:space="preserve">F:\Données chgh\2020-CHG-CZA-Test-1\plaque 1/@05 EE2 114/E5_03.tif </t>
  </si>
  <si>
    <t xml:space="preserve"> 8089.5806 </t>
  </si>
  <si>
    <t xml:space="preserve"> 64.4733 </t>
  </si>
  <si>
    <t xml:space="preserve">F:\Données chgh\2020-CHG-CZA-Test-1\plaque 1/@05 EE2 114/F5_01.tif </t>
  </si>
  <si>
    <t xml:space="preserve"> 38933.8103 </t>
  </si>
  <si>
    <t xml:space="preserve"> 78.3194 </t>
  </si>
  <si>
    <t>F:\Données chgh\2020-CHG-CZA-Test-1\plaque 1/@05 EE2 114/F5_02- exclu.tif</t>
  </si>
  <si>
    <t xml:space="preserve">F:\Données chgh\2020-CHG-CZA-Test-1\plaque 1/@05 EE2 114/F5_03.tif </t>
  </si>
  <si>
    <t xml:space="preserve"> 26561.5106 </t>
  </si>
  <si>
    <t xml:space="preserve"> 85.1759 </t>
  </si>
  <si>
    <t xml:space="preserve">F:\Données chgh\2020-CHG-CZA-Test-1\plaque 1/@05 EE2 114/G5_01.tif </t>
  </si>
  <si>
    <t xml:space="preserve"> 67442.0115 </t>
  </si>
  <si>
    <t xml:space="preserve"> 82.9307 </t>
  </si>
  <si>
    <t xml:space="preserve">F:\Données chgh\2020-CHG-CZA-Test-1\plaque 1/@05 EE2 114/G5_02.tif </t>
  </si>
  <si>
    <t xml:space="preserve"> 56410.7652 </t>
  </si>
  <si>
    <t xml:space="preserve"> 83.4233 </t>
  </si>
  <si>
    <t xml:space="preserve">F:\Données chgh\2020-CHG-CZA-Test-1\plaque 1/@05 EE2 114/G5_03.tif </t>
  </si>
  <si>
    <t xml:space="preserve"> 57449.0001 </t>
  </si>
  <si>
    <t xml:space="preserve"> 86.1408 </t>
  </si>
  <si>
    <t xml:space="preserve">F:\Données chgh\2020-CHG-CZA-Test-1\plaque 1/@05 EE2 114/H5_01.tif </t>
  </si>
  <si>
    <t xml:space="preserve"> 34175.2335 </t>
  </si>
  <si>
    <t xml:space="preserve"> 69.2456 </t>
  </si>
  <si>
    <t xml:space="preserve">F:\Données chgh\2020-CHG-CZA-Test-1\plaque 1/@05 EE2 114/H5_02.tif </t>
  </si>
  <si>
    <t xml:space="preserve"> 31947.3544 </t>
  </si>
  <si>
    <t xml:space="preserve"> 68.7014 </t>
  </si>
  <si>
    <t xml:space="preserve">F:\Données chgh\2020-CHG-CZA-Test-1\plaque 1/@05 EE2 114/H5_03.tif </t>
  </si>
  <si>
    <t xml:space="preserve"> 34045.4541 </t>
  </si>
  <si>
    <t xml:space="preserve"> 69.0083 </t>
  </si>
  <si>
    <t xml:space="preserve">F:\Données chgh\2020-CHG-CZA-Test-1\plaque 1/@05 EE2 114/ </t>
  </si>
  <si>
    <t xml:space="preserve"> 70.8069 </t>
  </si>
  <si>
    <t xml:space="preserve"> 6.9517 </t>
  </si>
  <si>
    <t xml:space="preserve"> 1939176.88 </t>
  </si>
  <si>
    <t xml:space="preserve"> 1427207.25 </t>
  </si>
  <si>
    <t xml:space="preserve">F:\Données chgh\2020-CHG-CZA-Test-1\plaque 1/@06 EE2 171/A6_01.tif </t>
  </si>
  <si>
    <t xml:space="preserve"> 46223.0848 </t>
  </si>
  <si>
    <t xml:space="preserve"> 83.8109 </t>
  </si>
  <si>
    <t xml:space="preserve">F:\Données chgh\2020-CHG-CZA-Test-1\plaque 1/@06 EE2 171/A6_02.tif </t>
  </si>
  <si>
    <t xml:space="preserve"> 47672.2878 </t>
  </si>
  <si>
    <t xml:space="preserve"> 82.5363 </t>
  </si>
  <si>
    <t xml:space="preserve">F:\Données chgh\2020-CHG-CZA-Test-1\plaque 1/@06 EE2 171/A6_03.tif </t>
  </si>
  <si>
    <t xml:space="preserve"> 50094.836 </t>
  </si>
  <si>
    <t xml:space="preserve"> 74.5069 </t>
  </si>
  <si>
    <t xml:space="preserve">F:\Données chgh\2020-CHG-CZA-Test-1\plaque 1/@06 EE2 171/B6_01.tif </t>
  </si>
  <si>
    <t xml:space="preserve"> 61126.0822 </t>
  </si>
  <si>
    <t xml:space="preserve"> 82.7176 </t>
  </si>
  <si>
    <t xml:space="preserve">F:\Données chgh\2020-CHG-CZA-Test-1\plaque 1/@06 EE2 171/B6_02.tif </t>
  </si>
  <si>
    <t xml:space="preserve"> 46763.8322 </t>
  </si>
  <si>
    <t xml:space="preserve"> 69.6138 </t>
  </si>
  <si>
    <t xml:space="preserve">F:\Données chgh\2020-CHG-CZA-Test-1\plaque 1/@06 EE2 171/B6_03.tif </t>
  </si>
  <si>
    <t xml:space="preserve"> 47650.6579 </t>
  </si>
  <si>
    <t xml:space="preserve"> 81.7476 </t>
  </si>
  <si>
    <t xml:space="preserve">F:\Données chgh\2020-CHG-CZA-Test-1\plaque 1/@06 EE2 171/C6_01.tif </t>
  </si>
  <si>
    <t xml:space="preserve"> 44341.284 </t>
  </si>
  <si>
    <t xml:space="preserve"> 74.4029 </t>
  </si>
  <si>
    <t>F:\Données chgh\2020-CHG-CZA-Test-1\plaque 1/@06 EE2 171/C6_02- exclu.tif</t>
  </si>
  <si>
    <t xml:space="preserve">F:\Données chgh\2020-CHG-CZA-Test-1\plaque 1/@06 EE2 171/C6_03.tif </t>
  </si>
  <si>
    <t xml:space="preserve"> 37160.159 </t>
  </si>
  <si>
    <t xml:space="preserve"> 75.5279 </t>
  </si>
  <si>
    <t xml:space="preserve">F:\Données chgh\2020-CHG-CZA-Test-1\plaque 1/@06 EE2 171/D6_01.tif </t>
  </si>
  <si>
    <t xml:space="preserve"> 56367.5054 </t>
  </si>
  <si>
    <t xml:space="preserve"> 81.8492 </t>
  </si>
  <si>
    <t xml:space="preserve">F:\Données chgh\2020-CHG-CZA-Test-1\plaque 1/@06 EE2 171/D6_02.tif </t>
  </si>
  <si>
    <t xml:space="preserve"> 52301.0852 </t>
  </si>
  <si>
    <t xml:space="preserve"> 76.2407 </t>
  </si>
  <si>
    <t xml:space="preserve">F:\Données chgh\2020-CHG-CZA-Test-1\plaque 1/@06 EE2 171/D6_03.tif </t>
  </si>
  <si>
    <t xml:space="preserve"> 54161.2562 </t>
  </si>
  <si>
    <t xml:space="preserve"> 79.0304 </t>
  </si>
  <si>
    <t xml:space="preserve">F:\Données chgh\2020-CHG-CZA-Test-1\plaque 1/@06 EE2 171/E6_01.tif </t>
  </si>
  <si>
    <t xml:space="preserve"> 47369.4692 </t>
  </si>
  <si>
    <t xml:space="preserve"> 68.4009 </t>
  </si>
  <si>
    <t xml:space="preserve">F:\Données chgh\2020-CHG-CZA-Test-1\plaque 1/@06 EE2 171/E6_02.tif </t>
  </si>
  <si>
    <t xml:space="preserve"> 35797.4756 </t>
  </si>
  <si>
    <t xml:space="preserve"> 66.9855 </t>
  </si>
  <si>
    <t xml:space="preserve">F:\Données chgh\2020-CHG-CZA-Test-1\plaque 1/@06 EE2 171/E6_03.tif </t>
  </si>
  <si>
    <t xml:space="preserve"> 37830.6857 </t>
  </si>
  <si>
    <t xml:space="preserve"> 66.9285 </t>
  </si>
  <si>
    <t xml:space="preserve">F:\Données chgh\2020-CHG-CZA-Test-1\plaque 1/@06 EE2 171/F6_01.tif </t>
  </si>
  <si>
    <t xml:space="preserve"> 38263.2836 </t>
  </si>
  <si>
    <t xml:space="preserve"> 84.8485 </t>
  </si>
  <si>
    <t xml:space="preserve">F:\Données chgh\2020-CHG-CZA-Test-1\plaque 1/@06 EE2 171/F6_02.tif </t>
  </si>
  <si>
    <t xml:space="preserve"> 38760.7712 </t>
  </si>
  <si>
    <t xml:space="preserve"> 84.2857 </t>
  </si>
  <si>
    <t xml:space="preserve">F:\Données chgh\2020-CHG-CZA-Test-1\plaque 1/@06 EE2 171/F6_03.tif </t>
  </si>
  <si>
    <t xml:space="preserve"> 33656.116 </t>
  </si>
  <si>
    <t xml:space="preserve"> 71.8753 </t>
  </si>
  <si>
    <t xml:space="preserve">F:\Données chgh\2020-CHG-CZA-Test-1\plaque 1/@06 EE2 171/G6_01.tif </t>
  </si>
  <si>
    <t xml:space="preserve"> 42697.412 </t>
  </si>
  <si>
    <t xml:space="preserve"> 85.0755 </t>
  </si>
  <si>
    <t xml:space="preserve">F:\Données chgh\2020-CHG-CZA-Test-1\plaque 1/@06 EE2 171/G6_02.tif </t>
  </si>
  <si>
    <t xml:space="preserve"> 50202.9854 </t>
  </si>
  <si>
    <t xml:space="preserve"> 83.7156 </t>
  </si>
  <si>
    <t xml:space="preserve">F:\Données chgh\2020-CHG-CZA-Test-1\plaque 1/@06 EE2 171/G6_03.tif </t>
  </si>
  <si>
    <t xml:space="preserve"> 40318.1236 </t>
  </si>
  <si>
    <t xml:space="preserve"> 86.9694 </t>
  </si>
  <si>
    <t xml:space="preserve">F:\Données chgh\2020-CHG-CZA-Test-1\plaque 1/@06 EE2 171/H6_01.tif </t>
  </si>
  <si>
    <t xml:space="preserve"> 66901.2641 </t>
  </si>
  <si>
    <t xml:space="preserve"> 74.2768 </t>
  </si>
  <si>
    <t xml:space="preserve">F:\Données chgh\2020-CHG-CZA-Test-1\plaque 1/@06 EE2 171/H6_02.tif </t>
  </si>
  <si>
    <t xml:space="preserve"> 48039.996 </t>
  </si>
  <si>
    <t xml:space="preserve"> 71.6844 </t>
  </si>
  <si>
    <t xml:space="preserve">F:\Données chgh\2020-CHG-CZA-Test-1\plaque 1/@06 EE2 171/H6_03.tif </t>
  </si>
  <si>
    <t xml:space="preserve"> 57211.0713 </t>
  </si>
  <si>
    <t xml:space="preserve"> 72.0733 </t>
  </si>
  <si>
    <t xml:space="preserve">F:\Données chgh\2020-CHG-CZA-Test-1\plaque 1/@06 EE2 171/ </t>
  </si>
  <si>
    <t xml:space="preserve"> 77.1369 </t>
  </si>
  <si>
    <t xml:space="preserve"> 6.3902 </t>
  </si>
  <si>
    <t xml:space="preserve"> 3507223.38 </t>
  </si>
  <si>
    <t xml:space="preserve"> 965775.196 </t>
  </si>
  <si>
    <t xml:space="preserve">F:\Données chgh\2020-CHG-CZA-Test-1\plaque 1/@07 EE2 488/A7_01.tif </t>
  </si>
  <si>
    <t xml:space="preserve"> 49554.0886 </t>
  </si>
  <si>
    <t xml:space="preserve"> 91.7599 </t>
  </si>
  <si>
    <t>F:\Données chgh\2020-CHG-CZA-Test-1\plaque 1/@07 EE2 488/A7_02- exclu.tif</t>
  </si>
  <si>
    <t xml:space="preserve">F:\Données chgh\2020-CHG-CZA-Test-1\plaque 1/@07 EE2 488/A7_03.tif </t>
  </si>
  <si>
    <t xml:space="preserve"> 45055.0705 </t>
  </si>
  <si>
    <t xml:space="preserve"> 95.5142 </t>
  </si>
  <si>
    <t xml:space="preserve">F:\Données chgh\2020-CHG-CZA-Test-1\plaque 1/@07 EE2 488/B7_01.tif </t>
  </si>
  <si>
    <t xml:space="preserve"> 61039.5626 </t>
  </si>
  <si>
    <t xml:space="preserve"> 98.7069 </t>
  </si>
  <si>
    <t xml:space="preserve">F:\Données chgh\2020-CHG-CZA-Test-1\plaque 1/@07 EE2 488/B7_02.tif </t>
  </si>
  <si>
    <t xml:space="preserve"> 59438.9504 </t>
  </si>
  <si>
    <t xml:space="preserve"> 97.7427 </t>
  </si>
  <si>
    <t xml:space="preserve">F:\Données chgh\2020-CHG-CZA-Test-1\plaque 1/@07 EE2 488/B7_03.tif </t>
  </si>
  <si>
    <t xml:space="preserve"> 53533.9892 </t>
  </si>
  <si>
    <t xml:space="preserve"> 102.459 </t>
  </si>
  <si>
    <t xml:space="preserve">F:\Données chgh\2020-CHG-CZA-Test-1\plaque 1/@07 EE2 488/C7_01.tif </t>
  </si>
  <si>
    <t xml:space="preserve"> 44384.5438 </t>
  </si>
  <si>
    <t xml:space="preserve"> 97.9454 </t>
  </si>
  <si>
    <t xml:space="preserve">F:\Données chgh\2020-CHG-CZA-Test-1\plaque 1/@07 EE2 488/C7_02.tif </t>
  </si>
  <si>
    <t xml:space="preserve"> 42243.1842 </t>
  </si>
  <si>
    <t xml:space="preserve"> 96.8285 </t>
  </si>
  <si>
    <t xml:space="preserve">F:\Données chgh\2020-CHG-CZA-Test-1\plaque 1/@07 EE2 488/C7_03.tif </t>
  </si>
  <si>
    <t xml:space="preserve"> 42848.8213 </t>
  </si>
  <si>
    <t xml:space="preserve"> 98.5512 </t>
  </si>
  <si>
    <t xml:space="preserve">F:\Données chgh\2020-CHG-CZA-Test-1\plaque 1/@07 EE2 488/D7_01.tif </t>
  </si>
  <si>
    <t xml:space="preserve"> 43822.1665 </t>
  </si>
  <si>
    <t xml:space="preserve"> 86.6204 </t>
  </si>
  <si>
    <t xml:space="preserve">F:\Données chgh\2020-CHG-CZA-Test-1\plaque 1/@07 EE2 488/D7_02.tif </t>
  </si>
  <si>
    <t xml:space="preserve"> 28637.9805 </t>
  </si>
  <si>
    <t xml:space="preserve"> 83.9479 </t>
  </si>
  <si>
    <t xml:space="preserve">F:\Données chgh\2020-CHG-CZA-Test-1\plaque 1/@07 EE2 488/D7_03.tif </t>
  </si>
  <si>
    <t xml:space="preserve"> 29784.3649 </t>
  </si>
  <si>
    <t xml:space="preserve"> 90.3784 </t>
  </si>
  <si>
    <t xml:space="preserve">F:\Données chgh\2020-CHG-CZA-Test-1\plaque 1/@07 EE2 488/E7_01.tif </t>
  </si>
  <si>
    <t xml:space="preserve"> 45292.9994 </t>
  </si>
  <si>
    <t xml:space="preserve"> 81.6872 </t>
  </si>
  <si>
    <t xml:space="preserve">F:\Données chgh\2020-CHG-CZA-Test-1\plaque 1/@07 EE2 488/E7_02.tif </t>
  </si>
  <si>
    <t xml:space="preserve"> 42264.8141 </t>
  </si>
  <si>
    <t xml:space="preserve"> 77.9273 </t>
  </si>
  <si>
    <t xml:space="preserve">F:\Données chgh\2020-CHG-CZA-Test-1\plaque 1/@07 EE2 488/E7_03.tif </t>
  </si>
  <si>
    <t xml:space="preserve"> 40534.4225 </t>
  </si>
  <si>
    <t xml:space="preserve"> 78.4744 </t>
  </si>
  <si>
    <t xml:space="preserve">F:\Données chgh\2020-CHG-CZA-Test-1\plaque 1/@07 EE2 488/F7_01.tif </t>
  </si>
  <si>
    <t xml:space="preserve"> 50981.6616 </t>
  </si>
  <si>
    <t xml:space="preserve"> 74.1561 </t>
  </si>
  <si>
    <t xml:space="preserve">F:\Données chgh\2020-CHG-CZA-Test-1\plaque 1/@07 EE2 488/F7_02.tif </t>
  </si>
  <si>
    <t xml:space="preserve"> 44903.6612 </t>
  </si>
  <si>
    <t xml:space="preserve"> 74.6431 </t>
  </si>
  <si>
    <t xml:space="preserve">F:\Données chgh\2020-CHG-CZA-Test-1\plaque 1/@07 EE2 488/F7_03.tif </t>
  </si>
  <si>
    <t xml:space="preserve"> 47845.3269 </t>
  </si>
  <si>
    <t xml:space="preserve"> 77.745 </t>
  </si>
  <si>
    <t xml:space="preserve">F:\Données chgh\2020-CHG-CZA-Test-1\plaque 1/@07 EE2 488/G7_01.tif </t>
  </si>
  <si>
    <t xml:space="preserve"> 72546.6666 </t>
  </si>
  <si>
    <t xml:space="preserve"> 82.8113 </t>
  </si>
  <si>
    <t xml:space="preserve">F:\Données chgh\2020-CHG-CZA-Test-1\plaque 1/@07 EE2 488/G7_02.tif </t>
  </si>
  <si>
    <t xml:space="preserve"> 78754.4463 </t>
  </si>
  <si>
    <t xml:space="preserve"> 85.7243 </t>
  </si>
  <si>
    <t xml:space="preserve">F:\Données chgh\2020-CHG-CZA-Test-1\plaque 1/@07 EE2 488/G7_03.tif </t>
  </si>
  <si>
    <t xml:space="preserve"> 75012.4746 </t>
  </si>
  <si>
    <t xml:space="preserve"> 83.7901 </t>
  </si>
  <si>
    <t xml:space="preserve">F:\Données chgh\2020-CHG-CZA-Test-1\plaque 1/@07 EE2 488/H7_01.tif </t>
  </si>
  <si>
    <t xml:space="preserve"> 70059.2287 </t>
  </si>
  <si>
    <t xml:space="preserve"> 103.8151 </t>
  </si>
  <si>
    <t xml:space="preserve">F:\Données chgh\2020-CHG-CZA-Test-1\plaque 1/@07 EE2 488/H7_02.tif </t>
  </si>
  <si>
    <t xml:space="preserve"> 68674.9154 </t>
  </si>
  <si>
    <t xml:space="preserve"> 103.005 </t>
  </si>
  <si>
    <t xml:space="preserve">F:\Données chgh\2020-CHG-CZA-Test-1\plaque 1/@07 EE2 488/H7_03.tif </t>
  </si>
  <si>
    <t xml:space="preserve"> 73109.0438 </t>
  </si>
  <si>
    <t xml:space="preserve"> 103.8896 </t>
  </si>
  <si>
    <t xml:space="preserve">F:\Données chgh\2020-CHG-CZA-Test-1\plaque 1/@07 EE2 488/ </t>
  </si>
  <si>
    <t xml:space="preserve"> 88.8697 </t>
  </si>
  <si>
    <t xml:space="preserve"> 11.0506 </t>
  </si>
  <si>
    <t xml:space="preserve"> 4576979.42 </t>
  </si>
  <si>
    <t xml:space="preserve"> 1785142.77 </t>
  </si>
  <si>
    <t xml:space="preserve">F:\Données chgh\2020-CHG-CZA-Test-1\plaque 1/@08 Pro 12/A8_01.tif </t>
  </si>
  <si>
    <t xml:space="preserve"> 237.9288 </t>
  </si>
  <si>
    <t xml:space="preserve"> 64.9091 </t>
  </si>
  <si>
    <t xml:space="preserve">F:\Données chgh\2020-CHG-CZA-Test-1\plaque 1/@08 Pro 12/A8_02.tif </t>
  </si>
  <si>
    <t xml:space="preserve"> 2595.5874 </t>
  </si>
  <si>
    <t xml:space="preserve"> 63.9333 </t>
  </si>
  <si>
    <t xml:space="preserve">F:\Données chgh\2020-CHG-CZA-Test-1\plaque 1/@08 Pro 12/A8_03.tif </t>
  </si>
  <si>
    <t xml:space="preserve"> 3612.1924 </t>
  </si>
  <si>
    <t xml:space="preserve"> 67.1976 </t>
  </si>
  <si>
    <t xml:space="preserve">F:\Données chgh\2020-CHG-CZA-Test-1\plaque 1/@08 Pro 12/B8_01.tif </t>
  </si>
  <si>
    <t xml:space="preserve"> 1059.8648 </t>
  </si>
  <si>
    <t xml:space="preserve"> 64.6735 </t>
  </si>
  <si>
    <t xml:space="preserve">F:\Données chgh\2020-CHG-CZA-Test-1\plaque 1/@08 Pro 12/B8_02.tif </t>
  </si>
  <si>
    <t xml:space="preserve"> 994.9752 </t>
  </si>
  <si>
    <t xml:space="preserve"> 64.4783 </t>
  </si>
  <si>
    <t xml:space="preserve">F:\Données chgh\2020-CHG-CZA-Test-1\plaque 1/@08 Pro 12/B8_03.tif </t>
  </si>
  <si>
    <t xml:space="preserve"> 69.1528 </t>
  </si>
  <si>
    <t xml:space="preserve">F:\Données chgh\2020-CHG-CZA-Test-1\plaque 1/@08 Pro 12/C8_01.tif </t>
  </si>
  <si>
    <t xml:space="preserve"> 63.5833 </t>
  </si>
  <si>
    <t>F:\Données chgh\2020-CHG-CZA-Test-1\plaque 1/@08 Pro 12/C8_02- exclu.tif</t>
  </si>
  <si>
    <t xml:space="preserve">F:\Données chgh\2020-CHG-CZA-Test-1\plaque 1/@08 Pro 12/C8_03.tif </t>
  </si>
  <si>
    <t xml:space="preserve"> 64.4545 </t>
  </si>
  <si>
    <t xml:space="preserve">F:\Données chgh\2020-CHG-CZA-Test-1\plaque 1/@08 Pro 12/D8_01.tif </t>
  </si>
  <si>
    <t xml:space="preserve"> 1038.2349 </t>
  </si>
  <si>
    <t xml:space="preserve"> 62.8958 </t>
  </si>
  <si>
    <t xml:space="preserve">F:\Données chgh\2020-CHG-CZA-Test-1\plaque 1/@08 Pro 12/D8_02.tif </t>
  </si>
  <si>
    <t xml:space="preserve"> 6121.2602 </t>
  </si>
  <si>
    <t xml:space="preserve"> 69.6537 </t>
  </si>
  <si>
    <t xml:space="preserve">F:\Données chgh\2020-CHG-CZA-Test-1\plaque 1/@08 Pro 12/D8_03.tif </t>
  </si>
  <si>
    <t xml:space="preserve"> 69.3457 </t>
  </si>
  <si>
    <t xml:space="preserve">F:\Données chgh\2020-CHG-CZA-Test-1\plaque 1/@08 Pro 12/E8_01.tif </t>
  </si>
  <si>
    <t xml:space="preserve"> 821.936 </t>
  </si>
  <si>
    <t xml:space="preserve"> 67.0263 </t>
  </si>
  <si>
    <t xml:space="preserve">F:\Données chgh\2020-CHG-CZA-Test-1\plaque 1/@08 Pro 12/E8_02.tif </t>
  </si>
  <si>
    <t xml:space="preserve"> 1103.1246 </t>
  </si>
  <si>
    <t xml:space="preserve"> 64.5882 </t>
  </si>
  <si>
    <t xml:space="preserve">F:\Données chgh\2020-CHG-CZA-Test-1\plaque 1/@08 Pro 12/E8_03.tif </t>
  </si>
  <si>
    <t xml:space="preserve"> 302.8185 </t>
  </si>
  <si>
    <t xml:space="preserve">F:\Données chgh\2020-CHG-CZA-Test-1\plaque 1/@08 Pro 12/F8_01.tif </t>
  </si>
  <si>
    <t xml:space="preserve"> 1124.7545 </t>
  </si>
  <si>
    <t xml:space="preserve"> 63.1154 </t>
  </si>
  <si>
    <t xml:space="preserve">F:\Données chgh\2020-CHG-CZA-Test-1\plaque 1/@08 Pro 12/F8_02.tif </t>
  </si>
  <si>
    <t xml:space="preserve"> 65.4861 </t>
  </si>
  <si>
    <t xml:space="preserve">F:\Données chgh\2020-CHG-CZA-Test-1\plaque 1/@08 Pro 12/F8_03.tif </t>
  </si>
  <si>
    <t xml:space="preserve"> 951.7154 </t>
  </si>
  <si>
    <t xml:space="preserve"> 64.6591 </t>
  </si>
  <si>
    <t xml:space="preserve">F:\Données chgh\2020-CHG-CZA-Test-1\plaque 1/@08 Pro 12/G8_01.tif </t>
  </si>
  <si>
    <t xml:space="preserve"> 8522.1785 </t>
  </si>
  <si>
    <t xml:space="preserve"> 66.665 </t>
  </si>
  <si>
    <t xml:space="preserve">F:\Données chgh\2020-CHG-CZA-Test-1\plaque 1/@08 Pro 12/G8_02.tif </t>
  </si>
  <si>
    <t xml:space="preserve"> 9387.3743 </t>
  </si>
  <si>
    <t xml:space="preserve"> 68.5691 </t>
  </si>
  <si>
    <t xml:space="preserve">F:\Données chgh\2020-CHG-CZA-Test-1\plaque 1/@08 Pro 12/G8_03.tif </t>
  </si>
  <si>
    <t xml:space="preserve"> 5320.9541 </t>
  </si>
  <si>
    <t xml:space="preserve"> 64.813 </t>
  </si>
  <si>
    <t xml:space="preserve">F:\Données chgh\2020-CHG-CZA-Test-1\plaque 1/@08 Pro 12/H8_01.tif </t>
  </si>
  <si>
    <t xml:space="preserve"> 1946.6905 </t>
  </si>
  <si>
    <t xml:space="preserve"> 65.0222 </t>
  </si>
  <si>
    <t xml:space="preserve">F:\Données chgh\2020-CHG-CZA-Test-1\plaque 1/@08 Pro 12/H8_02.tif </t>
  </si>
  <si>
    <t xml:space="preserve"> 4520.648 </t>
  </si>
  <si>
    <t xml:space="preserve"> 66.622 </t>
  </si>
  <si>
    <t xml:space="preserve">F:\Données chgh\2020-CHG-CZA-Test-1\plaque 1/@08 Pro 12/H8_03.tif </t>
  </si>
  <si>
    <t xml:space="preserve"> 519.1175 </t>
  </si>
  <si>
    <t xml:space="preserve"> 62.9583 </t>
  </si>
  <si>
    <t xml:space="preserve">F:\Données chgh\2020-CHG-CZA-Test-1\plaque 1/@08 Pro 12/ </t>
  </si>
  <si>
    <t xml:space="preserve"> 65.4584 </t>
  </si>
  <si>
    <t xml:space="preserve"> 2.0882 </t>
  </si>
  <si>
    <t xml:space="preserve"> 165145.167 </t>
  </si>
  <si>
    <t xml:space="preserve"> 182220.298 </t>
  </si>
  <si>
    <t xml:space="preserve">F:\Données chgh\2020-CHG-CZA-Test-1\plaque 1/@09 Pro 37/A9_01.tif </t>
  </si>
  <si>
    <t xml:space="preserve"> 1860.1709 </t>
  </si>
  <si>
    <t xml:space="preserve"> 65.0581 </t>
  </si>
  <si>
    <t>F:\Données chgh\2020-CHG-CZA-Test-1\plaque 1/@09 Pro 37/A9_02- exclu.tif</t>
  </si>
  <si>
    <t>F:\Données chgh\2020-CHG-CZA-Test-1\plaque 1/@09 Pro 37/A9_03- exclu.tif</t>
  </si>
  <si>
    <t xml:space="preserve">F:\Données chgh\2020-CHG-CZA-Test-1\plaque 1/@09 Pro 37/B9_01.tif </t>
  </si>
  <si>
    <t xml:space="preserve"> 62.7692 </t>
  </si>
  <si>
    <t xml:space="preserve">F:\Données chgh\2020-CHG-CZA-Test-1\plaque 1/@09 Pro 37/B9_02.tif </t>
  </si>
  <si>
    <t xml:space="preserve"> 62.2105 </t>
  </si>
  <si>
    <t xml:space="preserve">F:\Données chgh\2020-CHG-CZA-Test-1\plaque 1/@09 Pro 37/B9_03.tif </t>
  </si>
  <si>
    <t xml:space="preserve"> 62.8333 </t>
  </si>
  <si>
    <t xml:space="preserve">F:\Données chgh\2020-CHG-CZA-Test-1\plaque 1/@09 Pro 37/C9_01.tif </t>
  </si>
  <si>
    <t xml:space="preserve"> 1470.8328 </t>
  </si>
  <si>
    <t xml:space="preserve"> 63.9559 </t>
  </si>
  <si>
    <t xml:space="preserve">F:\Données chgh\2020-CHG-CZA-Test-1\plaque 1/@09 Pro 37/C9_02.tif </t>
  </si>
  <si>
    <t xml:space="preserve"> 2119.7297 </t>
  </si>
  <si>
    <t xml:space="preserve"> 64.2653 </t>
  </si>
  <si>
    <t xml:space="preserve">F:\Données chgh\2020-CHG-CZA-Test-1\plaque 1/@09 Pro 37/C9_03.tif </t>
  </si>
  <si>
    <t xml:space="preserve"> 1687.1318 </t>
  </si>
  <si>
    <t xml:space="preserve"> 64.859 </t>
  </si>
  <si>
    <t xml:space="preserve">F:\Données chgh\2020-CHG-CZA-Test-1\plaque 1/@09 Pro 37/D9_01.tif </t>
  </si>
  <si>
    <t xml:space="preserve"> 475.8577 </t>
  </si>
  <si>
    <t xml:space="preserve"> 63.0909 </t>
  </si>
  <si>
    <t xml:space="preserve">F:\Données chgh\2020-CHG-CZA-Test-1\plaque 1/@09 Pro 37/D9_02.tif </t>
  </si>
  <si>
    <t xml:space="preserve"> 64.382 </t>
  </si>
  <si>
    <t xml:space="preserve">F:\Données chgh\2020-CHG-CZA-Test-1\plaque 1/@09 Pro 37/D9_03.tif </t>
  </si>
  <si>
    <t xml:space="preserve"> 2768.6265 </t>
  </si>
  <si>
    <t xml:space="preserve"> 64.6328 </t>
  </si>
  <si>
    <t>F:\Données chgh\2020-CHG-CZA-Test-1\plaque 1/@09 Pro 37/E9_01- exclu.tif</t>
  </si>
  <si>
    <t>F:\Données chgh\2020-CHG-CZA-Test-1\plaque 1/@09 Pro 37/E9_02- exclu.tif</t>
  </si>
  <si>
    <t>F:\Données chgh\2020-CHG-CZA-Test-1\plaque 1/@09 Pro 37/E9_03- exclu.tif</t>
  </si>
  <si>
    <t>F:\Données chgh\2020-CHG-CZA-Test-1\plaque 1/@09 Pro 37/F9_01- exclu.tif</t>
  </si>
  <si>
    <t xml:space="preserve">F:\Données chgh\2020-CHG-CZA-Test-1\plaque 1/@09 Pro 37/F9_02.tif </t>
  </si>
  <si>
    <t xml:space="preserve"> 3136.3347 </t>
  </si>
  <si>
    <t xml:space="preserve"> 63.1103 </t>
  </si>
  <si>
    <t xml:space="preserve">F:\Données chgh\2020-CHG-CZA-Test-1\plaque 1/@09 Pro 37/F9_03.tif </t>
  </si>
  <si>
    <t xml:space="preserve"> 11269.1751 </t>
  </si>
  <si>
    <t xml:space="preserve"> 66.7927 </t>
  </si>
  <si>
    <t xml:space="preserve">F:\Données chgh\2020-CHG-CZA-Test-1\plaque 1/@09 Pro 37/G9_01.tif </t>
  </si>
  <si>
    <t xml:space="preserve"> 800.3061 </t>
  </si>
  <si>
    <t xml:space="preserve"> 64.1081 </t>
  </si>
  <si>
    <t xml:space="preserve">F:\Données chgh\2020-CHG-CZA-Test-1\plaque 1/@09 Pro 37/G9_02.tif </t>
  </si>
  <si>
    <t xml:space="preserve"> 1427.573 </t>
  </si>
  <si>
    <t xml:space="preserve"> 65.1364 </t>
  </si>
  <si>
    <t xml:space="preserve">F:\Données chgh\2020-CHG-CZA-Test-1\plaque 1/@09 Pro 37/G9_03.tif </t>
  </si>
  <si>
    <t xml:space="preserve"> 1405.9432 </t>
  </si>
  <si>
    <t xml:space="preserve"> 64.7846 </t>
  </si>
  <si>
    <t xml:space="preserve">F:\Données chgh\2020-CHG-CZA-Test-1\plaque 1/@09 Pro 37/H9_01.tif </t>
  </si>
  <si>
    <t xml:space="preserve"> 4693.6871 </t>
  </si>
  <si>
    <t xml:space="preserve"> 70.3548 </t>
  </si>
  <si>
    <t xml:space="preserve">F:\Données chgh\2020-CHG-CZA-Test-1\plaque 1/@09 Pro 37/H9_02.tif </t>
  </si>
  <si>
    <t xml:space="preserve"> 63.3542 </t>
  </si>
  <si>
    <t xml:space="preserve">F:\Données chgh\2020-CHG-CZA-Test-1\plaque 1/@09 Pro 37/H9_03.tif </t>
  </si>
  <si>
    <t xml:space="preserve"> 4023.1604 </t>
  </si>
  <si>
    <t xml:space="preserve"> 72.8978 </t>
  </si>
  <si>
    <t xml:space="preserve">F:\Données chgh\2020-CHG-CZA-Test-1\plaque 1/@09 Pro 37/ </t>
  </si>
  <si>
    <t xml:space="preserve"> 65.726 </t>
  </si>
  <si>
    <t xml:space="preserve"> 3.9447 </t>
  </si>
  <si>
    <t xml:space="preserve"> 165289.375 </t>
  </si>
  <si>
    <t xml:space="preserve"> 212147.932 </t>
  </si>
  <si>
    <t xml:space="preserve">F:\Données chgh\2020-CHG-CZA-Test-1\plaque 1/@10 Pro 111/A10_01.tif </t>
  </si>
  <si>
    <t xml:space="preserve"> 8500.5486 </t>
  </si>
  <si>
    <t xml:space="preserve"> 75.3919 </t>
  </si>
  <si>
    <t xml:space="preserve">F:\Données chgh\2020-CHG-CZA-Test-1\plaque 1/@10 Pro 111/A10_02.tif </t>
  </si>
  <si>
    <t xml:space="preserve"> 9279.2248 </t>
  </si>
  <si>
    <t xml:space="preserve"> 73.2774 </t>
  </si>
  <si>
    <t xml:space="preserve">F:\Données chgh\2020-CHG-CZA-Test-1\plaque 1/@10 Pro 111/A10_03.tif </t>
  </si>
  <si>
    <t xml:space="preserve"> 76.0279 </t>
  </si>
  <si>
    <t xml:space="preserve">F:\Données chgh\2020-CHG-CZA-Test-1\plaque 1/@10 Pro 111/B10_01.tif </t>
  </si>
  <si>
    <t xml:space="preserve"> 63.4091 </t>
  </si>
  <si>
    <t>F:\Données chgh\2020-CHG-CZA-Test-1\plaque 1/@10 Pro 111/B10_02- exclu.tif</t>
  </si>
  <si>
    <t>F:\Données chgh\2020-CHG-CZA-Test-1\plaque 1/@10 Pro 111/B10_03- exclu.tif</t>
  </si>
  <si>
    <t>F:\Données chgh\2020-CHG-CZA-Test-1\plaque 1/@10 Pro 111/C10_01- exclu.tif</t>
  </si>
  <si>
    <t xml:space="preserve">F:\Données chgh\2020-CHG-CZA-Test-1\plaque 1/@10 Pro 111/C10_02.tif </t>
  </si>
  <si>
    <t xml:space="preserve"> 71.7895 </t>
  </si>
  <si>
    <t xml:space="preserve">F:\Données chgh\2020-CHG-CZA-Test-1\plaque 1/@10 Pro 111/C10_03.tif </t>
  </si>
  <si>
    <t xml:space="preserve"> 63.3571 </t>
  </si>
  <si>
    <t xml:space="preserve">F:\Données chgh\2020-CHG-CZA-Test-1\plaque 1/@10 Pro 111/D10_01.tif </t>
  </si>
  <si>
    <t xml:space="preserve"> 2660.477 </t>
  </si>
  <si>
    <t xml:space="preserve"> 66.9675 </t>
  </si>
  <si>
    <t xml:space="preserve">F:\Données chgh\2020-CHG-CZA-Test-1\plaque 1/@10 Pro 111/D10_02.tif </t>
  </si>
  <si>
    <t xml:space="preserve"> 63.5227 </t>
  </si>
  <si>
    <t xml:space="preserve">F:\Données chgh\2020-CHG-CZA-Test-1\plaque 1/@10 Pro 111/D10_03.tif </t>
  </si>
  <si>
    <t xml:space="preserve"> 2530.6977 </t>
  </si>
  <si>
    <t xml:space="preserve"> 67.4615 </t>
  </si>
  <si>
    <t xml:space="preserve">F:\Données chgh\2020-CHG-CZA-Test-1\plaque 1/@10 Pro 111/E10_01.tif </t>
  </si>
  <si>
    <t xml:space="preserve"> 1773.6514 </t>
  </si>
  <si>
    <t xml:space="preserve"> 65.4512 </t>
  </si>
  <si>
    <t xml:space="preserve">F:\Données chgh\2020-CHG-CZA-Test-1\plaque 1/@10 Pro 111/E10_02.tif </t>
  </si>
  <si>
    <t xml:space="preserve"> 65.1327 </t>
  </si>
  <si>
    <t>F:\Données chgh\2020-CHG-CZA-Test-1\plaque 1/@10 Pro 111/E10_03- exclu.tif</t>
  </si>
  <si>
    <t xml:space="preserve">F:\Données chgh\2020-CHG-CZA-Test-1\plaque 1/@10 Pro 111/F10_01.tif </t>
  </si>
  <si>
    <t xml:space="preserve"> 5602.1427 </t>
  </si>
  <si>
    <t xml:space="preserve"> 69.2085 </t>
  </si>
  <si>
    <t xml:space="preserve">F:\Données chgh\2020-CHG-CZA-Test-1\plaque 1/@10 Pro 111/F10_02.tif </t>
  </si>
  <si>
    <t xml:space="preserve"> 4845.0964 </t>
  </si>
  <si>
    <t xml:space="preserve"> 68.1429 </t>
  </si>
  <si>
    <t xml:space="preserve">F:\Données chgh\2020-CHG-CZA-Test-1\plaque 1/@10 Pro 111/F10_03.tif </t>
  </si>
  <si>
    <t xml:space="preserve"> 64.7438 </t>
  </si>
  <si>
    <t xml:space="preserve">F:\Données chgh\2020-CHG-CZA-Test-1\plaque 1/@10 Pro 111/G10_01.tif </t>
  </si>
  <si>
    <t xml:space="preserve"> 9473.8938 </t>
  </si>
  <si>
    <t xml:space="preserve"> 87.5571 </t>
  </si>
  <si>
    <t xml:space="preserve">F:\Données chgh\2020-CHG-CZA-Test-1\plaque 1/@10 Pro 111/G10_02.tif </t>
  </si>
  <si>
    <t xml:space="preserve"> 64.3708 </t>
  </si>
  <si>
    <t xml:space="preserve">F:\Données chgh\2020-CHG-CZA-Test-1\plaque 1/@10 Pro 111/G10_03.tif </t>
  </si>
  <si>
    <t xml:space="preserve"> 1989.9503 </t>
  </si>
  <si>
    <t xml:space="preserve"> 64.2935 </t>
  </si>
  <si>
    <t xml:space="preserve">F:\Données chgh\2020-CHG-CZA-Test-1\plaque 1/@10 Pro 111/H10_01.tif </t>
  </si>
  <si>
    <t xml:space="preserve"> 2638.8471 </t>
  </si>
  <si>
    <t xml:space="preserve"> 66.123 </t>
  </si>
  <si>
    <t xml:space="preserve">F:\Données chgh\2020-CHG-CZA-Test-1\plaque 1/@10 Pro 111/H10_02.tif </t>
  </si>
  <si>
    <t xml:space="preserve"> 1838.541 </t>
  </si>
  <si>
    <t xml:space="preserve"> 64.9412 </t>
  </si>
  <si>
    <t xml:space="preserve">F:\Données chgh\2020-CHG-CZA-Test-1\plaque 1/@10 Pro 111/H10_03.tif </t>
  </si>
  <si>
    <t xml:space="preserve"> 2465.808 </t>
  </si>
  <si>
    <t xml:space="preserve"> 64.1842 </t>
  </si>
  <si>
    <t xml:space="preserve">F:\Données chgh\2020-CHG-CZA-Test-1\plaque 1/@10 Pro 111/ </t>
  </si>
  <si>
    <t xml:space="preserve"> 67.4797 </t>
  </si>
  <si>
    <t xml:space="preserve"> 5.76 </t>
  </si>
  <si>
    <t xml:space="preserve"> 229689.667 </t>
  </si>
  <si>
    <t xml:space="preserve"> 233920.464 </t>
  </si>
  <si>
    <t xml:space="preserve">F:\Données chgh\2020-CHG-CZA-Test-1\plaque 1/@11 Pro 333/A11_01.tif </t>
  </si>
  <si>
    <t xml:space="preserve"> 6445.7086 </t>
  </si>
  <si>
    <t xml:space="preserve"> 78.0235 </t>
  </si>
  <si>
    <t xml:space="preserve">F:\Données chgh\2020-CHG-CZA-Test-1\plaque 1/@11 Pro 333/A11_02.tif </t>
  </si>
  <si>
    <t xml:space="preserve"> 8587.0682 </t>
  </si>
  <si>
    <t xml:space="preserve"> 73.4836 </t>
  </si>
  <si>
    <t xml:space="preserve">F:\Données chgh\2020-CHG-CZA-Test-1\plaque 1/@11 Pro 333/A11_03.tif </t>
  </si>
  <si>
    <t xml:space="preserve"> 6553.8581 </t>
  </si>
  <si>
    <t xml:space="preserve"> 72.7624 </t>
  </si>
  <si>
    <t xml:space="preserve">F:\Données chgh\2020-CHG-CZA-Test-1\plaque 1/@11 Pro 333/B11_01.tif </t>
  </si>
  <si>
    <t xml:space="preserve"> 3482.413 </t>
  </si>
  <si>
    <t xml:space="preserve"> 66.6087 </t>
  </si>
  <si>
    <t xml:space="preserve">F:\Données chgh\2020-CHG-CZA-Test-1\plaque 1/@11 Pro 333/B11_02.tif </t>
  </si>
  <si>
    <t xml:space="preserve"> 3222.8543 </t>
  </si>
  <si>
    <t xml:space="preserve"> 65.8188 </t>
  </si>
  <si>
    <t xml:space="preserve">F:\Données chgh\2020-CHG-CZA-Test-1\plaque 1/@11 Pro 333/B11_03.tif </t>
  </si>
  <si>
    <t xml:space="preserve"> 63.4375 </t>
  </si>
  <si>
    <t xml:space="preserve">F:\Données chgh\2020-CHG-CZA-Test-1\plaque 1/@11 Pro 333/C11_01.tif </t>
  </si>
  <si>
    <t xml:space="preserve"> 9084.5557 </t>
  </si>
  <si>
    <t xml:space="preserve"> 74.769 </t>
  </si>
  <si>
    <t xml:space="preserve">F:\Données chgh\2020-CHG-CZA-Test-1\plaque 1/@11 Pro 333/C11_02.tif </t>
  </si>
  <si>
    <t xml:space="preserve"> 5991.4808 </t>
  </si>
  <si>
    <t xml:space="preserve"> 74.9783 </t>
  </si>
  <si>
    <t xml:space="preserve">F:\Données chgh\2020-CHG-CZA-Test-1\plaque 1/@11 Pro 333/C11_03.tif </t>
  </si>
  <si>
    <t xml:space="preserve">F:\Données chgh\2020-CHG-CZA-Test-1\plaque 1/@11 Pro 333/D11_01.tif </t>
  </si>
  <si>
    <t xml:space="preserve"> 1968.3204 </t>
  </si>
  <si>
    <t xml:space="preserve"> 63.3297 </t>
  </si>
  <si>
    <t xml:space="preserve">F:\Données chgh\2020-CHG-CZA-Test-1\plaque 1/@11 Pro 333/D11_02.tif </t>
  </si>
  <si>
    <t xml:space="preserve"> 1643.872 </t>
  </si>
  <si>
    <t xml:space="preserve"> 64.1974 </t>
  </si>
  <si>
    <t xml:space="preserve">F:\Données chgh\2020-CHG-CZA-Test-1\plaque 1/@11 Pro 333/D11_03.tif </t>
  </si>
  <si>
    <t xml:space="preserve"> 64.1667 </t>
  </si>
  <si>
    <t xml:space="preserve">F:\Données chgh\2020-CHG-CZA-Test-1\plaque 1/@11 Pro 333/E11_01.tif </t>
  </si>
  <si>
    <t xml:space="preserve"> 7419.0539 </t>
  </si>
  <si>
    <t xml:space="preserve"> 68.7259 </t>
  </si>
  <si>
    <t xml:space="preserve">F:\Données chgh\2020-CHG-CZA-Test-1\plaque 1/@11 Pro 333/E11_02.tif </t>
  </si>
  <si>
    <t xml:space="preserve">F:\Données chgh\2020-CHG-CZA-Test-1\plaque 1/@11 Pro 333/E11_03.tif </t>
  </si>
  <si>
    <t xml:space="preserve"> 6488.9684 </t>
  </si>
  <si>
    <t xml:space="preserve"> 67.53 </t>
  </si>
  <si>
    <t xml:space="preserve">F:\Données chgh\2020-CHG-CZA-Test-1\plaque 1/@11 Pro 333/F11_01.tif </t>
  </si>
  <si>
    <t xml:space="preserve"> 64.4773 </t>
  </si>
  <si>
    <t xml:space="preserve">F:\Données chgh\2020-CHG-CZA-Test-1\plaque 1/@11 Pro 333/F11_02.tif </t>
  </si>
  <si>
    <t xml:space="preserve"> 4390.8686 </t>
  </si>
  <si>
    <t xml:space="preserve"> 67.8571 </t>
  </si>
  <si>
    <t>F:\Données chgh\2020-CHG-CZA-Test-1\plaque 1/@11 Pro 333/F11_03- exclu.tif</t>
  </si>
  <si>
    <t xml:space="preserve">F:\Données chgh\2020-CHG-CZA-Test-1\plaque 1/@11 Pro 333/G11_01.tif </t>
  </si>
  <si>
    <t xml:space="preserve"> 757.0463 </t>
  </si>
  <si>
    <t xml:space="preserve"> 65.2571 </t>
  </si>
  <si>
    <t xml:space="preserve">F:\Données chgh\2020-CHG-CZA-Test-1\plaque 1/@11 Pro 333/G11_02.tif </t>
  </si>
  <si>
    <t xml:space="preserve"> 65.8182 </t>
  </si>
  <si>
    <t xml:space="preserve">F:\Données chgh\2020-CHG-CZA-Test-1\plaque 1/@11 Pro 333/G11_03.tif </t>
  </si>
  <si>
    <t xml:space="preserve"> 454.2278 </t>
  </si>
  <si>
    <t xml:space="preserve"> 64.381 </t>
  </si>
  <si>
    <t xml:space="preserve">F:\Données chgh\2020-CHG-CZA-Test-1\plaque 1/@11 Pro 333/H11_01.tif </t>
  </si>
  <si>
    <t xml:space="preserve"> 3677.0821 </t>
  </si>
  <si>
    <t xml:space="preserve"> 65.5706 </t>
  </si>
  <si>
    <t xml:space="preserve">F:\Données chgh\2020-CHG-CZA-Test-1\plaque 1/@11 Pro 333/H11_02.tif </t>
  </si>
  <si>
    <t xml:space="preserve"> 8284.2496 </t>
  </si>
  <si>
    <t xml:space="preserve"> 71.2272 </t>
  </si>
  <si>
    <t xml:space="preserve">F:\Données chgh\2020-CHG-CZA-Test-1\plaque 1/@11 Pro 333/H11_03.tif </t>
  </si>
  <si>
    <t xml:space="preserve"> 6186.1499 </t>
  </si>
  <si>
    <t xml:space="preserve"> 67.958 </t>
  </si>
  <si>
    <t xml:space="preserve">F:\Données chgh\2020-CHG-CZA-Test-1\plaque 1/@11 Pro 333/ </t>
  </si>
  <si>
    <t xml:space="preserve"> 67.6344 </t>
  </si>
  <si>
    <t xml:space="preserve"> 4.2822 </t>
  </si>
  <si>
    <t xml:space="preserve"> 272219.5 </t>
  </si>
  <si>
    <t xml:space="preserve"> 218918.115 </t>
  </si>
  <si>
    <t xml:space="preserve">F:\Données chgh\2020-CHG-CZA-Test-1\plaque 1/@12 Pro 1000/A12_01.tif </t>
  </si>
  <si>
    <t xml:space="preserve"> 64.1875 </t>
  </si>
  <si>
    <t xml:space="preserve">F:\Données chgh\2020-CHG-CZA-Test-1\plaque 1/@12 Pro 1000/A12_02.tif </t>
  </si>
  <si>
    <t xml:space="preserve"> 66.755 </t>
  </si>
  <si>
    <t xml:space="preserve">F:\Données chgh\2020-CHG-CZA-Test-1\plaque 1/@12 Pro 1000/A12_03.tif </t>
  </si>
  <si>
    <t xml:space="preserve"> 4131.3099 </t>
  </si>
  <si>
    <t xml:space="preserve"> 66.0785 </t>
  </si>
  <si>
    <t>F:\Données chgh\2020-CHG-CZA-Test-1\plaque 1/@12 Pro 1000/B12_01- exclu.tif</t>
  </si>
  <si>
    <t xml:space="preserve">F:\Données chgh\2020-CHG-CZA-Test-1\plaque 1/@12 Pro 1000/B12_02.tif </t>
  </si>
  <si>
    <t xml:space="preserve"> 64.2286 </t>
  </si>
  <si>
    <t xml:space="preserve">F:\Données chgh\2020-CHG-CZA-Test-1\plaque 1/@12 Pro 1000/B12_03.tif </t>
  </si>
  <si>
    <t xml:space="preserve"> 63.6957 </t>
  </si>
  <si>
    <t xml:space="preserve">F:\Données chgh\2020-CHG-CZA-Test-1\plaque 1/@12 Pro 1000/C12_01.tif </t>
  </si>
  <si>
    <t xml:space="preserve"> 1600.6122 </t>
  </si>
  <si>
    <t xml:space="preserve"> 64.8649 </t>
  </si>
  <si>
    <t xml:space="preserve">F:\Données chgh\2020-CHG-CZA-Test-1\plaque 1/@12 Pro 1000/C12_02.tif </t>
  </si>
  <si>
    <t xml:space="preserve"> 64.9024 </t>
  </si>
  <si>
    <t xml:space="preserve">F:\Données chgh\2020-CHG-CZA-Test-1\plaque 1/@12 Pro 1000/C12_03.tif </t>
  </si>
  <si>
    <t xml:space="preserve"> 6899.9364 </t>
  </si>
  <si>
    <t xml:space="preserve"> 68.6803 </t>
  </si>
  <si>
    <t xml:space="preserve">F:\Données chgh\2020-CHG-CZA-Test-1\plaque 1/@12 Pro 1000/D12_01.tif </t>
  </si>
  <si>
    <t xml:space="preserve"> 7051.3456 </t>
  </si>
  <si>
    <t xml:space="preserve"> 72.0429 </t>
  </si>
  <si>
    <t xml:space="preserve">F:\Données chgh\2020-CHG-CZA-Test-1\plaque 1/@12 Pro 1000/D12_02.tif </t>
  </si>
  <si>
    <t xml:space="preserve"> 8673.5877 </t>
  </si>
  <si>
    <t xml:space="preserve"> 72.9401 </t>
  </si>
  <si>
    <t xml:space="preserve">F:\Données chgh\2020-CHG-CZA-Test-1\plaque 1/@12 Pro 1000/D12_03.tif </t>
  </si>
  <si>
    <t xml:space="preserve"> 3936.6408 </t>
  </si>
  <si>
    <t xml:space="preserve"> 68.8022 </t>
  </si>
  <si>
    <t xml:space="preserve">F:\Données chgh\2020-CHG-CZA-Test-1\plaque 1/@12 Pro 1000/E12_01.tif </t>
  </si>
  <si>
    <t xml:space="preserve"> 8435.6589 </t>
  </si>
  <si>
    <t xml:space="preserve"> 82.8513 </t>
  </si>
  <si>
    <t xml:space="preserve">F:\Données chgh\2020-CHG-CZA-Test-1\plaque 1/@12 Pro 1000/E12_02.tif </t>
  </si>
  <si>
    <t>F:\Données chgh\2020-CHG-CZA-Test-1\plaque 1/@12 Pro 1000/E12_03- exclu.tif</t>
  </si>
  <si>
    <t xml:space="preserve">F:\Données chgh\2020-CHG-CZA-Test-1\plaque 1/@12 Pro 1000/F12_01.tif </t>
  </si>
  <si>
    <t xml:space="preserve"> 74.5842 </t>
  </si>
  <si>
    <t xml:space="preserve">F:\Données chgh\2020-CHG-CZA-Test-1\plaque 1/@12 Pro 1000/F12_02.tif </t>
  </si>
  <si>
    <t xml:space="preserve"> 66.9163 </t>
  </si>
  <si>
    <t xml:space="preserve">F:\Données chgh\2020-CHG-CZA-Test-1\plaque 1/@12 Pro 1000/F12_03.tif </t>
  </si>
  <si>
    <t xml:space="preserve"> 69.0526 </t>
  </si>
  <si>
    <t xml:space="preserve">F:\Données chgh\2020-CHG-CZA-Test-1\plaque 1/@12 Pro 1000/G12_01.tif </t>
  </si>
  <si>
    <t xml:space="preserve"> 16157.5313 </t>
  </si>
  <si>
    <t xml:space="preserve"> 81.5194 </t>
  </si>
  <si>
    <t xml:space="preserve">F:\Données chgh\2020-CHG-CZA-Test-1\plaque 1/@12 Pro 1000/G12_02.tif </t>
  </si>
  <si>
    <t xml:space="preserve"> 12977.9368 </t>
  </si>
  <si>
    <t xml:space="preserve"> 79.3617 </t>
  </si>
  <si>
    <t xml:space="preserve">F:\Données chgh\2020-CHG-CZA-Test-1\plaque 1/@12 Pro 1000/G12_03.tif </t>
  </si>
  <si>
    <t xml:space="preserve"> 13734.9831 </t>
  </si>
  <si>
    <t xml:space="preserve"> 76.8157 </t>
  </si>
  <si>
    <t xml:space="preserve">F:\Données chgh\2020-CHG-CZA-Test-1\plaque 1/@12 Pro 1000/H12_01.tif </t>
  </si>
  <si>
    <t xml:space="preserve"> 7094.6054 </t>
  </si>
  <si>
    <t xml:space="preserve"> 75.7165 </t>
  </si>
  <si>
    <t xml:space="preserve">F:\Données chgh\2020-CHG-CZA-Test-1\plaque 1/@12 Pro 1000/H12_02.tif </t>
  </si>
  <si>
    <t xml:space="preserve"> 5861.7014 </t>
  </si>
  <si>
    <t xml:space="preserve"> 73.2768 </t>
  </si>
  <si>
    <t xml:space="preserve">F:\Données chgh\2020-CHG-CZA-Test-1\plaque 1/@12 Pro 1000/H12_03.tif </t>
  </si>
  <si>
    <t xml:space="preserve"> 8824.997 </t>
  </si>
  <si>
    <t xml:space="preserve"> 72.0564 </t>
  </si>
  <si>
    <t xml:space="preserve">F:\Données chgh\2020-CHG-CZA-Test-1\plaque 1/@12 Pro 1000/ </t>
  </si>
  <si>
    <t xml:space="preserve"> 70.3663 </t>
  </si>
  <si>
    <t xml:space="preserve"> 5.9446 </t>
  </si>
  <si>
    <t xml:space="preserve"> 435413.292 </t>
  </si>
  <si>
    <t xml:space="preserve"> 365537.089 </t>
  </si>
  <si>
    <t xml:space="preserve">F:\Données chgh\2020-CHG-CZA-Test-1\plaque 2/@13 Testo 30/A1_01.tif </t>
  </si>
  <si>
    <t xml:space="preserve"> 30952.3792 </t>
  </si>
  <si>
    <t xml:space="preserve"> 68.9616 </t>
  </si>
  <si>
    <t>F:\Données chgh\2020-CHG-CZA-Test-1\plaque 2/@13 Testo 30/A1_02- exclu.tif</t>
  </si>
  <si>
    <t xml:space="preserve">F:\Données chgh\2020-CHG-CZA-Test-1\plaque 2/@13 Testo 30/A1_03.tif </t>
  </si>
  <si>
    <t xml:space="preserve"> 22754.6491 </t>
  </si>
  <si>
    <t xml:space="preserve"> 66.4981 </t>
  </si>
  <si>
    <t xml:space="preserve">F:\Données chgh\2020-CHG-CZA-Test-1\plaque 2/@13 Testo 30/B1_01.tif </t>
  </si>
  <si>
    <t xml:space="preserve"> 61839.8687 </t>
  </si>
  <si>
    <t xml:space="preserve"> 89.5841 </t>
  </si>
  <si>
    <t xml:space="preserve">F:\Données chgh\2020-CHG-CZA-Test-1\plaque 2/@13 Testo 30/B1_02.tif </t>
  </si>
  <si>
    <t xml:space="preserve"> 63721.6696 </t>
  </si>
  <si>
    <t xml:space="preserve"> 91.2685 </t>
  </si>
  <si>
    <t xml:space="preserve">F:\Données chgh\2020-CHG-CZA-Test-1\plaque 2/@13 Testo 30/B1_03.tif </t>
  </si>
  <si>
    <t xml:space="preserve"> 53707.0284 </t>
  </si>
  <si>
    <t xml:space="preserve"> 89.731 </t>
  </si>
  <si>
    <t xml:space="preserve">F:\Données chgh\2020-CHG-CZA-Test-1\plaque 2/@13 Testo 30/C1_01.tif </t>
  </si>
  <si>
    <t xml:space="preserve"> 30303.4824 </t>
  </si>
  <si>
    <t xml:space="preserve"> 76.5075 </t>
  </si>
  <si>
    <t xml:space="preserve">F:\Données chgh\2020-CHG-CZA-Test-1\plaque 2/@13 Testo 30/C1_02.tif </t>
  </si>
  <si>
    <t xml:space="preserve"> 27686.2651 </t>
  </si>
  <si>
    <t xml:space="preserve"> 75.8867 </t>
  </si>
  <si>
    <t xml:space="preserve">F:\Données chgh\2020-CHG-CZA-Test-1\plaque 2/@13 Testo 30/C1_03.tif </t>
  </si>
  <si>
    <t xml:space="preserve"> 32033.8739 </t>
  </si>
  <si>
    <t xml:space="preserve"> 74.6745 </t>
  </si>
  <si>
    <t xml:space="preserve">F:\Données chgh\2020-CHG-CZA-Test-1\plaque 2/@13 Testo 30/D1_01.tif </t>
  </si>
  <si>
    <t xml:space="preserve"> 51414.2595 </t>
  </si>
  <si>
    <t xml:space="preserve"> 72.5574 </t>
  </si>
  <si>
    <t>F:\Données chgh\2020-CHG-CZA-Test-1\plaque 2/@13 Testo 30/D1_02- exclu.tif</t>
  </si>
  <si>
    <t xml:space="preserve">F:\Données chgh\2020-CHG-CZA-Test-1\plaque 2/@13 Testo 30/D1_03.tif </t>
  </si>
  <si>
    <t xml:space="preserve"> 54074.7366 </t>
  </si>
  <si>
    <t xml:space="preserve"> 72.4916 </t>
  </si>
  <si>
    <t>F:\Données chgh\2020-CHG-CZA-Test-1\plaque 2/@13 Testo 30/E1_01- exclu.tif</t>
  </si>
  <si>
    <t xml:space="preserve">F:\Données chgh\2020-CHG-CZA-Test-1\plaque 2/@13 Testo 30/E1_02.tif </t>
  </si>
  <si>
    <t xml:space="preserve"> 15097.6665 </t>
  </si>
  <si>
    <t xml:space="preserve"> 72.0201 </t>
  </si>
  <si>
    <t>F:\Données chgh\2020-CHG-CZA-Test-1\plaque 2/@13 Testo 30/E1_03- exclu.tif</t>
  </si>
  <si>
    <t xml:space="preserve">F:\Données chgh\2020-CHG-CZA-Test-1\plaque 2/@13 Testo 30/F1_01.tif </t>
  </si>
  <si>
    <t xml:space="preserve"> 67.3141 </t>
  </si>
  <si>
    <t xml:space="preserve">F:\Données chgh\2020-CHG-CZA-Test-1\plaque 2/@13 Testo 30/F1_02.tif </t>
  </si>
  <si>
    <t xml:space="preserve"> 7592.093 </t>
  </si>
  <si>
    <t xml:space="preserve"> 70.1425 </t>
  </si>
  <si>
    <t xml:space="preserve">F:\Données chgh\2020-CHG-CZA-Test-1\plaque 2/@13 Testo 30/F1_03.tif </t>
  </si>
  <si>
    <t xml:space="preserve"> 63.6667 </t>
  </si>
  <si>
    <t xml:space="preserve">F:\Données chgh\2020-CHG-CZA-Test-1\plaque 2/@13 Testo 30/G1_01.tif </t>
  </si>
  <si>
    <t xml:space="preserve">F:\Données chgh\2020-CHG-CZA-Test-1\plaque 2/@13 Testo 30/G1_02.tif </t>
  </si>
  <si>
    <t xml:space="preserve"> 3331.0038 </t>
  </si>
  <si>
    <t xml:space="preserve"> 65.6688 </t>
  </si>
  <si>
    <t xml:space="preserve">F:\Données chgh\2020-CHG-CZA-Test-1\plaque 2/@13 Testo 30/G1_03.tif </t>
  </si>
  <si>
    <t xml:space="preserve"> 3417.5234 </t>
  </si>
  <si>
    <t xml:space="preserve"> 64.5443 </t>
  </si>
  <si>
    <t xml:space="preserve">F:\Données chgh\2020-CHG-CZA-Test-1\plaque 2/@13 Testo 30/H1_01.tif </t>
  </si>
  <si>
    <t xml:space="preserve"> 65.1203 </t>
  </si>
  <si>
    <t xml:space="preserve">F:\Données chgh\2020-CHG-CZA-Test-1\plaque 2/@13 Testo 30/H1_02.tif </t>
  </si>
  <si>
    <t xml:space="preserve"> 2054.84 </t>
  </si>
  <si>
    <t xml:space="preserve"> 64.6316 </t>
  </si>
  <si>
    <t xml:space="preserve">F:\Données chgh\2020-CHG-CZA-Test-1\plaque 2/@13 Testo 30/H1_03.tif </t>
  </si>
  <si>
    <t xml:space="preserve"> 64.6068 </t>
  </si>
  <si>
    <t xml:space="preserve">F:\Données chgh\2020-CHG-CZA-Test-1\plaque 2/@13 Testo 30/ </t>
  </si>
  <si>
    <t xml:space="preserve"> 71.2064 </t>
  </si>
  <si>
    <t xml:space="preserve"> 8.5526 </t>
  </si>
  <si>
    <t xml:space="preserve"> 1631937.79 </t>
  </si>
  <si>
    <t xml:space="preserve"> 1862980.02 </t>
  </si>
  <si>
    <t xml:space="preserve">F:\Données chgh\2020-CHG-CZA-Test-1\plaque 2/@14 Testo 30/A2_01.tif </t>
  </si>
  <si>
    <t xml:space="preserve"> 3287.744 </t>
  </si>
  <si>
    <t xml:space="preserve"> 63.75 </t>
  </si>
  <si>
    <t xml:space="preserve">F:\Données chgh\2020-CHG-CZA-Test-1\plaque 2/@14 Testo 30/A2_02.tif </t>
  </si>
  <si>
    <t xml:space="preserve"> 62.6842 </t>
  </si>
  <si>
    <t xml:space="preserve">F:\Données chgh\2020-CHG-CZA-Test-1\plaque 2/@14 Testo 30/A2_03.tif </t>
  </si>
  <si>
    <t xml:space="preserve"> 63.7888 </t>
  </si>
  <si>
    <t xml:space="preserve">F:\Données chgh\2020-CHG-CZA-Test-1\plaque 2/@14 Testo 30/B2_01.tif </t>
  </si>
  <si>
    <t xml:space="preserve"> 65.3043 </t>
  </si>
  <si>
    <t xml:space="preserve">F:\Données chgh\2020-CHG-CZA-Test-1\plaque 2/@14 Testo 30/B2_02.tif </t>
  </si>
  <si>
    <t xml:space="preserve"> 64.0476 </t>
  </si>
  <si>
    <t xml:space="preserve">F:\Données chgh\2020-CHG-CZA-Test-1\plaque 2/@14 Testo 30/B2_03.tif </t>
  </si>
  <si>
    <t xml:space="preserve">F:\Données chgh\2020-CHG-CZA-Test-1\plaque 2/@14 Testo 30/C2_01.tif </t>
  </si>
  <si>
    <t xml:space="preserve"> 23792.8841 </t>
  </si>
  <si>
    <t xml:space="preserve"> 68.1018 </t>
  </si>
  <si>
    <t xml:space="preserve">F:\Données chgh\2020-CHG-CZA-Test-1\plaque 2/@14 Testo 30/C2_02.tif </t>
  </si>
  <si>
    <t xml:space="preserve"> 25155.5675 </t>
  </si>
  <si>
    <t xml:space="preserve"> 67.8616 </t>
  </si>
  <si>
    <t xml:space="preserve">F:\Données chgh\2020-CHG-CZA-Test-1\plaque 2/@14 Testo 30/C2_03.tif </t>
  </si>
  <si>
    <t xml:space="preserve"> 32552.9914 </t>
  </si>
  <si>
    <t xml:space="preserve"> 67.6804 </t>
  </si>
  <si>
    <t xml:space="preserve">F:\Données chgh\2020-CHG-CZA-Test-1\plaque 2/@14 Testo 30/D2_01.tif </t>
  </si>
  <si>
    <t xml:space="preserve"> 11225.9153 </t>
  </si>
  <si>
    <t xml:space="preserve"> 69.0674 </t>
  </si>
  <si>
    <t xml:space="preserve">F:\Données chgh\2020-CHG-CZA-Test-1\plaque 2/@14 Testo 30/D2_02.tif </t>
  </si>
  <si>
    <t xml:space="preserve"> 6726.8972 </t>
  </si>
  <si>
    <t xml:space="preserve"> 66.8199 </t>
  </si>
  <si>
    <t xml:space="preserve">F:\Données chgh\2020-CHG-CZA-Test-1\plaque 2/@14 Testo 30/D2_03.tif </t>
  </si>
  <si>
    <t xml:space="preserve"> 64.8657 </t>
  </si>
  <si>
    <t xml:space="preserve">F:\Données chgh\2020-CHG-CZA-Test-1\plaque 2/@14 Testo 30/E2_01.tif </t>
  </si>
  <si>
    <t xml:space="preserve"> 13497.0542 </t>
  </si>
  <si>
    <t xml:space="preserve"> 65.4135 </t>
  </si>
  <si>
    <t xml:space="preserve">F:\Données chgh\2020-CHG-CZA-Test-1\plaque 2/@14 Testo 30/E2_02.tif </t>
  </si>
  <si>
    <t xml:space="preserve"> 5147.9149 </t>
  </si>
  <si>
    <t xml:space="preserve"> 64.3824 </t>
  </si>
  <si>
    <t xml:space="preserve">F:\Données chgh\2020-CHG-CZA-Test-1\plaque 2/@14 Testo 30/E2_03.tif </t>
  </si>
  <si>
    <t xml:space="preserve"> 9841.6021 </t>
  </si>
  <si>
    <t xml:space="preserve"> 65.7626 </t>
  </si>
  <si>
    <t>F:\Données chgh\2020-CHG-CZA-Test-1\plaque 2/@14 Testo 30/F2_01- exclu.tif</t>
  </si>
  <si>
    <t xml:space="preserve">F:\Données chgh\2020-CHG-CZA-Test-1\plaque 2/@14 Testo 30/F2_02.tif </t>
  </si>
  <si>
    <t xml:space="preserve"> 12934.677 </t>
  </si>
  <si>
    <t xml:space="preserve"> 66.4431 </t>
  </si>
  <si>
    <t xml:space="preserve">F:\Données chgh\2020-CHG-CZA-Test-1\plaque 2/@14 Testo 30/F2_03.tif </t>
  </si>
  <si>
    <t xml:space="preserve"> 14643.4387 </t>
  </si>
  <si>
    <t xml:space="preserve"> 67.2925 </t>
  </si>
  <si>
    <t xml:space="preserve">F:\Données chgh\2020-CHG-CZA-Test-1\plaque 2/@14 Testo 30/G2_01.tif </t>
  </si>
  <si>
    <t xml:space="preserve"> 35732.5859 </t>
  </si>
  <si>
    <t xml:space="preserve"> 70.2869 </t>
  </si>
  <si>
    <t xml:space="preserve">F:\Données chgh\2020-CHG-CZA-Test-1\plaque 2/@14 Testo 30/G2_02.tif </t>
  </si>
  <si>
    <t xml:space="preserve"> 35278.3581 </t>
  </si>
  <si>
    <t xml:space="preserve"> 71.4715 </t>
  </si>
  <si>
    <t xml:space="preserve">F:\Données chgh\2020-CHG-CZA-Test-1\plaque 2/@14 Testo 30/G2_03.tif </t>
  </si>
  <si>
    <t xml:space="preserve"> 32488.1017 </t>
  </si>
  <si>
    <t xml:space="preserve"> 69.5326 </t>
  </si>
  <si>
    <t xml:space="preserve">F:\Données chgh\2020-CHG-CZA-Test-1\plaque 2/@14 Testo 30/H2_01.tif </t>
  </si>
  <si>
    <t xml:space="preserve"> 8111.2105 </t>
  </si>
  <si>
    <t xml:space="preserve"> 65.3013 </t>
  </si>
  <si>
    <t xml:space="preserve">F:\Données chgh\2020-CHG-CZA-Test-1\plaque 2/@14 Testo 30/H2_02.tif </t>
  </si>
  <si>
    <t xml:space="preserve"> 2811.8863 </t>
  </si>
  <si>
    <t xml:space="preserve"> 63.3077 </t>
  </si>
  <si>
    <t xml:space="preserve">F:\Données chgh\2020-CHG-CZA-Test-1\plaque 2/@14 Testo 30/H2_03.tif </t>
  </si>
  <si>
    <t xml:space="preserve"> 65.7708 </t>
  </si>
  <si>
    <t xml:space="preserve">F:\Données chgh\2020-CHG-CZA-Test-1\plaque 2/@14 Testo 30/ </t>
  </si>
  <si>
    <t xml:space="preserve"> 66.0449 </t>
  </si>
  <si>
    <t xml:space="preserve"> 2.4689 </t>
  </si>
  <si>
    <t xml:space="preserve"> 847320.542 </t>
  </si>
  <si>
    <t xml:space="preserve"> 828239.924 </t>
  </si>
  <si>
    <t>F:\Données chgh\2020-CHG-CZA-Test-1\plaque 2/@15 Testo + EE2/A3_01- exclu.tif</t>
  </si>
  <si>
    <t xml:space="preserve">F:\Données chgh\2020-CHG-CZA-Test-1\plaque 2/@15 Testo + EE2/A3_02.tif </t>
  </si>
  <si>
    <t xml:space="preserve"> 25220.4571 </t>
  </si>
  <si>
    <t xml:space="preserve"> 72.9571 </t>
  </si>
  <si>
    <t xml:space="preserve">F:\Données chgh\2020-CHG-CZA-Test-1\plaque 2/@15 Testo + EE2/A3_03.tif </t>
  </si>
  <si>
    <t xml:space="preserve"> 23619.8449 </t>
  </si>
  <si>
    <t xml:space="preserve"> 71.8709 </t>
  </si>
  <si>
    <t xml:space="preserve">F:\Données chgh\2020-CHG-CZA-Test-1\plaque 2/@15 Testo + EE2/B3_01.tif </t>
  </si>
  <si>
    <t xml:space="preserve"> 28962.4289 </t>
  </si>
  <si>
    <t xml:space="preserve"> 66.8686 </t>
  </si>
  <si>
    <t>F:\Données chgh\2020-CHG-CZA-Test-1\plaque 2/@15 Testo + EE2/B3_02- exclu.tif</t>
  </si>
  <si>
    <t xml:space="preserve">F:\Données chgh\2020-CHG-CZA-Test-1\plaque 2/@15 Testo + EE2/B3_03.tif </t>
  </si>
  <si>
    <t xml:space="preserve"> 21629.8946 </t>
  </si>
  <si>
    <t xml:space="preserve"> 67.006 </t>
  </si>
  <si>
    <t xml:space="preserve">F:\Données chgh\2020-CHG-CZA-Test-1\plaque 2/@15 Testo + EE2/C3_01.tif </t>
  </si>
  <si>
    <t xml:space="preserve"> 55199.4911 </t>
  </si>
  <si>
    <t xml:space="preserve"> 81.9083 </t>
  </si>
  <si>
    <t xml:space="preserve">F:\Données chgh\2020-CHG-CZA-Test-1\plaque 2/@15 Testo + EE2/C3_02.tif </t>
  </si>
  <si>
    <t xml:space="preserve"> 50808.6225 </t>
  </si>
  <si>
    <t xml:space="preserve"> 85.9323 </t>
  </si>
  <si>
    <t xml:space="preserve">F:\Données chgh\2020-CHG-CZA-Test-1\plaque 2/@15 Testo + EE2/C3_03.tif </t>
  </si>
  <si>
    <t xml:space="preserve"> 54377.5551 </t>
  </si>
  <si>
    <t xml:space="preserve"> 77.0453 </t>
  </si>
  <si>
    <t xml:space="preserve">F:\Données chgh\2020-CHG-CZA-Test-1\plaque 2/@15 Testo + EE2/D3_01.tif </t>
  </si>
  <si>
    <t xml:space="preserve"> 47888.5867 </t>
  </si>
  <si>
    <t xml:space="preserve"> 83.7877 </t>
  </si>
  <si>
    <t xml:space="preserve">F:\Données chgh\2020-CHG-CZA-Test-1\plaque 2/@15 Testo + EE2/D3_02.tif </t>
  </si>
  <si>
    <t xml:space="preserve"> 80.4968 </t>
  </si>
  <si>
    <t xml:space="preserve">F:\Données chgh\2020-CHG-CZA-Test-1\plaque 2/@15 Testo + EE2/D3_03.tif </t>
  </si>
  <si>
    <t xml:space="preserve"> 47239.6899 </t>
  </si>
  <si>
    <t xml:space="preserve"> 72.6122 </t>
  </si>
  <si>
    <t xml:space="preserve">F:\Données chgh\2020-CHG-CZA-Test-1\plaque 2/@15 Testo + EE2/E3_01.tif </t>
  </si>
  <si>
    <t xml:space="preserve"> 23446.8058 </t>
  </si>
  <si>
    <t xml:space="preserve"> 73.4926 </t>
  </si>
  <si>
    <t xml:space="preserve">F:\Données chgh\2020-CHG-CZA-Test-1\plaque 2/@15 Testo + EE2/E3_02.tif </t>
  </si>
  <si>
    <t xml:space="preserve"> 25285.3468 </t>
  </si>
  <si>
    <t xml:space="preserve"> 71.2438 </t>
  </si>
  <si>
    <t xml:space="preserve">F:\Données chgh\2020-CHG-CZA-Test-1\plaque 2/@15 Testo + EE2/E3_03.tif </t>
  </si>
  <si>
    <t xml:space="preserve"> 69.9677 </t>
  </si>
  <si>
    <t xml:space="preserve">F:\Données chgh\2020-CHG-CZA-Test-1\plaque 2/@15 Testo + EE2/F3_01.tif </t>
  </si>
  <si>
    <t xml:space="preserve"> 56518.9147 </t>
  </si>
  <si>
    <t xml:space="preserve"> 76.9591 </t>
  </si>
  <si>
    <t xml:space="preserve">F:\Données chgh\2020-CHG-CZA-Test-1\plaque 2/@15 Testo + EE2/F3_02.tif </t>
  </si>
  <si>
    <t xml:space="preserve"> 59893.1782 </t>
  </si>
  <si>
    <t xml:space="preserve"> 80.6804 </t>
  </si>
  <si>
    <t xml:space="preserve">F:\Données chgh\2020-CHG-CZA-Test-1\plaque 2/@15 Testo + EE2/F3_03.tif </t>
  </si>
  <si>
    <t xml:space="preserve"> 58141.1568 </t>
  </si>
  <si>
    <t xml:space="preserve"> 74.8289 </t>
  </si>
  <si>
    <t xml:space="preserve">F:\Données chgh\2020-CHG-CZA-Test-1\plaque 2/@15 Testo + EE2/G3_01.tif </t>
  </si>
  <si>
    <t xml:space="preserve"> 28659.6104 </t>
  </si>
  <si>
    <t xml:space="preserve"> 72.6309 </t>
  </si>
  <si>
    <t xml:space="preserve">F:\Données chgh\2020-CHG-CZA-Test-1\plaque 2/@15 Testo + EE2/G3_02.tif </t>
  </si>
  <si>
    <t xml:space="preserve"> 13929.6521 </t>
  </si>
  <si>
    <t xml:space="preserve"> 66.0217 </t>
  </si>
  <si>
    <t xml:space="preserve">F:\Données chgh\2020-CHG-CZA-Test-1\plaque 2/@15 Testo + EE2/G3_03.tif </t>
  </si>
  <si>
    <t xml:space="preserve"> 31558.0163 </t>
  </si>
  <si>
    <t xml:space="preserve"> 76.244 </t>
  </si>
  <si>
    <t xml:space="preserve">F:\Données chgh\2020-CHG-CZA-Test-1\plaque 2/@15 Testo + EE2/H3_01.tif </t>
  </si>
  <si>
    <t xml:space="preserve"> 22646.4997 </t>
  </si>
  <si>
    <t xml:space="preserve"> 67.5883 </t>
  </si>
  <si>
    <t xml:space="preserve">F:\Données chgh\2020-CHG-CZA-Test-1\plaque 2/@15 Testo + EE2/H3_02.tif </t>
  </si>
  <si>
    <t xml:space="preserve"> 17174.1363 </t>
  </si>
  <si>
    <t xml:space="preserve"> 66.573 </t>
  </si>
  <si>
    <t xml:space="preserve">F:\Données chgh\2020-CHG-CZA-Test-1\plaque 2/@15 Testo + EE2/H3_03.tif </t>
  </si>
  <si>
    <t xml:space="preserve"> 17065.9869 </t>
  </si>
  <si>
    <t xml:space="preserve"> 66.398 </t>
  </si>
  <si>
    <t xml:space="preserve">F:\Données chgh\2020-CHG-CZA-Test-1\plaque 2/@15 Testo + EE2/ </t>
  </si>
  <si>
    <t xml:space="preserve"> 73.0775 </t>
  </si>
  <si>
    <t xml:space="preserve"> 6.2278 </t>
  </si>
  <si>
    <t xml:space="preserve"> 2498803.5 </t>
  </si>
  <si>
    <t xml:space="preserve"> 1487510.69 </t>
  </si>
  <si>
    <t xml:space="preserve">F:\Données chgh\2020-CHG-CZA-Test-1\plaque 2/@16 Testo + FAD/A4_01.tif </t>
  </si>
  <si>
    <t xml:space="preserve"> 63.95 </t>
  </si>
  <si>
    <t xml:space="preserve">F:\Données chgh\2020-CHG-CZA-Test-1\plaque 2/@16 Testo + FAD/A4_02.tif </t>
  </si>
  <si>
    <t xml:space="preserve"> 151.4093 </t>
  </si>
  <si>
    <t xml:space="preserve">F:\Données chgh\2020-CHG-CZA-Test-1\plaque 2/@16 Testo + FAD/A4_03.tif </t>
  </si>
  <si>
    <t xml:space="preserve"> 64.6 </t>
  </si>
  <si>
    <t>F:\Données chgh\2020-CHG-CZA-Test-1\plaque 2/@16 Testo + FAD/B4_01- exclu.tif</t>
  </si>
  <si>
    <t>F:\Données chgh\2020-CHG-CZA-Test-1\plaque 2/@16 Testo + FAD/B4_02- exclu.tif</t>
  </si>
  <si>
    <t xml:space="preserve">F:\Données chgh\2020-CHG-CZA-Test-1\plaque 2/@16 Testo + FAD/B4_03.tif </t>
  </si>
  <si>
    <t xml:space="preserve"> 64.8359 </t>
  </si>
  <si>
    <t xml:space="preserve">F:\Données chgh\2020-CHG-CZA-Test-1\plaque 2/@16 Testo + FAD/C4_01.tif </t>
  </si>
  <si>
    <t xml:space="preserve"> 4607.1676 </t>
  </si>
  <si>
    <t xml:space="preserve"> 67.1831 </t>
  </si>
  <si>
    <t xml:space="preserve">F:\Données chgh\2020-CHG-CZA-Test-1\plaque 2/@16 Testo + FAD/C4_02.tif </t>
  </si>
  <si>
    <t xml:space="preserve"> 3244.4842 </t>
  </si>
  <si>
    <t xml:space="preserve"> 70.4267 </t>
  </si>
  <si>
    <t xml:space="preserve">F:\Données chgh\2020-CHG-CZA-Test-1\plaque 2/@16 Testo + FAD/C4_03.tif </t>
  </si>
  <si>
    <t xml:space="preserve"> 65.8776 </t>
  </si>
  <si>
    <t xml:space="preserve">F:\Données chgh\2020-CHG-CZA-Test-1\plaque 2/@16 Testo + FAD/D4_01.tif </t>
  </si>
  <si>
    <t xml:space="preserve"> 6835.0467 </t>
  </si>
  <si>
    <t xml:space="preserve"> 68.1772 </t>
  </si>
  <si>
    <t xml:space="preserve">F:\Données chgh\2020-CHG-CZA-Test-1\plaque 2/@16 Testo + FAD/D4_02.tif </t>
  </si>
  <si>
    <t xml:space="preserve"> 7808.392 </t>
  </si>
  <si>
    <t xml:space="preserve"> 73.3241 </t>
  </si>
  <si>
    <t xml:space="preserve">F:\Données chgh\2020-CHG-CZA-Test-1\plaque 2/@16 Testo + FAD/D4_03.tif </t>
  </si>
  <si>
    <t xml:space="preserve"> 8240.9899 </t>
  </si>
  <si>
    <t xml:space="preserve"> 69.1391 </t>
  </si>
  <si>
    <t xml:space="preserve">F:\Données chgh\2020-CHG-CZA-Test-1\plaque 2/@16 Testo + FAD/E4_01.tif </t>
  </si>
  <si>
    <t xml:space="preserve"> 64.8889 </t>
  </si>
  <si>
    <t xml:space="preserve">F:\Données chgh\2020-CHG-CZA-Test-1\plaque 2/@16 Testo + FAD/E4_02.tif </t>
  </si>
  <si>
    <t xml:space="preserve"> 1254.5339 </t>
  </si>
  <si>
    <t xml:space="preserve"> 63.7931 </t>
  </si>
  <si>
    <t>F:\Données chgh\2020-CHG-CZA-Test-1\plaque 2/@16 Testo + FAD/E4_03- exclu.tif</t>
  </si>
  <si>
    <t xml:space="preserve">F:\Données chgh\2020-CHG-CZA-Test-1\plaque 2/@16 Testo + FAD/F4_01.tif </t>
  </si>
  <si>
    <t xml:space="preserve"> 64.5385 </t>
  </si>
  <si>
    <t xml:space="preserve">F:\Données chgh\2020-CHG-CZA-Test-1\plaque 2/@16 Testo + FAD/F4_02.tif </t>
  </si>
  <si>
    <t xml:space="preserve"> 69.4024 </t>
  </si>
  <si>
    <t>F:\Données chgh\2020-CHG-CZA-Test-1\plaque 2/@16 Testo + FAD/F4_03- exclu.tif</t>
  </si>
  <si>
    <t xml:space="preserve">F:\Données chgh\2020-CHG-CZA-Test-1\plaque 2/@16 Testo + FAD/G4_01.tif </t>
  </si>
  <si>
    <t xml:space="preserve"> 9733.4526 </t>
  </si>
  <si>
    <t xml:space="preserve"> 68.0267 </t>
  </si>
  <si>
    <t xml:space="preserve">F:\Données chgh\2020-CHG-CZA-Test-1\plaque 2/@16 Testo + FAD/G4_02.tif </t>
  </si>
  <si>
    <t xml:space="preserve"> 67.886 </t>
  </si>
  <si>
    <t xml:space="preserve">F:\Données chgh\2020-CHG-CZA-Test-1\plaque 2/@16 Testo + FAD/G4_03.tif </t>
  </si>
  <si>
    <t xml:space="preserve"> 2941.6657 </t>
  </si>
  <si>
    <t xml:space="preserve"> 64.2426 </t>
  </si>
  <si>
    <t xml:space="preserve">F:\Données chgh\2020-CHG-CZA-Test-1\plaque 2/@16 Testo + FAD/H4_01.tif </t>
  </si>
  <si>
    <t xml:space="preserve"> 973.3453 </t>
  </si>
  <si>
    <t xml:space="preserve"> 63.5111 </t>
  </si>
  <si>
    <t>F:\Données chgh\2020-CHG-CZA-Test-1\plaque 2/@16 Testo + FAD/H4_02- exclu.tif</t>
  </si>
  <si>
    <t xml:space="preserve">F:\Données chgh\2020-CHG-CZA-Test-1\plaque 2/@16 Testo + FAD/H4_03.tif </t>
  </si>
  <si>
    <t xml:space="preserve"> 3785.2316 </t>
  </si>
  <si>
    <t xml:space="preserve"> 70.7029 </t>
  </si>
  <si>
    <t xml:space="preserve">F:\Données chgh\2020-CHG-CZA-Test-1\plaque 2/@16 Testo + FAD/ </t>
  </si>
  <si>
    <t xml:space="preserve"> 66.1834 </t>
  </si>
  <si>
    <t xml:space="preserve"> 2.8429 </t>
  </si>
  <si>
    <t xml:space="preserve"> 208516.583 </t>
  </si>
  <si>
    <t xml:space="preserve"> 209498.477 </t>
  </si>
  <si>
    <t xml:space="preserve">F:\Données chgh\2020-CHG-CZA-Test-1\plaque 2/@17 Testo + Pro 12/A5_01.tif </t>
  </si>
  <si>
    <t xml:space="preserve"> 4109.68 </t>
  </si>
  <si>
    <t xml:space="preserve"> 64.0368 </t>
  </si>
  <si>
    <t>F:\Données chgh\2020-CHG-CZA-Test-1\plaque 2/@17 Testo + Pro 12/A5_02- exclu.tif</t>
  </si>
  <si>
    <t>F:\Données chgh\2020-CHG-CZA-Test-1\plaque 2/@17 Testo + Pro 12/A5_03- exclu.tif</t>
  </si>
  <si>
    <t xml:space="preserve">F:\Données chgh\2020-CHG-CZA-Test-1\plaque 2/@17 Testo + Pro 12/B5_01.tif </t>
  </si>
  <si>
    <t xml:space="preserve"> 52928.3522 </t>
  </si>
  <si>
    <t xml:space="preserve"> 72.7908 </t>
  </si>
  <si>
    <t xml:space="preserve">F:\Données chgh\2020-CHG-CZA-Test-1\plaque 2/@17 Testo + Pro 12/B5_02.tif </t>
  </si>
  <si>
    <t xml:space="preserve"> 72.092 </t>
  </si>
  <si>
    <t xml:space="preserve">F:\Données chgh\2020-CHG-CZA-Test-1\plaque 2/@17 Testo + Pro 12/B5_03.tif </t>
  </si>
  <si>
    <t xml:space="preserve"> 47996.7362 </t>
  </si>
  <si>
    <t xml:space="preserve"> 73.6706 </t>
  </si>
  <si>
    <t xml:space="preserve">F:\Données chgh\2020-CHG-CZA-Test-1\plaque 2/@17 Testo + Pro 12/C5_01.tif </t>
  </si>
  <si>
    <t xml:space="preserve"> 34694.351 </t>
  </si>
  <si>
    <t xml:space="preserve"> 68.8959 </t>
  </si>
  <si>
    <t xml:space="preserve">F:\Données chgh\2020-CHG-CZA-Test-1\plaque 2/@17 Testo + Pro 12/C5_02.tif </t>
  </si>
  <si>
    <t xml:space="preserve"> 23944.2934 </t>
  </si>
  <si>
    <t xml:space="preserve"> 67.2349 </t>
  </si>
  <si>
    <t xml:space="preserve">F:\Données chgh\2020-CHG-CZA-Test-1\plaque 2/@17 Testo + Pro 12/C5_03.tif </t>
  </si>
  <si>
    <t xml:space="preserve"> 20310.4711 </t>
  </si>
  <si>
    <t xml:space="preserve"> 66.3024 </t>
  </si>
  <si>
    <t xml:space="preserve">F:\Données chgh\2020-CHG-CZA-Test-1\plaque 2/@17 Testo + Pro 12/D5_01.tif </t>
  </si>
  <si>
    <t xml:space="preserve"> 70015.9689 </t>
  </si>
  <si>
    <t xml:space="preserve"> 73.2654 </t>
  </si>
  <si>
    <t xml:space="preserve">F:\Données chgh\2020-CHG-CZA-Test-1\plaque 2/@17 Testo + Pro 12/D5_02.tif </t>
  </si>
  <si>
    <t xml:space="preserve"> 63375.5913 </t>
  </si>
  <si>
    <t xml:space="preserve"> 74.285 </t>
  </si>
  <si>
    <t xml:space="preserve">F:\Données chgh\2020-CHG-CZA-Test-1\plaque 2/@17 Testo + Pro 12/D5_03.tif </t>
  </si>
  <si>
    <t xml:space="preserve"> 53555.6191 </t>
  </si>
  <si>
    <t xml:space="preserve"> 72.42 </t>
  </si>
  <si>
    <t xml:space="preserve">F:\Données chgh\2020-CHG-CZA-Test-1\plaque 2/@17 Testo + Pro 12/E5_01.tif </t>
  </si>
  <si>
    <t xml:space="preserve"> 9949.7515 </t>
  </si>
  <si>
    <t xml:space="preserve"> 65.2739 </t>
  </si>
  <si>
    <t xml:space="preserve">F:\Données chgh\2020-CHG-CZA-Test-1\plaque 2/@17 Testo + Pro 12/E5_02.tif </t>
  </si>
  <si>
    <t xml:space="preserve"> 64.1413 </t>
  </si>
  <si>
    <t xml:space="preserve">F:\Données chgh\2020-CHG-CZA-Test-1\plaque 2/@17 Testo + Pro 12/E5_03.tif </t>
  </si>
  <si>
    <t xml:space="preserve"> 65.6141 </t>
  </si>
  <si>
    <t xml:space="preserve">F:\Données chgh\2020-CHG-CZA-Test-1\plaque 2/@17 Testo + Pro 12/F5_01.tif </t>
  </si>
  <si>
    <t xml:space="preserve"> 14037.8016 </t>
  </si>
  <si>
    <t xml:space="preserve"> 66.6302 </t>
  </si>
  <si>
    <t xml:space="preserve">F:\Données chgh\2020-CHG-CZA-Test-1\plaque 2/@17 Testo + Pro 12/F5_02.tif </t>
  </si>
  <si>
    <t xml:space="preserve"> 14859.7376 </t>
  </si>
  <si>
    <t xml:space="preserve"> 67.7817 </t>
  </si>
  <si>
    <t xml:space="preserve">F:\Données chgh\2020-CHG-CZA-Test-1\plaque 2/@17 Testo + Pro 12/F5_03.tif </t>
  </si>
  <si>
    <t xml:space="preserve"> 18234.0012 </t>
  </si>
  <si>
    <t xml:space="preserve"> 68.3049 </t>
  </si>
  <si>
    <t xml:space="preserve">F:\Données chgh\2020-CHG-CZA-Test-1\plaque 2/@17 Testo + Pro 12/G5_01.tif </t>
  </si>
  <si>
    <t xml:space="preserve"> 25306.9767 </t>
  </si>
  <si>
    <t xml:space="preserve"> 68.3051 </t>
  </si>
  <si>
    <t xml:space="preserve">F:\Données chgh\2020-CHG-CZA-Test-1\plaque 2/@17 Testo + Pro 12/G5_02.tif </t>
  </si>
  <si>
    <t xml:space="preserve"> 22970.9481 </t>
  </si>
  <si>
    <t xml:space="preserve"> 66.5885 </t>
  </si>
  <si>
    <t xml:space="preserve">F:\Données chgh\2020-CHG-CZA-Test-1\plaque 2/@17 Testo + Pro 12/G5_03.tif </t>
  </si>
  <si>
    <t xml:space="preserve"> 16006.122 </t>
  </si>
  <si>
    <t xml:space="preserve"> 66.7459 </t>
  </si>
  <si>
    <t xml:space="preserve">F:\Données chgh\2020-CHG-CZA-Test-1\plaque 2/@17 Testo + Pro 12/H5_01.tif </t>
  </si>
  <si>
    <t xml:space="preserve"> 12134.3709 </t>
  </si>
  <si>
    <t xml:space="preserve"> 66.1818 </t>
  </si>
  <si>
    <t xml:space="preserve">F:\Données chgh\2020-CHG-CZA-Test-1\plaque 2/@17 Testo + Pro 12/H5_02.tif </t>
  </si>
  <si>
    <t xml:space="preserve"> 65.0278 </t>
  </si>
  <si>
    <t xml:space="preserve">F:\Données chgh\2020-CHG-CZA-Test-1\plaque 2/@17 Testo + Pro 12/H5_03.tif </t>
  </si>
  <si>
    <t xml:space="preserve"> 63.5759 </t>
  </si>
  <si>
    <t xml:space="preserve">F:\Données chgh\2020-CHG-CZA-Test-1\plaque 2/@17 Testo + Pro 12/ </t>
  </si>
  <si>
    <t xml:space="preserve"> 67.8078 </t>
  </si>
  <si>
    <t xml:space="preserve"> 3.4574 </t>
  </si>
  <si>
    <t xml:space="preserve"> 1727775.25 </t>
  </si>
  <si>
    <t xml:space="preserve"> 1584002.99 </t>
  </si>
  <si>
    <t xml:space="preserve">F:\Données chgh\2020-CHG-CZA-Test-1\plaque 2/@18  Testo + Pro 37/A6_01.tif </t>
  </si>
  <si>
    <t xml:space="preserve"> 56735.2136 </t>
  </si>
  <si>
    <t xml:space="preserve"> 73.3732 </t>
  </si>
  <si>
    <t xml:space="preserve">F:\Données chgh\2020-CHG-CZA-Test-1\plaque 2/@18  Testo + Pro 37/A6_02.tif </t>
  </si>
  <si>
    <t xml:space="preserve"> 58184.4166 </t>
  </si>
  <si>
    <t xml:space="preserve"> 72.6833 </t>
  </si>
  <si>
    <t xml:space="preserve">F:\Données chgh\2020-CHG-CZA-Test-1\plaque 2/@18  Testo + Pro 37/A6_03.tif </t>
  </si>
  <si>
    <t xml:space="preserve"> 52560.6439 </t>
  </si>
  <si>
    <t xml:space="preserve"> 73.0938 </t>
  </si>
  <si>
    <t xml:space="preserve">F:\Données chgh\2020-CHG-CZA-Test-1\plaque 2/@18  Testo + Pro 37/B6_01.tif </t>
  </si>
  <si>
    <t xml:space="preserve"> 39388.0381 </t>
  </si>
  <si>
    <t xml:space="preserve"> 70.7155 </t>
  </si>
  <si>
    <t xml:space="preserve">F:\Données chgh\2020-CHG-CZA-Test-1\plaque 2/@18  Testo + Pro 37/B6_02.tif </t>
  </si>
  <si>
    <t xml:space="preserve"> 34261.7531 </t>
  </si>
  <si>
    <t xml:space="preserve"> 70.7449 </t>
  </si>
  <si>
    <t xml:space="preserve">F:\Données chgh\2020-CHG-CZA-Test-1\plaque 2/@18  Testo + Pro 37/B6_03.tif </t>
  </si>
  <si>
    <t xml:space="preserve"> 34715.9809 </t>
  </si>
  <si>
    <t xml:space="preserve"> 70.99 </t>
  </si>
  <si>
    <t xml:space="preserve">F:\Données chgh\2020-CHG-CZA-Test-1\plaque 2/@18  Testo + Pro 37/C6_01.tif </t>
  </si>
  <si>
    <t xml:space="preserve"> 68.1647 </t>
  </si>
  <si>
    <t xml:space="preserve">F:\Données chgh\2020-CHG-CZA-Test-1\plaque 2/@18  Testo + Pro 37/C6_02.tif </t>
  </si>
  <si>
    <t xml:space="preserve"> 68.9951 </t>
  </si>
  <si>
    <t xml:space="preserve">F:\Données chgh\2020-CHG-CZA-Test-1\plaque 2/@18  Testo + Pro 37/C6_03.tif </t>
  </si>
  <si>
    <t xml:space="preserve"> 4628.7975 </t>
  </si>
  <si>
    <t xml:space="preserve"> 67.3645 </t>
  </si>
  <si>
    <t xml:space="preserve">F:\Données chgh\2020-CHG-CZA-Test-1\plaque 2/@18  Testo + Pro 37/D6_01.tif </t>
  </si>
  <si>
    <t xml:space="preserve"> 2336.0286 </t>
  </si>
  <si>
    <t xml:space="preserve"> 66.6852 </t>
  </si>
  <si>
    <t xml:space="preserve">F:\Données chgh\2020-CHG-CZA-Test-1\plaque 2/@18  Testo + Pro 37/D6_02.tif </t>
  </si>
  <si>
    <t xml:space="preserve"> 735.4164 </t>
  </si>
  <si>
    <t xml:space="preserve"> 66.2647 </t>
  </si>
  <si>
    <t xml:space="preserve">F:\Données chgh\2020-CHG-CZA-Test-1\plaque 2/@18  Testo + Pro 37/D6_03.tif </t>
  </si>
  <si>
    <t xml:space="preserve"> 1492.4627 </t>
  </si>
  <si>
    <t xml:space="preserve"> 67.2029 </t>
  </si>
  <si>
    <t xml:space="preserve">F:\Données chgh\2020-CHG-CZA-Test-1\plaque 2/@18  Testo + Pro 37/E6_01.tif </t>
  </si>
  <si>
    <t xml:space="preserve"> 10079.5309 </t>
  </si>
  <si>
    <t xml:space="preserve"> 65.0558 </t>
  </si>
  <si>
    <t xml:space="preserve">F:\Données chgh\2020-CHG-CZA-Test-1\plaque 2/@18  Testo + Pro 37/E6_02.tif </t>
  </si>
  <si>
    <t xml:space="preserve"> 10923.0968 </t>
  </si>
  <si>
    <t xml:space="preserve"> 64.9426 </t>
  </si>
  <si>
    <t>F:\Données chgh\2020-CHG-CZA-Test-1\plaque 2/@18  Testo + Pro 37/E6_03- exclu.tif</t>
  </si>
  <si>
    <t xml:space="preserve">F:\Données chgh\2020-CHG-CZA-Test-1\plaque 2/@18  Testo + Pro 37/F6_01.tif </t>
  </si>
  <si>
    <t xml:space="preserve"> 18536.8197 </t>
  </si>
  <si>
    <t xml:space="preserve"> 66.9137 </t>
  </si>
  <si>
    <t xml:space="preserve">F:\Données chgh\2020-CHG-CZA-Test-1\plaque 2/@18  Testo + Pro 37/F6_02.tif </t>
  </si>
  <si>
    <t xml:space="preserve"> 13908.0222 </t>
  </si>
  <si>
    <t xml:space="preserve"> 65.7527 </t>
  </si>
  <si>
    <t xml:space="preserve">F:\Données chgh\2020-CHG-CZA-Test-1\plaque 2/@18  Testo + Pro 37/F6_03.tif </t>
  </si>
  <si>
    <t xml:space="preserve"> 18342.1506 </t>
  </si>
  <si>
    <t xml:space="preserve">F:\Données chgh\2020-CHG-CZA-Test-1\plaque 2/@18  Testo + Pro 37/G6_01.tif </t>
  </si>
  <si>
    <t xml:space="preserve"> 66.4026 </t>
  </si>
  <si>
    <t xml:space="preserve">F:\Données chgh\2020-CHG-CZA-Test-1\plaque 2/@18  Testo + Pro 37/G6_02.tif </t>
  </si>
  <si>
    <t xml:space="preserve"> 5364.2139 </t>
  </si>
  <si>
    <t xml:space="preserve"> 64.6976 </t>
  </si>
  <si>
    <t xml:space="preserve">F:\Données chgh\2020-CHG-CZA-Test-1\plaque 2/@18  Testo + Pro 37/G6_03.tif </t>
  </si>
  <si>
    <t xml:space="preserve"> 2682.1069 </t>
  </si>
  <si>
    <t xml:space="preserve"> 64.629 </t>
  </si>
  <si>
    <t xml:space="preserve">F:\Données chgh\2020-CHG-CZA-Test-1\plaque 2/@18  Testo + Pro 37/H6_01.tif </t>
  </si>
  <si>
    <t xml:space="preserve"> 52452.4945 </t>
  </si>
  <si>
    <t xml:space="preserve"> 71.7414 </t>
  </si>
  <si>
    <t xml:space="preserve">F:\Données chgh\2020-CHG-CZA-Test-1\plaque 2/@18  Testo + Pro 37/H6_02.tif </t>
  </si>
  <si>
    <t xml:space="preserve"> 54939.9324 </t>
  </si>
  <si>
    <t xml:space="preserve"> 72.0386 </t>
  </si>
  <si>
    <t xml:space="preserve">F:\Données chgh\2020-CHG-CZA-Test-1\plaque 2/@18  Testo + Pro 37/H6_03.tif </t>
  </si>
  <si>
    <t xml:space="preserve"> 55848.3879 </t>
  </si>
  <si>
    <t xml:space="preserve"> 71.7293 </t>
  </si>
  <si>
    <t xml:space="preserve">F:\Données chgh\2020-CHG-CZA-Test-1\plaque 2/@18  Testo + Pro 37/ </t>
  </si>
  <si>
    <t xml:space="preserve"> 68.3249 </t>
  </si>
  <si>
    <t xml:space="preserve"> 3.1195 </t>
  </si>
  <si>
    <t xml:space="preserve"> 1590592.25 </t>
  </si>
  <si>
    <t xml:space="preserve"> 1616050.93 </t>
  </si>
  <si>
    <t xml:space="preserve">F:\Données chgh\2020-CHG-CZA-Test-1\plaque 2/@19 Testo + Pro 111/A7_01.tif </t>
  </si>
  <si>
    <t xml:space="preserve"> 17498.5848 </t>
  </si>
  <si>
    <t xml:space="preserve"> 65.8393 </t>
  </si>
  <si>
    <t>F:\Données chgh\2020-CHG-CZA-Test-1\plaque 2/@19 Testo + Pro 111/A7_02- exclu.tif</t>
  </si>
  <si>
    <t xml:space="preserve">F:\Données chgh\2020-CHG-CZA-Test-1\plaque 2/@19 Testo + Pro 111/A7_03.tif </t>
  </si>
  <si>
    <t xml:space="preserve"> 13388.9048 </t>
  </si>
  <si>
    <t xml:space="preserve">F:\Données chgh\2020-CHG-CZA-Test-1\plaque 2/@19 Testo + Pro 111/B7_01.tif </t>
  </si>
  <si>
    <t xml:space="preserve"> 74.4254 </t>
  </si>
  <si>
    <t xml:space="preserve">F:\Données chgh\2020-CHG-CZA-Test-1\plaque 2/@19 Testo + Pro 111/B7_02.tif </t>
  </si>
  <si>
    <t xml:space="preserve"> 25717.9447 </t>
  </si>
  <si>
    <t xml:space="preserve"> 73.7553 </t>
  </si>
  <si>
    <t>F:\Données chgh\2020-CHG-CZA-Test-1\plaque 2/@19 Testo + Pro 111/B7_03- exclu.tif</t>
  </si>
  <si>
    <t>F:\Données chgh\2020-CHG-CZA-Test-1\plaque 2/@19 Testo + Pro 111/C7_01- exclu.tif</t>
  </si>
  <si>
    <t xml:space="preserve">F:\Données chgh\2020-CHG-CZA-Test-1\plaque 2/@19 Testo + Pro 111/C7_02.tif </t>
  </si>
  <si>
    <t xml:space="preserve"> 2725.3667 </t>
  </si>
  <si>
    <t xml:space="preserve"> 66.7857 </t>
  </si>
  <si>
    <t xml:space="preserve">F:\Données chgh\2020-CHG-CZA-Test-1\plaque 2/@19 Testo + Pro 111/C7_03.tif </t>
  </si>
  <si>
    <t xml:space="preserve"> 3309.3739 </t>
  </si>
  <si>
    <t xml:space="preserve"> 67.085 </t>
  </si>
  <si>
    <t xml:space="preserve">F:\Données chgh\2020-CHG-CZA-Test-1\plaque 2/@19 Testo + Pro 111/D7_01.tif </t>
  </si>
  <si>
    <t xml:space="preserve"> 56345.8755 </t>
  </si>
  <si>
    <t xml:space="preserve"> 72.615 </t>
  </si>
  <si>
    <t xml:space="preserve">F:\Données chgh\2020-CHG-CZA-Test-1\plaque 2/@19 Testo + Pro 111/D7_02.tif </t>
  </si>
  <si>
    <t xml:space="preserve"> 54009.8469 </t>
  </si>
  <si>
    <t xml:space="preserve"> 72.5831 </t>
  </si>
  <si>
    <t xml:space="preserve">F:\Données chgh\2020-CHG-CZA-Test-1\plaque 2/@19 Testo + Pro 111/D7_03.tif </t>
  </si>
  <si>
    <t xml:space="preserve"> 56713.5837 </t>
  </si>
  <si>
    <t xml:space="preserve"> 72.6663 </t>
  </si>
  <si>
    <t xml:space="preserve">F:\Données chgh\2020-CHG-CZA-Test-1\plaque 2/@19 Testo + Pro 111/E7_01.tif </t>
  </si>
  <si>
    <t xml:space="preserve"> 65.3487 </t>
  </si>
  <si>
    <t xml:space="preserve">F:\Données chgh\2020-CHG-CZA-Test-1\plaque 2/@19 Testo + Pro 111/E7_02.tif </t>
  </si>
  <si>
    <t xml:space="preserve"> 8803.3671 </t>
  </si>
  <si>
    <t xml:space="preserve"> 65.828 </t>
  </si>
  <si>
    <t xml:space="preserve">F:\Données chgh\2020-CHG-CZA-Test-1\plaque 2/@19 Testo + Pro 111/E7_03.tif </t>
  </si>
  <si>
    <t xml:space="preserve"> 10230.9402 </t>
  </si>
  <si>
    <t xml:space="preserve"> 65.7886 </t>
  </si>
  <si>
    <t xml:space="preserve">F:\Données chgh\2020-CHG-CZA-Test-1\plaque 2/@19 Testo + Pro 111/F7_01.tif </t>
  </si>
  <si>
    <t xml:space="preserve"> 1795.2813 </t>
  </si>
  <si>
    <t xml:space="preserve"> 63.5663 </t>
  </si>
  <si>
    <t xml:space="preserve">F:\Données chgh\2020-CHG-CZA-Test-1\plaque 2/@19 Testo + Pro 111/F7_02.tif </t>
  </si>
  <si>
    <t xml:space="preserve"> 66.7681 </t>
  </si>
  <si>
    <t xml:space="preserve">F:\Données chgh\2020-CHG-CZA-Test-1\plaque 2/@19 Testo + Pro 111/F7_03.tif </t>
  </si>
  <si>
    <t xml:space="preserve"> 1016.605 </t>
  </si>
  <si>
    <t xml:space="preserve"> 66.4043 </t>
  </si>
  <si>
    <t xml:space="preserve">F:\Données chgh\2020-CHG-CZA-Test-1\plaque 2/@19 Testo + Pro 111/G7_01.tif </t>
  </si>
  <si>
    <t xml:space="preserve"> 33288.4078 </t>
  </si>
  <si>
    <t xml:space="preserve"> 67.5835 </t>
  </si>
  <si>
    <t xml:space="preserve">F:\Données chgh\2020-CHG-CZA-Test-1\plaque 2/@19 Testo + Pro 111/G7_02.tif </t>
  </si>
  <si>
    <t xml:space="preserve"> 18580.0795 </t>
  </si>
  <si>
    <t xml:space="preserve"> 65.6275 </t>
  </si>
  <si>
    <t xml:space="preserve">F:\Données chgh\2020-CHG-CZA-Test-1\plaque 2/@19 Testo + Pro 111/G7_03.tif </t>
  </si>
  <si>
    <t xml:space="preserve"> 14902.9974 </t>
  </si>
  <si>
    <t xml:space="preserve"> 65.0552 </t>
  </si>
  <si>
    <t xml:space="preserve">F:\Données chgh\2020-CHG-CZA-Test-1\plaque 2/@19 Testo + Pro 111/H7_01.tif </t>
  </si>
  <si>
    <t xml:space="preserve"> 10555.3886 </t>
  </si>
  <si>
    <t xml:space="preserve"> 79.7848 </t>
  </si>
  <si>
    <t xml:space="preserve">F:\Données chgh\2020-CHG-CZA-Test-1\plaque 2/@19 Testo + Pro 111/H7_02.tif </t>
  </si>
  <si>
    <t xml:space="preserve"> 2746.9966 </t>
  </si>
  <si>
    <t xml:space="preserve"> 63.2835 </t>
  </si>
  <si>
    <t xml:space="preserve">F:\Données chgh\2020-CHG-CZA-Test-1\plaque 2/@19 Testo + Pro 111/H7_03.tif </t>
  </si>
  <si>
    <t xml:space="preserve"> 9646.933 </t>
  </si>
  <si>
    <t xml:space="preserve"> 71.426 </t>
  </si>
  <si>
    <t xml:space="preserve">F:\Données chgh\2020-CHG-CZA-Test-1\plaque 2/@19 Testo + Pro 111/ </t>
  </si>
  <si>
    <t xml:space="preserve"> 68.0248 </t>
  </si>
  <si>
    <t xml:space="preserve"> 4.296 </t>
  </si>
  <si>
    <t xml:space="preserve"> 1145467.88 </t>
  </si>
  <si>
    <t xml:space="preserve"> 1304129.9 </t>
  </si>
  <si>
    <t xml:space="preserve">F:\Données chgh\2020-CHG-CZA-Test-1\plaque 2/@20 Testo + Pro 333/A8_01.tif </t>
  </si>
  <si>
    <t xml:space="preserve"> 65.8 </t>
  </si>
  <si>
    <t xml:space="preserve">F:\Données chgh\2020-CHG-CZA-Test-1\plaque 2/@20 Testo + Pro 333/A8_02.tif </t>
  </si>
  <si>
    <t xml:space="preserve"> 63.3158 </t>
  </si>
  <si>
    <t>F:\Données chgh\2020-CHG-CZA-Test-1\plaque 2/@20 Testo + Pro 333/A8_03- exclu.tif</t>
  </si>
  <si>
    <t xml:space="preserve">F:\Données chgh\2020-CHG-CZA-Test-1\plaque 2/@20 Testo + Pro 333/B8_01.tif </t>
  </si>
  <si>
    <t xml:space="preserve"> 6640.3777 </t>
  </si>
  <si>
    <t xml:space="preserve"> 68.2541 </t>
  </si>
  <si>
    <t xml:space="preserve">F:\Données chgh\2020-CHG-CZA-Test-1\plaque 2/@20 Testo + Pro 333/B8_02.tif </t>
  </si>
  <si>
    <t xml:space="preserve"> 63.129 </t>
  </si>
  <si>
    <t xml:space="preserve">F:\Données chgh\2020-CHG-CZA-Test-1\plaque 2/@20 Testo + Pro 333/B8_03.tif </t>
  </si>
  <si>
    <t xml:space="preserve"> 540.7474 </t>
  </si>
  <si>
    <t xml:space="preserve"> 63.76 </t>
  </si>
  <si>
    <t xml:space="preserve">F:\Données chgh\2020-CHG-CZA-Test-1\plaque 2/@20 Testo + Pro 333/C8_01.tif </t>
  </si>
  <si>
    <t xml:space="preserve"> 72.6047 </t>
  </si>
  <si>
    <t xml:space="preserve">F:\Données chgh\2020-CHG-CZA-Test-1\plaque 2/@20 Testo + Pro 333/C8_02.tif </t>
  </si>
  <si>
    <t xml:space="preserve"> 7873.2816 </t>
  </si>
  <si>
    <t xml:space="preserve"> 72.3544 </t>
  </si>
  <si>
    <t xml:space="preserve">F:\Données chgh\2020-CHG-CZA-Test-1\plaque 2/@20 Testo + Pro 333/C8_03.tif </t>
  </si>
  <si>
    <t xml:space="preserve"> 10403.9793 </t>
  </si>
  <si>
    <t xml:space="preserve"> 74.9459 </t>
  </si>
  <si>
    <t xml:space="preserve">F:\Données chgh\2020-CHG-CZA-Test-1\plaque 2/@20 Testo + Pro 333/D8_01.tif </t>
  </si>
  <si>
    <t xml:space="preserve"> 16741.5384 </t>
  </si>
  <si>
    <t xml:space="preserve"> 66.438 </t>
  </si>
  <si>
    <t xml:space="preserve">F:\Données chgh\2020-CHG-CZA-Test-1\plaque 2/@20 Testo + Pro 333/D8_02.tif </t>
  </si>
  <si>
    <t xml:space="preserve"> 12999.5667 </t>
  </si>
  <si>
    <t xml:space="preserve"> 67.1281 </t>
  </si>
  <si>
    <t xml:space="preserve">F:\Données chgh\2020-CHG-CZA-Test-1\plaque 2/@20 Testo + Pro 333/D8_03.tif </t>
  </si>
  <si>
    <t xml:space="preserve"> 9430.6341 </t>
  </si>
  <si>
    <t xml:space="preserve"> 65.0321 </t>
  </si>
  <si>
    <t xml:space="preserve">F:\Données chgh\2020-CHG-CZA-Test-1\plaque 2/@20 Testo + Pro 333/E8_01.tif </t>
  </si>
  <si>
    <t xml:space="preserve"> 37982.095 </t>
  </si>
  <si>
    <t xml:space="preserve"> 68.2853 </t>
  </si>
  <si>
    <t xml:space="preserve">F:\Données chgh\2020-CHG-CZA-Test-1\plaque 2/@20 Testo + Pro 333/E8_02.tif </t>
  </si>
  <si>
    <t xml:space="preserve"> 34413.1624 </t>
  </si>
  <si>
    <t xml:space="preserve"> 68.5726 </t>
  </si>
  <si>
    <t xml:space="preserve">F:\Données chgh\2020-CHG-CZA-Test-1\plaque 2/@20 Testo + Pro 333/E8_03.tif </t>
  </si>
  <si>
    <t xml:space="preserve"> 34737.6108 </t>
  </si>
  <si>
    <t xml:space="preserve"> 67.9041 </t>
  </si>
  <si>
    <t xml:space="preserve">F:\Données chgh\2020-CHG-CZA-Test-1\plaque 2/@20 Testo + Pro 333/F8_01.tif </t>
  </si>
  <si>
    <t xml:space="preserve"> 2141.3596 </t>
  </si>
  <si>
    <t xml:space="preserve"> 65.9192 </t>
  </si>
  <si>
    <t>F:\Données chgh\2020-CHG-CZA-Test-1\plaque 2/@20 Testo + Pro 333/F8_02- exclu.tif</t>
  </si>
  <si>
    <t>F:\Données chgh\2020-CHG-CZA-Test-1\plaque 2/@20 Testo + Pro 333/F8_03- exclu.tif</t>
  </si>
  <si>
    <t xml:space="preserve">F:\Données chgh\2020-CHG-CZA-Test-1\plaque 2/@20 Testo + Pro 333/G8_01.tif </t>
  </si>
  <si>
    <t xml:space="preserve"> 67.6396 </t>
  </si>
  <si>
    <t xml:space="preserve">F:\Données chgh\2020-CHG-CZA-Test-1\plaque 2/@20 Testo + Pro 333/G8_02.tif </t>
  </si>
  <si>
    <t xml:space="preserve"> 4304.349 </t>
  </si>
  <si>
    <t xml:space="preserve"> 64.3668 </t>
  </si>
  <si>
    <t xml:space="preserve">F:\Données chgh\2020-CHG-CZA-Test-1\plaque 2/@20 Testo + Pro 333/G8_03.tif </t>
  </si>
  <si>
    <t xml:space="preserve"> 10382.3494 </t>
  </si>
  <si>
    <t xml:space="preserve"> 67.2875 </t>
  </si>
  <si>
    <t xml:space="preserve">F:\Données chgh\2020-CHG-CZA-Test-1\plaque 2/@20 Testo + Pro 333/H8_01.tif </t>
  </si>
  <si>
    <t xml:space="preserve"> 1276.1638 </t>
  </si>
  <si>
    <t xml:space="preserve"> 65.2712 </t>
  </si>
  <si>
    <t xml:space="preserve">F:\Données chgh\2020-CHG-CZA-Test-1\plaque 2/@20 Testo + Pro 333/H8_02.tif </t>
  </si>
  <si>
    <t xml:space="preserve"> 62.6667 </t>
  </si>
  <si>
    <t xml:space="preserve">F:\Données chgh\2020-CHG-CZA-Test-1\plaque 2/@20 Testo + Pro 333/H8_03.tif </t>
  </si>
  <si>
    <t xml:space="preserve"> 69.4571 </t>
  </si>
  <si>
    <t xml:space="preserve">F:\Données chgh\2020-CHG-CZA-Test-1\plaque 2/@20 Testo + Pro 333/ </t>
  </si>
  <si>
    <t xml:space="preserve"> 66.674 </t>
  </si>
  <si>
    <t xml:space="preserve"> 3.2873 </t>
  </si>
  <si>
    <t xml:space="preserve"> 604170.792 </t>
  </si>
  <si>
    <t xml:space="preserve"> 783698.787 </t>
  </si>
  <si>
    <t>F:\Données chgh\2020-CHG-CZA-Test-1\plaque 2/@21 Testo +  Pro 1000/A9_01- exclu.tif</t>
  </si>
  <si>
    <t>F:\Données chgh\2020-CHG-CZA-Test-1\plaque 2/@21 Testo +  Pro 1000/A9_02- exclu.tif</t>
  </si>
  <si>
    <t>F:\Données chgh\2020-CHG-CZA-Test-1\plaque 2/@21 Testo +  Pro 1000/A9_03- exclu.tif</t>
  </si>
  <si>
    <t xml:space="preserve">F:\Données chgh\2020-CHG-CZA-Test-1\plaque 2/@21 Testo +  Pro 1000/B9_01.tif </t>
  </si>
  <si>
    <t xml:space="preserve"> 65.1429 </t>
  </si>
  <si>
    <t xml:space="preserve">F:\Données chgh\2020-CHG-CZA-Test-1\plaque 2/@21 Testo +  Pro 1000/B9_02.tif </t>
  </si>
  <si>
    <t xml:space="preserve">F:\Données chgh\2020-CHG-CZA-Test-1\plaque 2/@21 Testo +  Pro 1000/B9_03.tif </t>
  </si>
  <si>
    <t xml:space="preserve"> 3352.6337 </t>
  </si>
  <si>
    <t xml:space="preserve"> 67.0452 </t>
  </si>
  <si>
    <t xml:space="preserve">F:\Données chgh\2020-CHG-CZA-Test-1\plaque 2/@21 Testo +  Pro 1000/C9_01.tif </t>
  </si>
  <si>
    <t xml:space="preserve"> 5385.8438 </t>
  </si>
  <si>
    <t xml:space="preserve"> 67.6908 </t>
  </si>
  <si>
    <t xml:space="preserve">F:\Données chgh\2020-CHG-CZA-Test-1\plaque 2/@21 Testo +  Pro 1000/C9_02.tif </t>
  </si>
  <si>
    <t xml:space="preserve"> 8327.5094 </t>
  </si>
  <si>
    <t xml:space="preserve"> 67.5091 </t>
  </si>
  <si>
    <t xml:space="preserve">F:\Données chgh\2020-CHG-CZA-Test-1\plaque 2/@21 Testo +  Pro 1000/C9_03.tif </t>
  </si>
  <si>
    <t xml:space="preserve"> 63.3923 </t>
  </si>
  <si>
    <t xml:space="preserve">F:\Données chgh\2020-CHG-CZA-Test-1\plaque 2/@21 Testo +  Pro 1000/D9_01.tif </t>
  </si>
  <si>
    <t xml:space="preserve"> 65.7391 </t>
  </si>
  <si>
    <t xml:space="preserve">F:\Données chgh\2020-CHG-CZA-Test-1\plaque 2/@21 Testo +  Pro 1000/D9_02.tif </t>
  </si>
  <si>
    <t xml:space="preserve"> 1752.0215 </t>
  </si>
  <si>
    <t xml:space="preserve"> 65.9753 </t>
  </si>
  <si>
    <t xml:space="preserve">F:\Données chgh\2020-CHG-CZA-Test-1\plaque 2/@21 Testo +  Pro 1000/D9_03.tif </t>
  </si>
  <si>
    <t xml:space="preserve"> 2790.2564 </t>
  </si>
  <si>
    <t xml:space="preserve"> 64.7287 </t>
  </si>
  <si>
    <t xml:space="preserve">F:\Données chgh\2020-CHG-CZA-Test-1\plaque 2/@21 Testo +  Pro 1000/E9_01.tif </t>
  </si>
  <si>
    <t xml:space="preserve"> 11571.9936 </t>
  </si>
  <si>
    <t xml:space="preserve"> 65.7645 </t>
  </si>
  <si>
    <t xml:space="preserve">F:\Données chgh\2020-CHG-CZA-Test-1\plaque 2/@21 Testo +  Pro 1000/E9_02.tif </t>
  </si>
  <si>
    <t xml:space="preserve"> 65.2692 </t>
  </si>
  <si>
    <t xml:space="preserve">F:\Données chgh\2020-CHG-CZA-Test-1\plaque 2/@21 Testo +  Pro 1000/E9_03.tif </t>
  </si>
  <si>
    <t xml:space="preserve"> 11009.6164 </t>
  </si>
  <si>
    <t xml:space="preserve"> 65.9843 </t>
  </si>
  <si>
    <t xml:space="preserve">F:\Données chgh\2020-CHG-CZA-Test-1\plaque 2/@21 Testo +  Pro 1000/F9_01.tif </t>
  </si>
  <si>
    <t xml:space="preserve"> 1449.2029 </t>
  </si>
  <si>
    <t xml:space="preserve"> 64.2836 </t>
  </si>
  <si>
    <t>F:\Données chgh\2020-CHG-CZA-Test-1\plaque 2/@21 Testo +  Pro 1000/F9_02- exclu.tif</t>
  </si>
  <si>
    <t xml:space="preserve">F:\Données chgh\2020-CHG-CZA-Test-1\plaque 2/@21 Testo +  Pro 1000/F9_03.tif </t>
  </si>
  <si>
    <t xml:space="preserve"> 5039.7654 </t>
  </si>
  <si>
    <t xml:space="preserve"> 69.6438 </t>
  </si>
  <si>
    <t xml:space="preserve">F:\Données chgh\2020-CHG-CZA-Test-1\plaque 2/@21 Testo +  Pro 1000/G9_01.tif </t>
  </si>
  <si>
    <t xml:space="preserve"> 10057.901 </t>
  </si>
  <si>
    <t xml:space="preserve"> 68.0882 </t>
  </si>
  <si>
    <t xml:space="preserve">F:\Données chgh\2020-CHG-CZA-Test-1\plaque 2/@21 Testo +  Pro 1000/G9_02.tif </t>
  </si>
  <si>
    <t xml:space="preserve"> 8478.9187 </t>
  </si>
  <si>
    <t xml:space="preserve"> 65.8214 </t>
  </si>
  <si>
    <t xml:space="preserve">F:\Données chgh\2020-CHG-CZA-Test-1\plaque 2/@21 Testo +  Pro 1000/G9_03.tif </t>
  </si>
  <si>
    <t xml:space="preserve"> 13518.6841 </t>
  </si>
  <si>
    <t xml:space="preserve"> 70.1776 </t>
  </si>
  <si>
    <t xml:space="preserve">F:\Données chgh\2020-CHG-CZA-Test-1\plaque 2/@21 Testo +  Pro 1000/H9_01.tif </t>
  </si>
  <si>
    <t xml:space="preserve"> 5710.2922 </t>
  </si>
  <si>
    <t xml:space="preserve"> 77.072 </t>
  </si>
  <si>
    <t>F:\Données chgh\2020-CHG-CZA-Test-1\plaque 2/@21 Testo +  Pro 1000/H9_02- exclu.tif</t>
  </si>
  <si>
    <t>F:\Données chgh\2020-CHG-CZA-Test-1\plaque 2/@21 Testo +  Pro 1000/H9_03- exclu.tif</t>
  </si>
  <si>
    <t xml:space="preserve">F:\Données chgh\2020-CHG-CZA-Test-1\plaque 2/@21 Testo +  Pro 1000/ </t>
  </si>
  <si>
    <t xml:space="preserve"> 69.3131 </t>
  </si>
  <si>
    <t xml:space="preserve"> 6.9663 </t>
  </si>
  <si>
    <t xml:space="preserve"> 492309.958 </t>
  </si>
  <si>
    <t xml:space="preserve"> 391294.422 </t>
  </si>
  <si>
    <t xml:space="preserve"> n total analysed</t>
  </si>
  <si>
    <t>01 TS</t>
  </si>
  <si>
    <t>02 EE2 34</t>
  </si>
  <si>
    <t>03 EE2 51</t>
  </si>
  <si>
    <t>04 EE2 76</t>
  </si>
  <si>
    <t>05 EE2 114</t>
  </si>
  <si>
    <t>06 EE2 171</t>
  </si>
  <si>
    <t>07 EE2 488</t>
  </si>
  <si>
    <t>08 Pro 12</t>
  </si>
  <si>
    <t>09 Pro 37</t>
  </si>
  <si>
    <t>10 Pro 111</t>
  </si>
  <si>
    <t>11 Pro 333</t>
  </si>
  <si>
    <t>12 Pro 1000</t>
  </si>
  <si>
    <t>13 Testo 30</t>
  </si>
  <si>
    <t>14 Testo 30</t>
  </si>
  <si>
    <t>15 Testo + EE2</t>
  </si>
  <si>
    <t>16 Testo + FAD</t>
  </si>
  <si>
    <t>17 Testo + Pro 12</t>
  </si>
  <si>
    <t>18  Testo + Pro 37</t>
  </si>
  <si>
    <t>19 Testo + Pro 111</t>
  </si>
  <si>
    <t>20 Testo + Pro 333</t>
  </si>
  <si>
    <t>21 Testo +  Pro 1000</t>
  </si>
  <si>
    <t>B</t>
  </si>
  <si>
    <t>C</t>
  </si>
  <si>
    <t>D</t>
  </si>
  <si>
    <t>E</t>
  </si>
  <si>
    <t>F</t>
  </si>
  <si>
    <t>G</t>
  </si>
  <si>
    <t>H</t>
  </si>
  <si>
    <t>F:\Données chgh\2020-CHG-CZA-Test-2\plaque 1/@01 TS/A1_01- exclu.tif</t>
  </si>
  <si>
    <t xml:space="preserve">F:\Données chgh\2020-CHG-CZA-Test-2\plaque 1/@01 TS/A1_02.tif </t>
  </si>
  <si>
    <t xml:space="preserve">F:\Données chgh\2020-CHG-CZA-Test-2\plaque 1/@01 TS/A1_03.tif </t>
  </si>
  <si>
    <t xml:space="preserve"> 2833.5162 </t>
  </si>
  <si>
    <t xml:space="preserve"> 67.3588 </t>
  </si>
  <si>
    <t>F:\Données chgh\2020-CHG-CZA-Test-2\plaque 1/@01 TS/B1_01- exclu.tif</t>
  </si>
  <si>
    <t xml:space="preserve">F:\Données chgh\2020-CHG-CZA-Test-2\plaque 1/@01 TS/B1_02.tif </t>
  </si>
  <si>
    <t xml:space="preserve"> 63.5208 </t>
  </si>
  <si>
    <t xml:space="preserve">F:\Données chgh\2020-CHG-CZA-Test-2\plaque 1/@01 TS/B1_03.tif </t>
  </si>
  <si>
    <t xml:space="preserve"> 1146.3844 </t>
  </si>
  <si>
    <t xml:space="preserve"> 63.6792 </t>
  </si>
  <si>
    <t>F:\Données chgh\2020-CHG-CZA-Test-2\plaque 1/@01 TS/C1_01- exclu.tif</t>
  </si>
  <si>
    <t xml:space="preserve">F:\Données chgh\2020-CHG-CZA-Test-2\plaque 1/@01 TS/C1_02.tif </t>
  </si>
  <si>
    <t xml:space="preserve"> 713.7865 </t>
  </si>
  <si>
    <t xml:space="preserve"> 63.6061 </t>
  </si>
  <si>
    <t xml:space="preserve">F:\Données chgh\2020-CHG-CZA-Test-2\plaque 1/@01 TS/C1_03.tif </t>
  </si>
  <si>
    <t xml:space="preserve"> 3763.6017 </t>
  </si>
  <si>
    <t xml:space="preserve"> 68.092 </t>
  </si>
  <si>
    <t xml:space="preserve">F:\Données chgh\2020-CHG-CZA-Test-2\plaque 1/@01 TS/D1_01.tif </t>
  </si>
  <si>
    <t xml:space="preserve"> 4866.7263 </t>
  </si>
  <si>
    <t xml:space="preserve"> 65.3689 </t>
  </si>
  <si>
    <t xml:space="preserve">F:\Données chgh\2020-CHG-CZA-Test-2\plaque 1/@01 TS/D1_02.tif </t>
  </si>
  <si>
    <t xml:space="preserve"> 67.965 </t>
  </si>
  <si>
    <t xml:space="preserve">F:\Données chgh\2020-CHG-CZA-Test-2\plaque 1/@01 TS/D1_03.tif </t>
  </si>
  <si>
    <t xml:space="preserve"> 5299.3242 </t>
  </si>
  <si>
    <t xml:space="preserve"> 67.7347 </t>
  </si>
  <si>
    <t>F:\Données chgh\2020-CHG-CZA-Test-2\plaque 1/@01 TS/E1_01- exclu.tif</t>
  </si>
  <si>
    <t xml:space="preserve">F:\Données chgh\2020-CHG-CZA-Test-2\plaque 1/@01 TS/E1_02.tif </t>
  </si>
  <si>
    <t xml:space="preserve"> 67.2564 </t>
  </si>
  <si>
    <t>F:\Données chgh\2020-CHG-CZA-Test-2\plaque 1/@01 TS/E1_03- exclu.tif</t>
  </si>
  <si>
    <t xml:space="preserve">F:\Données chgh\2020-CHG-CZA-Test-2\plaque 1/@01 TS/F1_01.tif </t>
  </si>
  <si>
    <t xml:space="preserve"> 4174.5697 </t>
  </si>
  <si>
    <t xml:space="preserve"> 66.9378 </t>
  </si>
  <si>
    <t xml:space="preserve">F:\Données chgh\2020-CHG-CZA-Test-2\plaque 1/@01 TS/F1_02.tif </t>
  </si>
  <si>
    <t xml:space="preserve"> 65.681 </t>
  </si>
  <si>
    <t>F:\Données chgh\2020-CHG-CZA-Test-2\plaque 1/@01 TS/F1_03- exclu.tif</t>
  </si>
  <si>
    <t xml:space="preserve">F:\Données chgh\2020-CHG-CZA-Test-2\plaque 1/@01 TS/G1_01.tif </t>
  </si>
  <si>
    <t xml:space="preserve"> 62.7586 </t>
  </si>
  <si>
    <t xml:space="preserve">F:\Données chgh\2020-CHG-CZA-Test-2\plaque 1/@01 TS/G1_02.tif </t>
  </si>
  <si>
    <t xml:space="preserve"> 64.871 </t>
  </si>
  <si>
    <t xml:space="preserve">F:\Données chgh\2020-CHG-CZA-Test-2\plaque 1/@01 TS/G1_03.tif </t>
  </si>
  <si>
    <t xml:space="preserve"> 64.7097 </t>
  </si>
  <si>
    <t xml:space="preserve">F:\Données chgh\2020-CHG-CZA-Test-2\plaque 1/@01 TS/H1_01.tif </t>
  </si>
  <si>
    <t xml:space="preserve"> 216.2989 </t>
  </si>
  <si>
    <t xml:space="preserve"> 61.6 </t>
  </si>
  <si>
    <t xml:space="preserve">F:\Données chgh\2020-CHG-CZA-Test-2\plaque 1/@01 TS/H1_02.tif </t>
  </si>
  <si>
    <t xml:space="preserve"> 1622.2421 </t>
  </si>
  <si>
    <t xml:space="preserve"> 65.3333 </t>
  </si>
  <si>
    <t xml:space="preserve">F:\Données chgh\2020-CHG-CZA-Test-2\plaque 1/@01 TS/H1_03.tif </t>
  </si>
  <si>
    <t xml:space="preserve"> 70.7903 </t>
  </si>
  <si>
    <t xml:space="preserve">F:\Données chgh\2020-CHG-CZA-Test-2\plaque 1/@01 TS/ </t>
  </si>
  <si>
    <t xml:space="preserve"> 65.0661 </t>
  </si>
  <si>
    <t xml:space="preserve"> 2.3384 </t>
  </si>
  <si>
    <t xml:space="preserve"> 123469.708 </t>
  </si>
  <si>
    <t xml:space="preserve"> 136103.99 </t>
  </si>
  <si>
    <t xml:space="preserve">F:\Données chgh\2020-CHG-CZA-Test-2\plaque 1/@02 EE2 34/A2_01.tif </t>
  </si>
  <si>
    <t xml:space="preserve"> 63.1379 </t>
  </si>
  <si>
    <t xml:space="preserve">F:\Données chgh\2020-CHG-CZA-Test-2\plaque 1/@02 EE2 34/A2_02.tif </t>
  </si>
  <si>
    <t xml:space="preserve"> 62.65 </t>
  </si>
  <si>
    <t xml:space="preserve">F:\Données chgh\2020-CHG-CZA-Test-2\plaque 1/@02 EE2 34/A2_03.tif </t>
  </si>
  <si>
    <t xml:space="preserve"> 64.3429 </t>
  </si>
  <si>
    <t xml:space="preserve">F:\Données chgh\2020-CHG-CZA-Test-2\plaque 1/@02 EE2 34/B2_01.tif </t>
  </si>
  <si>
    <t xml:space="preserve"> 62.6585 </t>
  </si>
  <si>
    <t xml:space="preserve">F:\Données chgh\2020-CHG-CZA-Test-2\plaque 1/@02 EE2 34/B2_02.tif </t>
  </si>
  <si>
    <t xml:space="preserve"> 65.9211 </t>
  </si>
  <si>
    <t xml:space="preserve">F:\Données chgh\2020-CHG-CZA-Test-2\plaque 1/@02 EE2 34/B2_03.tif </t>
  </si>
  <si>
    <t xml:space="preserve"> 70.2921 </t>
  </si>
  <si>
    <t xml:space="preserve">F:\Données chgh\2020-CHG-CZA-Test-2\plaque 1/@02 EE2 34/C2_01.tif </t>
  </si>
  <si>
    <t xml:space="preserve"> 63.7162 </t>
  </si>
  <si>
    <t xml:space="preserve">F:\Données chgh\2020-CHG-CZA-Test-2\plaque 1/@02 EE2 34/C2_02.tif </t>
  </si>
  <si>
    <t xml:space="preserve">F:\Données chgh\2020-CHG-CZA-Test-2\plaque 1/@02 EE2 34/C2_03.tif </t>
  </si>
  <si>
    <t xml:space="preserve"> 1189.6442 </t>
  </si>
  <si>
    <t xml:space="preserve"> 65.1091 </t>
  </si>
  <si>
    <t xml:space="preserve">F:\Données chgh\2020-CHG-CZA-Test-2\plaque 1/@02 EE2 34/D2_01.tif </t>
  </si>
  <si>
    <t xml:space="preserve"> 62.15 </t>
  </si>
  <si>
    <t xml:space="preserve">F:\Données chgh\2020-CHG-CZA-Test-2\plaque 1/@02 EE2 34/D2_02.tif </t>
  </si>
  <si>
    <t xml:space="preserve"> 5018.1356 </t>
  </si>
  <si>
    <t xml:space="preserve"> 68.056 </t>
  </si>
  <si>
    <t xml:space="preserve">F:\Données chgh\2020-CHG-CZA-Test-2\plaque 1/@02 EE2 34/D2_03.tif </t>
  </si>
  <si>
    <t xml:space="preserve"> 64.0455 </t>
  </si>
  <si>
    <t xml:space="preserve">F:\Données chgh\2020-CHG-CZA-Test-2\plaque 1/@02 EE2 34/E2_01.tif </t>
  </si>
  <si>
    <t xml:space="preserve"> 9041.296 </t>
  </si>
  <si>
    <t xml:space="preserve"> 72.366 </t>
  </si>
  <si>
    <t xml:space="preserve">F:\Données chgh\2020-CHG-CZA-Test-2\plaque 1/@02 EE2 34/E2_02.tif </t>
  </si>
  <si>
    <t xml:space="preserve"> 5191.1747 </t>
  </si>
  <si>
    <t xml:space="preserve"> 71.675 </t>
  </si>
  <si>
    <t xml:space="preserve">F:\Données chgh\2020-CHG-CZA-Test-2\plaque 1/@02 EE2 34/E2_03.tif </t>
  </si>
  <si>
    <t xml:space="preserve"> 71.7328 </t>
  </si>
  <si>
    <t xml:space="preserve">F:\Données chgh\2020-CHG-CZA-Test-2\plaque 1/@02 EE2 34/F2_01.tif </t>
  </si>
  <si>
    <t xml:space="preserve"> 67.7791 </t>
  </si>
  <si>
    <t xml:space="preserve">F:\Données chgh\2020-CHG-CZA-Test-2\plaque 1/@02 EE2 34/F2_02.tif </t>
  </si>
  <si>
    <t xml:space="preserve"> 2422.5482 </t>
  </si>
  <si>
    <t xml:space="preserve"> 65.7232 </t>
  </si>
  <si>
    <t xml:space="preserve">F:\Données chgh\2020-CHG-CZA-Test-2\plaque 1/@02 EE2 34/F2_03.tif </t>
  </si>
  <si>
    <t xml:space="preserve"> 63.2927 </t>
  </si>
  <si>
    <t xml:space="preserve">F:\Données chgh\2020-CHG-CZA-Test-2\plaque 1/@02 EE2 34/G2_01.tif </t>
  </si>
  <si>
    <t xml:space="preserve"> 68.1402 </t>
  </si>
  <si>
    <t xml:space="preserve">F:\Données chgh\2020-CHG-CZA-Test-2\plaque 1/@02 EE2 34/G2_02.tif </t>
  </si>
  <si>
    <t xml:space="preserve"> 4499.0181 </t>
  </si>
  <si>
    <t xml:space="preserve"> 69.9519 </t>
  </si>
  <si>
    <t>F:\Données chgh\2020-CHG-CZA-Test-2\plaque 1/@02 EE2 34/G2_03- exclu.tif</t>
  </si>
  <si>
    <t xml:space="preserve">F:\Données chgh\2020-CHG-CZA-Test-2\plaque 1/@02 EE2 34/H2_01.tif </t>
  </si>
  <si>
    <t xml:space="preserve"> 68.2897 </t>
  </si>
  <si>
    <t xml:space="preserve">F:\Données chgh\2020-CHG-CZA-Test-2\plaque 1/@02 EE2 34/H2_02.tif </t>
  </si>
  <si>
    <t xml:space="preserve"> 66.4412 </t>
  </si>
  <si>
    <t>F:\Données chgh\2020-CHG-CZA-Test-2\plaque 1/@02 EE2 34/H2_03- exclu.tif</t>
  </si>
  <si>
    <t xml:space="preserve">F:\Données chgh\2020-CHG-CZA-Test-2\plaque 1/@02 EE2 34/ </t>
  </si>
  <si>
    <t xml:space="preserve"> 66.2603 </t>
  </si>
  <si>
    <t xml:space="preserve"> 3.1712 </t>
  </si>
  <si>
    <t xml:space="preserve"> 183828.958 </t>
  </si>
  <si>
    <t xml:space="preserve"> 158821.644 </t>
  </si>
  <si>
    <t xml:space="preserve">F:\Données chgh\2020-CHG-CZA-Test-2\plaque 1/@03 EE2 51/A3_01.tif </t>
  </si>
  <si>
    <t xml:space="preserve"> 71.7806 </t>
  </si>
  <si>
    <t xml:space="preserve">F:\Données chgh\2020-CHG-CZA-Test-2\plaque 1/@03 EE2 51/A3_02.tif </t>
  </si>
  <si>
    <t xml:space="preserve"> 6294.2993 </t>
  </si>
  <si>
    <t xml:space="preserve"> 69.8522 </t>
  </si>
  <si>
    <t xml:space="preserve">F:\Données chgh\2020-CHG-CZA-Test-2\plaque 1/@03 EE2 51/A3_03.tif </t>
  </si>
  <si>
    <t xml:space="preserve"> 64.1892 </t>
  </si>
  <si>
    <t>F:\Données chgh\2020-CHG-CZA-Test-2\plaque 1/@03 EE2 51/B3_01- exclu.tif</t>
  </si>
  <si>
    <t xml:space="preserve">F:\Données chgh\2020-CHG-CZA-Test-2\plaque 1/@03 EE2 51/B3_02.tif </t>
  </si>
  <si>
    <t xml:space="preserve"> 65.1818 </t>
  </si>
  <si>
    <t xml:space="preserve">F:\Données chgh\2020-CHG-CZA-Test-2\plaque 1/@03 EE2 51/B3_03.tif </t>
  </si>
  <si>
    <t xml:space="preserve"> 64.8205 </t>
  </si>
  <si>
    <t xml:space="preserve">F:\Données chgh\2020-CHG-CZA-Test-2\plaque 1/@03 EE2 51/C3_01.tif </t>
  </si>
  <si>
    <t xml:space="preserve"> 2984.9255 </t>
  </si>
  <si>
    <t xml:space="preserve"> 67.2536 </t>
  </si>
  <si>
    <t>F:\Données chgh\2020-CHG-CZA-Test-2\plaque 1/@03 EE2 51/C3_02- exclu.tif</t>
  </si>
  <si>
    <t>F:\Données chgh\2020-CHG-CZA-Test-2\plaque 1/@03 EE2 51/C3_03- exclu.tif</t>
  </si>
  <si>
    <t xml:space="preserve">F:\Données chgh\2020-CHG-CZA-Test-2\plaque 1/@03 EE2 51/D3_01.tif </t>
  </si>
  <si>
    <t xml:space="preserve"> 65.1798 </t>
  </si>
  <si>
    <t xml:space="preserve">F:\Données chgh\2020-CHG-CZA-Test-2\plaque 1/@03 EE2 51/D3_02.tif </t>
  </si>
  <si>
    <t xml:space="preserve"> 67.6779 </t>
  </si>
  <si>
    <t xml:space="preserve">F:\Données chgh\2020-CHG-CZA-Test-2\plaque 1/@03 EE2 51/D3_03.tif </t>
  </si>
  <si>
    <t xml:space="preserve"> 69.2864 </t>
  </si>
  <si>
    <t xml:space="preserve">F:\Données chgh\2020-CHG-CZA-Test-2\plaque 1/@03 EE2 51/E3_01.tif </t>
  </si>
  <si>
    <t xml:space="preserve"> 7894.9115 </t>
  </si>
  <si>
    <t xml:space="preserve"> 67.126 </t>
  </si>
  <si>
    <t>F:\Données chgh\2020-CHG-CZA-Test-2\plaque 1/@03 EE2 51/E3_02- exclu.tif</t>
  </si>
  <si>
    <t xml:space="preserve">F:\Données chgh\2020-CHG-CZA-Test-2\plaque 1/@03 EE2 51/E3_03.tif </t>
  </si>
  <si>
    <t xml:space="preserve"> 65.4382 </t>
  </si>
  <si>
    <t xml:space="preserve">F:\Données chgh\2020-CHG-CZA-Test-2\plaque 1/@03 EE2 51/F3_01.tif </t>
  </si>
  <si>
    <t xml:space="preserve"> 64.9802 </t>
  </si>
  <si>
    <t xml:space="preserve">F:\Données chgh\2020-CHG-CZA-Test-2\plaque 1/@03 EE2 51/F3_02.tif </t>
  </si>
  <si>
    <t xml:space="preserve">F:\Données chgh\2020-CHG-CZA-Test-2\plaque 1/@03 EE2 51/F3_03.tif </t>
  </si>
  <si>
    <t xml:space="preserve"> 62.92 </t>
  </si>
  <si>
    <t xml:space="preserve">F:\Données chgh\2020-CHG-CZA-Test-2\plaque 1/@03 EE2 51/G3_01.tif </t>
  </si>
  <si>
    <t xml:space="preserve"> 3590.5625 </t>
  </si>
  <si>
    <t xml:space="preserve"> 66.7108 </t>
  </si>
  <si>
    <t xml:space="preserve">F:\Données chgh\2020-CHG-CZA-Test-2\plaque 1/@03 EE2 51/G3_02.tif </t>
  </si>
  <si>
    <t xml:space="preserve"> 4412.4985 </t>
  </si>
  <si>
    <t xml:space="preserve"> 69.6765 </t>
  </si>
  <si>
    <t xml:space="preserve">F:\Données chgh\2020-CHG-CZA-Test-2\plaque 1/@03 EE2 51/G3_03.tif </t>
  </si>
  <si>
    <t xml:space="preserve"> 63.9508 </t>
  </si>
  <si>
    <t>F:\Données chgh\2020-CHG-CZA-Test-2\plaque 1/@03 EE2 51/H3_01- exclu.tif</t>
  </si>
  <si>
    <t>F:\Données chgh\2020-CHG-CZA-Test-2\plaque 1/@03 EE2 51/H3_02- exclu.tif</t>
  </si>
  <si>
    <t>F:\Données chgh\2020-CHG-CZA-Test-2\plaque 1/@03 EE2 51/H3_03- exclu.tif</t>
  </si>
  <si>
    <t xml:space="preserve">F:\Données chgh\2020-CHG-CZA-Test-2\plaque 1/@03 EE2 51/ </t>
  </si>
  <si>
    <t xml:space="preserve"> 70.9097 </t>
  </si>
  <si>
    <t xml:space="preserve"> 11.3749 </t>
  </si>
  <si>
    <t xml:space="preserve"> 379948.083 </t>
  </si>
  <si>
    <t xml:space="preserve"> 422901.778 </t>
  </si>
  <si>
    <t xml:space="preserve">F:\Données chgh\2020-CHG-CZA-Test-2\plaque 1/@04 EE2 76/A4_01.tif </t>
  </si>
  <si>
    <t xml:space="preserve"> 43973.5758 </t>
  </si>
  <si>
    <t xml:space="preserve"> 72.9975 </t>
  </si>
  <si>
    <t xml:space="preserve">F:\Données chgh\2020-CHG-CZA-Test-2\plaque 1/@04 EE2 76/A4_02.tif </t>
  </si>
  <si>
    <t xml:space="preserve"> 41983.6255 </t>
  </si>
  <si>
    <t xml:space="preserve"> 73.2602 </t>
  </si>
  <si>
    <t xml:space="preserve">F:\Données chgh\2020-CHG-CZA-Test-2\plaque 1/@04 EE2 76/A4_03.tif </t>
  </si>
  <si>
    <t xml:space="preserve"> 30563.0411 </t>
  </si>
  <si>
    <t xml:space="preserve"> 68.2852 </t>
  </si>
  <si>
    <t xml:space="preserve">F:\Données chgh\2020-CHG-CZA-Test-2\plaque 1/@04 EE2 76/B4_01.tif </t>
  </si>
  <si>
    <t xml:space="preserve"> 2898.4059 </t>
  </si>
  <si>
    <t xml:space="preserve"> 63.4328 </t>
  </si>
  <si>
    <t xml:space="preserve">F:\Données chgh\2020-CHG-CZA-Test-2\plaque 1/@04 EE2 76/B4_02.tif </t>
  </si>
  <si>
    <t xml:space="preserve"> 63.7778 </t>
  </si>
  <si>
    <t xml:space="preserve">F:\Données chgh\2020-CHG-CZA-Test-2\plaque 1/@04 EE2 76/B4_03.tif </t>
  </si>
  <si>
    <t xml:space="preserve"> 1535.7225 </t>
  </si>
  <si>
    <t xml:space="preserve"> 62.831 </t>
  </si>
  <si>
    <t xml:space="preserve">F:\Données chgh\2020-CHG-CZA-Test-2\plaque 1/@04 EE2 76/C4_01.tif </t>
  </si>
  <si>
    <t xml:space="preserve"> 2444.1781 </t>
  </si>
  <si>
    <t xml:space="preserve"> 64.0442 </t>
  </si>
  <si>
    <t xml:space="preserve">F:\Données chgh\2020-CHG-CZA-Test-2\plaque 1/@04 EE2 76/C4_02.tif </t>
  </si>
  <si>
    <t xml:space="preserve"> 64.0286 </t>
  </si>
  <si>
    <t xml:space="preserve">F:\Données chgh\2020-CHG-CZA-Test-2\plaque 1/@04 EE2 76/C4_03.tif </t>
  </si>
  <si>
    <t xml:space="preserve"> 1297.7937 </t>
  </si>
  <si>
    <t xml:space="preserve"> 63.3167 </t>
  </si>
  <si>
    <t xml:space="preserve">F:\Données chgh\2020-CHG-CZA-Test-2\plaque 1/@04 EE2 76/D4_01.tif </t>
  </si>
  <si>
    <t xml:space="preserve"> 42956.9707 </t>
  </si>
  <si>
    <t xml:space="preserve"> 66.6445 </t>
  </si>
  <si>
    <t xml:space="preserve">F:\Données chgh\2020-CHG-CZA-Test-2\plaque 1/@04 EE2 76/D4_02.tif </t>
  </si>
  <si>
    <t xml:space="preserve"> 39020.3299 </t>
  </si>
  <si>
    <t xml:space="preserve"> 67.1197 </t>
  </si>
  <si>
    <t xml:space="preserve">F:\Données chgh\2020-CHG-CZA-Test-2\plaque 1/@04 EE2 76/D4_03.tif </t>
  </si>
  <si>
    <t xml:space="preserve"> 27015.7384 </t>
  </si>
  <si>
    <t xml:space="preserve"> 66.0488 </t>
  </si>
  <si>
    <t xml:space="preserve">F:\Données chgh\2020-CHG-CZA-Test-2\plaque 1/@04 EE2 76/E4_01.tif </t>
  </si>
  <si>
    <t xml:space="preserve"> 64.2886 </t>
  </si>
  <si>
    <t xml:space="preserve">F:\Données chgh\2020-CHG-CZA-Test-2\plaque 1/@04 EE2 76/E4_02.tif </t>
  </si>
  <si>
    <t xml:space="preserve"> 65.5796 </t>
  </si>
  <si>
    <t xml:space="preserve">F:\Données chgh\2020-CHG-CZA-Test-2\plaque 1/@04 EE2 76/E4_03.tif </t>
  </si>
  <si>
    <t xml:space="preserve"> 63.2381 </t>
  </si>
  <si>
    <t xml:space="preserve">F:\Données chgh\2020-CHG-CZA-Test-2\plaque 1/@04 EE2 76/F4_01.tif </t>
  </si>
  <si>
    <t xml:space="preserve"> 70.7292 </t>
  </si>
  <si>
    <t xml:space="preserve">F:\Données chgh\2020-CHG-CZA-Test-2\plaque 1/@04 EE2 76/F4_02.tif </t>
  </si>
  <si>
    <t xml:space="preserve"> 64.3839 </t>
  </si>
  <si>
    <t xml:space="preserve">F:\Données chgh\2020-CHG-CZA-Test-2\plaque 1/@04 EE2 76/F4_03.tif </t>
  </si>
  <si>
    <t xml:space="preserve">F:\Données chgh\2020-CHG-CZA-Test-2\plaque 1/@04 EE2 76/G4_01.tif </t>
  </si>
  <si>
    <t xml:space="preserve"> 65.1342 </t>
  </si>
  <si>
    <t xml:space="preserve">F:\Données chgh\2020-CHG-CZA-Test-2\plaque 1/@04 EE2 76/G4_02.tif </t>
  </si>
  <si>
    <t xml:space="preserve"> 68.3168 </t>
  </si>
  <si>
    <t xml:space="preserve">F:\Données chgh\2020-CHG-CZA-Test-2\plaque 1/@04 EE2 76/G4_03.tif </t>
  </si>
  <si>
    <t xml:space="preserve"> 7008.0859 </t>
  </si>
  <si>
    <t xml:space="preserve"> 68.2438 </t>
  </si>
  <si>
    <t xml:space="preserve">F:\Données chgh\2020-CHG-CZA-Test-2\plaque 1/@04 EE2 76/H4_01.tif </t>
  </si>
  <si>
    <t xml:space="preserve"> 63.9945 </t>
  </si>
  <si>
    <t xml:space="preserve">F:\Données chgh\2020-CHG-CZA-Test-2\plaque 1/@04 EE2 76/H4_02.tif </t>
  </si>
  <si>
    <t xml:space="preserve"> 12523.709 </t>
  </si>
  <si>
    <t xml:space="preserve"> 65.6218 </t>
  </si>
  <si>
    <t xml:space="preserve">F:\Données chgh\2020-CHG-CZA-Test-2\plaque 1/@04 EE2 76/H4_03.tif </t>
  </si>
  <si>
    <t xml:space="preserve"> 4823.4665 </t>
  </si>
  <si>
    <t xml:space="preserve"> 63.6413 </t>
  </si>
  <si>
    <t xml:space="preserve">F:\Données chgh\2020-CHG-CZA-Test-2\plaque 1/@04 EE2 76/ </t>
  </si>
  <si>
    <t xml:space="preserve"> 65.915 </t>
  </si>
  <si>
    <t xml:space="preserve"> 3.025 </t>
  </si>
  <si>
    <t xml:space="preserve"> 871182.875 </t>
  </si>
  <si>
    <t xml:space="preserve"> 1074851.52 </t>
  </si>
  <si>
    <t xml:space="preserve">F:\Données chgh\2020-CHG-CZA-Test-2\plaque 1/@05 EE2 114/A5_01.tif </t>
  </si>
  <si>
    <t xml:space="preserve"> 58422.3454 </t>
  </si>
  <si>
    <t xml:space="preserve"> 70.077 </t>
  </si>
  <si>
    <t xml:space="preserve">F:\Données chgh\2020-CHG-CZA-Test-2\plaque 1/@05 EE2 114/A5_02.tif </t>
  </si>
  <si>
    <t xml:space="preserve"> 50376.0246 </t>
  </si>
  <si>
    <t xml:space="preserve"> 69.4878 </t>
  </si>
  <si>
    <t xml:space="preserve">F:\Données chgh\2020-CHG-CZA-Test-2\plaque 1/@05 EE2 114/A5_03.tif </t>
  </si>
  <si>
    <t xml:space="preserve"> 53187.9109 </t>
  </si>
  <si>
    <t xml:space="preserve"> 69.9585 </t>
  </si>
  <si>
    <t xml:space="preserve">F:\Données chgh\2020-CHG-CZA-Test-2\plaque 1/@05 EE2 114/B5_01.tif </t>
  </si>
  <si>
    <t xml:space="preserve"> 19293.866 </t>
  </si>
  <si>
    <t xml:space="preserve"> 65.3587 </t>
  </si>
  <si>
    <t xml:space="preserve">F:\Données chgh\2020-CHG-CZA-Test-2\plaque 1/@05 EE2 114/B5_02.tif </t>
  </si>
  <si>
    <t xml:space="preserve"> 11117.7658 </t>
  </si>
  <si>
    <t xml:space="preserve"> 65.0584 </t>
  </si>
  <si>
    <t xml:space="preserve">F:\Données chgh\2020-CHG-CZA-Test-2\plaque 1/@05 EE2 114/B5_03.tif </t>
  </si>
  <si>
    <t xml:space="preserve"> 17952.8125 </t>
  </si>
  <si>
    <t xml:space="preserve"> 65.6952 </t>
  </si>
  <si>
    <t xml:space="preserve">F:\Données chgh\2020-CHG-CZA-Test-2\plaque 1/@05 EE2 114/C5_01.tif </t>
  </si>
  <si>
    <t xml:space="preserve"> 14383.8799 </t>
  </si>
  <si>
    <t xml:space="preserve"> 67.4271 </t>
  </si>
  <si>
    <t xml:space="preserve">F:\Données chgh\2020-CHG-CZA-Test-2\plaque 1/@05 EE2 114/C5_02.tif </t>
  </si>
  <si>
    <t xml:space="preserve"> 5342.584 </t>
  </si>
  <si>
    <t xml:space="preserve"> 65.1012 </t>
  </si>
  <si>
    <t xml:space="preserve">F:\Données chgh\2020-CHG-CZA-Test-2\plaque 1/@05 EE2 114/C5_03.tif </t>
  </si>
  <si>
    <t xml:space="preserve"> 2703.7368 </t>
  </si>
  <si>
    <t xml:space="preserve"> 64.648 </t>
  </si>
  <si>
    <t xml:space="preserve">F:\Données chgh\2020-CHG-CZA-Test-2\plaque 1/@05 EE2 114/D5_01.tif </t>
  </si>
  <si>
    <t xml:space="preserve"> 45812.1168 </t>
  </si>
  <si>
    <t xml:space="preserve"> 69.2913 </t>
  </si>
  <si>
    <t xml:space="preserve">F:\Données chgh\2020-CHG-CZA-Test-2\plaque 1/@05 EE2 114/D5_02.tif </t>
  </si>
  <si>
    <t xml:space="preserve"> 35537.9169 </t>
  </si>
  <si>
    <t xml:space="preserve"> 68.0712 </t>
  </si>
  <si>
    <t xml:space="preserve">F:\Données chgh\2020-CHG-CZA-Test-2\plaque 1/@05 EE2 114/D5_03.tif </t>
  </si>
  <si>
    <t xml:space="preserve"> 25133.9376 </t>
  </si>
  <si>
    <t xml:space="preserve"> 66.9639 </t>
  </si>
  <si>
    <t xml:space="preserve">F:\Données chgh\2020-CHG-CZA-Test-2\plaque 1/@05 EE2 114/E5_01.tif </t>
  </si>
  <si>
    <t xml:space="preserve"> 36900.6002 </t>
  </si>
  <si>
    <t xml:space="preserve"> 68.8183 </t>
  </si>
  <si>
    <t xml:space="preserve">F:\Données chgh\2020-CHG-CZA-Test-2\plaque 1/@05 EE2 114/E5_02.tif </t>
  </si>
  <si>
    <t xml:space="preserve"> 24917.6386 </t>
  </si>
  <si>
    <t xml:space="preserve"> 66.3715 </t>
  </si>
  <si>
    <t xml:space="preserve">F:\Données chgh\2020-CHG-CZA-Test-2\plaque 1/@05 EE2 114/E5_03.tif </t>
  </si>
  <si>
    <t xml:space="preserve"> 24939.2685 </t>
  </si>
  <si>
    <t xml:space="preserve"> 66.3868 </t>
  </si>
  <si>
    <t xml:space="preserve">F:\Données chgh\2020-CHG-CZA-Test-2\plaque 1/@05 EE2 114/F5_01.tif </t>
  </si>
  <si>
    <t xml:space="preserve"> 14556.9191 </t>
  </si>
  <si>
    <t xml:space="preserve"> 64.5557 </t>
  </si>
  <si>
    <t xml:space="preserve">F:\Données chgh\2020-CHG-CZA-Test-2\plaque 1/@05 EE2 114/F5_02.tif </t>
  </si>
  <si>
    <t xml:space="preserve"> 14881.3675 </t>
  </si>
  <si>
    <t xml:space="preserve"> 64.5901 </t>
  </si>
  <si>
    <t>F:\Données chgh\2020-CHG-CZA-Test-2\plaque 1/@05 EE2 114/F5_03- exclu.tif</t>
  </si>
  <si>
    <t xml:space="preserve">F:\Données chgh\2020-CHG-CZA-Test-2\plaque 1/@05 EE2 114/G5_01.tif </t>
  </si>
  <si>
    <t xml:space="preserve"> 51176.3307 </t>
  </si>
  <si>
    <t xml:space="preserve"> 71.459 </t>
  </si>
  <si>
    <t xml:space="preserve">F:\Données chgh\2020-CHG-CZA-Test-2\plaque 1/@05 EE2 114/G5_02.tif </t>
  </si>
  <si>
    <t xml:space="preserve"> 55048.0818 </t>
  </si>
  <si>
    <t xml:space="preserve"> 70.6224 </t>
  </si>
  <si>
    <t xml:space="preserve">F:\Données chgh\2020-CHG-CZA-Test-2\plaque 1/@05 EE2 114/G5_03.tif </t>
  </si>
  <si>
    <t xml:space="preserve"> 41940.3657 </t>
  </si>
  <si>
    <t xml:space="preserve"> 69.3889 </t>
  </si>
  <si>
    <t xml:space="preserve">F:\Données chgh\2020-CHG-CZA-Test-2\plaque 1/@05 EE2 114/H5_01.tif </t>
  </si>
  <si>
    <t xml:space="preserve"> 37722.5362 </t>
  </si>
  <si>
    <t xml:space="preserve"> 67.9702 </t>
  </si>
  <si>
    <t xml:space="preserve">F:\Données chgh\2020-CHG-CZA-Test-2\plaque 1/@05 EE2 114/H5_02.tif </t>
  </si>
  <si>
    <t xml:space="preserve"> 43130.0099 </t>
  </si>
  <si>
    <t xml:space="preserve"> 68.337 </t>
  </si>
  <si>
    <t xml:space="preserve">F:\Données chgh\2020-CHG-CZA-Test-2\plaque 1/@05 EE2 114/H5_03.tif </t>
  </si>
  <si>
    <t xml:space="preserve"> 42827.1914 </t>
  </si>
  <si>
    <t xml:space="preserve"> 70.0343 </t>
  </si>
  <si>
    <t xml:space="preserve">F:\Données chgh\2020-CHG-CZA-Test-2\plaque 1/@05 EE2 114/ </t>
  </si>
  <si>
    <t xml:space="preserve"> 67.4893 </t>
  </si>
  <si>
    <t xml:space="preserve"> 2.2616 </t>
  </si>
  <si>
    <t xml:space="preserve"> 2109883.58 </t>
  </si>
  <si>
    <t xml:space="preserve"> 1229694.84 </t>
  </si>
  <si>
    <t xml:space="preserve">F:\Données chgh\2020-CHG-CZA-Test-2\plaque 1/@06 EE2 171/A6_01.tif </t>
  </si>
  <si>
    <t xml:space="preserve"> 50419.2844 </t>
  </si>
  <si>
    <t xml:space="preserve"> 72.9271 </t>
  </si>
  <si>
    <t xml:space="preserve">F:\Données chgh\2020-CHG-CZA-Test-2\plaque 1/@06 EE2 171/A6_02.tif </t>
  </si>
  <si>
    <t xml:space="preserve"> 40080.1947 </t>
  </si>
  <si>
    <t xml:space="preserve"> 69.6325 </t>
  </si>
  <si>
    <t xml:space="preserve">F:\Données chgh\2020-CHG-CZA-Test-2\plaque 1/@06 EE2 171/A6_03.tif </t>
  </si>
  <si>
    <t xml:space="preserve"> 49727.1278 </t>
  </si>
  <si>
    <t xml:space="preserve"> 72.3049 </t>
  </si>
  <si>
    <t xml:space="preserve">F:\Données chgh\2020-CHG-CZA-Test-2\plaque 1/@06 EE2 171/B6_01.tif </t>
  </si>
  <si>
    <t xml:space="preserve"> 28097.2331 </t>
  </si>
  <si>
    <t xml:space="preserve"> 69.7606 </t>
  </si>
  <si>
    <t xml:space="preserve">F:\Données chgh\2020-CHG-CZA-Test-2\plaque 1/@06 EE2 171/B6_02.tif </t>
  </si>
  <si>
    <t xml:space="preserve"> 22365.311 </t>
  </si>
  <si>
    <t xml:space="preserve"> 68.1228 </t>
  </si>
  <si>
    <t xml:space="preserve">F:\Données chgh\2020-CHG-CZA-Test-2\plaque 1/@06 EE2 171/B6_03.tif </t>
  </si>
  <si>
    <t xml:space="preserve"> 23879.4037 </t>
  </si>
  <si>
    <t xml:space="preserve"> 68.8161 </t>
  </si>
  <si>
    <t xml:space="preserve">F:\Données chgh\2020-CHG-CZA-Test-2\plaque 1/@06 EE2 171/C6_01.tif </t>
  </si>
  <si>
    <t xml:space="preserve"> 51998.2667 </t>
  </si>
  <si>
    <t xml:space="preserve"> 77.1156 </t>
  </si>
  <si>
    <t xml:space="preserve">F:\Données chgh\2020-CHG-CZA-Test-2\plaque 1/@06 EE2 171/C6_02.tif </t>
  </si>
  <si>
    <t xml:space="preserve"> 49510.8288 </t>
  </si>
  <si>
    <t xml:space="preserve"> 76.896 </t>
  </si>
  <si>
    <t>F:\Données chgh\2020-CHG-CZA-Test-2\plaque 1/@06 EE2 171/C6_03- exclu.tif</t>
  </si>
  <si>
    <t xml:space="preserve">F:\Données chgh\2020-CHG-CZA-Test-2\plaque 1/@06 EE2 171/D6_01.tif </t>
  </si>
  <si>
    <t xml:space="preserve"> 48472.5939 </t>
  </si>
  <si>
    <t xml:space="preserve"> 86.4993 </t>
  </si>
  <si>
    <t xml:space="preserve">F:\Données chgh\2020-CHG-CZA-Test-2\plaque 1/@06 EE2 171/D6_02.tif </t>
  </si>
  <si>
    <t xml:space="preserve"> 46720.5724 </t>
  </si>
  <si>
    <t xml:space="preserve"> 86.7389 </t>
  </si>
  <si>
    <t>F:\Données chgh\2020-CHG-CZA-Test-2\plaque 1/@06 EE2 171/D6_03- exclu.tif</t>
  </si>
  <si>
    <t xml:space="preserve">F:\Données chgh\2020-CHG-CZA-Test-2\plaque 1/@06 EE2 171/E6_01.tif </t>
  </si>
  <si>
    <t xml:space="preserve"> 56691.9538 </t>
  </si>
  <si>
    <t xml:space="preserve"> 77.3907 </t>
  </si>
  <si>
    <t xml:space="preserve">F:\Données chgh\2020-CHG-CZA-Test-2\plaque 1/@06 EE2 171/E6_02.tif </t>
  </si>
  <si>
    <t xml:space="preserve"> 59136.1319 </t>
  </si>
  <si>
    <t xml:space="preserve"> 77.5304 </t>
  </si>
  <si>
    <t xml:space="preserve">F:\Données chgh\2020-CHG-CZA-Test-2\plaque 1/@06 EE2 171/E6_03.tif </t>
  </si>
  <si>
    <t xml:space="preserve"> 53166.281 </t>
  </si>
  <si>
    <t xml:space="preserve"> 75.7758 </t>
  </si>
  <si>
    <t xml:space="preserve">F:\Données chgh\2020-CHG-CZA-Test-2\plaque 1/@06 EE2 171/F6_01.tif </t>
  </si>
  <si>
    <t xml:space="preserve"> 32704.4007 </t>
  </si>
  <si>
    <t xml:space="preserve"> 79.2421 </t>
  </si>
  <si>
    <t xml:space="preserve">F:\Données chgh\2020-CHG-CZA-Test-2\plaque 1/@06 EE2 171/F6_02.tif </t>
  </si>
  <si>
    <t xml:space="preserve"> 36100.2941 </t>
  </si>
  <si>
    <t xml:space="preserve"> 76.4907 </t>
  </si>
  <si>
    <t>F:\Données chgh\2020-CHG-CZA-Test-2\plaque 1/@06 EE2 171/F6_03- exclu.tif</t>
  </si>
  <si>
    <t xml:space="preserve">F:\Données chgh\2020-CHG-CZA-Test-2\plaque 1/@06 EE2 171/G6_01.tif </t>
  </si>
  <si>
    <t xml:space="preserve"> 82.0884 </t>
  </si>
  <si>
    <t xml:space="preserve">F:\Données chgh\2020-CHG-CZA-Test-2\plaque 1/@06 EE2 171/G6_02.tif </t>
  </si>
  <si>
    <t xml:space="preserve"> 68220.6877 </t>
  </si>
  <si>
    <t xml:space="preserve"> 82.4867 </t>
  </si>
  <si>
    <t xml:space="preserve">F:\Données chgh\2020-CHG-CZA-Test-2\plaque 1/@06 EE2 171/G6_03.tif </t>
  </si>
  <si>
    <t xml:space="preserve"> 67550.1609 </t>
  </si>
  <si>
    <t xml:space="preserve"> 80.2402 </t>
  </si>
  <si>
    <t xml:space="preserve">F:\Données chgh\2020-CHG-CZA-Test-2\plaque 1/@06 EE2 171/H6_01.tif </t>
  </si>
  <si>
    <t xml:space="preserve"> 80.8153 </t>
  </si>
  <si>
    <t xml:space="preserve">F:\Données chgh\2020-CHG-CZA-Test-2\plaque 1/@06 EE2 171/H6_02.tif </t>
  </si>
  <si>
    <t xml:space="preserve"> 45076.7004 </t>
  </si>
  <si>
    <t xml:space="preserve"> 78.9453 </t>
  </si>
  <si>
    <t xml:space="preserve">F:\Données chgh\2020-CHG-CZA-Test-2\plaque 1/@06 EE2 171/H6_03.tif </t>
  </si>
  <si>
    <t xml:space="preserve"> 48213.0351 </t>
  </si>
  <si>
    <t xml:space="preserve"> 80.7106 </t>
  </si>
  <si>
    <t xml:space="preserve">F:\Données chgh\2020-CHG-CZA-Test-2\plaque 1/@06 EE2 171/ </t>
  </si>
  <si>
    <t xml:space="preserve"> 76.2501 </t>
  </si>
  <si>
    <t xml:space="preserve"> 5.7061 </t>
  </si>
  <si>
    <t xml:space="preserve"> 3286080.38 </t>
  </si>
  <si>
    <t xml:space="preserve"> 1569291.73 </t>
  </si>
  <si>
    <t xml:space="preserve">F:\Données chgh\2020-CHG-CZA-Test-2\plaque 1/@07 EE2 488/A7_01.tif </t>
  </si>
  <si>
    <t xml:space="preserve"> 76569.827 </t>
  </si>
  <si>
    <t xml:space="preserve"> 98.3856 </t>
  </si>
  <si>
    <t xml:space="preserve">F:\Données chgh\2020-CHG-CZA-Test-2\plaque 1/@07 EE2 488/A7_02.tif </t>
  </si>
  <si>
    <t xml:space="preserve"> 77218.7238 </t>
  </si>
  <si>
    <t xml:space="preserve"> 93.0683 </t>
  </si>
  <si>
    <t xml:space="preserve">F:\Données chgh\2020-CHG-CZA-Test-2\plaque 1/@07 EE2 488/A7_03.tif </t>
  </si>
  <si>
    <t xml:space="preserve"> 74168.9087 </t>
  </si>
  <si>
    <t xml:space="preserve"> 94.3998 </t>
  </si>
  <si>
    <t xml:space="preserve">F:\Données chgh\2020-CHG-CZA-Test-2\plaque 1/@07 EE2 488/B7_01.tif </t>
  </si>
  <si>
    <t xml:space="preserve"> 72957.6346 </t>
  </si>
  <si>
    <t xml:space="preserve"> 94.0726 </t>
  </si>
  <si>
    <t xml:space="preserve">F:\Données chgh\2020-CHG-CZA-Test-2\plaque 1/@07 EE2 488/B7_02.tif </t>
  </si>
  <si>
    <t xml:space="preserve"> 71465.1719 </t>
  </si>
  <si>
    <t xml:space="preserve"> 92.0896 </t>
  </si>
  <si>
    <t xml:space="preserve">F:\Données chgh\2020-CHG-CZA-Test-2\plaque 1/@07 EE2 488/B7_03.tif </t>
  </si>
  <si>
    <t xml:space="preserve"> 71832.8801 </t>
  </si>
  <si>
    <t xml:space="preserve"> 92.3863 </t>
  </si>
  <si>
    <t xml:space="preserve">F:\Données chgh\2020-CHG-CZA-Test-2\plaque 1/@07 EE2 488/C7_01.tif </t>
  </si>
  <si>
    <t xml:space="preserve"> 60347.406 </t>
  </si>
  <si>
    <t xml:space="preserve"> 73.5183 </t>
  </si>
  <si>
    <t xml:space="preserve">F:\Données chgh\2020-CHG-CZA-Test-2\plaque 1/@07 EE2 488/C7_02.tif </t>
  </si>
  <si>
    <t xml:space="preserve"> 64608.4953 </t>
  </si>
  <si>
    <t xml:space="preserve"> 73.8658 </t>
  </si>
  <si>
    <t xml:space="preserve">F:\Données chgh\2020-CHG-CZA-Test-2\plaque 1/@07 EE2 488/C7_03.tif </t>
  </si>
  <si>
    <t xml:space="preserve"> 62077.7976 </t>
  </si>
  <si>
    <t xml:space="preserve"> 76.0523 </t>
  </si>
  <si>
    <t xml:space="preserve">F:\Données chgh\2020-CHG-CZA-Test-2\plaque 1/@07 EE2 488/D7_01.tif </t>
  </si>
  <si>
    <t xml:space="preserve"> 41313.0987 </t>
  </si>
  <si>
    <t xml:space="preserve"> 73.2979 </t>
  </si>
  <si>
    <t xml:space="preserve">F:\Données chgh\2020-CHG-CZA-Test-2\plaque 1/@07 EE2 488/D7_02.tif </t>
  </si>
  <si>
    <t xml:space="preserve"> 38782.4011 </t>
  </si>
  <si>
    <t xml:space="preserve"> 72.5103 </t>
  </si>
  <si>
    <t xml:space="preserve">F:\Données chgh\2020-CHG-CZA-Test-2\plaque 1/@07 EE2 488/D7_03.tif </t>
  </si>
  <si>
    <t xml:space="preserve"> 36273.3333 </t>
  </si>
  <si>
    <t xml:space="preserve"> 72.9535 </t>
  </si>
  <si>
    <t xml:space="preserve">F:\Données chgh\2020-CHG-CZA-Test-2\plaque 1/@07 EE2 488/E7_01.tif </t>
  </si>
  <si>
    <t xml:space="preserve"> 81609.5924 </t>
  </si>
  <si>
    <t xml:space="preserve"> 103.771 </t>
  </si>
  <si>
    <t xml:space="preserve">F:\Données chgh\2020-CHG-CZA-Test-2\plaque 1/@07 EE2 488/E7_02.tif </t>
  </si>
  <si>
    <t xml:space="preserve"> 81501.443 </t>
  </si>
  <si>
    <t xml:space="preserve"> 102.6805 </t>
  </si>
  <si>
    <t xml:space="preserve">F:\Données chgh\2020-CHG-CZA-Test-2\plaque 1/@07 EE2 488/E7_03.tif </t>
  </si>
  <si>
    <t xml:space="preserve"> 80203.6493 </t>
  </si>
  <si>
    <t xml:space="preserve"> 101.414 </t>
  </si>
  <si>
    <t xml:space="preserve">F:\Données chgh\2020-CHG-CZA-Test-2\plaque 1/@07 EE2 488/F7_01.tif </t>
  </si>
  <si>
    <t xml:space="preserve"> 92.3031 </t>
  </si>
  <si>
    <t xml:space="preserve">F:\Données chgh\2020-CHG-CZA-Test-2\plaque 1/@07 EE2 488/F7_02.tif </t>
  </si>
  <si>
    <t xml:space="preserve"> 56194.4662 </t>
  </si>
  <si>
    <t xml:space="preserve"> 90.7136 </t>
  </si>
  <si>
    <t xml:space="preserve">F:\Données chgh\2020-CHG-CZA-Test-2\plaque 1/@07 EE2 488/F7_03.tif </t>
  </si>
  <si>
    <t xml:space="preserve"> 59330.801 </t>
  </si>
  <si>
    <t xml:space="preserve"> 92.7517 </t>
  </si>
  <si>
    <t xml:space="preserve">F:\Données chgh\2020-CHG-CZA-Test-2\plaque 1/@07 EE2 488/G7_01.tif </t>
  </si>
  <si>
    <t xml:space="preserve"> 76158.859 </t>
  </si>
  <si>
    <t xml:space="preserve"> 89.8819 </t>
  </si>
  <si>
    <t xml:space="preserve">F:\Données chgh\2020-CHG-CZA-Test-2\plaque 1/@07 EE2 488/G7_02.tif </t>
  </si>
  <si>
    <t xml:space="preserve"> 87.7484 </t>
  </si>
  <si>
    <t xml:space="preserve">F:\Données chgh\2020-CHG-CZA-Test-2\plaque 1/@07 EE2 488/G7_03.tif </t>
  </si>
  <si>
    <t xml:space="preserve"> 73866.0902 </t>
  </si>
  <si>
    <t xml:space="preserve"> 87.5362 </t>
  </si>
  <si>
    <t xml:space="preserve">F:\Données chgh\2020-CHG-CZA-Test-2\plaque 1/@07 EE2 488/H7_01.tif </t>
  </si>
  <si>
    <t xml:space="preserve"> 79273.5638 </t>
  </si>
  <si>
    <t xml:space="preserve"> 100.1823 </t>
  </si>
  <si>
    <t xml:space="preserve">F:\Données chgh\2020-CHG-CZA-Test-2\plaque 1/@07 EE2 488/H7_02.tif </t>
  </si>
  <si>
    <t xml:space="preserve"> 80982.3255 </t>
  </si>
  <si>
    <t xml:space="preserve"> 99.8112 </t>
  </si>
  <si>
    <t xml:space="preserve">F:\Données chgh\2020-CHG-CZA-Test-2\plaque 1/@07 EE2 488/H7_03.tif </t>
  </si>
  <si>
    <t xml:space="preserve"> 83210.2046 </t>
  </si>
  <si>
    <t xml:space="preserve"> 96.1097 </t>
  </si>
  <si>
    <t xml:space="preserve">F:\Données chgh\2020-CHG-CZA-Test-2\plaque 1/@07 EE2 488/ </t>
  </si>
  <si>
    <t xml:space="preserve"> 89.646 </t>
  </si>
  <si>
    <t xml:space="preserve"> 10.3571 </t>
  </si>
  <si>
    <t xml:space="preserve"> 6196951.17 </t>
  </si>
  <si>
    <t xml:space="preserve"> 1771924.82 </t>
  </si>
  <si>
    <t xml:space="preserve">F:\Données chgh\2020-CHG-CZA-Test-2\plaque 1/@08 Pro 12/A8_01.tif </t>
  </si>
  <si>
    <t xml:space="preserve"> 4044.7903 </t>
  </si>
  <si>
    <t xml:space="preserve"> 65.893 </t>
  </si>
  <si>
    <t xml:space="preserve">F:\Données chgh\2020-CHG-CZA-Test-2\plaque 1/@08 Pro 12/A8_02.tif </t>
  </si>
  <si>
    <t xml:space="preserve"> 66.098 </t>
  </si>
  <si>
    <t xml:space="preserve">F:\Données chgh\2020-CHG-CZA-Test-2\plaque 1/@08 Pro 12/A8_03.tif </t>
  </si>
  <si>
    <t xml:space="preserve"> 64.0769 </t>
  </si>
  <si>
    <t xml:space="preserve">F:\Données chgh\2020-CHG-CZA-Test-2\plaque 1/@08 Pro 12/B8_01.tif </t>
  </si>
  <si>
    <t xml:space="preserve"> 3504.0429 </t>
  </si>
  <si>
    <t xml:space="preserve"> 66.4444 </t>
  </si>
  <si>
    <t xml:space="preserve">F:\Données chgh\2020-CHG-CZA-Test-2\plaque 1/@08 Pro 12/B8_02.tif </t>
  </si>
  <si>
    <t xml:space="preserve"> 67.8292 </t>
  </si>
  <si>
    <t xml:space="preserve">F:\Données chgh\2020-CHG-CZA-Test-2\plaque 1/@08 Pro 12/B8_03.tif </t>
  </si>
  <si>
    <t xml:space="preserve"> 2876.776 </t>
  </si>
  <si>
    <t xml:space="preserve"> 66.6767 </t>
  </si>
  <si>
    <t xml:space="preserve">F:\Données chgh\2020-CHG-CZA-Test-2\plaque 1/@08 Pro 12/C8_01.tif </t>
  </si>
  <si>
    <t xml:space="preserve"> 63.5526 </t>
  </si>
  <si>
    <t xml:space="preserve">F:\Données chgh\2020-CHG-CZA-Test-2\plaque 1/@08 Pro 12/C8_02.tif </t>
  </si>
  <si>
    <t xml:space="preserve"> 10490.4989 </t>
  </si>
  <si>
    <t xml:space="preserve"> 70.9567 </t>
  </si>
  <si>
    <t>F:\Données chgh\2020-CHG-CZA-Test-2\plaque 1/@08 Pro 12/C8_03- exclu.tif</t>
  </si>
  <si>
    <t xml:space="preserve">F:\Données chgh\2020-CHG-CZA-Test-2\plaque 1/@08 Pro 12/D8_01.tif </t>
  </si>
  <si>
    <t xml:space="preserve"> 281.1886 </t>
  </si>
  <si>
    <t xml:space="preserve">F:\Données chgh\2020-CHG-CZA-Test-2\plaque 1/@08 Pro 12/D8_02.tif </t>
  </si>
  <si>
    <t xml:space="preserve"> 4217.8295 </t>
  </si>
  <si>
    <t xml:space="preserve"> 68.3949 </t>
  </si>
  <si>
    <t xml:space="preserve">F:\Données chgh\2020-CHG-CZA-Test-2\plaque 1/@08 Pro 12/D8_03.tif </t>
  </si>
  <si>
    <t xml:space="preserve"> 70.2244 </t>
  </si>
  <si>
    <t xml:space="preserve">F:\Données chgh\2020-CHG-CZA-Test-2\plaque 1/@08 Pro 12/E8_01.tif </t>
  </si>
  <si>
    <t xml:space="preserve"> 3958.2707 </t>
  </si>
  <si>
    <t xml:space="preserve"> 64.8689 </t>
  </si>
  <si>
    <t xml:space="preserve">F:\Données chgh\2020-CHG-CZA-Test-2\plaque 1/@08 Pro 12/E8_02.tif </t>
  </si>
  <si>
    <t xml:space="preserve"> 63.7386 </t>
  </si>
  <si>
    <t xml:space="preserve">F:\Données chgh\2020-CHG-CZA-Test-2\plaque 1/@08 Pro 12/E8_03.tif </t>
  </si>
  <si>
    <t xml:space="preserve"> 2227.8791 </t>
  </si>
  <si>
    <t xml:space="preserve"> 64.7767 </t>
  </si>
  <si>
    <t>F:\Données chgh\2020-CHG-CZA-Test-2\plaque 1/@08 Pro 12/F8_01- exclu.tif</t>
  </si>
  <si>
    <t xml:space="preserve">F:\Données chgh\2020-CHG-CZA-Test-2\plaque 1/@08 Pro 12/F8_02.tif </t>
  </si>
  <si>
    <t xml:space="preserve"> 5515.6231 </t>
  </si>
  <si>
    <t xml:space="preserve"> 67.2235 </t>
  </si>
  <si>
    <t xml:space="preserve">F:\Données chgh\2020-CHG-CZA-Test-2\plaque 1/@08 Pro 12/F8_03.tif </t>
  </si>
  <si>
    <t xml:space="preserve"> 1384.3133 </t>
  </si>
  <si>
    <t xml:space="preserve"> 64.2188 </t>
  </si>
  <si>
    <t xml:space="preserve">F:\Données chgh\2020-CHG-CZA-Test-2\plaque 1/@08 Pro 12/G8_01.tif </t>
  </si>
  <si>
    <t xml:space="preserve"> 4585.5377 </t>
  </si>
  <si>
    <t xml:space="preserve"> 65.6745 </t>
  </si>
  <si>
    <t xml:space="preserve">F:\Données chgh\2020-CHG-CZA-Test-2\plaque 1/@08 Pro 12/G8_02.tif </t>
  </si>
  <si>
    <t xml:space="preserve"> 66.406 </t>
  </si>
  <si>
    <t xml:space="preserve">F:\Données chgh\2020-CHG-CZA-Test-2\plaque 1/@08 Pro 12/G8_03.tif </t>
  </si>
  <si>
    <t xml:space="preserve"> 66.0706 </t>
  </si>
  <si>
    <t xml:space="preserve">F:\Données chgh\2020-CHG-CZA-Test-2\plaque 1/@08 Pro 12/H8_01.tif </t>
  </si>
  <si>
    <t xml:space="preserve"> 71.9212 </t>
  </si>
  <si>
    <t xml:space="preserve">F:\Données chgh\2020-CHG-CZA-Test-2\plaque 1/@08 Pro 12/H8_02.tif </t>
  </si>
  <si>
    <t xml:space="preserve"> 63.0938 </t>
  </si>
  <si>
    <t xml:space="preserve">F:\Données chgh\2020-CHG-CZA-Test-2\plaque 1/@08 Pro 12/H8_03.tif </t>
  </si>
  <si>
    <t xml:space="preserve"> 69.3292 </t>
  </si>
  <si>
    <t xml:space="preserve">F:\Données chgh\2020-CHG-CZA-Test-2\plaque 1/@08 Pro 12/ </t>
  </si>
  <si>
    <t xml:space="preserve"> 66.5482 </t>
  </si>
  <si>
    <t xml:space="preserve"> 2.6562 </t>
  </si>
  <si>
    <t xml:space="preserve"> 295064.208 </t>
  </si>
  <si>
    <t xml:space="preserve"> 237782.566 </t>
  </si>
  <si>
    <t xml:space="preserve">F:\Données chgh\2020-CHG-CZA-Test-2\plaque 1/@09 Pro 37/A9_01.tif </t>
  </si>
  <si>
    <t xml:space="preserve"> 63.2143 </t>
  </si>
  <si>
    <t xml:space="preserve">F:\Données chgh\2020-CHG-CZA-Test-2\plaque 1/@09 Pro 37/A9_02.tif </t>
  </si>
  <si>
    <t xml:space="preserve"> 63.8636 </t>
  </si>
  <si>
    <t>F:\Données chgh\2020-CHG-CZA-Test-2\plaque 1/@09 Pro 37/A9_03- exclu.tif</t>
  </si>
  <si>
    <t xml:space="preserve">F:\Données chgh\2020-CHG-CZA-Test-2\plaque 1/@09 Pro 37/B9_01.tif </t>
  </si>
  <si>
    <t xml:space="preserve"> 4909.9861 </t>
  </si>
  <si>
    <t xml:space="preserve"> 67.7225 </t>
  </si>
  <si>
    <t xml:space="preserve">F:\Données chgh\2020-CHG-CZA-Test-2\plaque 1/@09 Pro 37/B9_02.tif </t>
  </si>
  <si>
    <t xml:space="preserve"> 66.088 </t>
  </si>
  <si>
    <t xml:space="preserve">F:\Données chgh\2020-CHG-CZA-Test-2\plaque 1/@09 Pro 37/B9_03.tif </t>
  </si>
  <si>
    <t xml:space="preserve"> 66.3846 </t>
  </si>
  <si>
    <t xml:space="preserve">F:\Données chgh\2020-CHG-CZA-Test-2\plaque 1/@09 Pro 37/C9_01.tif </t>
  </si>
  <si>
    <t xml:space="preserve"> 71.1133 </t>
  </si>
  <si>
    <t xml:space="preserve">F:\Données chgh\2020-CHG-CZA-Test-2\plaque 1/@09 Pro 37/C9_02.tif </t>
  </si>
  <si>
    <t xml:space="preserve"> 64.7797 </t>
  </si>
  <si>
    <t xml:space="preserve">F:\Données chgh\2020-CHG-CZA-Test-2\plaque 1/@09 Pro 37/C9_03.tif </t>
  </si>
  <si>
    <t xml:space="preserve"> 75.1699 </t>
  </si>
  <si>
    <t xml:space="preserve">F:\Données chgh\2020-CHG-CZA-Test-2\plaque 1/@09 Pro 37/D9_01.tif </t>
  </si>
  <si>
    <t xml:space="preserve"> 1081.4947 </t>
  </si>
  <si>
    <t xml:space="preserve"> 63.64 </t>
  </si>
  <si>
    <t xml:space="preserve">F:\Données chgh\2020-CHG-CZA-Test-2\plaque 1/@09 Pro 37/D9_02.tif </t>
  </si>
  <si>
    <t xml:space="preserve"> 64.6154 </t>
  </si>
  <si>
    <t xml:space="preserve">F:\Données chgh\2020-CHG-CZA-Test-2\plaque 1/@09 Pro 37/D9_03.tif </t>
  </si>
  <si>
    <t xml:space="preserve"> 63.7917 </t>
  </si>
  <si>
    <t xml:space="preserve">F:\Données chgh\2020-CHG-CZA-Test-2\plaque 1/@09 Pro 37/E9_01.tif </t>
  </si>
  <si>
    <t xml:space="preserve"> 70.3379 </t>
  </si>
  <si>
    <t xml:space="preserve">F:\Données chgh\2020-CHG-CZA-Test-2\plaque 1/@09 Pro 37/E9_02.tif </t>
  </si>
  <si>
    <t xml:space="preserve"> 6575.488 </t>
  </si>
  <si>
    <t xml:space="preserve"> 70.1414 </t>
  </si>
  <si>
    <t xml:space="preserve">F:\Données chgh\2020-CHG-CZA-Test-2\plaque 1/@09 Pro 37/E9_03.tif </t>
  </si>
  <si>
    <t xml:space="preserve"> 64.5941 </t>
  </si>
  <si>
    <t xml:space="preserve">F:\Données chgh\2020-CHG-CZA-Test-2\plaque 1/@09 Pro 37/F9_01.tif </t>
  </si>
  <si>
    <t xml:space="preserve"> 4477.3882 </t>
  </si>
  <si>
    <t xml:space="preserve"> 72.8937 </t>
  </si>
  <si>
    <t xml:space="preserve">F:\Données chgh\2020-CHG-CZA-Test-2\plaque 1/@09 Pro 37/F9_02.tif </t>
  </si>
  <si>
    <t xml:space="preserve"> 68.5933 </t>
  </si>
  <si>
    <t xml:space="preserve">F:\Données chgh\2020-CHG-CZA-Test-2\plaque 1/@09 Pro 37/F9_03.tif </t>
  </si>
  <si>
    <t xml:space="preserve"> 69.2455 </t>
  </si>
  <si>
    <t xml:space="preserve">F:\Données chgh\2020-CHG-CZA-Test-2\plaque 1/@09 Pro 37/G9_01.tif </t>
  </si>
  <si>
    <t xml:space="preserve"> 6402.4488 </t>
  </si>
  <si>
    <t xml:space="preserve"> 67.5405 </t>
  </si>
  <si>
    <t xml:space="preserve">F:\Données chgh\2020-CHG-CZA-Test-2\plaque 1/@09 Pro 37/G9_02.tif </t>
  </si>
  <si>
    <t xml:space="preserve"> 389.3381 </t>
  </si>
  <si>
    <t xml:space="preserve">F:\Données chgh\2020-CHG-CZA-Test-2\plaque 1/@09 Pro 37/G9_03.tif </t>
  </si>
  <si>
    <t xml:space="preserve"> 66.4309 </t>
  </si>
  <si>
    <t>F:\Données chgh\2020-CHG-CZA-Test-2\plaque 1/@09 Pro 37/H9_01- exclu.tif</t>
  </si>
  <si>
    <t xml:space="preserve">F:\Données chgh\2020-CHG-CZA-Test-2\plaque 1/@09 Pro 37/H9_02.tif </t>
  </si>
  <si>
    <t xml:space="preserve"> 4758.5768 </t>
  </si>
  <si>
    <t xml:space="preserve"> 68.8182 </t>
  </si>
  <si>
    <t>F:\Données chgh\2020-CHG-CZA-Test-2\plaque 1/@09 Pro 37/H9_03- exclu.tif</t>
  </si>
  <si>
    <t xml:space="preserve">F:\Données chgh\2020-CHG-CZA-Test-2\plaque 1/@09 Pro 37/ </t>
  </si>
  <si>
    <t xml:space="preserve"> 66.8542 </t>
  </si>
  <si>
    <t xml:space="preserve"> 3.3455 </t>
  </si>
  <si>
    <t xml:space="preserve"> 212847.083 </t>
  </si>
  <si>
    <t xml:space="preserve"> 163608.337 </t>
  </si>
  <si>
    <t xml:space="preserve">F:\Données chgh\2020-CHG-CZA-Test-2\plaque 1/@10 Pro 111/A10_01.tif </t>
  </si>
  <si>
    <t xml:space="preserve"> 3157.9646 </t>
  </si>
  <si>
    <t xml:space="preserve"> 64.8219 </t>
  </si>
  <si>
    <t xml:space="preserve">F:\Données chgh\2020-CHG-CZA-Test-2\plaque 1/@10 Pro 111/A10_02.tif </t>
  </si>
  <si>
    <t xml:space="preserve"> 5277.6943 </t>
  </si>
  <si>
    <t xml:space="preserve"> 68.7869 </t>
  </si>
  <si>
    <t xml:space="preserve">F:\Données chgh\2020-CHG-CZA-Test-2\plaque 1/@10 Pro 111/A10_03.tif </t>
  </si>
  <si>
    <t xml:space="preserve"> 6380.8189 </t>
  </si>
  <si>
    <t xml:space="preserve"> 67.2576 </t>
  </si>
  <si>
    <t xml:space="preserve">F:\Données chgh\2020-CHG-CZA-Test-2\plaque 1/@10 Pro 111/B10_01.tif </t>
  </si>
  <si>
    <t xml:space="preserve"> 194.6691 </t>
  </si>
  <si>
    <t xml:space="preserve">F:\Données chgh\2020-CHG-CZA-Test-2\plaque 1/@10 Pro 111/B10_02.tif </t>
  </si>
  <si>
    <t xml:space="preserve"> 64.0167 </t>
  </si>
  <si>
    <t xml:space="preserve">F:\Données chgh\2020-CHG-CZA-Test-2\plaque 1/@10 Pro 111/B10_03.tif </t>
  </si>
  <si>
    <t xml:space="preserve"> 63.0667 </t>
  </si>
  <si>
    <t xml:space="preserve">F:\Données chgh\2020-CHG-CZA-Test-2\plaque 1/@10 Pro 111/C10_01.tif </t>
  </si>
  <si>
    <t xml:space="preserve"> 67.561 </t>
  </si>
  <si>
    <t>F:\Données chgh\2020-CHG-CZA-Test-2\plaque 1/@10 Pro 111/C10_02- exclu.tif</t>
  </si>
  <si>
    <t xml:space="preserve">F:\Données chgh\2020-CHG-CZA-Test-2\plaque 1/@10 Pro 111/C10_03.tif </t>
  </si>
  <si>
    <t xml:space="preserve"> 63.2593 </t>
  </si>
  <si>
    <t xml:space="preserve">F:\Données chgh\2020-CHG-CZA-Test-2\plaque 1/@10 Pro 111/D10_01.tif </t>
  </si>
  <si>
    <t xml:space="preserve"> 4542.2779 </t>
  </si>
  <si>
    <t xml:space="preserve"> 71.8048 </t>
  </si>
  <si>
    <t xml:space="preserve">F:\Données chgh\2020-CHG-CZA-Test-2\plaque 1/@10 Pro 111/D10_02.tif </t>
  </si>
  <si>
    <t xml:space="preserve"> 5083.0252 </t>
  </si>
  <si>
    <t xml:space="preserve"> 69.1447 </t>
  </si>
  <si>
    <t xml:space="preserve">F:\Données chgh\2020-CHG-CZA-Test-2\plaque 1/@10 Pro 111/D10_03.tif </t>
  </si>
  <si>
    <t xml:space="preserve"> 69.6849 </t>
  </si>
  <si>
    <t xml:space="preserve">F:\Données chgh\2020-CHG-CZA-Test-2\plaque 1/@10 Pro 111/E10_01.tif </t>
  </si>
  <si>
    <t xml:space="preserve"> 367.7082 </t>
  </si>
  <si>
    <t xml:space="preserve"> 63.6471 </t>
  </si>
  <si>
    <t xml:space="preserve">F:\Données chgh\2020-CHG-CZA-Test-2\plaque 1/@10 Pro 111/E10_02.tif </t>
  </si>
  <si>
    <t xml:space="preserve"> 64.1429 </t>
  </si>
  <si>
    <t xml:space="preserve">F:\Données chgh\2020-CHG-CZA-Test-2\plaque 1/@10 Pro 111/E10_03.tif </t>
  </si>
  <si>
    <t xml:space="preserve"> 65.7857 </t>
  </si>
  <si>
    <t xml:space="preserve">F:\Données chgh\2020-CHG-CZA-Test-2\plaque 1/@10 Pro 111/F10_01.tif </t>
  </si>
  <si>
    <t xml:space="preserve"> 64.6857 </t>
  </si>
  <si>
    <t xml:space="preserve">F:\Données chgh\2020-CHG-CZA-Test-2\plaque 1/@10 Pro 111/F10_02.tif </t>
  </si>
  <si>
    <t xml:space="preserve"> 66.8614 </t>
  </si>
  <si>
    <t xml:space="preserve">F:\Données chgh\2020-CHG-CZA-Test-2\plaque 1/@10 Pro 111/F10_03.tif </t>
  </si>
  <si>
    <t xml:space="preserve"> 62.0625 </t>
  </si>
  <si>
    <t xml:space="preserve">F:\Données chgh\2020-CHG-CZA-Test-2\plaque 1/@10 Pro 111/G10_01.tif </t>
  </si>
  <si>
    <t xml:space="preserve"> 68.089 </t>
  </si>
  <si>
    <t xml:space="preserve">F:\Données chgh\2020-CHG-CZA-Test-2\plaque 1/@10 Pro 111/G10_02.tif </t>
  </si>
  <si>
    <t xml:space="preserve"> 65.4725 </t>
  </si>
  <si>
    <t xml:space="preserve">F:\Données chgh\2020-CHG-CZA-Test-2\plaque 1/@10 Pro 111/G10_03.tif </t>
  </si>
  <si>
    <t xml:space="preserve"> 67.6 </t>
  </si>
  <si>
    <t xml:space="preserve">F:\Données chgh\2020-CHG-CZA-Test-2\plaque 1/@10 Pro 111/H10_01.tif </t>
  </si>
  <si>
    <t xml:space="preserve"> 2400.9183 </t>
  </si>
  <si>
    <t xml:space="preserve"> 65.955 </t>
  </si>
  <si>
    <t>F:\Données chgh\2020-CHG-CZA-Test-2\plaque 1/@10 Pro 111/H10_02- exclu.tif</t>
  </si>
  <si>
    <t xml:space="preserve">F:\Données chgh\2020-CHG-CZA-Test-2\plaque 1/@10 Pro 111/H10_03.tif </t>
  </si>
  <si>
    <t xml:space="preserve"> 64.3276 </t>
  </si>
  <si>
    <t xml:space="preserve">F:\Données chgh\2020-CHG-CZA-Test-2\plaque 1/@10 Pro 111/ </t>
  </si>
  <si>
    <t xml:space="preserve"> 65.917 </t>
  </si>
  <si>
    <t xml:space="preserve"> 2.4308 </t>
  </si>
  <si>
    <t xml:space="preserve"> 156608.542 </t>
  </si>
  <si>
    <t xml:space="preserve"> 137797.978 </t>
  </si>
  <si>
    <t xml:space="preserve">F:\Données chgh\2020-CHG-CZA-Test-2\plaque 1/@11 Pro 333/A11_01.tif </t>
  </si>
  <si>
    <t xml:space="preserve"> 70.6637 </t>
  </si>
  <si>
    <t xml:space="preserve">F:\Données chgh\2020-CHG-CZA-Test-2\plaque 1/@11 Pro 333/A11_02.tif </t>
  </si>
  <si>
    <t xml:space="preserve"> 5818.4417 </t>
  </si>
  <si>
    <t xml:space="preserve"> 66.9219 </t>
  </si>
  <si>
    <t xml:space="preserve">F:\Données chgh\2020-CHG-CZA-Test-2\plaque 1/@11 Pro 333/A11_03.tif </t>
  </si>
  <si>
    <t xml:space="preserve"> 66.8935 </t>
  </si>
  <si>
    <t xml:space="preserve">F:\Données chgh\2020-CHG-CZA-Test-2\plaque 1/@11 Pro 333/B11_01.tif </t>
  </si>
  <si>
    <t xml:space="preserve"> 3871.7511 </t>
  </si>
  <si>
    <t xml:space="preserve"> 68.9777 </t>
  </si>
  <si>
    <t xml:space="preserve">F:\Données chgh\2020-CHG-CZA-Test-2\plaque 1/@11 Pro 333/B11_02.tif </t>
  </si>
  <si>
    <t xml:space="preserve"> 64.0541 </t>
  </si>
  <si>
    <t xml:space="preserve">F:\Données chgh\2020-CHG-CZA-Test-2\plaque 1/@11 Pro 333/B11_03.tif </t>
  </si>
  <si>
    <t xml:space="preserve"> 63.2857 </t>
  </si>
  <si>
    <t xml:space="preserve">F:\Données chgh\2020-CHG-CZA-Test-2\plaque 1/@11 Pro 333/C11_01.tif </t>
  </si>
  <si>
    <t xml:space="preserve"> 71.7473 </t>
  </si>
  <si>
    <t xml:space="preserve">F:\Données chgh\2020-CHG-CZA-Test-2\plaque 1/@11 Pro 333/C11_02.tif </t>
  </si>
  <si>
    <t xml:space="preserve"> 6856.6766 </t>
  </si>
  <si>
    <t xml:space="preserve"> 70.1861 </t>
  </si>
  <si>
    <t xml:space="preserve">F:\Données chgh\2020-CHG-CZA-Test-2\plaque 1/@11 Pro 333/C11_03.tif </t>
  </si>
  <si>
    <t xml:space="preserve"> 65.4733 </t>
  </si>
  <si>
    <t xml:space="preserve">F:\Données chgh\2020-CHG-CZA-Test-2\plaque 1/@11 Pro 333/D11_01.tif </t>
  </si>
  <si>
    <t xml:space="preserve"> 3633.8223 </t>
  </si>
  <si>
    <t xml:space="preserve">F:\Données chgh\2020-CHG-CZA-Test-2\plaque 1/@11 Pro 333/D11_02.tif </t>
  </si>
  <si>
    <t xml:space="preserve">F:\Données chgh\2020-CHG-CZA-Test-2\plaque 1/@11 Pro 333/D11_03.tif </t>
  </si>
  <si>
    <t xml:space="preserve"> 64.6731 </t>
  </si>
  <si>
    <t xml:space="preserve">F:\Données chgh\2020-CHG-CZA-Test-2\plaque 1/@11 Pro 333/E11_01.tif </t>
  </si>
  <si>
    <t xml:space="preserve"> 67.1169 </t>
  </si>
  <si>
    <t xml:space="preserve">F:\Données chgh\2020-CHG-CZA-Test-2\plaque 1/@11 Pro 333/E11_02.tif </t>
  </si>
  <si>
    <t xml:space="preserve"> 65.3366 </t>
  </si>
  <si>
    <t>F:\Données chgh\2020-CHG-CZA-Test-2\plaque 1/@11 Pro 333/E11_03- exclu.tif</t>
  </si>
  <si>
    <t xml:space="preserve">F:\Données chgh\2020-CHG-CZA-Test-2\plaque 1/@11 Pro 333/F11_01.tif </t>
  </si>
  <si>
    <t xml:space="preserve"> 7570.4631 </t>
  </si>
  <si>
    <t xml:space="preserve"> 68.8229 </t>
  </si>
  <si>
    <t xml:space="preserve">F:\Données chgh\2020-CHG-CZA-Test-2\plaque 1/@11 Pro 333/F11_02.tif </t>
  </si>
  <si>
    <t xml:space="preserve"> 7548.8332 </t>
  </si>
  <si>
    <t xml:space="preserve"> 69.1519 </t>
  </si>
  <si>
    <t xml:space="preserve">F:\Données chgh\2020-CHG-CZA-Test-2\plaque 1/@11 Pro 333/F11_03.tif </t>
  </si>
  <si>
    <t xml:space="preserve"> 71.8785 </t>
  </si>
  <si>
    <t xml:space="preserve">F:\Données chgh\2020-CHG-CZA-Test-2\plaque 1/@11 Pro 333/G11_01.tif </t>
  </si>
  <si>
    <t xml:space="preserve"> 63.5294 </t>
  </si>
  <si>
    <t>F:\Données chgh\2020-CHG-CZA-Test-2\plaque 1/@11 Pro 333/G11_02- exclu.tif</t>
  </si>
  <si>
    <t xml:space="preserve">F:\Données chgh\2020-CHG-CZA-Test-2\plaque 1/@11 Pro 333/G11_03.tif </t>
  </si>
  <si>
    <t xml:space="preserve"> 62.4118 </t>
  </si>
  <si>
    <t xml:space="preserve">F:\Données chgh\2020-CHG-CZA-Test-2\plaque 1/@11 Pro 333/H11_01.tif </t>
  </si>
  <si>
    <t xml:space="preserve"> 71.3366 </t>
  </si>
  <si>
    <t xml:space="preserve">F:\Données chgh\2020-CHG-CZA-Test-2\plaque 1/@11 Pro 333/H11_02.tif </t>
  </si>
  <si>
    <t xml:space="preserve"> 65.7941 </t>
  </si>
  <si>
    <t xml:space="preserve">F:\Données chgh\2020-CHG-CZA-Test-2\plaque 1/@11 Pro 333/H11_03.tif </t>
  </si>
  <si>
    <t xml:space="preserve"> 69.6414 </t>
  </si>
  <si>
    <t xml:space="preserve">F:\Données chgh\2020-CHG-CZA-Test-2\plaque 1/@11 Pro 333/ </t>
  </si>
  <si>
    <t xml:space="preserve"> 66.7387 </t>
  </si>
  <si>
    <t xml:space="preserve"> 3.1841 </t>
  </si>
  <si>
    <t xml:space="preserve"> 248211.125 </t>
  </si>
  <si>
    <t xml:space="preserve"> 178801.163 </t>
  </si>
  <si>
    <t xml:space="preserve">F:\Données chgh\2020-CHG-CZA-Test-2\plaque 1/@12 Pro 1000/A12_01.tif </t>
  </si>
  <si>
    <t xml:space="preserve"> 7029.7158 </t>
  </si>
  <si>
    <t xml:space="preserve"> 71.8062 </t>
  </si>
  <si>
    <t xml:space="preserve">F:\Données chgh\2020-CHG-CZA-Test-2\plaque 1/@12 Pro 1000/A12_02.tif </t>
  </si>
  <si>
    <t xml:space="preserve"> 68.662 </t>
  </si>
  <si>
    <t xml:space="preserve">F:\Données chgh\2020-CHG-CZA-Test-2\plaque 1/@12 Pro 1000/A12_03.tif </t>
  </si>
  <si>
    <t xml:space="preserve"> 7635.3528 </t>
  </si>
  <si>
    <t xml:space="preserve"> 67.9207 </t>
  </si>
  <si>
    <t xml:space="preserve">F:\Données chgh\2020-CHG-CZA-Test-2\plaque 1/@12 Pro 1000/B12_01.tif </t>
  </si>
  <si>
    <t xml:space="preserve"> 6618.7478 </t>
  </si>
  <si>
    <t xml:space="preserve"> 76.2026 </t>
  </si>
  <si>
    <t xml:space="preserve">F:\Données chgh\2020-CHG-CZA-Test-2\plaque 1/@12 Pro 1000/B12_02.tif </t>
  </si>
  <si>
    <t xml:space="preserve"> 4196.1996 </t>
  </si>
  <si>
    <t xml:space="preserve"> 67.4175 </t>
  </si>
  <si>
    <t xml:space="preserve">F:\Données chgh\2020-CHG-CZA-Test-2\plaque 1/@12 Pro 1000/B12_03.tif </t>
  </si>
  <si>
    <t xml:space="preserve"> 66.0211 </t>
  </si>
  <si>
    <t xml:space="preserve">F:\Données chgh\2020-CHG-CZA-Test-2\plaque 1/@12 Pro 1000/C12_01.tif </t>
  </si>
  <si>
    <t xml:space="preserve"> 68.6952 </t>
  </si>
  <si>
    <t xml:space="preserve">F:\Données chgh\2020-CHG-CZA-Test-2\plaque 1/@12 Pro 1000/C12_02.tif </t>
  </si>
  <si>
    <t xml:space="preserve"> 10512.1288 </t>
  </si>
  <si>
    <t xml:space="preserve"> 75.644 </t>
  </si>
  <si>
    <t xml:space="preserve">F:\Données chgh\2020-CHG-CZA-Test-2\plaque 1/@12 Pro 1000/C12_03.tif </t>
  </si>
  <si>
    <t xml:space="preserve"> 66.1503 </t>
  </si>
  <si>
    <t xml:space="preserve">F:\Données chgh\2020-CHG-CZA-Test-2\plaque 1/@12 Pro 1000/D12_01.tif </t>
  </si>
  <si>
    <t xml:space="preserve"> 64.1053 </t>
  </si>
  <si>
    <t>F:\Données chgh\2020-CHG-CZA-Test-2\plaque 1/@12 Pro 1000/D12_02- exclu.tif</t>
  </si>
  <si>
    <t xml:space="preserve">F:\Données chgh\2020-CHG-CZA-Test-2\plaque 1/@12 Pro 1000/D12_03.tif </t>
  </si>
  <si>
    <t xml:space="preserve"> 63.4412 </t>
  </si>
  <si>
    <t xml:space="preserve">F:\Données chgh\2020-CHG-CZA-Test-2\plaque 1/@12 Pro 1000/E12_01.tif </t>
  </si>
  <si>
    <t xml:space="preserve"> 72.2326 </t>
  </si>
  <si>
    <t xml:space="preserve">F:\Données chgh\2020-CHG-CZA-Test-2\plaque 1/@12 Pro 1000/E12_02.tif </t>
  </si>
  <si>
    <t xml:space="preserve"> 8716.8475 </t>
  </si>
  <si>
    <t xml:space="preserve"> 72.1886 </t>
  </si>
  <si>
    <t xml:space="preserve">F:\Données chgh\2020-CHG-CZA-Test-2\plaque 1/@12 Pro 1000/E12_03.tif </t>
  </si>
  <si>
    <t xml:space="preserve"> 4801.8366 </t>
  </si>
  <si>
    <t xml:space="preserve"> 69.464 </t>
  </si>
  <si>
    <t xml:space="preserve">F:\Données chgh\2020-CHG-CZA-Test-2\plaque 1/@12 Pro 1000/F12_01.tif </t>
  </si>
  <si>
    <t xml:space="preserve"> 65.1333 </t>
  </si>
  <si>
    <t xml:space="preserve">F:\Données chgh\2020-CHG-CZA-Test-2\plaque 1/@12 Pro 1000/F12_02.tif </t>
  </si>
  <si>
    <t xml:space="preserve"> 65.4 </t>
  </si>
  <si>
    <t xml:space="preserve">F:\Données chgh\2020-CHG-CZA-Test-2\plaque 1/@12 Pro 1000/F12_03.tif </t>
  </si>
  <si>
    <t xml:space="preserve"> 63.8226 </t>
  </si>
  <si>
    <t xml:space="preserve">F:\Données chgh\2020-CHG-CZA-Test-2\plaque 1/@12 Pro 1000/G12_01.tif </t>
  </si>
  <si>
    <t xml:space="preserve"> 68.4536 </t>
  </si>
  <si>
    <t xml:space="preserve">F:\Données chgh\2020-CHG-CZA-Test-2\plaque 1/@12 Pro 1000/G12_02.tif </t>
  </si>
  <si>
    <t xml:space="preserve"> 72.0308 </t>
  </si>
  <si>
    <t xml:space="preserve">F:\Données chgh\2020-CHG-CZA-Test-2\plaque 1/@12 Pro 1000/G12_03.tif </t>
  </si>
  <si>
    <t xml:space="preserve"> 63.5273 </t>
  </si>
  <si>
    <t>F:\Données chgh\2020-CHG-CZA-Test-2\plaque 1/@12 Pro 1000/H12_01- exclu.tif</t>
  </si>
  <si>
    <t xml:space="preserve">F:\Données chgh\2020-CHG-CZA-Test-2\plaque 1/@12 Pro 1000/H12_02.tif </t>
  </si>
  <si>
    <t xml:space="preserve"> 5558.8829 </t>
  </si>
  <si>
    <t xml:space="preserve"> 70.9572 </t>
  </si>
  <si>
    <t xml:space="preserve">F:\Données chgh\2020-CHG-CZA-Test-2\plaque 1/@12 Pro 1000/H12_03.tif </t>
  </si>
  <si>
    <t xml:space="preserve"> 3741.9718 </t>
  </si>
  <si>
    <t xml:space="preserve"> 68.0462 </t>
  </si>
  <si>
    <t xml:space="preserve">F:\Données chgh\2020-CHG-CZA-Test-2\plaque 1/@12 Pro 1000/ </t>
  </si>
  <si>
    <t xml:space="preserve"> 68.5699 </t>
  </si>
  <si>
    <t xml:space="preserve"> 3.9098 </t>
  </si>
  <si>
    <t xml:space="preserve"> 358886.833 </t>
  </si>
  <si>
    <t xml:space="preserve"> 239510.377 </t>
  </si>
  <si>
    <t xml:space="preserve">F:\Données chgh\2020-CHG-CZA-Test-2\plaque 2/@13 Testo 30/A1_01.tif </t>
  </si>
  <si>
    <t xml:space="preserve"> 40383.0133 </t>
  </si>
  <si>
    <t xml:space="preserve"> 78.7033 </t>
  </si>
  <si>
    <t xml:space="preserve">F:\Données chgh\2020-CHG-CZA-Test-2\plaque 2/@13 Testo 30/A1_02.tif </t>
  </si>
  <si>
    <t xml:space="preserve"> 40945.3905 </t>
  </si>
  <si>
    <t xml:space="preserve"> 73.4601 </t>
  </si>
  <si>
    <t xml:space="preserve">F:\Données chgh\2020-CHG-CZA-Test-2\plaque 2/@13 Testo 30/A1_03.tif </t>
  </si>
  <si>
    <t xml:space="preserve"> 46871.9817 </t>
  </si>
  <si>
    <t xml:space="preserve"> 72.2529 </t>
  </si>
  <si>
    <t xml:space="preserve">F:\Données chgh\2020-CHG-CZA-Test-2\plaque 2/@13 Testo 30/B1_01.tif </t>
  </si>
  <si>
    <t xml:space="preserve"> 50657.2132 </t>
  </si>
  <si>
    <t xml:space="preserve"> 78.1836 </t>
  </si>
  <si>
    <t xml:space="preserve">F:\Données chgh\2020-CHG-CZA-Test-2\plaque 2/@13 Testo 30/B1_02.tif </t>
  </si>
  <si>
    <t xml:space="preserve"> 45617.4478 </t>
  </si>
  <si>
    <t xml:space="preserve"> 78.0569 </t>
  </si>
  <si>
    <t>F:\Données chgh\2020-CHG-CZA-Test-2\plaque 2/@13 Testo 30/B1_03- exclu.tif</t>
  </si>
  <si>
    <t xml:space="preserve">F:\Données chgh\2020-CHG-CZA-Test-2\plaque 2/@13 Testo 30/C1_01.tif </t>
  </si>
  <si>
    <t xml:space="preserve"> 66.4967 </t>
  </si>
  <si>
    <t xml:space="preserve">F:\Données chgh\2020-CHG-CZA-Test-2\plaque 2/@13 Testo 30/C1_02.tif </t>
  </si>
  <si>
    <t xml:space="preserve"> 9755.0825 </t>
  </si>
  <si>
    <t xml:space="preserve"> 65.1086 </t>
  </si>
  <si>
    <t xml:space="preserve">F:\Données chgh\2020-CHG-CZA-Test-2\plaque 2/@13 Testo 30/C1_03.tif </t>
  </si>
  <si>
    <t xml:space="preserve"> 11507.1039 </t>
  </si>
  <si>
    <t xml:space="preserve"> 66.1805 </t>
  </si>
  <si>
    <t xml:space="preserve">F:\Données chgh\2020-CHG-CZA-Test-2\plaque 2/@13 Testo 30/D1_01.tif </t>
  </si>
  <si>
    <t xml:space="preserve"> 29113.8382 </t>
  </si>
  <si>
    <t xml:space="preserve"> 71.399 </t>
  </si>
  <si>
    <t xml:space="preserve">F:\Données chgh\2020-CHG-CZA-Test-2\plaque 2/@13 Testo 30/D1_02.tif </t>
  </si>
  <si>
    <t xml:space="preserve"> 30022.2937 </t>
  </si>
  <si>
    <t xml:space="preserve"> 69.9438 </t>
  </si>
  <si>
    <t xml:space="preserve">F:\Données chgh\2020-CHG-CZA-Test-2\plaque 2/@13 Testo 30/D1_03.tif </t>
  </si>
  <si>
    <t xml:space="preserve"> 31147.0483 </t>
  </si>
  <si>
    <t xml:space="preserve"> 69.8965 </t>
  </si>
  <si>
    <t>F:\Données chgh\2020-CHG-CZA-Test-2\plaque 2/@13 Testo 30/E1_01- exclu.tif</t>
  </si>
  <si>
    <t xml:space="preserve">F:\Données chgh\2020-CHG-CZA-Test-2\plaque 2/@13 Testo 30/E1_02.tif </t>
  </si>
  <si>
    <t xml:space="preserve"> 26258.6921 </t>
  </si>
  <si>
    <t xml:space="preserve"> 71.1474 </t>
  </si>
  <si>
    <t xml:space="preserve">F:\Données chgh\2020-CHG-CZA-Test-2\plaque 2/@13 Testo 30/E1_03.tif </t>
  </si>
  <si>
    <t xml:space="preserve"> 30844.2297 </t>
  </si>
  <si>
    <t xml:space="preserve"> 71.4586 </t>
  </si>
  <si>
    <t xml:space="preserve">F:\Données chgh\2020-CHG-CZA-Test-2\plaque 2/@13 Testo 30/F1_01.tif </t>
  </si>
  <si>
    <t xml:space="preserve"> 66.8304 </t>
  </si>
  <si>
    <t xml:space="preserve">F:\Données chgh\2020-CHG-CZA-Test-2\plaque 2/@13 Testo 30/F1_02.tif </t>
  </si>
  <si>
    <t xml:space="preserve"> 16135.9014 </t>
  </si>
  <si>
    <t xml:space="preserve"> 67.4946 </t>
  </si>
  <si>
    <t xml:space="preserve">F:\Données chgh\2020-CHG-CZA-Test-2\plaque 2/@13 Testo 30/F1_03.tif </t>
  </si>
  <si>
    <t xml:space="preserve"> 68.3507 </t>
  </si>
  <si>
    <t xml:space="preserve">F:\Données chgh\2020-CHG-CZA-Test-2\plaque 2/@13 Testo 30/G1_01.tif </t>
  </si>
  <si>
    <t xml:space="preserve"> 65.8809 </t>
  </si>
  <si>
    <t>F:\Données chgh\2020-CHG-CZA-Test-2\plaque 2/@13 Testo 30/G1_02- exclu.tif</t>
  </si>
  <si>
    <t xml:space="preserve">F:\Données chgh\2020-CHG-CZA-Test-2\plaque 2/@13 Testo 30/G1_03.tif </t>
  </si>
  <si>
    <t xml:space="preserve"> 7830.0219 </t>
  </si>
  <si>
    <t xml:space="preserve"> 66.4227 </t>
  </si>
  <si>
    <t xml:space="preserve">F:\Données chgh\2020-CHG-CZA-Test-2\plaque 2/@13 Testo 30/H1_01.tif </t>
  </si>
  <si>
    <t xml:space="preserve"> 46158.1951 </t>
  </si>
  <si>
    <t xml:space="preserve"> 76.9714 </t>
  </si>
  <si>
    <t>F:\Données chgh\2020-CHG-CZA-Test-2\plaque 2/@13 Testo 30/H1_02- exclu.tif</t>
  </si>
  <si>
    <t xml:space="preserve">F:\Données chgh\2020-CHG-CZA-Test-2\plaque 2/@13 Testo 30/H1_03.tif </t>
  </si>
  <si>
    <t xml:space="preserve"> 46936.8713 </t>
  </si>
  <si>
    <t xml:space="preserve"> 80.6525 </t>
  </si>
  <si>
    <t xml:space="preserve">F:\Données chgh\2020-CHG-CZA-Test-2\plaque 2/@13 Testo 30/ </t>
  </si>
  <si>
    <t xml:space="preserve"> 70.8588 </t>
  </si>
  <si>
    <t xml:space="preserve"> 4.6189 </t>
  </si>
  <si>
    <t xml:space="preserve"> 2004058.46 </t>
  </si>
  <si>
    <t xml:space="preserve"> 1155461.72 </t>
  </si>
  <si>
    <t xml:space="preserve">F:\Données chgh\2020-CHG-CZA-Test-2\plaque 2/@14 Testo 30/A2_01.tif </t>
  </si>
  <si>
    <t xml:space="preserve"> 60758.374 </t>
  </si>
  <si>
    <t xml:space="preserve"> 75.058 </t>
  </si>
  <si>
    <t xml:space="preserve">F:\Données chgh\2020-CHG-CZA-Test-2\plaque 2/@14 Testo 30/A2_02.tif </t>
  </si>
  <si>
    <t xml:space="preserve"> 57384.1105 </t>
  </si>
  <si>
    <t xml:space="preserve"> 74.0245 </t>
  </si>
  <si>
    <t xml:space="preserve">F:\Données chgh\2020-CHG-CZA-Test-2\plaque 2/@14 Testo 30/A2_03.tif </t>
  </si>
  <si>
    <t xml:space="preserve"> 55913.2776 </t>
  </si>
  <si>
    <t xml:space="preserve"> 75.3544 </t>
  </si>
  <si>
    <t xml:space="preserve">F:\Données chgh\2020-CHG-CZA-Test-2\plaque 2/@14 Testo 30/B2_01.tif </t>
  </si>
  <si>
    <t xml:space="preserve"> 68.4069 </t>
  </si>
  <si>
    <t>F:\Données chgh\2020-CHG-CZA-Test-2\plaque 2/@14 Testo 30/B2_02- exclu.tif</t>
  </si>
  <si>
    <t xml:space="preserve">F:\Données chgh\2020-CHG-CZA-Test-2\plaque 2/@14 Testo 30/B2_03.tif </t>
  </si>
  <si>
    <t xml:space="preserve"> 9235.965 </t>
  </si>
  <si>
    <t xml:space="preserve"> 70.8876 </t>
  </si>
  <si>
    <t xml:space="preserve">F:\Données chgh\2020-CHG-CZA-Test-2\plaque 2/@14 Testo 30/C2_01.tif </t>
  </si>
  <si>
    <t xml:space="preserve"> 44492.6933 </t>
  </si>
  <si>
    <t xml:space="preserve"> 77.8119 </t>
  </si>
  <si>
    <t xml:space="preserve">F:\Données chgh\2020-CHG-CZA-Test-2\plaque 2/@14 Testo 30/C2_02.tif </t>
  </si>
  <si>
    <t xml:space="preserve"> 42913.7109 </t>
  </si>
  <si>
    <t xml:space="preserve"> 76.7535 </t>
  </si>
  <si>
    <t xml:space="preserve">F:\Données chgh\2020-CHG-CZA-Test-2\plaque 2/@14 Testo 30/C2_03.tif </t>
  </si>
  <si>
    <t xml:space="preserve"> 42221.5543 </t>
  </si>
  <si>
    <t xml:space="preserve"> 76.5717 </t>
  </si>
  <si>
    <t xml:space="preserve">F:\Données chgh\2020-CHG-CZA-Test-2\plaque 2/@14 Testo 30/D2_01.tif </t>
  </si>
  <si>
    <t xml:space="preserve"> 61255.8616 </t>
  </si>
  <si>
    <t xml:space="preserve"> 79.5346 </t>
  </si>
  <si>
    <t xml:space="preserve">F:\Données chgh\2020-CHG-CZA-Test-2\plaque 2/@14 Testo 30/D2_02.tif </t>
  </si>
  <si>
    <t xml:space="preserve"> 53642.1387 </t>
  </si>
  <si>
    <t xml:space="preserve"> 81.7129 </t>
  </si>
  <si>
    <t xml:space="preserve">F:\Données chgh\2020-CHG-CZA-Test-2\plaque 2/@14 Testo 30/D2_03.tif </t>
  </si>
  <si>
    <t xml:space="preserve"> 76.5167 </t>
  </si>
  <si>
    <t xml:space="preserve">F:\Données chgh\2020-CHG-CZA-Test-2\plaque 2/@14 Testo 30/E2_01.tif </t>
  </si>
  <si>
    <t xml:space="preserve"> 62942.9934 </t>
  </si>
  <si>
    <t xml:space="preserve"> 73.9667 </t>
  </si>
  <si>
    <t xml:space="preserve">F:\Données chgh\2020-CHG-CZA-Test-2\plaque 2/@14 Testo 30/E2_02.tif </t>
  </si>
  <si>
    <t xml:space="preserve"> 58314.1959 </t>
  </si>
  <si>
    <t xml:space="preserve"> 73.7077 </t>
  </si>
  <si>
    <t xml:space="preserve">F:\Données chgh\2020-CHG-CZA-Test-2\plaque 2/@14 Testo 30/E2_03.tif </t>
  </si>
  <si>
    <t xml:space="preserve"> 59979.6978 </t>
  </si>
  <si>
    <t xml:space="preserve"> 73.493 </t>
  </si>
  <si>
    <t xml:space="preserve">F:\Données chgh\2020-CHG-CZA-Test-2\plaque 2/@14 Testo 30/F2_01.tif </t>
  </si>
  <si>
    <t xml:space="preserve"> 34997.1695 </t>
  </si>
  <si>
    <t xml:space="preserve"> 71.6323 </t>
  </si>
  <si>
    <t>F:\Données chgh\2020-CHG-CZA-Test-2\plaque 2/@14 Testo 30/F2_02- exclu.tif</t>
  </si>
  <si>
    <t xml:space="preserve">F:\Données chgh\2020-CHG-CZA-Test-2\plaque 2/@14 Testo 30/F2_03.tif </t>
  </si>
  <si>
    <t xml:space="preserve"> 30281.8525 </t>
  </si>
  <si>
    <t xml:space="preserve"> 68.0371 </t>
  </si>
  <si>
    <t xml:space="preserve">F:\Données chgh\2020-CHG-CZA-Test-2\plaque 2/@14 Testo 30/G2_01.tif </t>
  </si>
  <si>
    <t xml:space="preserve"> 7981.4311 </t>
  </si>
  <si>
    <t xml:space="preserve"> 65.7778 </t>
  </si>
  <si>
    <t xml:space="preserve">F:\Données chgh\2020-CHG-CZA-Test-2\plaque 2/@14 Testo 30/G2_02.tif </t>
  </si>
  <si>
    <t xml:space="preserve"> 10317.4597 </t>
  </si>
  <si>
    <t xml:space="preserve"> 66.9518 </t>
  </si>
  <si>
    <t xml:space="preserve">F:\Données chgh\2020-CHG-CZA-Test-2\plaque 2/@14 Testo 30/G2_03.tif </t>
  </si>
  <si>
    <t xml:space="preserve"> 10620.2783 </t>
  </si>
  <si>
    <t xml:space="preserve"> 67.0326 </t>
  </si>
  <si>
    <t>F:\Données chgh\2020-CHG-CZA-Test-2\plaque 2/@14 Testo 30/H2_01- exclu.tif</t>
  </si>
  <si>
    <t xml:space="preserve">F:\Données chgh\2020-CHG-CZA-Test-2\plaque 2/@14 Testo 30/H2_02.tif </t>
  </si>
  <si>
    <t xml:space="preserve"> 77737.8413 </t>
  </si>
  <si>
    <t xml:space="preserve"> 80.6199 </t>
  </si>
  <si>
    <t xml:space="preserve">F:\Données chgh\2020-CHG-CZA-Test-2\plaque 2/@14 Testo 30/H2_03.tif </t>
  </si>
  <si>
    <t xml:space="preserve"> 74428.4674 </t>
  </si>
  <si>
    <t xml:space="preserve"> 78.4095 </t>
  </si>
  <si>
    <t xml:space="preserve">F:\Données chgh\2020-CHG-CZA-Test-2\plaque 2/@14 Testo 30/ </t>
  </si>
  <si>
    <t xml:space="preserve"> 73.3041 </t>
  </si>
  <si>
    <t xml:space="preserve"> 5.0747 </t>
  </si>
  <si>
    <t xml:space="preserve"> 3189343.29 </t>
  </si>
  <si>
    <t xml:space="preserve"> 1892391.42 </t>
  </si>
  <si>
    <t xml:space="preserve">F:\Données chgh\2020-CHG-CZA-Test-2\plaque 2/@15 Testo + EE2/A3_01.tif </t>
  </si>
  <si>
    <t xml:space="preserve"> 77672.9516 </t>
  </si>
  <si>
    <t xml:space="preserve"> 84.5464 </t>
  </si>
  <si>
    <t xml:space="preserve">F:\Données chgh\2020-CHG-CZA-Test-2\plaque 2/@15 Testo + EE2/A3_02.tif </t>
  </si>
  <si>
    <t xml:space="preserve"> 81717.7419 </t>
  </si>
  <si>
    <t xml:space="preserve"> 85.0889 </t>
  </si>
  <si>
    <t xml:space="preserve">F:\Données chgh\2020-CHG-CZA-Test-2\plaque 2/@15 Testo + EE2/A3_03.tif </t>
  </si>
  <si>
    <t xml:space="preserve"> 76288.6384 </t>
  </si>
  <si>
    <t xml:space="preserve"> 85.8509 </t>
  </si>
  <si>
    <t xml:space="preserve">F:\Données chgh\2020-CHG-CZA-Test-2\plaque 2/@15 Testo + EE2/B3_01.tif </t>
  </si>
  <si>
    <t xml:space="preserve"> 57470.63 </t>
  </si>
  <si>
    <t xml:space="preserve"> 78.5322 </t>
  </si>
  <si>
    <t xml:space="preserve">F:\Données chgh\2020-CHG-CZA-Test-2\plaque 2/@15 Testo + EE2/B3_02.tif </t>
  </si>
  <si>
    <t xml:space="preserve"> 81.2108 </t>
  </si>
  <si>
    <t xml:space="preserve">F:\Données chgh\2020-CHG-CZA-Test-2\plaque 2/@15 Testo + EE2/B3_03.tif </t>
  </si>
  <si>
    <t xml:space="preserve"> 57405.7403 </t>
  </si>
  <si>
    <t xml:space="preserve"> 76.3832 </t>
  </si>
  <si>
    <t xml:space="preserve">F:\Données chgh\2020-CHG-CZA-Test-2\plaque 2/@15 Testo + EE2/C3_01.tif </t>
  </si>
  <si>
    <t xml:space="preserve"> 54442.4448 </t>
  </si>
  <si>
    <t xml:space="preserve"> 82.2503 </t>
  </si>
  <si>
    <t>F:\Données chgh\2020-CHG-CZA-Test-2\plaque 2/@15 Testo + EE2/C3_02- exclu.tif</t>
  </si>
  <si>
    <t xml:space="preserve">F:\Données chgh\2020-CHG-CZA-Test-2\plaque 2/@15 Testo + EE2/C3_03.tif </t>
  </si>
  <si>
    <t xml:space="preserve"> 53880.0675 </t>
  </si>
  <si>
    <t xml:space="preserve"> 82.6214 </t>
  </si>
  <si>
    <t xml:space="preserve">F:\Données chgh\2020-CHG-CZA-Test-2\plaque 2/@15 Testo + EE2/D3_01.tif </t>
  </si>
  <si>
    <t xml:space="preserve"> 63678.4098 </t>
  </si>
  <si>
    <t xml:space="preserve"> 80.1583 </t>
  </si>
  <si>
    <t xml:space="preserve">F:\Données chgh\2020-CHG-CZA-Test-2\plaque 2/@15 Testo + EE2/D3_02.tif </t>
  </si>
  <si>
    <t xml:space="preserve"> 60239.2565 </t>
  </si>
  <si>
    <t xml:space="preserve"> 79.6657 </t>
  </si>
  <si>
    <t xml:space="preserve">F:\Données chgh\2020-CHG-CZA-Test-2\plaque 2/@15 Testo + EE2/D3_03.tif </t>
  </si>
  <si>
    <t xml:space="preserve"> 58595.3845 </t>
  </si>
  <si>
    <t xml:space="preserve"> 78.6907 </t>
  </si>
  <si>
    <t xml:space="preserve">F:\Données chgh\2020-CHG-CZA-Test-2\plaque 2/@15 Testo + EE2/E3_01.tif </t>
  </si>
  <si>
    <t xml:space="preserve"> 58487.2351 </t>
  </si>
  <si>
    <t xml:space="preserve"> 76.9919 </t>
  </si>
  <si>
    <t xml:space="preserve">F:\Données chgh\2020-CHG-CZA-Test-2\plaque 2/@15 Testo + EE2/E3_02.tif </t>
  </si>
  <si>
    <t xml:space="preserve"> 51262.8503 </t>
  </si>
  <si>
    <t xml:space="preserve"> 76.4869 </t>
  </si>
  <si>
    <t xml:space="preserve">F:\Données chgh\2020-CHG-CZA-Test-2\plaque 2/@15 Testo + EE2/E3_03.tif </t>
  </si>
  <si>
    <t xml:space="preserve"> 45466.0385 </t>
  </si>
  <si>
    <t xml:space="preserve"> 73.8297 </t>
  </si>
  <si>
    <t xml:space="preserve">F:\Données chgh\2020-CHG-CZA-Test-2\plaque 2/@15 Testo + EE2/F3_01.tif </t>
  </si>
  <si>
    <t xml:space="preserve"> 44298.0242 </t>
  </si>
  <si>
    <t xml:space="preserve"> 79.0625 </t>
  </si>
  <si>
    <t xml:space="preserve">F:\Données chgh\2020-CHG-CZA-Test-2\plaque 2/@15 Testo + EE2/F3_02.tif </t>
  </si>
  <si>
    <t xml:space="preserve"> 47045.0208 </t>
  </si>
  <si>
    <t xml:space="preserve"> 78.7205 </t>
  </si>
  <si>
    <t xml:space="preserve">F:\Données chgh\2020-CHG-CZA-Test-2\plaque 2/@15 Testo + EE2/F3_03.tif </t>
  </si>
  <si>
    <t xml:space="preserve"> 49056.601 </t>
  </si>
  <si>
    <t xml:space="preserve"> 77.6393 </t>
  </si>
  <si>
    <t xml:space="preserve">F:\Données chgh\2020-CHG-CZA-Test-2\plaque 2/@15 Testo + EE2/G3_01.tif </t>
  </si>
  <si>
    <t xml:space="preserve"> 72871.115 </t>
  </si>
  <si>
    <t xml:space="preserve"> 79.2686 </t>
  </si>
  <si>
    <t xml:space="preserve">F:\Données chgh\2020-CHG-CZA-Test-2\plaque 2/@15 Testo + EE2/G3_02.tif </t>
  </si>
  <si>
    <t xml:space="preserve"> 61558.6801 </t>
  </si>
  <si>
    <t xml:space="preserve"> 77.1237 </t>
  </si>
  <si>
    <t xml:space="preserve">F:\Données chgh\2020-CHG-CZA-Test-2\plaque 2/@15 Testo + EE2/G3_03.tif </t>
  </si>
  <si>
    <t xml:space="preserve"> 62532.0254 </t>
  </si>
  <si>
    <t xml:space="preserve"> 77.7676 </t>
  </si>
  <si>
    <t xml:space="preserve">F:\Données chgh\2020-CHG-CZA-Test-2\plaque 2/@15 Testo + EE2/H3_01.tif </t>
  </si>
  <si>
    <t xml:space="preserve"> 83.1083 </t>
  </si>
  <si>
    <t xml:space="preserve">F:\Données chgh\2020-CHG-CZA-Test-2\plaque 2/@15 Testo + EE2/H3_02.tif </t>
  </si>
  <si>
    <t xml:space="preserve"> 41118.4297 </t>
  </si>
  <si>
    <t xml:space="preserve"> 76.7428 </t>
  </si>
  <si>
    <t xml:space="preserve">F:\Données chgh\2020-CHG-CZA-Test-2\plaque 2/@15 Testo + EE2/H3_03.tif </t>
  </si>
  <si>
    <t xml:space="preserve"> 36013.7746 </t>
  </si>
  <si>
    <t xml:space="preserve"> 76.6937 </t>
  </si>
  <si>
    <t xml:space="preserve">F:\Données chgh\2020-CHG-CZA-Test-2\plaque 2/@15 Testo + EE2/ </t>
  </si>
  <si>
    <t xml:space="preserve"> 79.3409 </t>
  </si>
  <si>
    <t xml:space="preserve"> 3.1725 </t>
  </si>
  <si>
    <t xml:space="preserve"> 4495635.79 </t>
  </si>
  <si>
    <t xml:space="preserve"> 1106115.15 </t>
  </si>
  <si>
    <t xml:space="preserve">F:\Données chgh\2020-CHG-CZA-Test-2\plaque 2/@16 Testo + FAD/A4_01.tif </t>
  </si>
  <si>
    <t xml:space="preserve"> 69.2312 </t>
  </si>
  <si>
    <t xml:space="preserve">F:\Données chgh\2020-CHG-CZA-Test-2\plaque 2/@16 Testo + FAD/A4_02.tif </t>
  </si>
  <si>
    <t xml:space="preserve"> 69.3091 </t>
  </si>
  <si>
    <t>F:\Données chgh\2020-CHG-CZA-Test-2\plaque 2/@16 Testo + FAD/A4_03- exclu.tif</t>
  </si>
  <si>
    <t xml:space="preserve">F:\Données chgh\2020-CHG-CZA-Test-2\plaque 2/@16 Testo + FAD/B4_01.tif </t>
  </si>
  <si>
    <t xml:space="preserve"> 14297.3603 </t>
  </si>
  <si>
    <t xml:space="preserve"> 74.8608 </t>
  </si>
  <si>
    <t xml:space="preserve">F:\Données chgh\2020-CHG-CZA-Test-2\plaque 2/@16 Testo + FAD/B4_02.tif </t>
  </si>
  <si>
    <t xml:space="preserve"> 5429.1036 </t>
  </si>
  <si>
    <t xml:space="preserve"> 68.6375 </t>
  </si>
  <si>
    <t xml:space="preserve">F:\Données chgh\2020-CHG-CZA-Test-2\plaque 2/@16 Testo + FAD/B4_03.tif </t>
  </si>
  <si>
    <t xml:space="preserve"> 64.94 </t>
  </si>
  <si>
    <t xml:space="preserve">F:\Données chgh\2020-CHG-CZA-Test-2\plaque 2/@16 Testo + FAD/C4_01.tif </t>
  </si>
  <si>
    <t xml:space="preserve"> 6013.1107 </t>
  </si>
  <si>
    <t xml:space="preserve"> 69.9137 </t>
  </si>
  <si>
    <t xml:space="preserve">F:\Données chgh\2020-CHG-CZA-Test-2\plaque 2/@16 Testo + FAD/C4_02.tif </t>
  </si>
  <si>
    <t xml:space="preserve"> 67.8612 </t>
  </si>
  <si>
    <t xml:space="preserve">F:\Données chgh\2020-CHG-CZA-Test-2\plaque 2/@16 Testo + FAD/C4_03.tif </t>
  </si>
  <si>
    <t xml:space="preserve"> 2292.7688 </t>
  </si>
  <si>
    <t xml:space="preserve"> 66.0943 </t>
  </si>
  <si>
    <t xml:space="preserve">F:\Données chgh\2020-CHG-CZA-Test-2\plaque 2/@16 Testo + FAD/D4_01.tif </t>
  </si>
  <si>
    <t xml:space="preserve"> 64.76 </t>
  </si>
  <si>
    <t xml:space="preserve">F:\Données chgh\2020-CHG-CZA-Test-2\plaque 2/@16 Testo + FAD/D4_02.tif </t>
  </si>
  <si>
    <t xml:space="preserve"> 64.8492 </t>
  </si>
  <si>
    <t xml:space="preserve">F:\Données chgh\2020-CHG-CZA-Test-2\plaque 2/@16 Testo + FAD/D4_03.tif </t>
  </si>
  <si>
    <t xml:space="preserve"> 65.4571 </t>
  </si>
  <si>
    <t xml:space="preserve">F:\Données chgh\2020-CHG-CZA-Test-2\plaque 2/@16 Testo + FAD/E4_01.tif </t>
  </si>
  <si>
    <t xml:space="preserve"> 4650.4273 </t>
  </si>
  <si>
    <t xml:space="preserve"> 68.4512 </t>
  </si>
  <si>
    <t>F:\Données chgh\2020-CHG-CZA-Test-2\plaque 2/@16 Testo + FAD/E4_02- exclu.tif</t>
  </si>
  <si>
    <t xml:space="preserve">F:\Données chgh\2020-CHG-CZA-Test-2\plaque 2/@16 Testo + FAD/E4_03.tif </t>
  </si>
  <si>
    <t xml:space="preserve"> 66.6432 </t>
  </si>
  <si>
    <t>F:\Données chgh\2020-CHG-CZA-Test-2\plaque 2/@16 Testo + FAD/F4_01- exclu.tif</t>
  </si>
  <si>
    <t xml:space="preserve">F:\Données chgh\2020-CHG-CZA-Test-2\plaque 2/@16 Testo + FAD/F4_02.tif </t>
  </si>
  <si>
    <t xml:space="preserve"> 62.3333 </t>
  </si>
  <si>
    <t xml:space="preserve">F:\Données chgh\2020-CHG-CZA-Test-2\plaque 2/@16 Testo + FAD/F4_03.tif </t>
  </si>
  <si>
    <t xml:space="preserve"> 63.6271 </t>
  </si>
  <si>
    <t>F:\Données chgh\2020-CHG-CZA-Test-2\plaque 2/@16 Testo + FAD/G4_01- exclu.tif</t>
  </si>
  <si>
    <t xml:space="preserve">F:\Données chgh\2020-CHG-CZA-Test-2\plaque 2/@16 Testo + FAD/G4_02.tif </t>
  </si>
  <si>
    <t xml:space="preserve"> 62.3571 </t>
  </si>
  <si>
    <t xml:space="preserve">F:\Données chgh\2020-CHG-CZA-Test-2\plaque 2/@16 Testo + FAD/G4_03.tif </t>
  </si>
  <si>
    <t xml:space="preserve"> 63.25 </t>
  </si>
  <si>
    <t xml:space="preserve">F:\Données chgh\2020-CHG-CZA-Test-2\plaque 2/@16 Testo + FAD/H4_01.tif </t>
  </si>
  <si>
    <t xml:space="preserve"> 68.8547 </t>
  </si>
  <si>
    <t xml:space="preserve">F:\Données chgh\2020-CHG-CZA-Test-2\plaque 2/@16 Testo + FAD/H4_02.tif </t>
  </si>
  <si>
    <t xml:space="preserve"> 67.9565 </t>
  </si>
  <si>
    <t>F:\Données chgh\2020-CHG-CZA-Test-2\plaque 2/@16 Testo + FAD/H4_03- exclu.tif</t>
  </si>
  <si>
    <t xml:space="preserve">F:\Données chgh\2020-CHG-CZA-Test-2\plaque 2/@16 Testo + FAD/ </t>
  </si>
  <si>
    <t xml:space="preserve"> 66.1435 </t>
  </si>
  <si>
    <t xml:space="preserve"> 3.1303 </t>
  </si>
  <si>
    <t xml:space="preserve"> 193191.875 </t>
  </si>
  <si>
    <t xml:space="preserve"> 227394.733 </t>
  </si>
  <si>
    <t xml:space="preserve">F:\Données chgh\2020-CHG-CZA-Test-2\plaque 2/@17 Testo + Pro 12/A5_01.tif </t>
  </si>
  <si>
    <t xml:space="preserve"> 8608.6981 </t>
  </si>
  <si>
    <t xml:space="preserve"> 64.6784 </t>
  </si>
  <si>
    <t xml:space="preserve">F:\Données chgh\2020-CHG-CZA-Test-2\plaque 2/@17 Testo + Pro 12/A5_02.tif </t>
  </si>
  <si>
    <t xml:space="preserve"> 65.45 </t>
  </si>
  <si>
    <t xml:space="preserve">F:\Données chgh\2020-CHG-CZA-Test-2\plaque 2/@17 Testo + Pro 12/A5_03.tif </t>
  </si>
  <si>
    <t xml:space="preserve"> 64.7581 </t>
  </si>
  <si>
    <t>F:\Données chgh\2020-CHG-CZA-Test-2\plaque 2/@17 Testo + Pro 12/B5_01- exclu.tif</t>
  </si>
  <si>
    <t>F:\Données chgh\2020-CHG-CZA-Test-2\plaque 2/@17 Testo + Pro 12/B5_02- exclu.tif</t>
  </si>
  <si>
    <t>F:\Données chgh\2020-CHG-CZA-Test-2\plaque 2/@17 Testo + Pro 12/B5_03- exclu.tif</t>
  </si>
  <si>
    <t xml:space="preserve">F:\Données chgh\2020-CHG-CZA-Test-2\plaque 2/@17 Testo + Pro 12/C5_01.tif </t>
  </si>
  <si>
    <t xml:space="preserve"> 8219.36 </t>
  </si>
  <si>
    <t xml:space="preserve"> 65.8474 </t>
  </si>
  <si>
    <t xml:space="preserve">F:\Données chgh\2020-CHG-CZA-Test-2\plaque 2/@17 Testo + Pro 12/C5_02.tif </t>
  </si>
  <si>
    <t xml:space="preserve"> 11658.5132 </t>
  </si>
  <si>
    <t xml:space="preserve"> 66.1967 </t>
  </si>
  <si>
    <t xml:space="preserve">F:\Données chgh\2020-CHG-CZA-Test-2\plaque 2/@17 Testo + Pro 12/C5_03.tif </t>
  </si>
  <si>
    <t xml:space="preserve"> 3093.0749 </t>
  </si>
  <si>
    <t xml:space="preserve"> 64.3846 </t>
  </si>
  <si>
    <t xml:space="preserve">F:\Données chgh\2020-CHG-CZA-Test-2\plaque 2/@17 Testo + Pro 12/D5_01.tif </t>
  </si>
  <si>
    <t xml:space="preserve"> 36424.7426 </t>
  </si>
  <si>
    <t xml:space="preserve"> 71.2257 </t>
  </si>
  <si>
    <t xml:space="preserve">F:\Données chgh\2020-CHG-CZA-Test-2\plaque 2/@17 Testo + Pro 12/D5_02.tif </t>
  </si>
  <si>
    <t xml:space="preserve"> 27102.258 </t>
  </si>
  <si>
    <t xml:space="preserve"> 68.8611 </t>
  </si>
  <si>
    <t xml:space="preserve">F:\Données chgh\2020-CHG-CZA-Test-2\plaque 2/@17 Testo + Pro 12/D5_03.tif </t>
  </si>
  <si>
    <t xml:space="preserve"> 30779.3401 </t>
  </si>
  <si>
    <t xml:space="preserve"> 73.3324 </t>
  </si>
  <si>
    <t xml:space="preserve">F:\Données chgh\2020-CHG-CZA-Test-2\plaque 2/@17 Testo + Pro 12/E5_01.tif </t>
  </si>
  <si>
    <t xml:space="preserve"> 17628.3641 </t>
  </si>
  <si>
    <t xml:space="preserve"> 65.9706 </t>
  </si>
  <si>
    <t xml:space="preserve">F:\Données chgh\2020-CHG-CZA-Test-2\plaque 2/@17 Testo + Pro 12/E5_02.tif </t>
  </si>
  <si>
    <t xml:space="preserve"> 18991.0475 </t>
  </si>
  <si>
    <t xml:space="preserve"> 66.9544 </t>
  </si>
  <si>
    <t>F:\Données chgh\2020-CHG-CZA-Test-2\plaque 2/@17 Testo + Pro 12/E5_03- exclu.tif</t>
  </si>
  <si>
    <t xml:space="preserve">F:\Données chgh\2020-CHG-CZA-Test-2\plaque 2/@17 Testo + Pro 12/F5_01.tif </t>
  </si>
  <si>
    <t xml:space="preserve"> 23252.1367 </t>
  </si>
  <si>
    <t xml:space="preserve"> 70.0326 </t>
  </si>
  <si>
    <t xml:space="preserve">F:\Données chgh\2020-CHG-CZA-Test-2\plaque 2/@17 Testo + Pro 12/F5_02.tif </t>
  </si>
  <si>
    <t xml:space="preserve"> 16027.7519 </t>
  </si>
  <si>
    <t xml:space="preserve"> 67.9096 </t>
  </si>
  <si>
    <t xml:space="preserve">F:\Données chgh\2020-CHG-CZA-Test-2\plaque 2/@17 Testo + Pro 12/F5_03.tif </t>
  </si>
  <si>
    <t xml:space="preserve"> 70.086 </t>
  </si>
  <si>
    <t xml:space="preserve">F:\Données chgh\2020-CHG-CZA-Test-2\plaque 2/@17 Testo + Pro 12/G5_01.tif </t>
  </si>
  <si>
    <t xml:space="preserve"> 37636.0167 </t>
  </si>
  <si>
    <t xml:space="preserve"> 69.9069 </t>
  </si>
  <si>
    <t xml:space="preserve">F:\Données chgh\2020-CHG-CZA-Test-2\plaque 2/@17 Testo + Pro 12/G5_02.tif </t>
  </si>
  <si>
    <t xml:space="preserve"> 35299.988 </t>
  </si>
  <si>
    <t xml:space="preserve"> 70.1979 </t>
  </si>
  <si>
    <t xml:space="preserve">F:\Données chgh\2020-CHG-CZA-Test-2\plaque 2/@17 Testo + Pro 12/G5_03.tif </t>
  </si>
  <si>
    <t xml:space="preserve"> 23338.6563 </t>
  </si>
  <si>
    <t xml:space="preserve"> 71.3475 </t>
  </si>
  <si>
    <t xml:space="preserve">F:\Données chgh\2020-CHG-CZA-Test-2\plaque 2/@17 Testo + Pro 12/H5_01.tif </t>
  </si>
  <si>
    <t xml:space="preserve"> 34434.7922 </t>
  </si>
  <si>
    <t xml:space="preserve"> 72.2902 </t>
  </si>
  <si>
    <t xml:space="preserve">F:\Données chgh\2020-CHG-CZA-Test-2\plaque 2/@17 Testo + Pro 12/H5_02.tif </t>
  </si>
  <si>
    <t xml:space="preserve"> 28378.4218 </t>
  </si>
  <si>
    <t xml:space="preserve"> 69.1593 </t>
  </si>
  <si>
    <t xml:space="preserve">F:\Données chgh\2020-CHG-CZA-Test-2\plaque 2/@17 Testo + Pro 12/H5_03.tif </t>
  </si>
  <si>
    <t xml:space="preserve"> 29481.5464 </t>
  </si>
  <si>
    <t xml:space="preserve"> 68.8877 </t>
  </si>
  <si>
    <t xml:space="preserve">F:\Données chgh\2020-CHG-CZA-Test-2\plaque 2/@17 Testo + Pro 12/ </t>
  </si>
  <si>
    <t xml:space="preserve"> 67.9206 </t>
  </si>
  <si>
    <t xml:space="preserve"> 2.6882 </t>
  </si>
  <si>
    <t xml:space="preserve"> 1286041.42 </t>
  </si>
  <si>
    <t xml:space="preserve"> 869822.968 </t>
  </si>
  <si>
    <t xml:space="preserve">F:\Données chgh\2020-CHG-CZA-Test-2\plaque 2/@18  Testo + Pro 37/A6_01.tif </t>
  </si>
  <si>
    <t xml:space="preserve"> 34218.4933 </t>
  </si>
  <si>
    <t xml:space="preserve"> 70.6201 </t>
  </si>
  <si>
    <t xml:space="preserve">F:\Données chgh\2020-CHG-CZA-Test-2\plaque 2/@18  Testo + Pro 37/A6_02.tif </t>
  </si>
  <si>
    <t xml:space="preserve"> 37116.8992 </t>
  </si>
  <si>
    <t xml:space="preserve"> 70.7943 </t>
  </si>
  <si>
    <t xml:space="preserve">F:\Données chgh\2020-CHG-CZA-Test-2\plaque 2/@18  Testo + Pro 37/A6_03.tif </t>
  </si>
  <si>
    <t xml:space="preserve"> 36749.191 </t>
  </si>
  <si>
    <t xml:space="preserve"> 70.1995 </t>
  </si>
  <si>
    <t xml:space="preserve">F:\Données chgh\2020-CHG-CZA-Test-2\plaque 2/@18  Testo + Pro 37/B6_01.tif </t>
  </si>
  <si>
    <t xml:space="preserve"> 22668.1296 </t>
  </si>
  <si>
    <t xml:space="preserve"> 67.0296 </t>
  </si>
  <si>
    <t xml:space="preserve">F:\Données chgh\2020-CHG-CZA-Test-2\plaque 2/@18  Testo + Pro 37/B6_02.tif </t>
  </si>
  <si>
    <t xml:space="preserve"> 19683.2041 </t>
  </si>
  <si>
    <t xml:space="preserve"> 66.4396 </t>
  </si>
  <si>
    <t xml:space="preserve">F:\Données chgh\2020-CHG-CZA-Test-2\plaque 2/@18  Testo + Pro 37/B6_03.tif </t>
  </si>
  <si>
    <t xml:space="preserve"> 23598.215 </t>
  </si>
  <si>
    <t xml:space="preserve"> 66.2136 </t>
  </si>
  <si>
    <t xml:space="preserve">F:\Données chgh\2020-CHG-CZA-Test-2\plaque 2/@18  Testo + Pro 37/C6_01.tif </t>
  </si>
  <si>
    <t xml:space="preserve"> 50289.505 </t>
  </si>
  <si>
    <t xml:space="preserve"> 76.092 </t>
  </si>
  <si>
    <t xml:space="preserve">F:\Données chgh\2020-CHG-CZA-Test-2\plaque 2/@18  Testo + Pro 37/C6_02.tif </t>
  </si>
  <si>
    <t xml:space="preserve"> 44168.2448 </t>
  </si>
  <si>
    <t xml:space="preserve"> 76.454 </t>
  </si>
  <si>
    <t xml:space="preserve">F:\Données chgh\2020-CHG-CZA-Test-2\plaque 2/@18  Testo + Pro 37/C6_03.tif </t>
  </si>
  <si>
    <t xml:space="preserve"> 72.5453 </t>
  </si>
  <si>
    <t xml:space="preserve">F:\Données chgh\2020-CHG-CZA-Test-2\plaque 2/@18  Testo + Pro 37/D6_01.tif </t>
  </si>
  <si>
    <t xml:space="preserve"> 37073.6394 </t>
  </si>
  <si>
    <t xml:space="preserve"> 71.6779 </t>
  </si>
  <si>
    <t xml:space="preserve">F:\Données chgh\2020-CHG-CZA-Test-2\plaque 2/@18  Testo + Pro 37/D6_02.tif </t>
  </si>
  <si>
    <t xml:space="preserve"> 70.866 </t>
  </si>
  <si>
    <t xml:space="preserve">F:\Données chgh\2020-CHG-CZA-Test-2\plaque 2/@18  Testo + Pro 37/D6_03.tif </t>
  </si>
  <si>
    <t xml:space="preserve"> 39041.9598 </t>
  </si>
  <si>
    <t xml:space="preserve"> 72.0321 </t>
  </si>
  <si>
    <t xml:space="preserve">F:\Données chgh\2020-CHG-CZA-Test-2\plaque 2/@18  Testo + Pro 37/E6_01.tif </t>
  </si>
  <si>
    <t xml:space="preserve"> 71.2587 </t>
  </si>
  <si>
    <t>F:\Données chgh\2020-CHG-CZA-Test-2\plaque 2/@18  Testo + Pro 37/E6_02- exclu.tif</t>
  </si>
  <si>
    <t xml:space="preserve">F:\Données chgh\2020-CHG-CZA-Test-2\plaque 2/@18  Testo + Pro 37/E6_03.tif </t>
  </si>
  <si>
    <t xml:space="preserve"> 44990.1808 </t>
  </si>
  <si>
    <t xml:space="preserve"> 73.4548 </t>
  </si>
  <si>
    <t xml:space="preserve">F:\Données chgh\2020-CHG-CZA-Test-2\plaque 2/@18  Testo + Pro 37/F6_01.tif </t>
  </si>
  <si>
    <t xml:space="preserve"> 65235.7622 </t>
  </si>
  <si>
    <t xml:space="preserve"> 80.8833 </t>
  </si>
  <si>
    <t xml:space="preserve">F:\Données chgh\2020-CHG-CZA-Test-2\plaque 2/@18  Testo + Pro 37/F6_02.tif </t>
  </si>
  <si>
    <t xml:space="preserve"> 61147.7121 </t>
  </si>
  <si>
    <t xml:space="preserve"> 79.237 </t>
  </si>
  <si>
    <t xml:space="preserve">F:\Données chgh\2020-CHG-CZA-Test-2\plaque 2/@18  Testo + Pro 37/F6_03.tif </t>
  </si>
  <si>
    <t xml:space="preserve"> 61299.1214 </t>
  </si>
  <si>
    <t xml:space="preserve"> 76.7167 </t>
  </si>
  <si>
    <t xml:space="preserve">F:\Données chgh\2020-CHG-CZA-Test-2\plaque 2/@18  Testo + Pro 37/G6_01.tif </t>
  </si>
  <si>
    <t xml:space="preserve"> 30195.3329 </t>
  </si>
  <si>
    <t xml:space="preserve"> 72.4448 </t>
  </si>
  <si>
    <t xml:space="preserve">F:\Données chgh\2020-CHG-CZA-Test-2\plaque 2/@18  Testo + Pro 37/G6_02.tif </t>
  </si>
  <si>
    <t xml:space="preserve"> 31233.5678 </t>
  </si>
  <si>
    <t xml:space="preserve"> 72.7375 </t>
  </si>
  <si>
    <t xml:space="preserve">F:\Données chgh\2020-CHG-CZA-Test-2\plaque 2/@18  Testo + Pro 37/G6_03.tif </t>
  </si>
  <si>
    <t xml:space="preserve"> 24982.5283 </t>
  </si>
  <si>
    <t xml:space="preserve"> 72.045 </t>
  </si>
  <si>
    <t xml:space="preserve">F:\Données chgh\2020-CHG-CZA-Test-2\plaque 2/@18  Testo + Pro 37/H6_01.tif </t>
  </si>
  <si>
    <t xml:space="preserve"> 64.6506 </t>
  </si>
  <si>
    <t xml:space="preserve">F:\Données chgh\2020-CHG-CZA-Test-2\plaque 2/@18  Testo + Pro 37/H6_02.tif </t>
  </si>
  <si>
    <t xml:space="preserve"> 65.7324 </t>
  </si>
  <si>
    <t xml:space="preserve">F:\Données chgh\2020-CHG-CZA-Test-2\plaque 2/@18  Testo + Pro 37/H6_03.tif </t>
  </si>
  <si>
    <t xml:space="preserve"> 64.1604 </t>
  </si>
  <si>
    <t xml:space="preserve">F:\Données chgh\2020-CHG-CZA-Test-2\plaque 2/@18  Testo + Pro 37/ </t>
  </si>
  <si>
    <t xml:space="preserve"> 71.3375 </t>
  </si>
  <si>
    <t xml:space="preserve"> 4.4363 </t>
  </si>
  <si>
    <t xml:space="preserve"> 2572511.79 </t>
  </si>
  <si>
    <t xml:space="preserve"> 1391171.52 </t>
  </si>
  <si>
    <t xml:space="preserve">F:\Données chgh\2020-CHG-CZA-Test-2\plaque 2/@19 Testo + Pro 111/A7_01.tif </t>
  </si>
  <si>
    <t xml:space="preserve"> 32228.543 </t>
  </si>
  <si>
    <t xml:space="preserve"> 69.5597 </t>
  </si>
  <si>
    <t xml:space="preserve">F:\Données chgh\2020-CHG-CZA-Test-2\plaque 2/@19 Testo + Pro 111/A7_02.tif </t>
  </si>
  <si>
    <t xml:space="preserve"> 21673.1544 </t>
  </si>
  <si>
    <t xml:space="preserve"> 67.7026 </t>
  </si>
  <si>
    <t>F:\Données chgh\2020-CHG-CZA-Test-2\plaque 2/@19 Testo + Pro 111/A7_03- exclu.tif</t>
  </si>
  <si>
    <t xml:space="preserve">F:\Données chgh\2020-CHG-CZA-Test-2\plaque 2/@19 Testo + Pro 111/B7_01.tif </t>
  </si>
  <si>
    <t xml:space="preserve"> 27664.6352 </t>
  </si>
  <si>
    <t xml:space="preserve"> 69.5246 </t>
  </si>
  <si>
    <t xml:space="preserve">F:\Données chgh\2020-CHG-CZA-Test-2\plaque 2/@19 Testo + Pro 111/B7_02.tif </t>
  </si>
  <si>
    <t xml:space="preserve"> 23814.514 </t>
  </si>
  <si>
    <t xml:space="preserve"> 69.5322 </t>
  </si>
  <si>
    <t xml:space="preserve">F:\Données chgh\2020-CHG-CZA-Test-2\plaque 2/@19 Testo + Pro 111/B7_03.tif </t>
  </si>
  <si>
    <t xml:space="preserve"> 24182.2222 </t>
  </si>
  <si>
    <t xml:space="preserve"> 69.4401 </t>
  </si>
  <si>
    <t xml:space="preserve">F:\Données chgh\2020-CHG-CZA-Test-2\plaque 2/@19 Testo + Pro 111/C7_01.tif </t>
  </si>
  <si>
    <t xml:space="preserve"> 13843.1326 </t>
  </si>
  <si>
    <t xml:space="preserve"> 67.0391 </t>
  </si>
  <si>
    <t xml:space="preserve">F:\Données chgh\2020-CHG-CZA-Test-2\plaque 2/@19 Testo + Pro 111/C7_02.tif </t>
  </si>
  <si>
    <t xml:space="preserve"> 14816.4778 </t>
  </si>
  <si>
    <t xml:space="preserve"> 66.5547 </t>
  </si>
  <si>
    <t xml:space="preserve">F:\Données chgh\2020-CHG-CZA-Test-2\plaque 2/@19 Testo + Pro 111/C7_03.tif </t>
  </si>
  <si>
    <t xml:space="preserve"> 15660.0437 </t>
  </si>
  <si>
    <t xml:space="preserve"> 67.4213 </t>
  </si>
  <si>
    <t xml:space="preserve">F:\Données chgh\2020-CHG-CZA-Test-2\plaque 2/@19 Testo + Pro 111/D7_01.tif </t>
  </si>
  <si>
    <t xml:space="preserve"> 73.9772 </t>
  </si>
  <si>
    <t xml:space="preserve">F:\Données chgh\2020-CHG-CZA-Test-2\plaque 2/@19 Testo + Pro 111/D7_02.tif </t>
  </si>
  <si>
    <t xml:space="preserve"> 57816.7083 </t>
  </si>
  <si>
    <t xml:space="preserve"> 74.844 </t>
  </si>
  <si>
    <t xml:space="preserve">F:\Données chgh\2020-CHG-CZA-Test-2\plaque 2/@19 Testo + Pro 111/D7_03.tif </t>
  </si>
  <si>
    <t xml:space="preserve"> 49467.569 </t>
  </si>
  <si>
    <t xml:space="preserve"> 71.8408 </t>
  </si>
  <si>
    <t xml:space="preserve">F:\Données chgh\2020-CHG-CZA-Test-2\plaque 2/@19 Testo + Pro 111/E7_01.tif </t>
  </si>
  <si>
    <t xml:space="preserve"> 69.1536 </t>
  </si>
  <si>
    <t xml:space="preserve">F:\Données chgh\2020-CHG-CZA-Test-2\plaque 2/@19 Testo + Pro 111/E7_02.tif </t>
  </si>
  <si>
    <t xml:space="preserve"> 23987.5531 </t>
  </si>
  <si>
    <t xml:space="preserve"> 68.1208 </t>
  </si>
  <si>
    <t xml:space="preserve">F:\Données chgh\2020-CHG-CZA-Test-2\plaque 2/@19 Testo + Pro 111/E7_03.tif </t>
  </si>
  <si>
    <t xml:space="preserve"> 24787.8592 </t>
  </si>
  <si>
    <t xml:space="preserve"> 69.3717 </t>
  </si>
  <si>
    <t xml:space="preserve">F:\Données chgh\2020-CHG-CZA-Test-2\plaque 2/@19 Testo + Pro 111/F7_01.tif </t>
  </si>
  <si>
    <t xml:space="preserve"> 65.0825 </t>
  </si>
  <si>
    <t xml:space="preserve">F:\Données chgh\2020-CHG-CZA-Test-2\plaque 2/@19 Testo + Pro 111/F7_02.tif </t>
  </si>
  <si>
    <t xml:space="preserve"> 3049.8151 </t>
  </si>
  <si>
    <t xml:space="preserve"> 66.3404 </t>
  </si>
  <si>
    <t xml:space="preserve">F:\Données chgh\2020-CHG-CZA-Test-2\plaque 2/@19 Testo + Pro 111/F7_03.tif </t>
  </si>
  <si>
    <t xml:space="preserve"> 63.9891 </t>
  </si>
  <si>
    <t xml:space="preserve">F:\Données chgh\2020-CHG-CZA-Test-2\plaque 2/@19 Testo + Pro 111/G7_01.tif </t>
  </si>
  <si>
    <t xml:space="preserve"> 72.6175 </t>
  </si>
  <si>
    <t xml:space="preserve">F:\Données chgh\2020-CHG-CZA-Test-2\plaque 2/@19 Testo + Pro 111/G7_02.tif </t>
  </si>
  <si>
    <t xml:space="preserve"> 68.4746 </t>
  </si>
  <si>
    <t xml:space="preserve">F:\Données chgh\2020-CHG-CZA-Test-2\plaque 2/@19 Testo + Pro 111/G7_03.tif </t>
  </si>
  <si>
    <t xml:space="preserve"> 70.0738 </t>
  </si>
  <si>
    <t xml:space="preserve">F:\Données chgh\2020-CHG-CZA-Test-2\plaque 2/@19 Testo + Pro 111/H7_01.tif </t>
  </si>
  <si>
    <t xml:space="preserve"> 63.5901 </t>
  </si>
  <si>
    <t xml:space="preserve">F:\Données chgh\2020-CHG-CZA-Test-2\plaque 2/@19 Testo + Pro 111/H7_02.tif </t>
  </si>
  <si>
    <t xml:space="preserve"> 63.759 </t>
  </si>
  <si>
    <t xml:space="preserve">F:\Données chgh\2020-CHG-CZA-Test-2\plaque 2/@19 Testo + Pro 111/H7_03.tif </t>
  </si>
  <si>
    <t xml:space="preserve"> 64.1649 </t>
  </si>
  <si>
    <t xml:space="preserve">F:\Données chgh\2020-CHG-CZA-Test-2\plaque 2/@19 Testo + Pro 111/ </t>
  </si>
  <si>
    <t xml:space="preserve"> 68.2344 </t>
  </si>
  <si>
    <t xml:space="preserve"> 3.1185 </t>
  </si>
  <si>
    <t xml:space="preserve"> 1376077.71 </t>
  </si>
  <si>
    <t xml:space="preserve"> 1216145.74 </t>
  </si>
  <si>
    <t xml:space="preserve">F:\Données chgh\2020-CHG-CZA-Test-2\plaque 2/@20 Testo + Pro 333/A8_01.tif </t>
  </si>
  <si>
    <t xml:space="preserve"> 64.2829 </t>
  </si>
  <si>
    <t xml:space="preserve">F:\Données chgh\2020-CHG-CZA-Test-2\plaque 2/@20 Testo + Pro 333/A8_02.tif </t>
  </si>
  <si>
    <t xml:space="preserve"> 63.5625 </t>
  </si>
  <si>
    <t xml:space="preserve">F:\Données chgh\2020-CHG-CZA-Test-2\plaque 2/@20 Testo + Pro 333/A8_03.tif </t>
  </si>
  <si>
    <t xml:space="preserve"> 11355.6947 </t>
  </si>
  <si>
    <t xml:space="preserve"> 68.9867 </t>
  </si>
  <si>
    <t xml:space="preserve">F:\Données chgh\2020-CHG-CZA-Test-2\plaque 2/@20 Testo + Pro 333/B8_01.tif </t>
  </si>
  <si>
    <t xml:space="preserve"> 30606.3009 </t>
  </si>
  <si>
    <t xml:space="preserve"> 67.1958 </t>
  </si>
  <si>
    <t xml:space="preserve">F:\Données chgh\2020-CHG-CZA-Test-2\plaque 2/@20 Testo + Pro 333/B8_02.tif </t>
  </si>
  <si>
    <t xml:space="preserve"> 23836.1439 </t>
  </si>
  <si>
    <t xml:space="preserve"> 66.2423 </t>
  </si>
  <si>
    <t xml:space="preserve">F:\Données chgh\2020-CHG-CZA-Test-2\plaque 2/@20 Testo + Pro 333/B8_03.tif </t>
  </si>
  <si>
    <t xml:space="preserve"> 65.9002 </t>
  </si>
  <si>
    <t>F:\Données chgh\2020-CHG-CZA-Test-2\plaque 2/@20 Testo + Pro 333/C8_01- exclu.tif</t>
  </si>
  <si>
    <t xml:space="preserve">F:\Données chgh\2020-CHG-CZA-Test-2\plaque 2/@20 Testo + Pro 333/C8_02.tif </t>
  </si>
  <si>
    <t xml:space="preserve"> 68.4777 </t>
  </si>
  <si>
    <t xml:space="preserve">F:\Données chgh\2020-CHG-CZA-Test-2\plaque 2/@20 Testo + Pro 333/C8_03.tif </t>
  </si>
  <si>
    <t xml:space="preserve"> 14167.581 </t>
  </si>
  <si>
    <t xml:space="preserve"> 70.316 </t>
  </si>
  <si>
    <t xml:space="preserve">F:\Données chgh\2020-CHG-CZA-Test-2\plaque 2/@20 Testo + Pro 333/D8_01.tif </t>
  </si>
  <si>
    <t xml:space="preserve"> 28573.0908 </t>
  </si>
  <si>
    <t xml:space="preserve"> 69.134 </t>
  </si>
  <si>
    <t xml:space="preserve">F:\Données chgh\2020-CHG-CZA-Test-2\plaque 2/@20 Testo + Pro 333/D8_02.tif </t>
  </si>
  <si>
    <t xml:space="preserve"> 22559.9801 </t>
  </si>
  <si>
    <t xml:space="preserve"> 68.6117 </t>
  </si>
  <si>
    <t xml:space="preserve">F:\Données chgh\2020-CHG-CZA-Test-2\plaque 2/@20 Testo + Pro 333/D8_03.tif </t>
  </si>
  <si>
    <t xml:space="preserve"> 23901.0336 </t>
  </si>
  <si>
    <t xml:space="preserve"> 68.1466 </t>
  </si>
  <si>
    <t xml:space="preserve">F:\Données chgh\2020-CHG-CZA-Test-2\plaque 2/@20 Testo + Pro 333/E8_01.tif </t>
  </si>
  <si>
    <t xml:space="preserve"> 41161.6895 </t>
  </si>
  <si>
    <t xml:space="preserve"> 69.1618 </t>
  </si>
  <si>
    <t xml:space="preserve">F:\Données chgh\2020-CHG-CZA-Test-2\plaque 2/@20 Testo + Pro 333/E8_02.tif </t>
  </si>
  <si>
    <t xml:space="preserve"> 30909.1194 </t>
  </si>
  <si>
    <t xml:space="preserve"> 67.3814 </t>
  </si>
  <si>
    <t xml:space="preserve">F:\Données chgh\2020-CHG-CZA-Test-2\plaque 2/@20 Testo + Pro 333/E8_03.tif </t>
  </si>
  <si>
    <t xml:space="preserve"> 38155.1341 </t>
  </si>
  <si>
    <t xml:space="preserve"> 69.3095 </t>
  </si>
  <si>
    <t xml:space="preserve">F:\Données chgh\2020-CHG-CZA-Test-2\plaque 2/@20 Testo + Pro 333/F8_01.tif </t>
  </si>
  <si>
    <t xml:space="preserve"> 66.5769 </t>
  </si>
  <si>
    <t xml:space="preserve">F:\Données chgh\2020-CHG-CZA-Test-2\plaque 2/@20 Testo + Pro 333/F8_02.tif </t>
  </si>
  <si>
    <t xml:space="preserve"> 66.5067 </t>
  </si>
  <si>
    <t>F:\Données chgh\2020-CHG-CZA-Test-2\plaque 2/@20 Testo + Pro 333/F8_03- exclu.tif</t>
  </si>
  <si>
    <t>F:\Données chgh\2020-CHG-CZA-Test-2\plaque 2/@20 Testo + Pro 333/G8_01- exclu.tif</t>
  </si>
  <si>
    <t xml:space="preserve">F:\Données chgh\2020-CHG-CZA-Test-2\plaque 2/@20 Testo + Pro 333/G8_02.tif </t>
  </si>
  <si>
    <t xml:space="preserve"> 68.8043 </t>
  </si>
  <si>
    <t xml:space="preserve">F:\Données chgh\2020-CHG-CZA-Test-2\plaque 2/@20 Testo + Pro 333/G8_03.tif </t>
  </si>
  <si>
    <t xml:space="preserve"> 64.5474 </t>
  </si>
  <si>
    <t xml:space="preserve">F:\Données chgh\2020-CHG-CZA-Test-2\plaque 2/@20 Testo + Pro 333/H8_01.tif </t>
  </si>
  <si>
    <t xml:space="preserve"> 68.2581 </t>
  </si>
  <si>
    <t xml:space="preserve">F:\Données chgh\2020-CHG-CZA-Test-2\plaque 2/@20 Testo + Pro 333/H8_02.tif </t>
  </si>
  <si>
    <t xml:space="preserve"> 9452.264 </t>
  </si>
  <si>
    <t xml:space="preserve"> 67.4348 </t>
  </si>
  <si>
    <t xml:space="preserve">F:\Données chgh\2020-CHG-CZA-Test-2\plaque 2/@20 Testo + Pro 333/H8_03.tif </t>
  </si>
  <si>
    <t xml:space="preserve"> 11204.2854 </t>
  </si>
  <si>
    <t xml:space="preserve"> 66.5154 </t>
  </si>
  <si>
    <t xml:space="preserve">F:\Données chgh\2020-CHG-CZA-Test-2\plaque 2/@20 Testo + Pro 333/ </t>
  </si>
  <si>
    <t xml:space="preserve"> 67.7125 </t>
  </si>
  <si>
    <t xml:space="preserve"> 2.6798 </t>
  </si>
  <si>
    <t xml:space="preserve"> 1052383.67 </t>
  </si>
  <si>
    <t xml:space="preserve"> 844910.105 </t>
  </si>
  <si>
    <t>F:\Données chgh\2020-CHG-CZA-Test-2\plaque 2/@21 Testo +  Pro 1000/A9_01- exclu.tif</t>
  </si>
  <si>
    <t xml:space="preserve">F:\Données chgh\2020-CHG-CZA-Test-2\plaque 2/@21 Testo +  Pro 1000/A9_02.tif </t>
  </si>
  <si>
    <t xml:space="preserve"> 66.1 </t>
  </si>
  <si>
    <t xml:space="preserve">F:\Données chgh\2020-CHG-CZA-Test-2\plaque 2/@21 Testo +  Pro 1000/A9_03.tif </t>
  </si>
  <si>
    <t xml:space="preserve"> 67.7863 </t>
  </si>
  <si>
    <t xml:space="preserve">F:\Données chgh\2020-CHG-CZA-Test-2\plaque 2/@21 Testo +  Pro 1000/B9_01.tif </t>
  </si>
  <si>
    <t xml:space="preserve"> 63.931 </t>
  </si>
  <si>
    <t xml:space="preserve">F:\Données chgh\2020-CHG-CZA-Test-2\plaque 2/@21 Testo +  Pro 1000/B9_02.tif </t>
  </si>
  <si>
    <t xml:space="preserve"> 63.6 </t>
  </si>
  <si>
    <t xml:space="preserve">F:\Données chgh\2020-CHG-CZA-Test-2\plaque 2/@21 Testo +  Pro 1000/B9_03.tif </t>
  </si>
  <si>
    <t xml:space="preserve"> 68.7647 </t>
  </si>
  <si>
    <t xml:space="preserve">F:\Données chgh\2020-CHG-CZA-Test-2\plaque 2/@21 Testo +  Pro 1000/C9_01.tif </t>
  </si>
  <si>
    <t xml:space="preserve"> 2573.9575 </t>
  </si>
  <si>
    <t xml:space="preserve"> 64.0252 </t>
  </si>
  <si>
    <t xml:space="preserve">F:\Données chgh\2020-CHG-CZA-Test-2\plaque 2/@21 Testo +  Pro 1000/C9_02.tif </t>
  </si>
  <si>
    <t xml:space="preserve"> 3698.712 </t>
  </si>
  <si>
    <t xml:space="preserve"> 66.462 </t>
  </si>
  <si>
    <t xml:space="preserve">F:\Données chgh\2020-CHG-CZA-Test-2\plaque 2/@21 Testo +  Pro 1000/C9_03.tif </t>
  </si>
  <si>
    <t xml:space="preserve"> 66.3786 </t>
  </si>
  <si>
    <t xml:space="preserve">F:\Données chgh\2020-CHG-CZA-Test-2\plaque 2/@21 Testo +  Pro 1000/D9_01.tif </t>
  </si>
  <si>
    <t xml:space="preserve"> 4736.9469 </t>
  </si>
  <si>
    <t xml:space="preserve"> 64.7215 </t>
  </si>
  <si>
    <t xml:space="preserve">F:\Données chgh\2020-CHG-CZA-Test-2\plaque 2/@21 Testo +  Pro 1000/D9_02.tif </t>
  </si>
  <si>
    <t xml:space="preserve"> 5472.3633 </t>
  </si>
  <si>
    <t xml:space="preserve"> 65.4427 </t>
  </si>
  <si>
    <t xml:space="preserve">F:\Données chgh\2020-CHG-CZA-Test-2\plaque 2/@21 Testo +  Pro 1000/D9_03.tif </t>
  </si>
  <si>
    <t xml:space="preserve"> 64.6939 </t>
  </si>
  <si>
    <t xml:space="preserve">F:\Données chgh\2020-CHG-CZA-Test-2\plaque 2/@21 Testo +  Pro 1000/E9_01.tif </t>
  </si>
  <si>
    <t xml:space="preserve"> 3006.5554 </t>
  </si>
  <si>
    <t xml:space="preserve"> 66.7986 </t>
  </si>
  <si>
    <t xml:space="preserve">F:\Données chgh\2020-CHG-CZA-Test-2\plaque 2/@21 Testo +  Pro 1000/E9_02.tif </t>
  </si>
  <si>
    <t xml:space="preserve"> 64.9877 </t>
  </si>
  <si>
    <t xml:space="preserve">F:\Données chgh\2020-CHG-CZA-Test-2\plaque 2/@21 Testo +  Pro 1000/E9_03.tif </t>
  </si>
  <si>
    <t xml:space="preserve"> 63.5595 </t>
  </si>
  <si>
    <t xml:space="preserve">F:\Données chgh\2020-CHG-CZA-Test-2\plaque 2/@21 Testo +  Pro 1000/F9_01.tif </t>
  </si>
  <si>
    <t xml:space="preserve"> 65.0294 </t>
  </si>
  <si>
    <t xml:space="preserve">F:\Données chgh\2020-CHG-CZA-Test-2\plaque 2/@21 Testo +  Pro 1000/F9_02.tif </t>
  </si>
  <si>
    <t xml:space="preserve"> 64.3243 </t>
  </si>
  <si>
    <t xml:space="preserve">F:\Données chgh\2020-CHG-CZA-Test-2\plaque 2/@21 Testo +  Pro 1000/F9_03.tif </t>
  </si>
  <si>
    <t xml:space="preserve"> 65.0312 </t>
  </si>
  <si>
    <t xml:space="preserve">F:\Données chgh\2020-CHG-CZA-Test-2\plaque 2/@21 Testo +  Pro 1000/G9_01.tif </t>
  </si>
  <si>
    <t xml:space="preserve"> 68.8462 </t>
  </si>
  <si>
    <t xml:space="preserve">F:\Données chgh\2020-CHG-CZA-Test-2\plaque 2/@21 Testo +  Pro 1000/G9_02.tif </t>
  </si>
  <si>
    <t xml:space="preserve"> 66.9814 </t>
  </si>
  <si>
    <t xml:space="preserve">F:\Données chgh\2020-CHG-CZA-Test-2\plaque 2/@21 Testo +  Pro 1000/G9_03.tif </t>
  </si>
  <si>
    <t xml:space="preserve"> 64.6239 </t>
  </si>
  <si>
    <t xml:space="preserve">F:\Données chgh\2020-CHG-CZA-Test-2\plaque 2/@21 Testo +  Pro 1000/H9_01.tif </t>
  </si>
  <si>
    <t xml:space="preserve"> 65.9904 </t>
  </si>
  <si>
    <t>F:\Données chgh\2020-CHG-CZA-Test-2\plaque 2/@21 Testo +  Pro 1000/H9_02- exclu.tif</t>
  </si>
  <si>
    <t>F:\Données chgh\2020-CHG-CZA-Test-2\plaque 2/@21 Testo +  Pro 1000/H9_03- exclu.tif</t>
  </si>
  <si>
    <t xml:space="preserve">F:\Données chgh\2020-CHG-CZA-Test-2\plaque 2/@21 Testo +  Pro 1000/ </t>
  </si>
  <si>
    <t xml:space="preserve"> 65.4746 </t>
  </si>
  <si>
    <t xml:space="preserve"> 1.5694 </t>
  </si>
  <si>
    <t xml:space="preserve"> 161262.583 </t>
  </si>
  <si>
    <t xml:space="preserve"> 102794.811 </t>
  </si>
  <si>
    <t xml:space="preserve">F:\Données chgh\2020-CHG-CZA-Test-3\plaque 1/@01 TS/A1_01.tif </t>
  </si>
  <si>
    <t xml:space="preserve"> 908.4556 </t>
  </si>
  <si>
    <t xml:space="preserve"> 64.4762 </t>
  </si>
  <si>
    <t xml:space="preserve">F:\Données chgh\2020-CHG-CZA-Test-3\plaque 1/@01 TS/A1_02.tif </t>
  </si>
  <si>
    <t xml:space="preserve"> 8349.1393 </t>
  </si>
  <si>
    <t xml:space="preserve"> 68.9611 </t>
  </si>
  <si>
    <t xml:space="preserve">F:\Données chgh\2020-CHG-CZA-Test-3\plaque 1/@01 TS/A1_03.tif </t>
  </si>
  <si>
    <t xml:space="preserve"> 7743.5023 </t>
  </si>
  <si>
    <t xml:space="preserve"> 69.8687 </t>
  </si>
  <si>
    <t xml:space="preserve">F:\Données chgh\2020-CHG-CZA-Test-3\plaque 1/@01 TS/B1_01.tif </t>
  </si>
  <si>
    <t xml:space="preserve"> 65.5833 </t>
  </si>
  <si>
    <t xml:space="preserve">F:\Données chgh\2020-CHG-CZA-Test-3\plaque 1/@01 TS/B1_02.tif </t>
  </si>
  <si>
    <t xml:space="preserve"> 108.1495 </t>
  </si>
  <si>
    <t xml:space="preserve">F:\Données chgh\2020-CHG-CZA-Test-3\plaque 1/@01 TS/B1_03.tif </t>
  </si>
  <si>
    <t xml:space="preserve"> 65.1667 </t>
  </si>
  <si>
    <t xml:space="preserve">F:\Données chgh\2020-CHG-CZA-Test-3\plaque 1/@01 TS/C1_01.tif </t>
  </si>
  <si>
    <t xml:space="preserve"> 67.9542 </t>
  </si>
  <si>
    <t xml:space="preserve">F:\Données chgh\2020-CHG-CZA-Test-3\plaque 1/@01 TS/C1_02.tif </t>
  </si>
  <si>
    <t xml:space="preserve"> 72.3011 </t>
  </si>
  <si>
    <t xml:space="preserve">F:\Données chgh\2020-CHG-CZA-Test-3\plaque 1/@01 TS/C1_03.tif </t>
  </si>
  <si>
    <t>F:\Données chgh\2020-CHG-CZA-Test-3\plaque 1/@01 TS/D1_01- exclu.tif</t>
  </si>
  <si>
    <t xml:space="preserve">F:\Données chgh\2020-CHG-CZA-Test-3\plaque 1/@01 TS/D1_02.tif </t>
  </si>
  <si>
    <t xml:space="preserve"> 69.3242 </t>
  </si>
  <si>
    <t>F:\Données chgh\2020-CHG-CZA-Test-3\plaque 1/@01 TS/D1_03- exclu.tif</t>
  </si>
  <si>
    <t xml:space="preserve">F:\Données chgh\2020-CHG-CZA-Test-3\plaque 1/@01 TS/E1_01.tif </t>
  </si>
  <si>
    <t xml:space="preserve"> 74.5404 </t>
  </si>
  <si>
    <t xml:space="preserve">F:\Données chgh\2020-CHG-CZA-Test-3\plaque 1/@01 TS/E1_02.tif </t>
  </si>
  <si>
    <t xml:space="preserve"> 71.7383 </t>
  </si>
  <si>
    <t xml:space="preserve">F:\Données chgh\2020-CHG-CZA-Test-3\plaque 1/@01 TS/E1_03.tif </t>
  </si>
  <si>
    <t xml:space="preserve"> 75.6787 </t>
  </si>
  <si>
    <t xml:space="preserve">F:\Données chgh\2020-CHG-CZA-Test-3\plaque 1/@01 TS/F1_01.tif </t>
  </si>
  <si>
    <t xml:space="preserve"> 10814.9473 </t>
  </si>
  <si>
    <t xml:space="preserve"> 78.104 </t>
  </si>
  <si>
    <t>F:\Données chgh\2020-CHG-CZA-Test-3\plaque 1/@01 TS/F1_02- exclu.tif</t>
  </si>
  <si>
    <t xml:space="preserve">F:\Données chgh\2020-CHG-CZA-Test-3\plaque 1/@01 TS/F1_03.tif </t>
  </si>
  <si>
    <t xml:space="preserve"> 13778.2429 </t>
  </si>
  <si>
    <t xml:space="preserve"> 72.6452 </t>
  </si>
  <si>
    <t xml:space="preserve">F:\Données chgh\2020-CHG-CZA-Test-3\plaque 1/@01 TS/G1_01.tif </t>
  </si>
  <si>
    <t xml:space="preserve"> 69.1853 </t>
  </si>
  <si>
    <t xml:space="preserve">F:\Données chgh\2020-CHG-CZA-Test-3\plaque 1/@01 TS/G1_02.tif </t>
  </si>
  <si>
    <t xml:space="preserve"> 69.5692 </t>
  </si>
  <si>
    <t>F:\Données chgh\2020-CHG-CZA-Test-3\plaque 1/@01 TS/G1_03- exclu.tif</t>
  </si>
  <si>
    <t xml:space="preserve">F:\Données chgh\2020-CHG-CZA-Test-3\plaque 1/@01 TS/H1_01.tif </t>
  </si>
  <si>
    <t xml:space="preserve"> 65.5714 </t>
  </si>
  <si>
    <t xml:space="preserve">F:\Données chgh\2020-CHG-CZA-Test-3\plaque 1/@01 TS/H1_02.tif </t>
  </si>
  <si>
    <t xml:space="preserve">F:\Données chgh\2020-CHG-CZA-Test-3\plaque 1/@01 TS/H1_03.tif </t>
  </si>
  <si>
    <t xml:space="preserve"> 67.122 </t>
  </si>
  <si>
    <t xml:space="preserve">F:\Données chgh\2020-CHG-CZA-Test-3\plaque 1/@01 TS/ </t>
  </si>
  <si>
    <t xml:space="preserve"> 69.0017 </t>
  </si>
  <si>
    <t xml:space="preserve"> 4.3094 </t>
  </si>
  <si>
    <t xml:space="preserve"> 336906.25 </t>
  </si>
  <si>
    <t xml:space="preserve"> 331610.908 </t>
  </si>
  <si>
    <t xml:space="preserve">F:\Données chgh\2020-CHG-CZA-Test-3\plaque 1/@02 EE2 34/A2_01.tif </t>
  </si>
  <si>
    <t xml:space="preserve"> 65.7196 </t>
  </si>
  <si>
    <t xml:space="preserve">F:\Données chgh\2020-CHG-CZA-Test-3\plaque 1/@02 EE2 34/A2_02.tif </t>
  </si>
  <si>
    <t xml:space="preserve">F:\Données chgh\2020-CHG-CZA-Test-3\plaque 1/@02 EE2 34/A2_03.tif </t>
  </si>
  <si>
    <t xml:space="preserve"> 63.7529 </t>
  </si>
  <si>
    <t xml:space="preserve">F:\Données chgh\2020-CHG-CZA-Test-3\plaque 1/@02 EE2 34/B2_01.tif </t>
  </si>
  <si>
    <t xml:space="preserve"> 67.9953 </t>
  </si>
  <si>
    <t xml:space="preserve">F:\Données chgh\2020-CHG-CZA-Test-3\plaque 1/@02 EE2 34/B2_02.tif </t>
  </si>
  <si>
    <t xml:space="preserve"> 65.951 </t>
  </si>
  <si>
    <t xml:space="preserve">F:\Données chgh\2020-CHG-CZA-Test-3\plaque 1/@02 EE2 34/B2_03.tif </t>
  </si>
  <si>
    <t xml:space="preserve"> 5667.0324 </t>
  </si>
  <si>
    <t xml:space="preserve"> 67.1527 </t>
  </si>
  <si>
    <t xml:space="preserve">F:\Données chgh\2020-CHG-CZA-Test-3\plaque 1/@02 EE2 34/C2_01.tif </t>
  </si>
  <si>
    <t xml:space="preserve"> 1665.5019 </t>
  </si>
  <si>
    <t xml:space="preserve"> 64.7922 </t>
  </si>
  <si>
    <t xml:space="preserve">F:\Données chgh\2020-CHG-CZA-Test-3\plaque 1/@02 EE2 34/C2_02.tif </t>
  </si>
  <si>
    <t xml:space="preserve"> 64.5072 </t>
  </si>
  <si>
    <t xml:space="preserve">F:\Données chgh\2020-CHG-CZA-Test-3\plaque 1/@02 EE2 34/C2_03.tif </t>
  </si>
  <si>
    <t xml:space="preserve"> 64.027 </t>
  </si>
  <si>
    <t xml:space="preserve">F:\Données chgh\2020-CHG-CZA-Test-3\plaque 1/@02 EE2 34/D2_01.tif </t>
  </si>
  <si>
    <t xml:space="preserve"> 68.1324 </t>
  </si>
  <si>
    <t xml:space="preserve">F:\Données chgh\2020-CHG-CZA-Test-3\plaque 1/@02 EE2 34/D2_02.tif </t>
  </si>
  <si>
    <t xml:space="preserve"> 30216.9628 </t>
  </si>
  <si>
    <t xml:space="preserve"> 66.8597 </t>
  </si>
  <si>
    <t xml:space="preserve">F:\Données chgh\2020-CHG-CZA-Test-3\plaque 1/@02 EE2 34/D2_03.tif </t>
  </si>
  <si>
    <t xml:space="preserve"> 67.282 </t>
  </si>
  <si>
    <t xml:space="preserve">F:\Données chgh\2020-CHG-CZA-Test-3\plaque 1/@02 EE2 34/E2_01.tif </t>
  </si>
  <si>
    <t xml:space="preserve"> 2487.4379 </t>
  </si>
  <si>
    <t xml:space="preserve"> 68.113 </t>
  </si>
  <si>
    <t xml:space="preserve">F:\Données chgh\2020-CHG-CZA-Test-3\plaque 1/@02 EE2 34/E2_02.tif </t>
  </si>
  <si>
    <t xml:space="preserve"> 63.5405 </t>
  </si>
  <si>
    <t>F:\Données chgh\2020-CHG-CZA-Test-3\plaque 1/@02 EE2 34/E2_03- exclu.tif</t>
  </si>
  <si>
    <t xml:space="preserve">F:\Données chgh\2020-CHG-CZA-Test-3\plaque 1/@02 EE2 34/F2_01.tif </t>
  </si>
  <si>
    <t xml:space="preserve"> 7656.9827 </t>
  </si>
  <si>
    <t xml:space="preserve"> 71.1045 </t>
  </si>
  <si>
    <t xml:space="preserve">F:\Données chgh\2020-CHG-CZA-Test-3\plaque 1/@02 EE2 34/F2_02.tif </t>
  </si>
  <si>
    <t xml:space="preserve"> 69.4556 </t>
  </si>
  <si>
    <t>F:\Données chgh\2020-CHG-CZA-Test-3\plaque 1/@02 EE2 34/F2_03- exclu.tif</t>
  </si>
  <si>
    <t xml:space="preserve">F:\Données chgh\2020-CHG-CZA-Test-3\plaque 1/@02 EE2 34/G2_01.tif </t>
  </si>
  <si>
    <t xml:space="preserve"> 77.8378 </t>
  </si>
  <si>
    <t xml:space="preserve">F:\Données chgh\2020-CHG-CZA-Test-3\plaque 1/@02 EE2 34/G2_02.tif </t>
  </si>
  <si>
    <t xml:space="preserve"> 77.57 </t>
  </si>
  <si>
    <t xml:space="preserve">F:\Données chgh\2020-CHG-CZA-Test-3\plaque 1/@02 EE2 34/G2_03.tif </t>
  </si>
  <si>
    <t xml:space="preserve"> 778.6762 </t>
  </si>
  <si>
    <t xml:space="preserve"> 64.25 </t>
  </si>
  <si>
    <t xml:space="preserve">F:\Données chgh\2020-CHG-CZA-Test-3\plaque 1/@02 EE2 34/H2_01.tif </t>
  </si>
  <si>
    <t xml:space="preserve"> 6337.5591 </t>
  </si>
  <si>
    <t xml:space="preserve"> 67.0034 </t>
  </si>
  <si>
    <t xml:space="preserve">F:\Données chgh\2020-CHG-CZA-Test-3\plaque 1/@02 EE2 34/H2_02.tif </t>
  </si>
  <si>
    <t xml:space="preserve"> 63.8387 </t>
  </si>
  <si>
    <t xml:space="preserve">F:\Données chgh\2020-CHG-CZA-Test-3\plaque 1/@02 EE2 34/H2_03.tif </t>
  </si>
  <si>
    <t xml:space="preserve"> 61.0769 </t>
  </si>
  <si>
    <t xml:space="preserve">F:\Données chgh\2020-CHG-CZA-Test-3\plaque 1/@02 EE2 34/ </t>
  </si>
  <si>
    <t xml:space="preserve"> 66.6403 </t>
  </si>
  <si>
    <t xml:space="preserve"> 4.1467 </t>
  </si>
  <si>
    <t xml:space="preserve"> 455060.5 </t>
  </si>
  <si>
    <t xml:space="preserve"> 679583.307 </t>
  </si>
  <si>
    <t>F:\Données chgh\2020-CHG-CZA-Test-3\plaque 1/@03 EE2 51/A3_01- exclu.tif</t>
  </si>
  <si>
    <t xml:space="preserve">F:\Données chgh\2020-CHG-CZA-Test-3\plaque 1/@03 EE2 51/A3_02.tif </t>
  </si>
  <si>
    <t xml:space="preserve"> 64.2824 </t>
  </si>
  <si>
    <t xml:space="preserve">F:\Données chgh\2020-CHG-CZA-Test-3\plaque 1/@03 EE2 51/A3_03.tif </t>
  </si>
  <si>
    <t xml:space="preserve"> 62.7024 </t>
  </si>
  <si>
    <t xml:space="preserve">F:\Données chgh\2020-CHG-CZA-Test-3\plaque 1/@03 EE2 51/B3_01.tif </t>
  </si>
  <si>
    <t xml:space="preserve"> 67.1351 </t>
  </si>
  <si>
    <t xml:space="preserve">F:\Données chgh\2020-CHG-CZA-Test-3\plaque 1/@03 EE2 51/B3_02.tif </t>
  </si>
  <si>
    <t xml:space="preserve"> 63.9608 </t>
  </si>
  <si>
    <t xml:space="preserve">F:\Données chgh\2020-CHG-CZA-Test-3\plaque 1/@03 EE2 51/B3_03.tif </t>
  </si>
  <si>
    <t xml:space="preserve"> 63.1714 </t>
  </si>
  <si>
    <t xml:space="preserve">F:\Données chgh\2020-CHG-CZA-Test-3\plaque 1/@03 EE2 51/C3_01.tif </t>
  </si>
  <si>
    <t xml:space="preserve"> 6142.8901 </t>
  </si>
  <si>
    <t xml:space="preserve"> 68.7077 </t>
  </si>
  <si>
    <t xml:space="preserve">F:\Données chgh\2020-CHG-CZA-Test-3\plaque 1/@03 EE2 51/C3_02.tif </t>
  </si>
  <si>
    <t xml:space="preserve"> 4282.7191 </t>
  </si>
  <si>
    <t xml:space="preserve"> 65.904 </t>
  </si>
  <si>
    <t xml:space="preserve">F:\Données chgh\2020-CHG-CZA-Test-3\plaque 1/@03 EE2 51/C3_03.tif </t>
  </si>
  <si>
    <t xml:space="preserve"> 67.7649 </t>
  </si>
  <si>
    <t xml:space="preserve">F:\Données chgh\2020-CHG-CZA-Test-3\plaque 1/@03 EE2 51/D3_01.tif </t>
  </si>
  <si>
    <t xml:space="preserve"> 69.9817 </t>
  </si>
  <si>
    <t xml:space="preserve">F:\Données chgh\2020-CHG-CZA-Test-3\plaque 1/@03 EE2 51/D3_02.tif </t>
  </si>
  <si>
    <t xml:space="preserve"> 4455.7583 </t>
  </si>
  <si>
    <t xml:space="preserve"> 67.9369 </t>
  </si>
  <si>
    <t xml:space="preserve">F:\Données chgh\2020-CHG-CZA-Test-3\plaque 1/@03 EE2 51/D3_03.tif </t>
  </si>
  <si>
    <t xml:space="preserve"> 66.313 </t>
  </si>
  <si>
    <t xml:space="preserve">F:\Données chgh\2020-CHG-CZA-Test-3\plaque 1/@03 EE2 51/E3_01.tif </t>
  </si>
  <si>
    <t xml:space="preserve"> 67.3412 </t>
  </si>
  <si>
    <t xml:space="preserve">F:\Données chgh\2020-CHG-CZA-Test-3\plaque 1/@03 EE2 51/E3_02.tif </t>
  </si>
  <si>
    <t xml:space="preserve"> 8305.8795 </t>
  </si>
  <si>
    <t xml:space="preserve"> 67.6432 </t>
  </si>
  <si>
    <t xml:space="preserve">F:\Données chgh\2020-CHG-CZA-Test-3\plaque 1/@03 EE2 51/E3_03.tif </t>
  </si>
  <si>
    <t xml:space="preserve"> 2249.509 </t>
  </si>
  <si>
    <t xml:space="preserve"> 63.6346 </t>
  </si>
  <si>
    <t xml:space="preserve">F:\Données chgh\2020-CHG-CZA-Test-3\plaque 1/@03 EE2 51/F3_01.tif </t>
  </si>
  <si>
    <t xml:space="preserve"> 66.5674 </t>
  </si>
  <si>
    <t xml:space="preserve">F:\Données chgh\2020-CHG-CZA-Test-3\plaque 1/@03 EE2 51/F3_02.tif </t>
  </si>
  <si>
    <t xml:space="preserve"> 68.0443 </t>
  </si>
  <si>
    <t xml:space="preserve">F:\Données chgh\2020-CHG-CZA-Test-3\plaque 1/@03 EE2 51/F3_03.tif </t>
  </si>
  <si>
    <t xml:space="preserve"> 68.9849 </t>
  </si>
  <si>
    <t xml:space="preserve">F:\Données chgh\2020-CHG-CZA-Test-3\plaque 1/@03 EE2 51/G3_01.tif </t>
  </si>
  <si>
    <t xml:space="preserve"> 8046.3208 </t>
  </si>
  <si>
    <t xml:space="preserve"> 77.1747 </t>
  </si>
  <si>
    <t xml:space="preserve">F:\Données chgh\2020-CHG-CZA-Test-3\plaque 1/@03 EE2 51/G3_02.tif </t>
  </si>
  <si>
    <t xml:space="preserve"> 65.9412 </t>
  </si>
  <si>
    <t xml:space="preserve">F:\Données chgh\2020-CHG-CZA-Test-3\plaque 1/@03 EE2 51/G3_03.tif </t>
  </si>
  <si>
    <t xml:space="preserve"> 64.3737 </t>
  </si>
  <si>
    <t xml:space="preserve">F:\Données chgh\2020-CHG-CZA-Test-3\plaque 1/@03 EE2 51/H3_01.tif </t>
  </si>
  <si>
    <t xml:space="preserve"> 605.637 </t>
  </si>
  <si>
    <t xml:space="preserve"> 66.1071 </t>
  </si>
  <si>
    <t xml:space="preserve">F:\Données chgh\2020-CHG-CZA-Test-3\plaque 1/@03 EE2 51/H3_02.tif </t>
  </si>
  <si>
    <t xml:space="preserve"> 67.6154 </t>
  </si>
  <si>
    <t xml:space="preserve">F:\Données chgh\2020-CHG-CZA-Test-3\plaque 1/@03 EE2 51/H3_03.tif </t>
  </si>
  <si>
    <t xml:space="preserve"> 1232.904 </t>
  </si>
  <si>
    <t xml:space="preserve"> 65.6491 </t>
  </si>
  <si>
    <t xml:space="preserve">F:\Données chgh\2020-CHG-CZA-Test-3\plaque 1/@03 EE2 51/ </t>
  </si>
  <si>
    <t xml:space="preserve"> 66.7051 </t>
  </si>
  <si>
    <t xml:space="preserve"> 2.9733 </t>
  </si>
  <si>
    <t xml:space="preserve"> 249473.833 </t>
  </si>
  <si>
    <t xml:space="preserve"> 164071.225 </t>
  </si>
  <si>
    <t xml:space="preserve">F:\Données chgh\2020-CHG-CZA-Test-3\plaque 1/@04 EE2 76/A4_01.tif </t>
  </si>
  <si>
    <t xml:space="preserve"> 15422.1149 </t>
  </si>
  <si>
    <t xml:space="preserve"> 64.5975 </t>
  </si>
  <si>
    <t xml:space="preserve">F:\Données chgh\2020-CHG-CZA-Test-3\plaque 1/@04 EE2 76/A4_02.tif </t>
  </si>
  <si>
    <t xml:space="preserve"> 13821.5027 </t>
  </si>
  <si>
    <t xml:space="preserve"> 65.2723 </t>
  </si>
  <si>
    <t xml:space="preserve">F:\Données chgh\2020-CHG-CZA-Test-3\plaque 1/@04 EE2 76/A4_03.tif </t>
  </si>
  <si>
    <t xml:space="preserve"> 18818.0083 </t>
  </si>
  <si>
    <t xml:space="preserve"> 66.1839 </t>
  </si>
  <si>
    <t xml:space="preserve">F:\Données chgh\2020-CHG-CZA-Test-3\plaque 1/@04 EE2 76/B4_01.tif </t>
  </si>
  <si>
    <t xml:space="preserve"> 29351.767 </t>
  </si>
  <si>
    <t xml:space="preserve"> 67.0464 </t>
  </si>
  <si>
    <t xml:space="preserve">F:\Données chgh\2020-CHG-CZA-Test-3\plaque 1/@04 EE2 76/B4_02.tif </t>
  </si>
  <si>
    <t xml:space="preserve"> 26107.2828 </t>
  </si>
  <si>
    <t xml:space="preserve"> 66.5576 </t>
  </si>
  <si>
    <t xml:space="preserve">F:\Données chgh\2020-CHG-CZA-Test-3\plaque 1/@04 EE2 76/B4_03.tif </t>
  </si>
  <si>
    <t xml:space="preserve"> 20223.9515 </t>
  </si>
  <si>
    <t xml:space="preserve"> 65.4364 </t>
  </si>
  <si>
    <t xml:space="preserve">F:\Données chgh\2020-CHG-CZA-Test-3\plaque 1/@04 EE2 76/C4_01.tif </t>
  </si>
  <si>
    <t xml:space="preserve"> 8630.328 </t>
  </si>
  <si>
    <t xml:space="preserve"> 65.2481 </t>
  </si>
  <si>
    <t xml:space="preserve">F:\Données chgh\2020-CHG-CZA-Test-3\plaque 1/@04 EE2 76/C4_02.tif </t>
  </si>
  <si>
    <t xml:space="preserve"> 22841.1687 </t>
  </si>
  <si>
    <t xml:space="preserve"> 69.4413 </t>
  </si>
  <si>
    <t xml:space="preserve">F:\Données chgh\2020-CHG-CZA-Test-3\plaque 1/@04 EE2 76/C4_03.tif </t>
  </si>
  <si>
    <t xml:space="preserve"> 7202.7549 </t>
  </si>
  <si>
    <t xml:space="preserve"> 63.7958 </t>
  </si>
  <si>
    <t xml:space="preserve">F:\Données chgh\2020-CHG-CZA-Test-3\plaque 1/@04 EE2 76/D4_01.tif </t>
  </si>
  <si>
    <t xml:space="preserve"> 64.461 </t>
  </si>
  <si>
    <t xml:space="preserve">F:\Données chgh\2020-CHG-CZA-Test-3\plaque 1/@04 EE2 76/D4_02.tif </t>
  </si>
  <si>
    <t xml:space="preserve"> 3655.4522 </t>
  </si>
  <si>
    <t xml:space="preserve"> 65.2899 </t>
  </si>
  <si>
    <t xml:space="preserve">F:\Données chgh\2020-CHG-CZA-Test-3\plaque 1/@04 EE2 76/D4_03.tif </t>
  </si>
  <si>
    <t xml:space="preserve"> 3266.1141 </t>
  </si>
  <si>
    <t xml:space="preserve"> 64.5695 </t>
  </si>
  <si>
    <t xml:space="preserve">F:\Données chgh\2020-CHG-CZA-Test-3\plaque 1/@04 EE2 76/E4_01.tif </t>
  </si>
  <si>
    <t xml:space="preserve"> 23727.9944 </t>
  </si>
  <si>
    <t xml:space="preserve"> 65.4886 </t>
  </si>
  <si>
    <t xml:space="preserve">F:\Données chgh\2020-CHG-CZA-Test-3\plaque 1/@04 EE2 76/E4_02.tif </t>
  </si>
  <si>
    <t xml:space="preserve"> 19012.6774 </t>
  </si>
  <si>
    <t xml:space="preserve"> 65.2787 </t>
  </si>
  <si>
    <t xml:space="preserve">F:\Données chgh\2020-CHG-CZA-Test-3\plaque 1/@04 EE2 76/E4_03.tif </t>
  </si>
  <si>
    <t xml:space="preserve"> 65.1424 </t>
  </si>
  <si>
    <t xml:space="preserve">F:\Données chgh\2020-CHG-CZA-Test-3\plaque 1/@04 EE2 76/F4_01.tif </t>
  </si>
  <si>
    <t xml:space="preserve"> 20029.2824 </t>
  </si>
  <si>
    <t xml:space="preserve"> 75.3272 </t>
  </si>
  <si>
    <t xml:space="preserve">F:\Données chgh\2020-CHG-CZA-Test-3\plaque 1/@04 EE2 76/F4_02.tif </t>
  </si>
  <si>
    <t xml:space="preserve"> 16590.1292 </t>
  </si>
  <si>
    <t xml:space="preserve"> 65.9205 </t>
  </si>
  <si>
    <t xml:space="preserve">F:\Données chgh\2020-CHG-CZA-Test-3\plaque 1/@04 EE2 76/F4_03.tif </t>
  </si>
  <si>
    <t xml:space="preserve"> 18385.4104 </t>
  </si>
  <si>
    <t xml:space="preserve"> 70.1353 </t>
  </si>
  <si>
    <t xml:space="preserve">F:\Données chgh\2020-CHG-CZA-Test-3\plaque 1/@04 EE2 76/G4_01.tif </t>
  </si>
  <si>
    <t xml:space="preserve"> 37030.3796 </t>
  </si>
  <si>
    <t xml:space="preserve"> 67.7845 </t>
  </si>
  <si>
    <t xml:space="preserve">F:\Données chgh\2020-CHG-CZA-Test-3\plaque 1/@04 EE2 76/G4_02.tif </t>
  </si>
  <si>
    <t xml:space="preserve"> 35948.8849 </t>
  </si>
  <si>
    <t xml:space="preserve"> 67.1468 </t>
  </si>
  <si>
    <t xml:space="preserve">F:\Données chgh\2020-CHG-CZA-Test-3\plaque 1/@04 EE2 76/G4_03.tif </t>
  </si>
  <si>
    <t xml:space="preserve"> 38544.4722 </t>
  </si>
  <si>
    <t xml:space="preserve"> 69.7924 </t>
  </si>
  <si>
    <t xml:space="preserve">F:\Données chgh\2020-CHG-CZA-Test-3\plaque 1/@04 EE2 76/H4_01.tif </t>
  </si>
  <si>
    <t xml:space="preserve"> 15508.6344 </t>
  </si>
  <si>
    <t xml:space="preserve"> 69.2859 </t>
  </si>
  <si>
    <t xml:space="preserve">F:\Données chgh\2020-CHG-CZA-Test-3\plaque 1/@04 EE2 76/H4_02.tif </t>
  </si>
  <si>
    <t xml:space="preserve"> 11398.9545 </t>
  </si>
  <si>
    <t xml:space="preserve"> 70.1784 </t>
  </si>
  <si>
    <t xml:space="preserve">F:\Données chgh\2020-CHG-CZA-Test-3\plaque 1/@04 EE2 76/H4_03.tif </t>
  </si>
  <si>
    <t xml:space="preserve"> 9192.7052 </t>
  </si>
  <si>
    <t xml:space="preserve"> 67.3106 </t>
  </si>
  <si>
    <t xml:space="preserve">F:\Données chgh\2020-CHG-CZA-Test-3\plaque 1/@04 EE2 76/ </t>
  </si>
  <si>
    <t xml:space="preserve"> 66.9455 </t>
  </si>
  <si>
    <t xml:space="preserve"> 2.6331 </t>
  </si>
  <si>
    <t xml:space="preserve"> 1229034.83 </t>
  </si>
  <si>
    <t xml:space="preserve"> 696294.643 </t>
  </si>
  <si>
    <t xml:space="preserve">F:\Données chgh\2020-CHG-CZA-Test-3\plaque 1/@05 EE2 114/A5_01.tif </t>
  </si>
  <si>
    <t xml:space="preserve"> 68.8978 </t>
  </si>
  <si>
    <t xml:space="preserve">F:\Données chgh\2020-CHG-CZA-Test-3\plaque 1/@05 EE2 114/A5_02.tif </t>
  </si>
  <si>
    <t xml:space="preserve"> 27513.226 </t>
  </si>
  <si>
    <t xml:space="preserve"> 69.6887 </t>
  </si>
  <si>
    <t xml:space="preserve">F:\Données chgh\2020-CHG-CZA-Test-3\plaque 1/@05 EE2 114/A5_03.tif </t>
  </si>
  <si>
    <t xml:space="preserve"> 26734.5498 </t>
  </si>
  <si>
    <t xml:space="preserve"> 69.8382 </t>
  </si>
  <si>
    <t xml:space="preserve">F:\Données chgh\2020-CHG-CZA-Test-3\plaque 1/@05 EE2 114/B5_01.tif </t>
  </si>
  <si>
    <t xml:space="preserve"> 69.5213 </t>
  </si>
  <si>
    <t xml:space="preserve">F:\Données chgh\2020-CHG-CZA-Test-3\plaque 1/@05 EE2 114/B5_02.tif </t>
  </si>
  <si>
    <t xml:space="preserve"> 57989.7475 </t>
  </si>
  <si>
    <t xml:space="preserve"> 68.9653 </t>
  </si>
  <si>
    <t xml:space="preserve">F:\Données chgh\2020-CHG-CZA-Test-3\plaque 1/@05 EE2 114/B5_03.tif </t>
  </si>
  <si>
    <t xml:space="preserve"> 43281.4192 </t>
  </si>
  <si>
    <t xml:space="preserve"> 68.0185 </t>
  </si>
  <si>
    <t xml:space="preserve">F:\Données chgh\2020-CHG-CZA-Test-3\plaque 1/@05 EE2 114/C5_01.tif </t>
  </si>
  <si>
    <t xml:space="preserve"> 28032.3434 </t>
  </si>
  <si>
    <t xml:space="preserve"> 68.0602 </t>
  </si>
  <si>
    <t xml:space="preserve">F:\Données chgh\2020-CHG-CZA-Test-3\plaque 1/@05 EE2 114/C5_02.tif </t>
  </si>
  <si>
    <t xml:space="preserve"> 29048.9485 </t>
  </si>
  <si>
    <t xml:space="preserve"> 67.624 </t>
  </si>
  <si>
    <t xml:space="preserve">F:\Données chgh\2020-CHG-CZA-Test-3\plaque 1/@05 EE2 114/C5_03.tif </t>
  </si>
  <si>
    <t xml:space="preserve"> 24636.45 </t>
  </si>
  <si>
    <t xml:space="preserve"> 68.5628 </t>
  </si>
  <si>
    <t xml:space="preserve">F:\Données chgh\2020-CHG-CZA-Test-3\plaque 1/@05 EE2 114/D5_01.tif </t>
  </si>
  <si>
    <t xml:space="preserve"> 46828.7219 </t>
  </si>
  <si>
    <t xml:space="preserve"> 71.5654 </t>
  </si>
  <si>
    <t xml:space="preserve">F:\Données chgh\2020-CHG-CZA-Test-3\plaque 1/@05 EE2 114/D5_02.tif </t>
  </si>
  <si>
    <t xml:space="preserve"> 52495.7543 </t>
  </si>
  <si>
    <t xml:space="preserve"> 72.2254 </t>
  </si>
  <si>
    <t xml:space="preserve">F:\Données chgh\2020-CHG-CZA-Test-3\plaque 1/@05 EE2 114/D5_03.tif </t>
  </si>
  <si>
    <t xml:space="preserve"> 40426.2731 </t>
  </si>
  <si>
    <t xml:space="preserve"> 70.9337 </t>
  </si>
  <si>
    <t xml:space="preserve">F:\Données chgh\2020-CHG-CZA-Test-3\plaque 1/@05 EE2 114/E5_01.tif </t>
  </si>
  <si>
    <t xml:space="preserve"> 45790.4869 </t>
  </si>
  <si>
    <t xml:space="preserve"> 70.2145 </t>
  </si>
  <si>
    <t xml:space="preserve">F:\Données chgh\2020-CHG-CZA-Test-3\plaque 1/@05 EE2 114/E5_02.tif </t>
  </si>
  <si>
    <t xml:space="preserve"> 69.21 </t>
  </si>
  <si>
    <t xml:space="preserve">F:\Données chgh\2020-CHG-CZA-Test-3\plaque 1/@05 EE2 114/E5_03.tif </t>
  </si>
  <si>
    <t xml:space="preserve"> 31103.7885 </t>
  </si>
  <si>
    <t xml:space="preserve"> 69.2476 </t>
  </si>
  <si>
    <t xml:space="preserve">F:\Données chgh\2020-CHG-CZA-Test-3\plaque 1/@05 EE2 114/F5_01.tif </t>
  </si>
  <si>
    <t xml:space="preserve"> 39928.7855 </t>
  </si>
  <si>
    <t xml:space="preserve"> 68.3998 </t>
  </si>
  <si>
    <t xml:space="preserve">F:\Données chgh\2020-CHG-CZA-Test-3\plaque 1/@05 EE2 114/F5_02.tif </t>
  </si>
  <si>
    <t xml:space="preserve"> 38717.5114 </t>
  </si>
  <si>
    <t xml:space="preserve"> 68.2721 </t>
  </si>
  <si>
    <t xml:space="preserve">F:\Données chgh\2020-CHG-CZA-Test-3\plaque 1/@05 EE2 114/F5_03.tif </t>
  </si>
  <si>
    <t xml:space="preserve"> 42113.4048 </t>
  </si>
  <si>
    <t xml:space="preserve"> 68.36 </t>
  </si>
  <si>
    <t xml:space="preserve">F:\Données chgh\2020-CHG-CZA-Test-3\plaque 1/@05 EE2 114/G5_01.tif </t>
  </si>
  <si>
    <t xml:space="preserve"> 26431.7312 </t>
  </si>
  <si>
    <t xml:space="preserve"> 66.1399 </t>
  </si>
  <si>
    <t xml:space="preserve">F:\Données chgh\2020-CHG-CZA-Test-3\plaque 1/@05 EE2 114/G5_02.tif </t>
  </si>
  <si>
    <t xml:space="preserve"> 22624.8698 </t>
  </si>
  <si>
    <t xml:space="preserve"> 66.0344 </t>
  </si>
  <si>
    <t xml:space="preserve">F:\Données chgh\2020-CHG-CZA-Test-3\plaque 1/@05 EE2 114/G5_03.tif </t>
  </si>
  <si>
    <t xml:space="preserve"> 65.9386 </t>
  </si>
  <si>
    <t xml:space="preserve">F:\Données chgh\2020-CHG-CZA-Test-3\plaque 1/@05 EE2 114/H5_01.tif </t>
  </si>
  <si>
    <t xml:space="preserve"> 42437.8533 </t>
  </si>
  <si>
    <t xml:space="preserve"> 69.8456 </t>
  </si>
  <si>
    <t>F:\Données chgh\2020-CHG-CZA-Test-3\plaque 1/@05 EE2 114/H5_02- exclu.tif</t>
  </si>
  <si>
    <t xml:space="preserve">F:\Données chgh\2020-CHG-CZA-Test-3\plaque 1/@05 EE2 114/H5_03.tif </t>
  </si>
  <si>
    <t xml:space="preserve"> 35559.5468 </t>
  </si>
  <si>
    <t xml:space="preserve"> 68.1794 </t>
  </si>
  <si>
    <t xml:space="preserve">F:\Données chgh\2020-CHG-CZA-Test-3\plaque 1/@05 EE2 114/ </t>
  </si>
  <si>
    <t xml:space="preserve"> 69.1828 </t>
  </si>
  <si>
    <t xml:space="preserve"> 2.2299 </t>
  </si>
  <si>
    <t xml:space="preserve"> 2603708.46 </t>
  </si>
  <si>
    <t xml:space="preserve"> 779056.307 </t>
  </si>
  <si>
    <t xml:space="preserve">F:\Données chgh\2020-CHG-CZA-Test-3\plaque 1/@06 EE2 171/A6_01.tif </t>
  </si>
  <si>
    <t xml:space="preserve"> 78.2036 </t>
  </si>
  <si>
    <t xml:space="preserve">F:\Données chgh\2020-CHG-CZA-Test-3\plaque 1/@06 EE2 171/A6_02.tif </t>
  </si>
  <si>
    <t xml:space="preserve"> 55545.5694 </t>
  </si>
  <si>
    <t xml:space="preserve"> 78.9178 </t>
  </si>
  <si>
    <t xml:space="preserve">F:\Données chgh\2020-CHG-CZA-Test-3\plaque 1/@06 EE2 171/A6_03.tif </t>
  </si>
  <si>
    <t xml:space="preserve"> 51024.9214 </t>
  </si>
  <si>
    <t xml:space="preserve"> 76.9813 </t>
  </si>
  <si>
    <t xml:space="preserve">F:\Données chgh\2020-CHG-CZA-Test-3\plaque 1/@06 EE2 171/B6_01.tif </t>
  </si>
  <si>
    <t xml:space="preserve"> 70275.5276 </t>
  </si>
  <si>
    <t xml:space="preserve"> 77.4666 </t>
  </si>
  <si>
    <t xml:space="preserve">F:\Données chgh\2020-CHG-CZA-Test-3\plaque 1/@06 EE2 171/B6_02.tif </t>
  </si>
  <si>
    <t xml:space="preserve"> 57016.4022 </t>
  </si>
  <si>
    <t xml:space="preserve"> 81.5899 </t>
  </si>
  <si>
    <t>F:\Données chgh\2020-CHG-CZA-Test-3\plaque 1/@06 EE2 171/B6_03- exclu.tif</t>
  </si>
  <si>
    <t xml:space="preserve">F:\Données chgh\2020-CHG-CZA-Test-3\plaque 1/@06 EE2 171/C6_01.tif </t>
  </si>
  <si>
    <t xml:space="preserve"> 47758.8073 </t>
  </si>
  <si>
    <t xml:space="preserve"> 73.0892 </t>
  </si>
  <si>
    <t xml:space="preserve">F:\Données chgh\2020-CHG-CZA-Test-3\plaque 1/@06 EE2 171/C6_02.tif </t>
  </si>
  <si>
    <t xml:space="preserve"> 44427.8036 </t>
  </si>
  <si>
    <t xml:space="preserve"> 74.2006 </t>
  </si>
  <si>
    <t xml:space="preserve">F:\Données chgh\2020-CHG-CZA-Test-3\plaque 1/@06 EE2 171/C6_03.tif </t>
  </si>
  <si>
    <t xml:space="preserve"> 44081.7253 </t>
  </si>
  <si>
    <t xml:space="preserve"> 73.1266 </t>
  </si>
  <si>
    <t xml:space="preserve">F:\Données chgh\2020-CHG-CZA-Test-3\plaque 1/@06 EE2 171/D6_01.tif </t>
  </si>
  <si>
    <t xml:space="preserve"> 61710.0894 </t>
  </si>
  <si>
    <t xml:space="preserve"> 80.7957 </t>
  </si>
  <si>
    <t xml:space="preserve">F:\Données chgh\2020-CHG-CZA-Test-3\plaque 1/@06 EE2 171/D6_02.tif </t>
  </si>
  <si>
    <t xml:space="preserve"> 52993.2418 </t>
  </si>
  <si>
    <t xml:space="preserve"> 85.6465 </t>
  </si>
  <si>
    <t xml:space="preserve">F:\Données chgh\2020-CHG-CZA-Test-3\plaque 1/@06 EE2 171/D6_03.tif </t>
  </si>
  <si>
    <t xml:space="preserve"> 54182.886 </t>
  </si>
  <si>
    <t xml:space="preserve"> 78.8874 </t>
  </si>
  <si>
    <t xml:space="preserve">F:\Données chgh\2020-CHG-CZA-Test-3\plaque 1/@06 EE2 171/E6_01.tif </t>
  </si>
  <si>
    <t xml:space="preserve"> 51522.409 </t>
  </si>
  <si>
    <t xml:space="preserve"> 76.8442 </t>
  </si>
  <si>
    <t xml:space="preserve">F:\Données chgh\2020-CHG-CZA-Test-3\plaque 1/@06 EE2 171/E6_02.tif </t>
  </si>
  <si>
    <t xml:space="preserve"> 63981.2283 </t>
  </si>
  <si>
    <t xml:space="preserve"> 75.6356 </t>
  </si>
  <si>
    <t>F:\Données chgh\2020-CHG-CZA-Test-3\plaque 1/@06 EE2 171/E6_03- exclu.tif</t>
  </si>
  <si>
    <t xml:space="preserve">F:\Données chgh\2020-CHG-CZA-Test-3\plaque 1/@06 EE2 171/F6_01.tif </t>
  </si>
  <si>
    <t xml:space="preserve"> 39279.8886 </t>
  </si>
  <si>
    <t xml:space="preserve"> 79.5292 </t>
  </si>
  <si>
    <t xml:space="preserve">F:\Données chgh\2020-CHG-CZA-Test-3\plaque 1/@06 EE2 171/F6_02.tif </t>
  </si>
  <si>
    <t xml:space="preserve"> 40707.4617 </t>
  </si>
  <si>
    <t xml:space="preserve"> 78.3539 </t>
  </si>
  <si>
    <t xml:space="preserve">F:\Données chgh\2020-CHG-CZA-Test-3\plaque 1/@06 EE2 171/F6_03.tif </t>
  </si>
  <si>
    <t xml:space="preserve"> 37052.0095 </t>
  </si>
  <si>
    <t xml:space="preserve"> 84.5616 </t>
  </si>
  <si>
    <t xml:space="preserve">F:\Données chgh\2020-CHG-CZA-Test-3\plaque 1/@06 EE2 171/G6_01.tif </t>
  </si>
  <si>
    <t xml:space="preserve"> 57968.1176 </t>
  </si>
  <si>
    <t xml:space="preserve"> 74.7041 </t>
  </si>
  <si>
    <t xml:space="preserve">F:\Données chgh\2020-CHG-CZA-Test-3\plaque 1/@06 EE2 171/G6_02.tif </t>
  </si>
  <si>
    <t xml:space="preserve"> 49272.9 </t>
  </si>
  <si>
    <t xml:space="preserve"> 78.8389 </t>
  </si>
  <si>
    <t xml:space="preserve">F:\Données chgh\2020-CHG-CZA-Test-3\plaque 1/@06 EE2 171/G6_03.tif </t>
  </si>
  <si>
    <t xml:space="preserve"> 76.0343 </t>
  </si>
  <si>
    <t xml:space="preserve">F:\Données chgh\2020-CHG-CZA-Test-3\plaque 1/@06 EE2 171/H6_01.tif </t>
  </si>
  <si>
    <t xml:space="preserve"> 41680.8069 </t>
  </si>
  <si>
    <t xml:space="preserve"> 82.6871 </t>
  </si>
  <si>
    <t xml:space="preserve">F:\Données chgh\2020-CHG-CZA-Test-3\plaque 1/@06 EE2 171/H6_02.tif </t>
  </si>
  <si>
    <t xml:space="preserve"> 47282.9497 </t>
  </si>
  <si>
    <t xml:space="preserve"> 78.5421 </t>
  </si>
  <si>
    <t xml:space="preserve">F:\Données chgh\2020-CHG-CZA-Test-3\plaque 1/@06 EE2 171/H6_03.tif </t>
  </si>
  <si>
    <t xml:space="preserve"> 46050.0457 </t>
  </si>
  <si>
    <t xml:space="preserve"> 77.9822 </t>
  </si>
  <si>
    <t xml:space="preserve">F:\Données chgh\2020-CHG-CZA-Test-3\plaque 1/@06 EE2 171/ </t>
  </si>
  <si>
    <t xml:space="preserve"> 77.6761 </t>
  </si>
  <si>
    <t xml:space="preserve"> 3.8684 </t>
  </si>
  <si>
    <t xml:space="preserve"> 3924618.21 </t>
  </si>
  <si>
    <t xml:space="preserve"> 717756.602 </t>
  </si>
  <si>
    <t xml:space="preserve">F:\Données chgh\2020-CHG-CZA-Test-3\plaque 1/@07 EE2 488/A7_01.tif </t>
  </si>
  <si>
    <t xml:space="preserve"> 69842.9298 </t>
  </si>
  <si>
    <t xml:space="preserve"> 103.0009 </t>
  </si>
  <si>
    <t xml:space="preserve">F:\Données chgh\2020-CHG-CZA-Test-3\plaque 1/@07 EE2 488/A7_02.tif </t>
  </si>
  <si>
    <t xml:space="preserve"> 67593.4207 </t>
  </si>
  <si>
    <t xml:space="preserve"> 102.1869 </t>
  </si>
  <si>
    <t xml:space="preserve">F:\Données chgh\2020-CHG-CZA-Test-3\plaque 1/@07 EE2 488/A7_03.tif </t>
  </si>
  <si>
    <t xml:space="preserve"> 65754.8797 </t>
  </si>
  <si>
    <t xml:space="preserve"> 107.4572 </t>
  </si>
  <si>
    <t xml:space="preserve">F:\Données chgh\2020-CHG-CZA-Test-3\plaque 1/@07 EE2 488/B7_01.tif </t>
  </si>
  <si>
    <t xml:space="preserve"> 79014.0051 </t>
  </si>
  <si>
    <t xml:space="preserve"> 116.095 </t>
  </si>
  <si>
    <t xml:space="preserve">F:\Données chgh\2020-CHG-CZA-Test-3\plaque 1/@07 EE2 488/B7_02.tif </t>
  </si>
  <si>
    <t xml:space="preserve"> 110.7487 </t>
  </si>
  <si>
    <t xml:space="preserve">F:\Données chgh\2020-CHG-CZA-Test-3\plaque 1/@07 EE2 488/B7_03.tif </t>
  </si>
  <si>
    <t xml:space="preserve"> 83686.0623 </t>
  </si>
  <si>
    <t xml:space="preserve"> 106.7943 </t>
  </si>
  <si>
    <t xml:space="preserve">F:\Données chgh\2020-CHG-CZA-Test-3\plaque 1/@07 EE2 488/C7_01.tif </t>
  </si>
  <si>
    <t xml:space="preserve"> 80614.6173 </t>
  </si>
  <si>
    <t xml:space="preserve"> 96.9914 </t>
  </si>
  <si>
    <t xml:space="preserve">F:\Données chgh\2020-CHG-CZA-Test-3\plaque 1/@07 EE2 488/C7_02.tif </t>
  </si>
  <si>
    <t xml:space="preserve"> 82150.3398 </t>
  </si>
  <si>
    <t xml:space="preserve"> 97.3868 </t>
  </si>
  <si>
    <t xml:space="preserve">F:\Données chgh\2020-CHG-CZA-Test-3\plaque 1/@07 EE2 488/C7_03.tif </t>
  </si>
  <si>
    <t xml:space="preserve"> 79424.9731 </t>
  </si>
  <si>
    <t xml:space="preserve"> 96.0215 </t>
  </si>
  <si>
    <t xml:space="preserve">F:\Données chgh\2020-CHG-CZA-Test-3\plaque 1/@07 EE2 488/D7_01.tif </t>
  </si>
  <si>
    <t xml:space="preserve"> 68112.5382 </t>
  </si>
  <si>
    <t xml:space="preserve"> 95.4709 </t>
  </si>
  <si>
    <t xml:space="preserve">F:\Données chgh\2020-CHG-CZA-Test-3\plaque 1/@07 EE2 488/D7_02.tif </t>
  </si>
  <si>
    <t xml:space="preserve"> 58725.1639 </t>
  </si>
  <si>
    <t xml:space="preserve"> 97.4954 </t>
  </si>
  <si>
    <t xml:space="preserve">F:\Données chgh\2020-CHG-CZA-Test-3\plaque 1/@07 EE2 488/D7_03.tif </t>
  </si>
  <si>
    <t xml:space="preserve"> 56756.8435 </t>
  </si>
  <si>
    <t xml:space="preserve"> 98.9566 </t>
  </si>
  <si>
    <t xml:space="preserve">F:\Données chgh\2020-CHG-CZA-Test-3\plaque 1/@07 EE2 488/E7_01.tif </t>
  </si>
  <si>
    <t xml:space="preserve"> 64521.9757 </t>
  </si>
  <si>
    <t xml:space="preserve"> 81.7499 </t>
  </si>
  <si>
    <t xml:space="preserve">F:\Données chgh\2020-CHG-CZA-Test-3\plaque 1/@07 EE2 488/E7_02.tif </t>
  </si>
  <si>
    <t xml:space="preserve"> 59590.3597 </t>
  </si>
  <si>
    <t xml:space="preserve"> 83.1561 </t>
  </si>
  <si>
    <t xml:space="preserve">F:\Données chgh\2020-CHG-CZA-Test-3\plaque 1/@07 EE2 488/E7_03.tif </t>
  </si>
  <si>
    <t xml:space="preserve"> 64046.118 </t>
  </si>
  <si>
    <t xml:space="preserve"> 82.1283 </t>
  </si>
  <si>
    <t xml:space="preserve">F:\Données chgh\2020-CHG-CZA-Test-3\plaque 1/@07 EE2 488/F7_01.tif </t>
  </si>
  <si>
    <t xml:space="preserve"> 77694.5815 </t>
  </si>
  <si>
    <t xml:space="preserve"> 109.9646 </t>
  </si>
  <si>
    <t xml:space="preserve">F:\Données chgh\2020-CHG-CZA-Test-3\plaque 1/@07 EE2 488/F7_02.tif </t>
  </si>
  <si>
    <t xml:space="preserve"> 77391.763 </t>
  </si>
  <si>
    <t xml:space="preserve"> 105.4698 </t>
  </si>
  <si>
    <t xml:space="preserve">F:\Données chgh\2020-CHG-CZA-Test-3\plaque 1/@07 EE2 488/F7_03.tif </t>
  </si>
  <si>
    <t xml:space="preserve"> 78646.2969 </t>
  </si>
  <si>
    <t xml:space="preserve"> 106.0941 </t>
  </si>
  <si>
    <t xml:space="preserve">F:\Données chgh\2020-CHG-CZA-Test-3\plaque 1/@07 EE2 488/G7_01.tif </t>
  </si>
  <si>
    <t xml:space="preserve"> 109858.235 </t>
  </si>
  <si>
    <t xml:space="preserve"> 97.7112 </t>
  </si>
  <si>
    <t xml:space="preserve">F:\Données chgh\2020-CHG-CZA-Test-3\plaque 1/@07 EE2 488/G7_02.tif </t>
  </si>
  <si>
    <t xml:space="preserve"> 100470.861 </t>
  </si>
  <si>
    <t xml:space="preserve"> 104.7212 </t>
  </si>
  <si>
    <t xml:space="preserve">F:\Données chgh\2020-CHG-CZA-Test-3\plaque 1/@07 EE2 488/G7_03.tif </t>
  </si>
  <si>
    <t xml:space="preserve"> 104256.092 </t>
  </si>
  <si>
    <t xml:space="preserve"> 102.0398 </t>
  </si>
  <si>
    <t xml:space="preserve">F:\Données chgh\2020-CHG-CZA-Test-3\plaque 1/@07 EE2 488/H7_01.tif </t>
  </si>
  <si>
    <t xml:space="preserve"> 62294.0965 </t>
  </si>
  <si>
    <t xml:space="preserve"> 109.9309 </t>
  </si>
  <si>
    <t xml:space="preserve">F:\Données chgh\2020-CHG-CZA-Test-3\plaque 1/@07 EE2 488/H7_02.tif </t>
  </si>
  <si>
    <t xml:space="preserve"> 72049.179 </t>
  </si>
  <si>
    <t xml:space="preserve"> 91.5353 </t>
  </si>
  <si>
    <t xml:space="preserve">F:\Données chgh\2020-CHG-CZA-Test-3\plaque 1/@07 EE2 488/H7_03.tif </t>
  </si>
  <si>
    <t xml:space="preserve"> 93.8444 </t>
  </si>
  <si>
    <t xml:space="preserve">F:\Données chgh\2020-CHG-CZA-Test-3\plaque 1/@07 EE2 488/ </t>
  </si>
  <si>
    <t xml:space="preserve"> 99.873 </t>
  </si>
  <si>
    <t xml:space="preserve"> 9.0691 </t>
  </si>
  <si>
    <t xml:space="preserve"> 7553114.12 </t>
  </si>
  <si>
    <t xml:space="preserve"> 1709058.47 </t>
  </si>
  <si>
    <t xml:space="preserve">F:\Données chgh\2020-CHG-CZA-Test-3\plaque 1/@08 Pro 12/A8_01.tif </t>
  </si>
  <si>
    <t xml:space="preserve"> 66.9383 </t>
  </si>
  <si>
    <t xml:space="preserve">F:\Données chgh\2020-CHG-CZA-Test-3\plaque 1/@08 Pro 12/A8_02.tif </t>
  </si>
  <si>
    <t xml:space="preserve"> 68.6698 </t>
  </si>
  <si>
    <t xml:space="preserve">F:\Données chgh\2020-CHG-CZA-Test-3\plaque 1/@08 Pro 12/A8_03.tif </t>
  </si>
  <si>
    <t xml:space="preserve"> 67.7606 </t>
  </si>
  <si>
    <t xml:space="preserve">F:\Données chgh\2020-CHG-CZA-Test-3\plaque 1/@08 Pro 12/B8_01.tif </t>
  </si>
  <si>
    <t xml:space="preserve"> 63.3548 </t>
  </si>
  <si>
    <t xml:space="preserve">F:\Données chgh\2020-CHG-CZA-Test-3\plaque 1/@08 Pro 12/B8_02.tif </t>
  </si>
  <si>
    <t xml:space="preserve">F:\Données chgh\2020-CHG-CZA-Test-3\plaque 1/@08 Pro 12/B8_03.tif </t>
  </si>
  <si>
    <t xml:space="preserve"> 64.2778 </t>
  </si>
  <si>
    <t xml:space="preserve">F:\Données chgh\2020-CHG-CZA-Test-3\plaque 1/@08 Pro 12/C8_01.tif </t>
  </si>
  <si>
    <t xml:space="preserve"> 63.4706 </t>
  </si>
  <si>
    <t xml:space="preserve">F:\Données chgh\2020-CHG-CZA-Test-3\plaque 1/@08 Pro 12/C8_02.tif </t>
  </si>
  <si>
    <t xml:space="preserve"> 63.6176 </t>
  </si>
  <si>
    <t xml:space="preserve">F:\Données chgh\2020-CHG-CZA-Test-3\plaque 1/@08 Pro 12/C8_03.tif </t>
  </si>
  <si>
    <t xml:space="preserve"> 64.3158 </t>
  </si>
  <si>
    <t xml:space="preserve">F:\Données chgh\2020-CHG-CZA-Test-3\plaque 1/@08 Pro 12/D8_01.tif </t>
  </si>
  <si>
    <t xml:space="preserve"> 65.9365 </t>
  </si>
  <si>
    <t xml:space="preserve">F:\Données chgh\2020-CHG-CZA-Test-3\plaque 1/@08 Pro 12/D8_02.tif </t>
  </si>
  <si>
    <t xml:space="preserve"> 64.0625 </t>
  </si>
  <si>
    <t xml:space="preserve">F:\Données chgh\2020-CHG-CZA-Test-3\plaque 1/@08 Pro 12/D8_03.tif </t>
  </si>
  <si>
    <t xml:space="preserve">F:\Données chgh\2020-CHG-CZA-Test-3\plaque 1/@08 Pro 12/E8_01.tif </t>
  </si>
  <si>
    <t xml:space="preserve"> 60.2 </t>
  </si>
  <si>
    <t xml:space="preserve">F:\Données chgh\2020-CHG-CZA-Test-3\plaque 1/@08 Pro 12/E8_02.tif </t>
  </si>
  <si>
    <t xml:space="preserve"> 66.1429 </t>
  </si>
  <si>
    <t xml:space="preserve">F:\Données chgh\2020-CHG-CZA-Test-3\plaque 1/@08 Pro 12/E8_03.tif </t>
  </si>
  <si>
    <t xml:space="preserve"> 64.5556 </t>
  </si>
  <si>
    <t xml:space="preserve">F:\Données chgh\2020-CHG-CZA-Test-3\plaque 1/@08 Pro 12/F8_01.tif </t>
  </si>
  <si>
    <t xml:space="preserve"> 64.1296 </t>
  </si>
  <si>
    <t xml:space="preserve">F:\Données chgh\2020-CHG-CZA-Test-3\plaque 1/@08 Pro 12/F8_02.tif </t>
  </si>
  <si>
    <t xml:space="preserve"> 65.7372 </t>
  </si>
  <si>
    <t xml:space="preserve">F:\Données chgh\2020-CHG-CZA-Test-3\plaque 1/@08 Pro 12/F8_03.tif </t>
  </si>
  <si>
    <t xml:space="preserve"> 63.766 </t>
  </si>
  <si>
    <t xml:space="preserve">F:\Données chgh\2020-CHG-CZA-Test-3\plaque 1/@08 Pro 12/G8_01.tif </t>
  </si>
  <si>
    <t xml:space="preserve"> 4996.5057 </t>
  </si>
  <si>
    <t xml:space="preserve"> 74.8701 </t>
  </si>
  <si>
    <t xml:space="preserve">F:\Données chgh\2020-CHG-CZA-Test-3\plaque 1/@08 Pro 12/G8_02.tif </t>
  </si>
  <si>
    <t xml:space="preserve">F:\Données chgh\2020-CHG-CZA-Test-3\plaque 1/@08 Pro 12/G8_03.tif </t>
  </si>
  <si>
    <t xml:space="preserve"> 64.6545 </t>
  </si>
  <si>
    <t xml:space="preserve">F:\Données chgh\2020-CHG-CZA-Test-3\plaque 1/@08 Pro 12/H8_01.tif </t>
  </si>
  <si>
    <t xml:space="preserve">F:\Données chgh\2020-CHG-CZA-Test-3\plaque 1/@08 Pro 12/H8_02.tif </t>
  </si>
  <si>
    <t xml:space="preserve"> 63.2 </t>
  </si>
  <si>
    <t xml:space="preserve">F:\Données chgh\2020-CHG-CZA-Test-3\plaque 1/@08 Pro 12/H8_03.tif </t>
  </si>
  <si>
    <t xml:space="preserve"> 66.5923 </t>
  </si>
  <si>
    <t xml:space="preserve">F:\Données chgh\2020-CHG-CZA-Test-3\plaque 1/@08 Pro 12/ </t>
  </si>
  <si>
    <t xml:space="preserve"> 65.0039 </t>
  </si>
  <si>
    <t xml:space="preserve"> 2.7831 </t>
  </si>
  <si>
    <t xml:space="preserve"> 104557.208 </t>
  </si>
  <si>
    <t xml:space="preserve"> 124215.357 </t>
  </si>
  <si>
    <t>F:\Données chgh\2020-CHG-CZA-Test-3\plaque 1/@09 Pro 37/A9_01- exclu.tif</t>
  </si>
  <si>
    <t xml:space="preserve">F:\Données chgh\2020-CHG-CZA-Test-3\plaque 1/@09 Pro 37/A9_02.tif </t>
  </si>
  <si>
    <t xml:space="preserve"> 73.694 </t>
  </si>
  <si>
    <t xml:space="preserve">F:\Données chgh\2020-CHG-CZA-Test-3\plaque 1/@09 Pro 37/A9_03.tif </t>
  </si>
  <si>
    <t xml:space="preserve"> 64.9753 </t>
  </si>
  <si>
    <t xml:space="preserve">F:\Données chgh\2020-CHG-CZA-Test-3\plaque 1/@09 Pro 37/B9_01.tif </t>
  </si>
  <si>
    <t xml:space="preserve"> 68.7345 </t>
  </si>
  <si>
    <t xml:space="preserve">F:\Données chgh\2020-CHG-CZA-Test-3\plaque 1/@09 Pro 37/B9_02.tif </t>
  </si>
  <si>
    <t xml:space="preserve"> 2357.6585 </t>
  </si>
  <si>
    <t xml:space="preserve"> 65.2844 </t>
  </si>
  <si>
    <t xml:space="preserve">F:\Données chgh\2020-CHG-CZA-Test-3\plaque 1/@09 Pro 37/B9_03.tif </t>
  </si>
  <si>
    <t xml:space="preserve"> 62.6786 </t>
  </si>
  <si>
    <t xml:space="preserve">F:\Données chgh\2020-CHG-CZA-Test-3\plaque 1/@09 Pro 37/C9_01.tif </t>
  </si>
  <si>
    <t xml:space="preserve"> 68.1715 </t>
  </si>
  <si>
    <t xml:space="preserve">F:\Données chgh\2020-CHG-CZA-Test-3\plaque 1/@09 Pro 37/C9_02.tif </t>
  </si>
  <si>
    <t xml:space="preserve"> 3028.1852 </t>
  </si>
  <si>
    <t xml:space="preserve"> 67.6929 </t>
  </si>
  <si>
    <t xml:space="preserve">F:\Données chgh\2020-CHG-CZA-Test-3\plaque 1/@09 Pro 37/C9_03.tif </t>
  </si>
  <si>
    <t xml:space="preserve"> 63.4889 </t>
  </si>
  <si>
    <t xml:space="preserve">F:\Données chgh\2020-CHG-CZA-Test-3\plaque 1/@09 Pro 37/D9_01.tif </t>
  </si>
  <si>
    <t xml:space="preserve"> 62.8462 </t>
  </si>
  <si>
    <t>F:\Données chgh\2020-CHG-CZA-Test-3\plaque 1/@09 Pro 37/D9_02- exclu.tif</t>
  </si>
  <si>
    <t xml:space="preserve">F:\Données chgh\2020-CHG-CZA-Test-3\plaque 1/@09 Pro 37/D9_03.tif </t>
  </si>
  <si>
    <t xml:space="preserve"> 63.9286 </t>
  </si>
  <si>
    <t xml:space="preserve">F:\Données chgh\2020-CHG-CZA-Test-3\plaque 1/@09 Pro 37/E9_01.tif </t>
  </si>
  <si>
    <t xml:space="preserve"> 8067.9507 </t>
  </si>
  <si>
    <t xml:space="preserve"> 69.7185 </t>
  </si>
  <si>
    <t xml:space="preserve">F:\Données chgh\2020-CHG-CZA-Test-3\plaque 1/@09 Pro 37/E9_02.tif </t>
  </si>
  <si>
    <t xml:space="preserve"> 62.3043 </t>
  </si>
  <si>
    <t xml:space="preserve">F:\Données chgh\2020-CHG-CZA-Test-3\plaque 1/@09 Pro 37/E9_03.tif </t>
  </si>
  <si>
    <t xml:space="preserve"> 64.7528 </t>
  </si>
  <si>
    <t xml:space="preserve">F:\Données chgh\2020-CHG-CZA-Test-3\plaque 1/@09 Pro 37/F9_01.tif </t>
  </si>
  <si>
    <t xml:space="preserve"> 67.7729 </t>
  </si>
  <si>
    <t xml:space="preserve">F:\Données chgh\2020-CHG-CZA-Test-3\plaque 1/@09 Pro 37/F9_02.tif </t>
  </si>
  <si>
    <t xml:space="preserve"> 72.2795 </t>
  </si>
  <si>
    <t xml:space="preserve">F:\Données chgh\2020-CHG-CZA-Test-3\plaque 1/@09 Pro 37/F9_03.tif </t>
  </si>
  <si>
    <t xml:space="preserve"> 66.875 </t>
  </si>
  <si>
    <t xml:space="preserve">F:\Données chgh\2020-CHG-CZA-Test-3\plaque 1/@09 Pro 37/G9_01.tif </t>
  </si>
  <si>
    <t xml:space="preserve"> 12891.4172 </t>
  </si>
  <si>
    <t xml:space="preserve"> 77.0537 </t>
  </si>
  <si>
    <t xml:space="preserve">F:\Données chgh\2020-CHG-CZA-Test-3\plaque 1/@09 Pro 37/G9_02.tif </t>
  </si>
  <si>
    <t xml:space="preserve"> 11896.442 </t>
  </si>
  <si>
    <t xml:space="preserve"> 84.0073 </t>
  </si>
  <si>
    <t xml:space="preserve">F:\Données chgh\2020-CHG-CZA-Test-3\plaque 1/@09 Pro 37/G9_03.tif </t>
  </si>
  <si>
    <t xml:space="preserve"> 79.5982 </t>
  </si>
  <si>
    <t xml:space="preserve">F:\Données chgh\2020-CHG-CZA-Test-3\plaque 1/@09 Pro 37/H9_01.tif </t>
  </si>
  <si>
    <t xml:space="preserve">F:\Données chgh\2020-CHG-CZA-Test-3\plaque 1/@09 Pro 37/H9_02.tif </t>
  </si>
  <si>
    <t xml:space="preserve"> 7505.5734 </t>
  </si>
  <si>
    <t xml:space="preserve"> 66.6081 </t>
  </si>
  <si>
    <t xml:space="preserve">F:\Données chgh\2020-CHG-CZA-Test-3\plaque 1/@09 Pro 37/H9_03.tif </t>
  </si>
  <si>
    <t xml:space="preserve"> 64.4375 </t>
  </si>
  <si>
    <t xml:space="preserve">F:\Données chgh\2020-CHG-CZA-Test-3\plaque 1/@09 Pro 37/ </t>
  </si>
  <si>
    <t xml:space="preserve"> 69.0305 </t>
  </si>
  <si>
    <t xml:space="preserve"> 7.0768 </t>
  </si>
  <si>
    <t xml:space="preserve"> 377316.598 </t>
  </si>
  <si>
    <t xml:space="preserve">F:\Données chgh\2020-CHG-CZA-Test-3\plaque 1/@10 Pro 111/A10_01.tif </t>
  </si>
  <si>
    <t xml:space="preserve"> 66.119 </t>
  </si>
  <si>
    <t xml:space="preserve">F:\Données chgh\2020-CHG-CZA-Test-3\plaque 1/@10 Pro 111/A10_02.tif </t>
  </si>
  <si>
    <t xml:space="preserve"> 65.4222 </t>
  </si>
  <si>
    <t xml:space="preserve">F:\Données chgh\2020-CHG-CZA-Test-3\plaque 1/@10 Pro 111/A10_03.tif </t>
  </si>
  <si>
    <t xml:space="preserve"> 65.6506 </t>
  </si>
  <si>
    <t xml:space="preserve">F:\Données chgh\2020-CHG-CZA-Test-3\plaque 1/@10 Pro 111/B10_01.tif </t>
  </si>
  <si>
    <t xml:space="preserve"> 67.8489 </t>
  </si>
  <si>
    <t xml:space="preserve">F:\Données chgh\2020-CHG-CZA-Test-3\plaque 1/@10 Pro 111/B10_02.tif </t>
  </si>
  <si>
    <t xml:space="preserve"> 69.4689 </t>
  </si>
  <si>
    <t xml:space="preserve">F:\Données chgh\2020-CHG-CZA-Test-3\plaque 1/@10 Pro 111/B10_03.tif </t>
  </si>
  <si>
    <t xml:space="preserve"> 65.9489 </t>
  </si>
  <si>
    <t xml:space="preserve">F:\Données chgh\2020-CHG-CZA-Test-3\plaque 1/@10 Pro 111/C10_01.tif </t>
  </si>
  <si>
    <t xml:space="preserve"> 66.4 </t>
  </si>
  <si>
    <t xml:space="preserve">F:\Données chgh\2020-CHG-CZA-Test-3\plaque 1/@10 Pro 111/C10_02.tif </t>
  </si>
  <si>
    <t xml:space="preserve"> 62.7 </t>
  </si>
  <si>
    <t xml:space="preserve">F:\Données chgh\2020-CHG-CZA-Test-3\plaque 1/@10 Pro 111/C10_03.tif </t>
  </si>
  <si>
    <t xml:space="preserve"> 66.0833 </t>
  </si>
  <si>
    <t xml:space="preserve">F:\Données chgh\2020-CHG-CZA-Test-3\plaque 1/@10 Pro 111/D10_01.tif </t>
  </si>
  <si>
    <t xml:space="preserve"> 65.2222 </t>
  </si>
  <si>
    <t xml:space="preserve">F:\Données chgh\2020-CHG-CZA-Test-3\plaque 1/@10 Pro 111/D10_02.tif </t>
  </si>
  <si>
    <t xml:space="preserve"> 67.9641 </t>
  </si>
  <si>
    <t xml:space="preserve">F:\Données chgh\2020-CHG-CZA-Test-3\plaque 1/@10 Pro 111/D10_03.tif </t>
  </si>
  <si>
    <t xml:space="preserve"> 68.5135 </t>
  </si>
  <si>
    <t xml:space="preserve">F:\Données chgh\2020-CHG-CZA-Test-3\plaque 1/@10 Pro 111/E10_01.tif </t>
  </si>
  <si>
    <t xml:space="preserve"> 62.4545 </t>
  </si>
  <si>
    <t xml:space="preserve">F:\Données chgh\2020-CHG-CZA-Test-3\plaque 1/@10 Pro 111/E10_02.tif </t>
  </si>
  <si>
    <t xml:space="preserve"> 63.4118 </t>
  </si>
  <si>
    <t xml:space="preserve">F:\Données chgh\2020-CHG-CZA-Test-3\plaque 1/@10 Pro 111/E10_03.tif </t>
  </si>
  <si>
    <t xml:space="preserve"> 64.1364 </t>
  </si>
  <si>
    <t xml:space="preserve">F:\Données chgh\2020-CHG-CZA-Test-3\plaque 1/@10 Pro 111/F10_01.tif </t>
  </si>
  <si>
    <t xml:space="preserve"> 68.1901 </t>
  </si>
  <si>
    <t xml:space="preserve">F:\Données chgh\2020-CHG-CZA-Test-3\plaque 1/@10 Pro 111/F10_02.tif </t>
  </si>
  <si>
    <t xml:space="preserve"> 70.8699 </t>
  </si>
  <si>
    <t xml:space="preserve">F:\Données chgh\2020-CHG-CZA-Test-3\plaque 1/@10 Pro 111/F10_03.tif </t>
  </si>
  <si>
    <t xml:space="preserve"> 6359.189 </t>
  </si>
  <si>
    <t xml:space="preserve"> 67.8095 </t>
  </si>
  <si>
    <t xml:space="preserve">F:\Données chgh\2020-CHG-CZA-Test-3\plaque 1/@10 Pro 111/G10_01.tif </t>
  </si>
  <si>
    <t xml:space="preserve"> 71.5432 </t>
  </si>
  <si>
    <t xml:space="preserve">F:\Données chgh\2020-CHG-CZA-Test-3\plaque 1/@10 Pro 111/G10_02.tif </t>
  </si>
  <si>
    <t xml:space="preserve"> 67.287 </t>
  </si>
  <si>
    <t xml:space="preserve">F:\Données chgh\2020-CHG-CZA-Test-3\plaque 1/@10 Pro 111/G10_03.tif </t>
  </si>
  <si>
    <t xml:space="preserve"> 68.9252 </t>
  </si>
  <si>
    <t xml:space="preserve">F:\Données chgh\2020-CHG-CZA-Test-3\plaque 1/@10 Pro 111/H10_01.tif </t>
  </si>
  <si>
    <t xml:space="preserve"> 68.679 </t>
  </si>
  <si>
    <t xml:space="preserve">F:\Données chgh\2020-CHG-CZA-Test-3\plaque 1/@10 Pro 111/H10_02.tif </t>
  </si>
  <si>
    <t xml:space="preserve"> 62.9565 </t>
  </si>
  <si>
    <t>F:\Données chgh\2020-CHG-CZA-Test-3\plaque 1/@10 Pro 111/H10_03- exclu.tif</t>
  </si>
  <si>
    <t xml:space="preserve">F:\Données chgh\2020-CHG-CZA-Test-3\plaque 1/@10 Pro 111/ </t>
  </si>
  <si>
    <t xml:space="preserve"> 66.5849 </t>
  </si>
  <si>
    <t xml:space="preserve"> 2.5015 </t>
  </si>
  <si>
    <t xml:space="preserve"> 197577.375 </t>
  </si>
  <si>
    <t xml:space="preserve"> 154339.91 </t>
  </si>
  <si>
    <t xml:space="preserve">F:\Données chgh\2020-CHG-CZA-Test-3\plaque 1/@11 Pro 333/A11_01.tif </t>
  </si>
  <si>
    <t xml:space="preserve"> 12826.5275 </t>
  </si>
  <si>
    <t xml:space="preserve"> 81.6492 </t>
  </si>
  <si>
    <t xml:space="preserve">F:\Données chgh\2020-CHG-CZA-Test-3\plaque 1/@11 Pro 333/A11_02.tif </t>
  </si>
  <si>
    <t xml:space="preserve"> 6943.1962 </t>
  </si>
  <si>
    <t xml:space="preserve"> 69.2399 </t>
  </si>
  <si>
    <t xml:space="preserve">F:\Données chgh\2020-CHG-CZA-Test-3\plaque 1/@11 Pro 333/A11_03.tif </t>
  </si>
  <si>
    <t xml:space="preserve"> 6748.5271 </t>
  </si>
  <si>
    <t xml:space="preserve"> 69.641 </t>
  </si>
  <si>
    <t xml:space="preserve">F:\Données chgh\2020-CHG-CZA-Test-3\plaque 1/@11 Pro 333/B11_01.tif </t>
  </si>
  <si>
    <t xml:space="preserve"> 73.5936 </t>
  </si>
  <si>
    <t xml:space="preserve">F:\Données chgh\2020-CHG-CZA-Test-3\plaque 1/@11 Pro 333/B11_02.tif </t>
  </si>
  <si>
    <t xml:space="preserve"> 9127.8155 </t>
  </si>
  <si>
    <t xml:space="preserve"> 70.3626 </t>
  </si>
  <si>
    <t xml:space="preserve">F:\Données chgh\2020-CHG-CZA-Test-3\plaque 1/@11 Pro 333/B11_03.tif </t>
  </si>
  <si>
    <t xml:space="preserve"> 73.3261 </t>
  </si>
  <si>
    <t xml:space="preserve">F:\Données chgh\2020-CHG-CZA-Test-3\plaque 1/@11 Pro 333/C11_01.tif </t>
  </si>
  <si>
    <t xml:space="preserve"> 11809.9225 </t>
  </si>
  <si>
    <t xml:space="preserve"> 85.0403 </t>
  </si>
  <si>
    <t xml:space="preserve">F:\Données chgh\2020-CHG-CZA-Test-3\plaque 1/@11 Pro 333/C11_02.tif </t>
  </si>
  <si>
    <t xml:space="preserve"> 11485.474 </t>
  </si>
  <si>
    <t xml:space="preserve"> 78.403 </t>
  </si>
  <si>
    <t xml:space="preserve">F:\Données chgh\2020-CHG-CZA-Test-3\plaque 1/@11 Pro 333/C11_03.tif </t>
  </si>
  <si>
    <t xml:space="preserve"> 8392.3991 </t>
  </si>
  <si>
    <t xml:space="preserve"> 70.9433 </t>
  </si>
  <si>
    <t xml:space="preserve">F:\Données chgh\2020-CHG-CZA-Test-3\plaque 1/@11 Pro 333/D11_01.tif </t>
  </si>
  <si>
    <t xml:space="preserve"> 73.987 </t>
  </si>
  <si>
    <t xml:space="preserve">F:\Données chgh\2020-CHG-CZA-Test-3\plaque 1/@11 Pro 333/D11_02.tif </t>
  </si>
  <si>
    <t xml:space="preserve"> 73.9323 </t>
  </si>
  <si>
    <t xml:space="preserve">F:\Données chgh\2020-CHG-CZA-Test-3\plaque 1/@11 Pro 333/D11_03.tif </t>
  </si>
  <si>
    <t xml:space="preserve">F:\Données chgh\2020-CHG-CZA-Test-3\plaque 1/@11 Pro 333/E11_01.tif </t>
  </si>
  <si>
    <t xml:space="preserve"> 64.7377 </t>
  </si>
  <si>
    <t xml:space="preserve">F:\Données chgh\2020-CHG-CZA-Test-3\plaque 1/@11 Pro 333/E11_02.tif </t>
  </si>
  <si>
    <t xml:space="preserve"> 64.9375 </t>
  </si>
  <si>
    <t xml:space="preserve">F:\Données chgh\2020-CHG-CZA-Test-3\plaque 1/@11 Pro 333/E11_03.tif </t>
  </si>
  <si>
    <t xml:space="preserve"> 64.4615 </t>
  </si>
  <si>
    <t xml:space="preserve">F:\Données chgh\2020-CHG-CZA-Test-3\plaque 1/@11 Pro 333/F11_01.tif </t>
  </si>
  <si>
    <t xml:space="preserve"> 6597.1179 </t>
  </si>
  <si>
    <t xml:space="preserve"> 68.4262 </t>
  </si>
  <si>
    <t xml:space="preserve">F:\Données chgh\2020-CHG-CZA-Test-3\plaque 1/@11 Pro 333/F11_02.tif </t>
  </si>
  <si>
    <t xml:space="preserve"> 67.2 </t>
  </si>
  <si>
    <t xml:space="preserve">F:\Données chgh\2020-CHG-CZA-Test-3\plaque 1/@11 Pro 333/F11_03.tif </t>
  </si>
  <si>
    <t xml:space="preserve"> 65.3155 </t>
  </si>
  <si>
    <t xml:space="preserve">F:\Données chgh\2020-CHG-CZA-Test-3\plaque 1/@11 Pro 333/G11_01.tif </t>
  </si>
  <si>
    <t xml:space="preserve"> 65.7624 </t>
  </si>
  <si>
    <t xml:space="preserve">F:\Données chgh\2020-CHG-CZA-Test-3\plaque 1/@11 Pro 333/G11_02.tif </t>
  </si>
  <si>
    <t xml:space="preserve"> 64.3826 </t>
  </si>
  <si>
    <t xml:space="preserve">F:\Données chgh\2020-CHG-CZA-Test-3\plaque 1/@11 Pro 333/G11_03.tif </t>
  </si>
  <si>
    <t xml:space="preserve"> 63.58 </t>
  </si>
  <si>
    <t xml:space="preserve">F:\Données chgh\2020-CHG-CZA-Test-3\plaque 1/@11 Pro 333/H11_01.tif </t>
  </si>
  <si>
    <t xml:space="preserve"> 68.3462 </t>
  </si>
  <si>
    <t xml:space="preserve">F:\Données chgh\2020-CHG-CZA-Test-3\plaque 1/@11 Pro 333/H11_02.tif </t>
  </si>
  <si>
    <t xml:space="preserve"> 63.0769 </t>
  </si>
  <si>
    <t xml:space="preserve">F:\Données chgh\2020-CHG-CZA-Test-3\plaque 1/@11 Pro 333/H11_03.tif </t>
  </si>
  <si>
    <t xml:space="preserve"> 63.7606 </t>
  </si>
  <si>
    <t xml:space="preserve">F:\Données chgh\2020-CHG-CZA-Test-3\plaque 1/@11 Pro 333/ </t>
  </si>
  <si>
    <t xml:space="preserve"> 69.8794 </t>
  </si>
  <si>
    <t xml:space="preserve"> 5.8786 </t>
  </si>
  <si>
    <t xml:space="preserve"> 412114.333 </t>
  </si>
  <si>
    <t xml:space="preserve"> 328703.749 </t>
  </si>
  <si>
    <t xml:space="preserve">F:\Données chgh\2020-CHG-CZA-Test-3\plaque 1/@12 Pro 1000/A12_01.tif </t>
  </si>
  <si>
    <t xml:space="preserve"> 64.3942 </t>
  </si>
  <si>
    <t xml:space="preserve">F:\Données chgh\2020-CHG-CZA-Test-3\plaque 1/@12 Pro 1000/A12_02.tif </t>
  </si>
  <si>
    <t xml:space="preserve"> 66.9268 </t>
  </si>
  <si>
    <t xml:space="preserve">F:\Données chgh\2020-CHG-CZA-Test-3\plaque 1/@12 Pro 1000/A12_03.tif </t>
  </si>
  <si>
    <t xml:space="preserve"> 62.1053 </t>
  </si>
  <si>
    <t xml:space="preserve">F:\Données chgh\2020-CHG-CZA-Test-3\plaque 1/@12 Pro 1000/B12_01.tif </t>
  </si>
  <si>
    <t xml:space="preserve"> 72.1153 </t>
  </si>
  <si>
    <t xml:space="preserve">F:\Données chgh\2020-CHG-CZA-Test-3\plaque 1/@12 Pro 1000/B12_02.tif </t>
  </si>
  <si>
    <t xml:space="preserve"> 73.1436 </t>
  </si>
  <si>
    <t>F:\Données chgh\2020-CHG-CZA-Test-3\plaque 1/@12 Pro 1000/B12_03- exclu.tif</t>
  </si>
  <si>
    <t xml:space="preserve">F:\Données chgh\2020-CHG-CZA-Test-3\plaque 1/@12 Pro 1000/C12_01.tif </t>
  </si>
  <si>
    <t xml:space="preserve">F:\Données chgh\2020-CHG-CZA-Test-3\plaque 1/@12 Pro 1000/C12_02.tif </t>
  </si>
  <si>
    <t xml:space="preserve">F:\Données chgh\2020-CHG-CZA-Test-3\plaque 1/@12 Pro 1000/C12_03.tif </t>
  </si>
  <si>
    <t xml:space="preserve"> 64.4444 </t>
  </si>
  <si>
    <t xml:space="preserve">F:\Données chgh\2020-CHG-CZA-Test-3\plaque 1/@12 Pro 1000/D12_01.tif </t>
  </si>
  <si>
    <t>F:\Données chgh\2020-CHG-CZA-Test-3\plaque 1/@12 Pro 1000/D12_02- exclu.tif</t>
  </si>
  <si>
    <t xml:space="preserve">F:\Données chgh\2020-CHG-CZA-Test-3\plaque 1/@12 Pro 1000/D12_03.tif </t>
  </si>
  <si>
    <t xml:space="preserve"> 61.5556 </t>
  </si>
  <si>
    <t xml:space="preserve">F:\Données chgh\2020-CHG-CZA-Test-3\plaque 1/@12 Pro 1000/E12_01.tif </t>
  </si>
  <si>
    <t xml:space="preserve"> 5126.285 </t>
  </si>
  <si>
    <t xml:space="preserve"> 83.1857 </t>
  </si>
  <si>
    <t xml:space="preserve">F:\Données chgh\2020-CHG-CZA-Test-3\plaque 1/@12 Pro 1000/E12_02.tif </t>
  </si>
  <si>
    <t xml:space="preserve"> 72.6881 </t>
  </si>
  <si>
    <t xml:space="preserve">F:\Données chgh\2020-CHG-CZA-Test-3\plaque 1/@12 Pro 1000/E12_03.tif </t>
  </si>
  <si>
    <t xml:space="preserve"> 77.1952 </t>
  </si>
  <si>
    <t xml:space="preserve">F:\Données chgh\2020-CHG-CZA-Test-3\plaque 1/@12 Pro 1000/F12_01.tif </t>
  </si>
  <si>
    <t xml:space="preserve"> 69.033 </t>
  </si>
  <si>
    <t xml:space="preserve">F:\Données chgh\2020-CHG-CZA-Test-3\plaque 1/@12 Pro 1000/F12_02.tif </t>
  </si>
  <si>
    <t xml:space="preserve"> 67.7324 </t>
  </si>
  <si>
    <t xml:space="preserve">F:\Données chgh\2020-CHG-CZA-Test-3\plaque 1/@12 Pro 1000/F12_03.tif </t>
  </si>
  <si>
    <t xml:space="preserve"> 63.2667 </t>
  </si>
  <si>
    <t xml:space="preserve">F:\Données chgh\2020-CHG-CZA-Test-3\plaque 1/@12 Pro 1000/G12_01.tif </t>
  </si>
  <si>
    <t xml:space="preserve"> 65.1843 </t>
  </si>
  <si>
    <t xml:space="preserve">F:\Données chgh\2020-CHG-CZA-Test-3\plaque 1/@12 Pro 1000/G12_02.tif </t>
  </si>
  <si>
    <t xml:space="preserve"> 64.9947 </t>
  </si>
  <si>
    <t xml:space="preserve">F:\Données chgh\2020-CHG-CZA-Test-3\plaque 1/@12 Pro 1000/G12_03.tif </t>
  </si>
  <si>
    <t xml:space="preserve"> 3915.0109 </t>
  </si>
  <si>
    <t xml:space="preserve"> 64.9448 </t>
  </si>
  <si>
    <t xml:space="preserve">F:\Données chgh\2020-CHG-CZA-Test-3\plaque 1/@12 Pro 1000/H12_01.tif </t>
  </si>
  <si>
    <t xml:space="preserve"> 67.4323 </t>
  </si>
  <si>
    <t>F:\Données chgh\2020-CHG-CZA-Test-3\plaque 1/@12 Pro 1000/H12_02- exclu.tif</t>
  </si>
  <si>
    <t xml:space="preserve">F:\Données chgh\2020-CHG-CZA-Test-3\plaque 1/@12 Pro 1000/H12_03.tif </t>
  </si>
  <si>
    <t xml:space="preserve"> 63.9091 </t>
  </si>
  <si>
    <t xml:space="preserve">F:\Données chgh\2020-CHG-CZA-Test-3\plaque 1/@12 Pro 1000/ </t>
  </si>
  <si>
    <t xml:space="preserve"> 66.8972 </t>
  </si>
  <si>
    <t xml:space="preserve"> 5.2887 </t>
  </si>
  <si>
    <t xml:space="preserve"> 208729.292 </t>
  </si>
  <si>
    <t xml:space="preserve"> 217994.903 </t>
  </si>
  <si>
    <t xml:space="preserve">F:\Données chgh\2020-CHG-CZA-Test-3\plaque 2/@13 Testo 30/A1_01.tif </t>
  </si>
  <si>
    <t xml:space="preserve"> 37484.6074 </t>
  </si>
  <si>
    <t xml:space="preserve"> 71.5817 </t>
  </si>
  <si>
    <t xml:space="preserve">F:\Données chgh\2020-CHG-CZA-Test-3\plaque 2/@13 Testo 30/A1_02.tif </t>
  </si>
  <si>
    <t xml:space="preserve"> 39885.5257 </t>
  </si>
  <si>
    <t xml:space="preserve"> 72.9555 </t>
  </si>
  <si>
    <t xml:space="preserve">F:\Données chgh\2020-CHG-CZA-Test-3\plaque 2/@13 Testo 30/A1_03.tif </t>
  </si>
  <si>
    <t xml:space="preserve"> 71.3801 </t>
  </si>
  <si>
    <t>F:\Données chgh\2020-CHG-CZA-Test-3\plaque 2/@13 Testo 30/B1_01- exclu.tif</t>
  </si>
  <si>
    <t>F:\Données chgh\2020-CHG-CZA-Test-3\plaque 2/@13 Testo 30/B1_02- exclu.tif</t>
  </si>
  <si>
    <t>F:\Données chgh\2020-CHG-CZA-Test-3\plaque 2/@13 Testo 30/B1_03- exclu.tif</t>
  </si>
  <si>
    <t xml:space="preserve">F:\Données chgh\2020-CHG-CZA-Test-3\plaque 2/@13 Testo 30/C1_01.tif </t>
  </si>
  <si>
    <t xml:space="preserve"> 9149.4454 </t>
  </si>
  <si>
    <t xml:space="preserve"> 69.7872 </t>
  </si>
  <si>
    <t xml:space="preserve">F:\Données chgh\2020-CHG-CZA-Test-3\plaque 2/@13 Testo 30/C1_02.tif </t>
  </si>
  <si>
    <t xml:space="preserve"> 6078.0004 </t>
  </si>
  <si>
    <t xml:space="preserve"> 65.5302 </t>
  </si>
  <si>
    <t xml:space="preserve">F:\Données chgh\2020-CHG-CZA-Test-3\plaque 2/@13 Testo 30/C1_03.tif </t>
  </si>
  <si>
    <t xml:space="preserve"> 63.5212 </t>
  </si>
  <si>
    <t xml:space="preserve">F:\Données chgh\2020-CHG-CZA-Test-3\plaque 2/@13 Testo 30/D1_01.tif </t>
  </si>
  <si>
    <t xml:space="preserve"> 89482.8741 </t>
  </si>
  <si>
    <t xml:space="preserve"> 78.4863 </t>
  </si>
  <si>
    <t xml:space="preserve">F:\Données chgh\2020-CHG-CZA-Test-3\plaque 2/@13 Testo 30/D1_02.tif </t>
  </si>
  <si>
    <t xml:space="preserve"> 87168.4754 </t>
  </si>
  <si>
    <t xml:space="preserve"> 76.2675 </t>
  </si>
  <si>
    <t xml:space="preserve">F:\Données chgh\2020-CHG-CZA-Test-3\plaque 2/@13 Testo 30/D1_03.tif </t>
  </si>
  <si>
    <t xml:space="preserve"> 80484.8379 </t>
  </si>
  <si>
    <t xml:space="preserve"> 75.7909 </t>
  </si>
  <si>
    <t xml:space="preserve">F:\Données chgh\2020-CHG-CZA-Test-3\plaque 2/@13 Testo 30/E1_01.tif </t>
  </si>
  <si>
    <t xml:space="preserve"> 68004.3887 </t>
  </si>
  <si>
    <t xml:space="preserve"> 73.5887 </t>
  </si>
  <si>
    <t xml:space="preserve">F:\Données chgh\2020-CHG-CZA-Test-3\plaque 2/@13 Testo 30/E1_02.tif </t>
  </si>
  <si>
    <t xml:space="preserve"> 67788.0898 </t>
  </si>
  <si>
    <t xml:space="preserve"> 73.1369 </t>
  </si>
  <si>
    <t>F:\Données chgh\2020-CHG-CZA-Test-3\plaque 2/@13 Testo 30/E1_03- exclu.tif</t>
  </si>
  <si>
    <t xml:space="preserve">F:\Données chgh\2020-CHG-CZA-Test-3\plaque 2/@13 Testo 30/F1_01.tif </t>
  </si>
  <si>
    <t xml:space="preserve"> 46352.8642 </t>
  </si>
  <si>
    <t xml:space="preserve"> 70.1657 </t>
  </si>
  <si>
    <t xml:space="preserve">F:\Données chgh\2020-CHG-CZA-Test-3\plaque 2/@13 Testo 30/F1_02.tif </t>
  </si>
  <si>
    <t xml:space="preserve"> 45530.9282 </t>
  </si>
  <si>
    <t xml:space="preserve"> 70.1349 </t>
  </si>
  <si>
    <t xml:space="preserve">F:\Données chgh\2020-CHG-CZA-Test-3\plaque 2/@13 Testo 30/F1_03.tif </t>
  </si>
  <si>
    <t xml:space="preserve"> 32812.5502 </t>
  </si>
  <si>
    <t xml:space="preserve"> 69.9492 </t>
  </si>
  <si>
    <t xml:space="preserve">F:\Données chgh\2020-CHG-CZA-Test-3\plaque 2/@13 Testo 30/G1_01.tif </t>
  </si>
  <si>
    <t xml:space="preserve"> 63.9059 </t>
  </si>
  <si>
    <t xml:space="preserve">F:\Données chgh\2020-CHG-CZA-Test-3\plaque 2/@13 Testo 30/G1_02.tif </t>
  </si>
  <si>
    <t xml:space="preserve"> 64.4627 </t>
  </si>
  <si>
    <t xml:space="preserve">F:\Données chgh\2020-CHG-CZA-Test-3\plaque 2/@13 Testo 30/G1_03.tif </t>
  </si>
  <si>
    <t xml:space="preserve"> 1578.9823 </t>
  </si>
  <si>
    <t xml:space="preserve"> 63.1644 </t>
  </si>
  <si>
    <t xml:space="preserve">F:\Données chgh\2020-CHG-CZA-Test-3\plaque 2/@13 Testo 30/H1_01.tif </t>
  </si>
  <si>
    <t xml:space="preserve"> 66.2032 </t>
  </si>
  <si>
    <t xml:space="preserve">F:\Données chgh\2020-CHG-CZA-Test-3\plaque 2/@13 Testo 30/H1_02.tif </t>
  </si>
  <si>
    <t xml:space="preserve"> 65.0879 </t>
  </si>
  <si>
    <t xml:space="preserve">F:\Données chgh\2020-CHG-CZA-Test-3\plaque 2/@13 Testo 30/H1_03.tif </t>
  </si>
  <si>
    <t xml:space="preserve"> 65.0145 </t>
  </si>
  <si>
    <t xml:space="preserve">F:\Données chgh\2020-CHG-CZA-Test-3\plaque 2/@13 Testo 30/ </t>
  </si>
  <si>
    <t xml:space="preserve"> 69.1568 </t>
  </si>
  <si>
    <t xml:space="preserve"> 4.41 </t>
  </si>
  <si>
    <t xml:space="preserve"> 2400772.33 </t>
  </si>
  <si>
    <t xml:space="preserve"> 2239618.21 </t>
  </si>
  <si>
    <t>F:\Données chgh\2020-CHG-CZA-Test-3\plaque 2/@14 Testo 30/A2_01- exclu.tif</t>
  </si>
  <si>
    <t xml:space="preserve">F:\Données chgh\2020-CHG-CZA-Test-3\plaque 2/@14 Testo 30/A2_02.tif </t>
  </si>
  <si>
    <t xml:space="preserve"> 9863.232 </t>
  </si>
  <si>
    <t xml:space="preserve"> 65.5943 </t>
  </si>
  <si>
    <t xml:space="preserve">F:\Données chgh\2020-CHG-CZA-Test-3\plaque 2/@14 Testo 30/A2_03.tif </t>
  </si>
  <si>
    <t xml:space="preserve"> 11161.0256 </t>
  </si>
  <si>
    <t xml:space="preserve"> 68.4322 </t>
  </si>
  <si>
    <t xml:space="preserve">F:\Données chgh\2020-CHG-CZA-Test-3\plaque 2/@14 Testo 30/B2_01.tif </t>
  </si>
  <si>
    <t xml:space="preserve"> 72.694 </t>
  </si>
  <si>
    <t xml:space="preserve">F:\Données chgh\2020-CHG-CZA-Test-3\plaque 2/@14 Testo 30/B2_02.tif </t>
  </si>
  <si>
    <t xml:space="preserve"> 34196.8634 </t>
  </si>
  <si>
    <t xml:space="preserve"> 71.3428 </t>
  </si>
  <si>
    <t xml:space="preserve">F:\Données chgh\2020-CHG-CZA-Test-3\plaque 2/@14 Testo 30/B2_03.tif </t>
  </si>
  <si>
    <t xml:space="preserve"> 71.9353 </t>
  </si>
  <si>
    <t xml:space="preserve">F:\Données chgh\2020-CHG-CZA-Test-3\plaque 2/@14 Testo 30/C2_01.tif </t>
  </si>
  <si>
    <t xml:space="preserve"> 55307.6406 </t>
  </si>
  <si>
    <t xml:space="preserve"> 72.9515 </t>
  </si>
  <si>
    <t xml:space="preserve">F:\Données chgh\2020-CHG-CZA-Test-3\plaque 2/@14 Testo 30/C2_02.tif </t>
  </si>
  <si>
    <t xml:space="preserve"> 61731.7193 </t>
  </si>
  <si>
    <t xml:space="preserve"> 73.9471 </t>
  </si>
  <si>
    <t xml:space="preserve">F:\Données chgh\2020-CHG-CZA-Test-3\plaque 2/@14 Testo 30/C2_03.tif </t>
  </si>
  <si>
    <t xml:space="preserve"> 60044.5875 </t>
  </si>
  <si>
    <t xml:space="preserve"> 71.3588 </t>
  </si>
  <si>
    <t xml:space="preserve">F:\Données chgh\2020-CHG-CZA-Test-3\plaque 2/@14 Testo 30/D2_01.tif </t>
  </si>
  <si>
    <t xml:space="preserve"> 44968.5509 </t>
  </si>
  <si>
    <t xml:space="preserve"> 71.431 </t>
  </si>
  <si>
    <t xml:space="preserve">F:\Données chgh\2020-CHG-CZA-Test-3\plaque 2/@14 Testo 30/D2_02.tif </t>
  </si>
  <si>
    <t xml:space="preserve"> 38998.7 </t>
  </si>
  <si>
    <t xml:space="preserve"> 72.0643 </t>
  </si>
  <si>
    <t xml:space="preserve">F:\Données chgh\2020-CHG-CZA-Test-3\plaque 2/@14 Testo 30/D2_03.tif </t>
  </si>
  <si>
    <t xml:space="preserve"> 39496.1876 </t>
  </si>
  <si>
    <t xml:space="preserve"> 71.9003 </t>
  </si>
  <si>
    <t>F:\Données chgh\2020-CHG-CZA-Test-3\plaque 2/@14 Testo 30/E2_01- exclu.tif</t>
  </si>
  <si>
    <t xml:space="preserve">F:\Données chgh\2020-CHG-CZA-Test-3\plaque 2/@14 Testo 30/E2_02.tif </t>
  </si>
  <si>
    <t xml:space="preserve"> 48364.4444 </t>
  </si>
  <si>
    <t xml:space="preserve"> 75.0058 </t>
  </si>
  <si>
    <t>F:\Données chgh\2020-CHG-CZA-Test-3\plaque 2/@14 Testo 30/E2_03- exclu.tif</t>
  </si>
  <si>
    <t xml:space="preserve">F:\Données chgh\2020-CHG-CZA-Test-3\plaque 2/@14 Testo 30/F2_01.tif </t>
  </si>
  <si>
    <t xml:space="preserve"> 56627.0641 </t>
  </si>
  <si>
    <t xml:space="preserve"> 76.4939 </t>
  </si>
  <si>
    <t xml:space="preserve">F:\Données chgh\2020-CHG-CZA-Test-3\plaque 2/@14 Testo 30/F2_02.tif </t>
  </si>
  <si>
    <t xml:space="preserve"> 49121.4907 </t>
  </si>
  <si>
    <t xml:space="preserve"> 73.9921 </t>
  </si>
  <si>
    <t xml:space="preserve">F:\Données chgh\2020-CHG-CZA-Test-3\plaque 2/@14 Testo 30/F2_03.tif </t>
  </si>
  <si>
    <t xml:space="preserve"> 49164.7505 </t>
  </si>
  <si>
    <t xml:space="preserve"> 72.6436 </t>
  </si>
  <si>
    <t>F:\Données chgh\2020-CHG-CZA-Test-3\plaque 2/@14 Testo 30/G2_01- exclu.tif</t>
  </si>
  <si>
    <t xml:space="preserve">F:\Données chgh\2020-CHG-CZA-Test-3\plaque 2/@14 Testo 30/G2_02.tif </t>
  </si>
  <si>
    <t xml:space="preserve"> 6467.3385 </t>
  </si>
  <si>
    <t xml:space="preserve"> 65.4147 </t>
  </si>
  <si>
    <t xml:space="preserve">F:\Données chgh\2020-CHG-CZA-Test-3\plaque 2/@14 Testo 30/G2_03.tif </t>
  </si>
  <si>
    <t xml:space="preserve"> 3979.9006 </t>
  </si>
  <si>
    <t xml:space="preserve"> 64.7391 </t>
  </si>
  <si>
    <t xml:space="preserve">F:\Données chgh\2020-CHG-CZA-Test-3\plaque 2/@14 Testo 30/H2_01.tif </t>
  </si>
  <si>
    <t xml:space="preserve"> 14729.9582 </t>
  </si>
  <si>
    <t xml:space="preserve"> 69.4273 </t>
  </si>
  <si>
    <t xml:space="preserve">F:\Données chgh\2020-CHG-CZA-Test-3\plaque 2/@14 Testo 30/H2_02.tif </t>
  </si>
  <si>
    <t xml:space="preserve"> 26388.4714 </t>
  </si>
  <si>
    <t xml:space="preserve"> 69.7975 </t>
  </si>
  <si>
    <t xml:space="preserve">F:\Données chgh\2020-CHG-CZA-Test-3\plaque 2/@14 Testo 30/H2_03.tif </t>
  </si>
  <si>
    <t xml:space="preserve"> 21413.5957 </t>
  </si>
  <si>
    <t xml:space="preserve"> 68.6111 </t>
  </si>
  <si>
    <t xml:space="preserve">F:\Données chgh\2020-CHG-CZA-Test-3\plaque 2/@14 Testo 30/ </t>
  </si>
  <si>
    <t xml:space="preserve"> 71.1803 </t>
  </si>
  <si>
    <t xml:space="preserve"> 3.6661 </t>
  </si>
  <si>
    <t xml:space="preserve"> 2423079.92 </t>
  </si>
  <si>
    <t xml:space="preserve"> 1452542.42 </t>
  </si>
  <si>
    <t>F:\Données chgh\2020-CHG-CZA-Test-3\plaque 2/@15 Testo + EE2/A3_01- exclu.tif</t>
  </si>
  <si>
    <t xml:space="preserve">F:\Données chgh\2020-CHG-CZA-Test-3\plaque 2/@15 Testo + EE2/A3_02.tif </t>
  </si>
  <si>
    <t xml:space="preserve"> 49402.6793 </t>
  </si>
  <si>
    <t xml:space="preserve"> 74.2032 </t>
  </si>
  <si>
    <t>F:\Données chgh\2020-CHG-CZA-Test-3\plaque 2/@15 Testo + EE2/A3_03- exclu.tif</t>
  </si>
  <si>
    <t xml:space="preserve">F:\Données chgh\2020-CHG-CZA-Test-3\plaque 2/@15 Testo + EE2/B3_01.tif </t>
  </si>
  <si>
    <t xml:space="preserve"> 54464.0747 </t>
  </si>
  <si>
    <t xml:space="preserve"> 78.1382 </t>
  </si>
  <si>
    <t>F:\Données chgh\2020-CHG-CZA-Test-3\plaque 2/@15 Testo + EE2/B3_02- exclu.tif</t>
  </si>
  <si>
    <t>F:\Données chgh\2020-CHG-CZA-Test-3\plaque 2/@15 Testo + EE2/B3_03- exclu.tif</t>
  </si>
  <si>
    <t xml:space="preserve">F:\Données chgh\2020-CHG-CZA-Test-3\plaque 2/@15 Testo + EE2/C3_01.tif </t>
  </si>
  <si>
    <t xml:space="preserve"> 66057.6982 </t>
  </si>
  <si>
    <t xml:space="preserve"> 80.9525 </t>
  </si>
  <si>
    <t xml:space="preserve">F:\Données chgh\2020-CHG-CZA-Test-3\plaque 2/@15 Testo + EE2/C3_02.tif </t>
  </si>
  <si>
    <t xml:space="preserve"> 61537.0502 </t>
  </si>
  <si>
    <t xml:space="preserve"> 79.2837 </t>
  </si>
  <si>
    <t xml:space="preserve">F:\Données chgh\2020-CHG-CZA-Test-3\plaque 2/@15 Testo + EE2/C3_03.tif </t>
  </si>
  <si>
    <t xml:space="preserve"> 64284.0468 </t>
  </si>
  <si>
    <t xml:space="preserve"> 79.9351 </t>
  </si>
  <si>
    <t xml:space="preserve">F:\Données chgh\2020-CHG-CZA-Test-3\plaque 2/@15 Testo + EE2/D3_01.tif </t>
  </si>
  <si>
    <t xml:space="preserve"> 52517.3842 </t>
  </si>
  <si>
    <t xml:space="preserve"> 77.061 </t>
  </si>
  <si>
    <t xml:space="preserve">F:\Données chgh\2020-CHG-CZA-Test-3\plaque 2/@15 Testo + EE2/D3_02.tif </t>
  </si>
  <si>
    <t xml:space="preserve"> 52171.3058 </t>
  </si>
  <si>
    <t xml:space="preserve"> 78.3897 </t>
  </si>
  <si>
    <t xml:space="preserve">F:\Données chgh\2020-CHG-CZA-Test-3\plaque 2/@15 Testo + EE2/D3_03.tif </t>
  </si>
  <si>
    <t xml:space="preserve"> 48061.6259 </t>
  </si>
  <si>
    <t xml:space="preserve"> 78.6449 </t>
  </si>
  <si>
    <t xml:space="preserve">F:\Données chgh\2020-CHG-CZA-Test-3\plaque 2/@15 Testo + EE2/E3_01.tif </t>
  </si>
  <si>
    <t xml:space="preserve"> 39409.668 </t>
  </si>
  <si>
    <t xml:space="preserve"> 84.7031 </t>
  </si>
  <si>
    <t xml:space="preserve">F:\Données chgh\2020-CHG-CZA-Test-3\plaque 2/@15 Testo + EE2/E3_02.tif </t>
  </si>
  <si>
    <t xml:space="preserve"> 79.1827 </t>
  </si>
  <si>
    <t xml:space="preserve">F:\Données chgh\2020-CHG-CZA-Test-3\plaque 2/@15 Testo + EE2/E3_03.tif </t>
  </si>
  <si>
    <t xml:space="preserve"> 81.2538 </t>
  </si>
  <si>
    <t xml:space="preserve">F:\Données chgh\2020-CHG-CZA-Test-3\plaque 2/@15 Testo + EE2/F3_01.tif </t>
  </si>
  <si>
    <t xml:space="preserve"> 71010.9441 </t>
  </si>
  <si>
    <t xml:space="preserve"> 79.8038 </t>
  </si>
  <si>
    <t xml:space="preserve">F:\Données chgh\2020-CHG-CZA-Test-3\plaque 2/@15 Testo + EE2/F3_02.tif </t>
  </si>
  <si>
    <t xml:space="preserve"> 69605.0009 </t>
  </si>
  <si>
    <t xml:space="preserve"> 79.6234 </t>
  </si>
  <si>
    <t xml:space="preserve">F:\Données chgh\2020-CHG-CZA-Test-3\plaque 2/@15 Testo + EE2/F3_03.tif </t>
  </si>
  <si>
    <t xml:space="preserve"> 62618.545 </t>
  </si>
  <si>
    <t xml:space="preserve"> 84.0408 </t>
  </si>
  <si>
    <t xml:space="preserve">F:\Données chgh\2020-CHG-CZA-Test-3\plaque 2/@15 Testo + EE2/G3_01.tif </t>
  </si>
  <si>
    <t xml:space="preserve"> 67636.6805 </t>
  </si>
  <si>
    <t xml:space="preserve"> 87.3032 </t>
  </si>
  <si>
    <t xml:space="preserve">F:\Données chgh\2020-CHG-CZA-Test-3\plaque 2/@15 Testo + EE2/G3_02.tif </t>
  </si>
  <si>
    <t xml:space="preserve"> 61407.2709 </t>
  </si>
  <si>
    <t xml:space="preserve"> 90.2681 </t>
  </si>
  <si>
    <t xml:space="preserve">F:\Données chgh\2020-CHG-CZA-Test-3\plaque 2/@15 Testo + EE2/G3_03.tif </t>
  </si>
  <si>
    <t xml:space="preserve"> 60823.2637 </t>
  </si>
  <si>
    <t xml:space="preserve"> 88.9662 </t>
  </si>
  <si>
    <t xml:space="preserve">F:\Données chgh\2020-CHG-CZA-Test-3\plaque 2/@15 Testo + EE2/H3_01.tif </t>
  </si>
  <si>
    <t xml:space="preserve"> 80939.0657 </t>
  </si>
  <si>
    <t xml:space="preserve"> 89.5917 </t>
  </si>
  <si>
    <t xml:space="preserve">F:\Données chgh\2020-CHG-CZA-Test-3\plaque 2/@15 Testo + EE2/H3_02.tif </t>
  </si>
  <si>
    <t xml:space="preserve"> 78408.368 </t>
  </si>
  <si>
    <t xml:space="preserve"> 87.7244 </t>
  </si>
  <si>
    <t xml:space="preserve">F:\Données chgh\2020-CHG-CZA-Test-3\plaque 2/@15 Testo + EE2/H3_03.tif </t>
  </si>
  <si>
    <t xml:space="preserve"> 76721.2362 </t>
  </si>
  <si>
    <t xml:space="preserve"> 86.6716 </t>
  </si>
  <si>
    <t xml:space="preserve">F:\Données chgh\2020-CHG-CZA-Test-3\plaque 2/@15 Testo + EE2/ </t>
  </si>
  <si>
    <t xml:space="preserve"> 80.2677 </t>
  </si>
  <si>
    <t xml:space="preserve"> 6.4175 </t>
  </si>
  <si>
    <t xml:space="preserve"> 4622041.71 </t>
  </si>
  <si>
    <t xml:space="preserve"> 1360656.05 </t>
  </si>
  <si>
    <t xml:space="preserve">F:\Données chgh\2020-CHG-CZA-Test-3\plaque 2/@16 Testo + FAD/A4_01.tif </t>
  </si>
  <si>
    <t xml:space="preserve"> 10728.4277 </t>
  </si>
  <si>
    <t xml:space="preserve"> 68.2702 </t>
  </si>
  <si>
    <t xml:space="preserve">F:\Données chgh\2020-CHG-CZA-Test-3\plaque 2/@16 Testo + FAD/A4_02.tif </t>
  </si>
  <si>
    <t xml:space="preserve"> 70.6 </t>
  </si>
  <si>
    <t xml:space="preserve">F:\Données chgh\2020-CHG-CZA-Test-3\plaque 2/@16 Testo + FAD/A4_03.tif </t>
  </si>
  <si>
    <t xml:space="preserve"> 65.8916 </t>
  </si>
  <si>
    <t xml:space="preserve">F:\Données chgh\2020-CHG-CZA-Test-3\plaque 2/@16 Testo + FAD/B4_01.tif </t>
  </si>
  <si>
    <t xml:space="preserve">F:\Données chgh\2020-CHG-CZA-Test-3\plaque 2/@16 Testo + FAD/B4_02.tif </t>
  </si>
  <si>
    <t xml:space="preserve"> 64.8333 </t>
  </si>
  <si>
    <t xml:space="preserve">F:\Données chgh\2020-CHG-CZA-Test-3\plaque 2/@16 Testo + FAD/B4_03.tif </t>
  </si>
  <si>
    <t xml:space="preserve">F:\Données chgh\2020-CHG-CZA-Test-3\plaque 2/@16 Testo + FAD/C4_01.tif </t>
  </si>
  <si>
    <t xml:space="preserve"> 66.2 </t>
  </si>
  <si>
    <t xml:space="preserve">F:\Données chgh\2020-CHG-CZA-Test-3\plaque 2/@16 Testo + FAD/C4_02.tif </t>
  </si>
  <si>
    <t xml:space="preserve"> 65.0811 </t>
  </si>
  <si>
    <t xml:space="preserve">F:\Données chgh\2020-CHG-CZA-Test-3\plaque 2/@16 Testo + FAD/C4_03.tif </t>
  </si>
  <si>
    <t xml:space="preserve"> 65.8333 </t>
  </si>
  <si>
    <t xml:space="preserve">F:\Données chgh\2020-CHG-CZA-Test-3\plaque 2/@16 Testo + FAD/D4_01.tif </t>
  </si>
  <si>
    <t xml:space="preserve"> 5883.3313 </t>
  </si>
  <si>
    <t xml:space="preserve"> 66.2206 </t>
  </si>
  <si>
    <t xml:space="preserve">F:\Données chgh\2020-CHG-CZA-Test-3\plaque 2/@16 Testo + FAD/D4_02.tif </t>
  </si>
  <si>
    <t xml:space="preserve"> 6315.9292 </t>
  </si>
  <si>
    <t xml:space="preserve"> 68.387 </t>
  </si>
  <si>
    <t xml:space="preserve">F:\Données chgh\2020-CHG-CZA-Test-3\plaque 2/@16 Testo + FAD/D4_03.tif </t>
  </si>
  <si>
    <t xml:space="preserve"> 65.1681 </t>
  </si>
  <si>
    <t xml:space="preserve">F:\Données chgh\2020-CHG-CZA-Test-3\plaque 2/@16 Testo + FAD/E4_01.tif </t>
  </si>
  <si>
    <t xml:space="preserve"> 4974.8758 </t>
  </si>
  <si>
    <t xml:space="preserve"> 67.3565 </t>
  </si>
  <si>
    <t xml:space="preserve">F:\Données chgh\2020-CHG-CZA-Test-3\plaque 2/@16 Testo + FAD/E4_02.tif </t>
  </si>
  <si>
    <t xml:space="preserve"> 4347.6088 </t>
  </si>
  <si>
    <t xml:space="preserve"> 68.3682 </t>
  </si>
  <si>
    <t xml:space="preserve">F:\Données chgh\2020-CHG-CZA-Test-3\plaque 2/@16 Testo + FAD/E4_03.tif </t>
  </si>
  <si>
    <t xml:space="preserve"> 64.1212 </t>
  </si>
  <si>
    <t xml:space="preserve">F:\Données chgh\2020-CHG-CZA-Test-3\plaque 2/@16 Testo + FAD/F4_01.tif </t>
  </si>
  <si>
    <t xml:space="preserve"> 67.3373 </t>
  </si>
  <si>
    <t xml:space="preserve">F:\Données chgh\2020-CHG-CZA-Test-3\plaque 2/@16 Testo + FAD/F4_02.tif </t>
  </si>
  <si>
    <t>F:\Données chgh\2020-CHG-CZA-Test-3\plaque 2/@16 Testo + FAD/F4_03- exclu.tif</t>
  </si>
  <si>
    <t xml:space="preserve">F:\Données chgh\2020-CHG-CZA-Test-3\plaque 2/@16 Testo + FAD/G4_01.tif </t>
  </si>
  <si>
    <t xml:space="preserve"> 69.3926 </t>
  </si>
  <si>
    <t xml:space="preserve">F:\Données chgh\2020-CHG-CZA-Test-3\plaque 2/@16 Testo + FAD/G4_02.tif </t>
  </si>
  <si>
    <t>F:\Données chgh\2020-CHG-CZA-Test-3\plaque 2/@16 Testo + FAD/G4_03- exclu.tif</t>
  </si>
  <si>
    <t xml:space="preserve">F:\Données chgh\2020-CHG-CZA-Test-3\plaque 2/@16 Testo + FAD/H4_01.tif </t>
  </si>
  <si>
    <t xml:space="preserve"> 71.2781 </t>
  </si>
  <si>
    <t xml:space="preserve">F:\Données chgh\2020-CHG-CZA-Test-3\plaque 2/@16 Testo + FAD/H4_02.tif </t>
  </si>
  <si>
    <t xml:space="preserve"> 5450.7334 </t>
  </si>
  <si>
    <t xml:space="preserve"> 69.1667 </t>
  </si>
  <si>
    <t xml:space="preserve">F:\Données chgh\2020-CHG-CZA-Test-3\plaque 2/@16 Testo + FAD/H4_03.tif </t>
  </si>
  <si>
    <t xml:space="preserve"> 68.6012 </t>
  </si>
  <si>
    <t xml:space="preserve">F:\Données chgh\2020-CHG-CZA-Test-3\plaque 2/@16 Testo + FAD/ </t>
  </si>
  <si>
    <t xml:space="preserve"> 66.5524 </t>
  </si>
  <si>
    <t xml:space="preserve"> 2.283 </t>
  </si>
  <si>
    <t xml:space="preserve"> 212476.75 </t>
  </si>
  <si>
    <t xml:space="preserve"> 190160.388 </t>
  </si>
  <si>
    <t xml:space="preserve">F:\Données chgh\2020-CHG-CZA-Test-3\plaque 2/@17 Testo + Pro 12/A5_01.tif </t>
  </si>
  <si>
    <t xml:space="preserve"> 31428.2369 </t>
  </si>
  <si>
    <t xml:space="preserve"> 68.5403 </t>
  </si>
  <si>
    <t xml:space="preserve">F:\Données chgh\2020-CHG-CZA-Test-3\plaque 2/@17 Testo + Pro 12/A5_02.tif </t>
  </si>
  <si>
    <t xml:space="preserve"> 28356.7919 </t>
  </si>
  <si>
    <t xml:space="preserve"> 67.8223 </t>
  </si>
  <si>
    <t xml:space="preserve">F:\Données chgh\2020-CHG-CZA-Test-3\plaque 2/@17 Testo + Pro 12/A5_03.tif </t>
  </si>
  <si>
    <t xml:space="preserve"> 26215.4323 </t>
  </si>
  <si>
    <t xml:space="preserve"> 67.2797 </t>
  </si>
  <si>
    <t xml:space="preserve">F:\Données chgh\2020-CHG-CZA-Test-3\plaque 2/@17 Testo + Pro 12/B5_01.tif </t>
  </si>
  <si>
    <t xml:space="preserve"> 42199.9244 </t>
  </si>
  <si>
    <t xml:space="preserve"> 78.4054 </t>
  </si>
  <si>
    <t xml:space="preserve">F:\Données chgh\2020-CHG-CZA-Test-3\plaque 2/@17 Testo + Pro 12/B5_02.tif </t>
  </si>
  <si>
    <t xml:space="preserve"> 38847.2908 </t>
  </si>
  <si>
    <t xml:space="preserve"> 81.2149 </t>
  </si>
  <si>
    <t xml:space="preserve">F:\Données chgh\2020-CHG-CZA-Test-3\plaque 2/@17 Testo + Pro 12/B5_03.tif </t>
  </si>
  <si>
    <t xml:space="preserve"> 43000.2305 </t>
  </si>
  <si>
    <t xml:space="preserve"> 81.0538 </t>
  </si>
  <si>
    <t xml:space="preserve">F:\Données chgh\2020-CHG-CZA-Test-3\plaque 2/@17 Testo + Pro 12/C5_01.tif </t>
  </si>
  <si>
    <t xml:space="preserve"> 12566.9688 </t>
  </si>
  <si>
    <t xml:space="preserve"> 64.7074 </t>
  </si>
  <si>
    <t xml:space="preserve">F:\Données chgh\2020-CHG-CZA-Test-3\plaque 2/@17 Testo + Pro 12/C5_02.tif </t>
  </si>
  <si>
    <t xml:space="preserve"> 16784.7982 </t>
  </si>
  <si>
    <t xml:space="preserve"> 67.0979 </t>
  </si>
  <si>
    <t xml:space="preserve">F:\Données chgh\2020-CHG-CZA-Test-3\plaque 2/@17 Testo + Pro 12/C5_03.tif </t>
  </si>
  <si>
    <t xml:space="preserve"> 13237.4955 </t>
  </si>
  <si>
    <t xml:space="preserve"> 64.9297 </t>
  </si>
  <si>
    <t xml:space="preserve">F:\Données chgh\2020-CHG-CZA-Test-3\plaque 2/@17 Testo + Pro 12/D5_01.tif </t>
  </si>
  <si>
    <t xml:space="preserve"> 63.8052 </t>
  </si>
  <si>
    <t xml:space="preserve">F:\Données chgh\2020-CHG-CZA-Test-3\plaque 2/@17 Testo + Pro 12/D5_02.tif </t>
  </si>
  <si>
    <t xml:space="preserve"> 65.6034 </t>
  </si>
  <si>
    <t xml:space="preserve">F:\Données chgh\2020-CHG-CZA-Test-3\plaque 2/@17 Testo + Pro 12/D5_03.tif </t>
  </si>
  <si>
    <t xml:space="preserve"> 63.6447 </t>
  </si>
  <si>
    <t xml:space="preserve">F:\Données chgh\2020-CHG-CZA-Test-3\plaque 2/@17 Testo + Pro 12/E5_01.tif </t>
  </si>
  <si>
    <t xml:space="preserve"> 44600.8427 </t>
  </si>
  <si>
    <t xml:space="preserve"> 69.7435 </t>
  </si>
  <si>
    <t xml:space="preserve">F:\Données chgh\2020-CHG-CZA-Test-3\plaque 2/@17 Testo + Pro 12/E5_02.tif </t>
  </si>
  <si>
    <t xml:space="preserve"> 36987.1198 </t>
  </si>
  <si>
    <t xml:space="preserve"> 68.0959 </t>
  </si>
  <si>
    <t xml:space="preserve">F:\Données chgh\2020-CHG-CZA-Test-3\plaque 2/@17 Testo + Pro 12/E5_03.tif </t>
  </si>
  <si>
    <t xml:space="preserve"> 34607.8314 </t>
  </si>
  <si>
    <t xml:space="preserve"> 67.7894 </t>
  </si>
  <si>
    <t xml:space="preserve">F:\Données chgh\2020-CHG-CZA-Test-3\plaque 2/@17 Testo + Pro 12/F5_01.tif </t>
  </si>
  <si>
    <t xml:space="preserve"> 42632.5223 </t>
  </si>
  <si>
    <t xml:space="preserve"> 69.9127 </t>
  </si>
  <si>
    <t xml:space="preserve">F:\Données chgh\2020-CHG-CZA-Test-3\plaque 2/@17 Testo + Pro 12/F5_02.tif </t>
  </si>
  <si>
    <t xml:space="preserve"> 67.4765 </t>
  </si>
  <si>
    <t xml:space="preserve">F:\Données chgh\2020-CHG-CZA-Test-3\plaque 2/@17 Testo + Pro 12/F5_03.tif </t>
  </si>
  <si>
    <t xml:space="preserve"> 30714.4504 </t>
  </si>
  <si>
    <t xml:space="preserve"> 67.8063 </t>
  </si>
  <si>
    <t xml:space="preserve">F:\Données chgh\2020-CHG-CZA-Test-3\plaque 2/@17 Testo + Pro 12/G5_01.tif </t>
  </si>
  <si>
    <t xml:space="preserve"> 21067.5174 </t>
  </si>
  <si>
    <t xml:space="preserve"> 66.9281 </t>
  </si>
  <si>
    <t xml:space="preserve">F:\Données chgh\2020-CHG-CZA-Test-3\plaque 2/@17 Testo + Pro 12/G5_02.tif </t>
  </si>
  <si>
    <t xml:space="preserve"> 17563.4744 </t>
  </si>
  <si>
    <t xml:space="preserve"> 66.1195 </t>
  </si>
  <si>
    <t xml:space="preserve">F:\Données chgh\2020-CHG-CZA-Test-3\plaque 2/@17 Testo + Pro 12/G5_03.tif </t>
  </si>
  <si>
    <t xml:space="preserve"> 17974.4424 </t>
  </si>
  <si>
    <t xml:space="preserve"> 66.7353 </t>
  </si>
  <si>
    <t xml:space="preserve">F:\Données chgh\2020-CHG-CZA-Test-3\plaque 2/@17 Testo + Pro 12/H5_01.tif </t>
  </si>
  <si>
    <t xml:space="preserve"> 14513.6593 </t>
  </si>
  <si>
    <t xml:space="preserve"> 65.8569 </t>
  </si>
  <si>
    <t xml:space="preserve">F:\Données chgh\2020-CHG-CZA-Test-3\plaque 2/@17 Testo + Pro 12/H5_02.tif </t>
  </si>
  <si>
    <t xml:space="preserve"> 10836.5772 </t>
  </si>
  <si>
    <t xml:space="preserve"> 66.0359 </t>
  </si>
  <si>
    <t xml:space="preserve">F:\Données chgh\2020-CHG-CZA-Test-3\plaque 2/@17 Testo + Pro 12/H5_03.tif </t>
  </si>
  <si>
    <t xml:space="preserve"> 9993.0113 </t>
  </si>
  <si>
    <t xml:space="preserve"> 64.6602 </t>
  </si>
  <si>
    <t xml:space="preserve">F:\Données chgh\2020-CHG-CZA-Test-3\plaque 2/@17 Testo + Pro 12/ </t>
  </si>
  <si>
    <t xml:space="preserve"> 68.386 </t>
  </si>
  <si>
    <t xml:space="preserve"> 4.8764 </t>
  </si>
  <si>
    <t xml:space="preserve"> 1672296.33 </t>
  </si>
  <si>
    <t xml:space="preserve"> 1049197.41 </t>
  </si>
  <si>
    <t xml:space="preserve">F:\Données chgh\2020-CHG-CZA-Test-3\plaque 2/@18  Testo + Pro 37/A6_01.tif </t>
  </si>
  <si>
    <t xml:space="preserve"> 28594.7207 </t>
  </si>
  <si>
    <t xml:space="preserve"> 67.7806 </t>
  </si>
  <si>
    <t xml:space="preserve">F:\Données chgh\2020-CHG-CZA-Test-3\plaque 2/@18  Testo + Pro 37/A6_02.tif </t>
  </si>
  <si>
    <t xml:space="preserve"> 68.5463 </t>
  </si>
  <si>
    <t xml:space="preserve">F:\Données chgh\2020-CHG-CZA-Test-3\plaque 2/@18  Testo + Pro 37/A6_03.tif </t>
  </si>
  <si>
    <t xml:space="preserve"> 24203.8521 </t>
  </si>
  <si>
    <t xml:space="preserve"> 68.4549 </t>
  </si>
  <si>
    <t xml:space="preserve">F:\Données chgh\2020-CHG-CZA-Test-3\plaque 2/@18  Testo + Pro 37/B6_01.tif </t>
  </si>
  <si>
    <t xml:space="preserve"> 63.3984 </t>
  </si>
  <si>
    <t xml:space="preserve">F:\Données chgh\2020-CHG-CZA-Test-3\plaque 2/@18  Testo + Pro 37/B6_02.tif </t>
  </si>
  <si>
    <t xml:space="preserve"> 65.5799 </t>
  </si>
  <si>
    <t xml:space="preserve">F:\Données chgh\2020-CHG-CZA-Test-3\plaque 2/@18  Testo + Pro 37/B6_03.tif </t>
  </si>
  <si>
    <t xml:space="preserve"> 64.9637 </t>
  </si>
  <si>
    <t xml:space="preserve">F:\Données chgh\2020-CHG-CZA-Test-3\plaque 2/@18  Testo + Pro 37/C6_01.tif </t>
  </si>
  <si>
    <t xml:space="preserve"> 12026.2214 </t>
  </si>
  <si>
    <t xml:space="preserve"> 65.1043 </t>
  </si>
  <si>
    <t xml:space="preserve">F:\Données chgh\2020-CHG-CZA-Test-3\plaque 2/@18  Testo + Pro 37/C6_02.tif </t>
  </si>
  <si>
    <t xml:space="preserve"> 66.3425 </t>
  </si>
  <si>
    <t xml:space="preserve">F:\Données chgh\2020-CHG-CZA-Test-3\plaque 2/@18  Testo + Pro 37/C6_03.tif </t>
  </si>
  <si>
    <t xml:space="preserve"> 14492.0294 </t>
  </si>
  <si>
    <t xml:space="preserve"> 66.0149 </t>
  </si>
  <si>
    <t xml:space="preserve">F:\Données chgh\2020-CHG-CZA-Test-3\plaque 2/@18  Testo + Pro 37/D6_01.tif </t>
  </si>
  <si>
    <t xml:space="preserve"> 47347.8393 </t>
  </si>
  <si>
    <t xml:space="preserve"> 71.5487 </t>
  </si>
  <si>
    <t xml:space="preserve">F:\Données chgh\2020-CHG-CZA-Test-3\plaque 2/@18  Testo + Pro 37/D6_02.tif </t>
  </si>
  <si>
    <t xml:space="preserve"> 72.4446 </t>
  </si>
  <si>
    <t xml:space="preserve">F:\Données chgh\2020-CHG-CZA-Test-3\plaque 2/@18  Testo + Pro 37/D6_03.tif </t>
  </si>
  <si>
    <t xml:space="preserve"> 49034.9711 </t>
  </si>
  <si>
    <t xml:space="preserve"> 71.4182 </t>
  </si>
  <si>
    <t xml:space="preserve">F:\Données chgh\2020-CHG-CZA-Test-3\plaque 2/@18  Testo + Pro 37/E6_01.tif </t>
  </si>
  <si>
    <t xml:space="preserve"> 66.7582 </t>
  </si>
  <si>
    <t xml:space="preserve">F:\Données chgh\2020-CHG-CZA-Test-3\plaque 2/@18  Testo + Pro 37/E6_02.tif </t>
  </si>
  <si>
    <t xml:space="preserve"> 18515.1898 </t>
  </si>
  <si>
    <t xml:space="preserve"> 65.9311 </t>
  </si>
  <si>
    <t xml:space="preserve">F:\Données chgh\2020-CHG-CZA-Test-3\plaque 2/@18  Testo + Pro 37/E6_03.tif </t>
  </si>
  <si>
    <t xml:space="preserve"> 66.6365 </t>
  </si>
  <si>
    <t xml:space="preserve">F:\Données chgh\2020-CHG-CZA-Test-3\plaque 2/@18  Testo + Pro 37/F6_01.tif </t>
  </si>
  <si>
    <t xml:space="preserve"> 69540.1112 </t>
  </si>
  <si>
    <t xml:space="preserve"> 79.7387 </t>
  </si>
  <si>
    <t xml:space="preserve">F:\Données chgh\2020-CHG-CZA-Test-3\plaque 2/@18  Testo + Pro 37/F6_02.tif </t>
  </si>
  <si>
    <t xml:space="preserve"> 66598.4456 </t>
  </si>
  <si>
    <t xml:space="preserve"> 78.177 </t>
  </si>
  <si>
    <t xml:space="preserve">F:\Données chgh\2020-CHG-CZA-Test-3\plaque 2/@18  Testo + Pro 37/F6_03.tif </t>
  </si>
  <si>
    <t xml:space="preserve"> 62856.4738 </t>
  </si>
  <si>
    <t xml:space="preserve"> 79.0788 </t>
  </si>
  <si>
    <t xml:space="preserve">F:\Données chgh\2020-CHG-CZA-Test-3\plaque 2/@18  Testo + Pro 37/G6_01.tif </t>
  </si>
  <si>
    <t xml:space="preserve"> 48970.0814 </t>
  </si>
  <si>
    <t xml:space="preserve"> 71.2178 </t>
  </si>
  <si>
    <t xml:space="preserve">F:\Données chgh\2020-CHG-CZA-Test-3\plaque 2/@18  Testo + Pro 37/G6_02.tif </t>
  </si>
  <si>
    <t xml:space="preserve"> 50765.3627 </t>
  </si>
  <si>
    <t xml:space="preserve"> 71.0371 </t>
  </si>
  <si>
    <t xml:space="preserve">F:\Données chgh\2020-CHG-CZA-Test-3\plaque 2/@18  Testo + Pro 37/G6_03.tif </t>
  </si>
  <si>
    <t xml:space="preserve"> 45401.1488 </t>
  </si>
  <si>
    <t xml:space="preserve"> 70.9333 </t>
  </si>
  <si>
    <t xml:space="preserve">F:\Données chgh\2020-CHG-CZA-Test-3\plaque 2/@18  Testo + Pro 37/H6_01.tif </t>
  </si>
  <si>
    <t xml:space="preserve"> 20743.0689 </t>
  </si>
  <si>
    <t xml:space="preserve"> 69.7654 </t>
  </si>
  <si>
    <t xml:space="preserve">F:\Données chgh\2020-CHG-CZA-Test-3\plaque 2/@18  Testo + Pro 37/H6_02.tif </t>
  </si>
  <si>
    <t xml:space="preserve"> 20461.8803 </t>
  </si>
  <si>
    <t xml:space="preserve"> 67.2822 </t>
  </si>
  <si>
    <t xml:space="preserve">F:\Données chgh\2020-CHG-CZA-Test-3\plaque 2/@18  Testo + Pro 37/H6_03.tif </t>
  </si>
  <si>
    <t xml:space="preserve"> 13864.7625 </t>
  </si>
  <si>
    <t xml:space="preserve"> 66.3354 </t>
  </si>
  <si>
    <t xml:space="preserve">F:\Données chgh\2020-CHG-CZA-Test-3\plaque 2/@18  Testo + Pro 37/ </t>
  </si>
  <si>
    <t xml:space="preserve"> 69.3537 </t>
  </si>
  <si>
    <t xml:space="preserve"> 4.4639 </t>
  </si>
  <si>
    <t xml:space="preserve"> 2211651.33 </t>
  </si>
  <si>
    <t xml:space="preserve"> 1613938.74 </t>
  </si>
  <si>
    <t xml:space="preserve">F:\Données chgh\2020-CHG-CZA-Test-3\plaque 2/@19 Testo + Pro 111/A7_01.tif </t>
  </si>
  <si>
    <t xml:space="preserve"> 21435.2256 </t>
  </si>
  <si>
    <t xml:space="preserve"> 68.4712 </t>
  </si>
  <si>
    <t xml:space="preserve">F:\Données chgh\2020-CHG-CZA-Test-3\plaque 2/@19 Testo + Pro 111/A7_02.tif </t>
  </si>
  <si>
    <t xml:space="preserve"> 21543.3751 </t>
  </si>
  <si>
    <t xml:space="preserve"> 67.0673 </t>
  </si>
  <si>
    <t xml:space="preserve">F:\Données chgh\2020-CHG-CZA-Test-3\plaque 2/@19 Testo + Pro 111/A7_03.tif </t>
  </si>
  <si>
    <t xml:space="preserve"> 23187.247 </t>
  </si>
  <si>
    <t xml:space="preserve"> 69.3955 </t>
  </si>
  <si>
    <t xml:space="preserve">F:\Données chgh\2020-CHG-CZA-Test-3\plaque 2/@19 Testo + Pro 111/B7_01.tif </t>
  </si>
  <si>
    <t xml:space="preserve"> 64.4103 </t>
  </si>
  <si>
    <t xml:space="preserve">F:\Données chgh\2020-CHG-CZA-Test-3\plaque 2/@19 Testo + Pro 111/B7_02.tif </t>
  </si>
  <si>
    <t xml:space="preserve"> 64.6727 </t>
  </si>
  <si>
    <t xml:space="preserve">F:\Données chgh\2020-CHG-CZA-Test-3\plaque 2/@19 Testo + Pro 111/B7_03.tif </t>
  </si>
  <si>
    <t xml:space="preserve"> 65.8226 </t>
  </si>
  <si>
    <t xml:space="preserve">F:\Données chgh\2020-CHG-CZA-Test-3\plaque 2/@19 Testo + Pro 111/C7_01.tif </t>
  </si>
  <si>
    <t xml:space="preserve"> 14578.549 </t>
  </si>
  <si>
    <t xml:space="preserve"> 66.7789 </t>
  </si>
  <si>
    <t xml:space="preserve">F:\Données chgh\2020-CHG-CZA-Test-3\plaque 2/@19 Testo + Pro 111/C7_02.tif </t>
  </si>
  <si>
    <t xml:space="preserve"> 65.7371 </t>
  </si>
  <si>
    <t xml:space="preserve">F:\Données chgh\2020-CHG-CZA-Test-3\plaque 2/@19 Testo + Pro 111/C7_03.tif </t>
  </si>
  <si>
    <t xml:space="preserve"> 65.7525 </t>
  </si>
  <si>
    <t xml:space="preserve">F:\Données chgh\2020-CHG-CZA-Test-3\plaque 2/@19 Testo + Pro 111/D7_01.tif </t>
  </si>
  <si>
    <t xml:space="preserve"> 49878.537 </t>
  </si>
  <si>
    <t xml:space="preserve"> 70.8174 </t>
  </si>
  <si>
    <t xml:space="preserve">F:\Données chgh\2020-CHG-CZA-Test-3\plaque 2/@19 Testo + Pro 111/D7_02.tif </t>
  </si>
  <si>
    <t xml:space="preserve"> 52582.2738 </t>
  </si>
  <si>
    <t xml:space="preserve"> 71.102 </t>
  </si>
  <si>
    <t>F:\Données chgh\2020-CHG-CZA-Test-3\plaque 2/@19 Testo + Pro 111/D7_03- exclu.tif</t>
  </si>
  <si>
    <t xml:space="preserve">F:\Données chgh\2020-CHG-CZA-Test-3\plaque 2/@19 Testo + Pro 111/E7_01.tif </t>
  </si>
  <si>
    <t xml:space="preserve">F:\Données chgh\2020-CHG-CZA-Test-3\plaque 2/@19 Testo + Pro 111/E7_02.tif </t>
  </si>
  <si>
    <t xml:space="preserve"> 67.5556 </t>
  </si>
  <si>
    <t xml:space="preserve">F:\Données chgh\2020-CHG-CZA-Test-3\plaque 2/@19 Testo + Pro 111/E7_03.tif </t>
  </si>
  <si>
    <t xml:space="preserve"> 67.3695 </t>
  </si>
  <si>
    <t xml:space="preserve">F:\Données chgh\2020-CHG-CZA-Test-3\plaque 2/@19 Testo + Pro 111/F7_01.tif </t>
  </si>
  <si>
    <t xml:space="preserve"> 7440.6838 </t>
  </si>
  <si>
    <t xml:space="preserve"> 67.9302 </t>
  </si>
  <si>
    <t xml:space="preserve">F:\Données chgh\2020-CHG-CZA-Test-3\plaque 2/@19 Testo + Pro 111/F7_02.tif </t>
  </si>
  <si>
    <t xml:space="preserve"> 4325.9789 </t>
  </si>
  <si>
    <t xml:space="preserve"> 65.94 </t>
  </si>
  <si>
    <t xml:space="preserve">F:\Données chgh\2020-CHG-CZA-Test-3\plaque 2/@19 Testo + Pro 111/F7_03.tif </t>
  </si>
  <si>
    <t xml:space="preserve"> 64.5269 </t>
  </si>
  <si>
    <t xml:space="preserve">F:\Données chgh\2020-CHG-CZA-Test-3\plaque 2/@19 Testo + Pro 111/G7_01.tif </t>
  </si>
  <si>
    <t xml:space="preserve"> 62.7742 </t>
  </si>
  <si>
    <t xml:space="preserve">F:\Données chgh\2020-CHG-CZA-Test-3\plaque 2/@19 Testo + Pro 111/G7_02.tif </t>
  </si>
  <si>
    <t xml:space="preserve"> 63.6286 </t>
  </si>
  <si>
    <t xml:space="preserve">F:\Données chgh\2020-CHG-CZA-Test-3\plaque 2/@19 Testo + Pro 111/G7_03.tif </t>
  </si>
  <si>
    <t xml:space="preserve"> 63.9512 </t>
  </si>
  <si>
    <t xml:space="preserve">F:\Données chgh\2020-CHG-CZA-Test-3\plaque 2/@19 Testo + Pro 111/H7_01.tif </t>
  </si>
  <si>
    <t xml:space="preserve"> 18104.2218 </t>
  </si>
  <si>
    <t xml:space="preserve"> 67.9916 </t>
  </si>
  <si>
    <t xml:space="preserve">F:\Données chgh\2020-CHG-CZA-Test-3\plaque 2/@19 Testo + Pro 111/H7_02.tif </t>
  </si>
  <si>
    <t xml:space="preserve"> 15292.3355 </t>
  </si>
  <si>
    <t xml:space="preserve"> 66.8784 </t>
  </si>
  <si>
    <t xml:space="preserve">F:\Données chgh\2020-CHG-CZA-Test-3\plaque 2/@19 Testo + Pro 111/H7_03.tif </t>
  </si>
  <si>
    <t xml:space="preserve"> 20375.3607 </t>
  </si>
  <si>
    <t xml:space="preserve"> 67.3694 </t>
  </si>
  <si>
    <t xml:space="preserve">F:\Données chgh\2020-CHG-CZA-Test-3\plaque 2/@19 Testo + Pro 111/ </t>
  </si>
  <si>
    <t xml:space="preserve"> 66.5631 </t>
  </si>
  <si>
    <t xml:space="preserve"> 2.2389 </t>
  </si>
  <si>
    <t xml:space="preserve"> 883592.042 </t>
  </si>
  <si>
    <t xml:space="preserve"> 988406.848 </t>
  </si>
  <si>
    <t xml:space="preserve">F:\Données chgh\2020-CHG-CZA-Test-3\plaque 2/@20 Testo + Pro 333/A8_01.tif </t>
  </si>
  <si>
    <t xml:space="preserve"> 67.125 </t>
  </si>
  <si>
    <t xml:space="preserve">F:\Données chgh\2020-CHG-CZA-Test-3\plaque 2/@20 Testo + Pro 333/A8_02.tif </t>
  </si>
  <si>
    <t xml:space="preserve"> 66.0874 </t>
  </si>
  <si>
    <t xml:space="preserve">F:\Données chgh\2020-CHG-CZA-Test-3\plaque 2/@20 Testo + Pro 333/A8_03.tif </t>
  </si>
  <si>
    <t xml:space="preserve"> 2076.4699 </t>
  </si>
  <si>
    <t xml:space="preserve"> 65.2396 </t>
  </si>
  <si>
    <t xml:space="preserve">F:\Données chgh\2020-CHG-CZA-Test-3\plaque 2/@20 Testo + Pro 333/B8_01.tif </t>
  </si>
  <si>
    <t xml:space="preserve"> 3201.2244 </t>
  </si>
  <si>
    <t xml:space="preserve"> 63.473 </t>
  </si>
  <si>
    <t>F:\Données chgh\2020-CHG-CZA-Test-3\plaque 2/@20 Testo + Pro 333/B8_02- exclu.tif</t>
  </si>
  <si>
    <t>F:\Données chgh\2020-CHG-CZA-Test-3\plaque 2/@20 Testo + Pro 333/B8_03- exclu.tif</t>
  </si>
  <si>
    <t xml:space="preserve">F:\Données chgh\2020-CHG-CZA-Test-3\plaque 2/@20 Testo + Pro 333/C8_01.tif </t>
  </si>
  <si>
    <t xml:space="preserve"> 63.8507 </t>
  </si>
  <si>
    <t xml:space="preserve">F:\Données chgh\2020-CHG-CZA-Test-3\plaque 2/@20 Testo + Pro 333/C8_02.tif </t>
  </si>
  <si>
    <t xml:space="preserve"> 64.5714 </t>
  </si>
  <si>
    <t>F:\Données chgh\2020-CHG-CZA-Test-3\plaque 2/@20 Testo + Pro 333/C8_03- exclu.tif</t>
  </si>
  <si>
    <t xml:space="preserve">F:\Données chgh\2020-CHG-CZA-Test-3\plaque 2/@20 Testo + Pro 333/D8_01.tif </t>
  </si>
  <si>
    <t xml:space="preserve"> 24247.1119 </t>
  </si>
  <si>
    <t xml:space="preserve"> 66.0464 </t>
  </si>
  <si>
    <t xml:space="preserve">F:\Données chgh\2020-CHG-CZA-Test-3\plaque 2/@20 Testo + Pro 333/D8_02.tif </t>
  </si>
  <si>
    <t xml:space="preserve"> 67.5141 </t>
  </si>
  <si>
    <t xml:space="preserve">F:\Données chgh\2020-CHG-CZA-Test-3\plaque 2/@20 Testo + Pro 333/D8_03.tif </t>
  </si>
  <si>
    <t xml:space="preserve"> 68.0562 </t>
  </si>
  <si>
    <t xml:space="preserve">F:\Données chgh\2020-CHG-CZA-Test-3\plaque 2/@20 Testo + Pro 333/E8_01.tif </t>
  </si>
  <si>
    <t xml:space="preserve"> 71.296 </t>
  </si>
  <si>
    <t xml:space="preserve">F:\Données chgh\2020-CHG-CZA-Test-3\plaque 2/@20 Testo + Pro 333/E8_02.tif </t>
  </si>
  <si>
    <t xml:space="preserve"> 70.383 </t>
  </si>
  <si>
    <t xml:space="preserve">F:\Données chgh\2020-CHG-CZA-Test-3\plaque 2/@20 Testo + Pro 333/E8_03.tif </t>
  </si>
  <si>
    <t xml:space="preserve"> 66.7301 </t>
  </si>
  <si>
    <t xml:space="preserve">F:\Données chgh\2020-CHG-CZA-Test-3\plaque 2/@20 Testo + Pro 333/F8_01.tif </t>
  </si>
  <si>
    <t xml:space="preserve"> 64.0714 </t>
  </si>
  <si>
    <t xml:space="preserve">F:\Données chgh\2020-CHG-CZA-Test-3\plaque 2/@20 Testo + Pro 333/F8_02.tif </t>
  </si>
  <si>
    <t xml:space="preserve"> 63.1765 </t>
  </si>
  <si>
    <t xml:space="preserve">F:\Données chgh\2020-CHG-CZA-Test-3\plaque 2/@20 Testo + Pro 333/F8_03.tif </t>
  </si>
  <si>
    <t xml:space="preserve"> 63.56 </t>
  </si>
  <si>
    <t xml:space="preserve">F:\Données chgh\2020-CHG-CZA-Test-3\plaque 2/@20 Testo + Pro 333/G8_01.tif </t>
  </si>
  <si>
    <t xml:space="preserve"> 83.7581 </t>
  </si>
  <si>
    <t xml:space="preserve">F:\Données chgh\2020-CHG-CZA-Test-3\plaque 2/@20 Testo + Pro 333/G8_02.tif </t>
  </si>
  <si>
    <t xml:space="preserve"> 84.7293 </t>
  </si>
  <si>
    <t xml:space="preserve">F:\Données chgh\2020-CHG-CZA-Test-3\plaque 2/@20 Testo + Pro 333/G8_03.tif </t>
  </si>
  <si>
    <t xml:space="preserve"> 74.9905 </t>
  </si>
  <si>
    <t xml:space="preserve">F:\Données chgh\2020-CHG-CZA-Test-3\plaque 2/@20 Testo + Pro 333/H8_01.tif </t>
  </si>
  <si>
    <t xml:space="preserve"> 3114.7048 </t>
  </si>
  <si>
    <t xml:space="preserve"> 69.0069 </t>
  </si>
  <si>
    <t xml:space="preserve">F:\Données chgh\2020-CHG-CZA-Test-3\plaque 2/@20 Testo + Pro 333/H8_02.tif </t>
  </si>
  <si>
    <t xml:space="preserve"> 64.6067 </t>
  </si>
  <si>
    <t xml:space="preserve">F:\Données chgh\2020-CHG-CZA-Test-3\plaque 2/@20 Testo + Pro 333/H8_03.tif </t>
  </si>
  <si>
    <t xml:space="preserve"> 65.2887 </t>
  </si>
  <si>
    <t xml:space="preserve">F:\Données chgh\2020-CHG-CZA-Test-3\plaque 2/@20 Testo + Pro 333/ </t>
  </si>
  <si>
    <t xml:space="preserve"> 67.8327 </t>
  </si>
  <si>
    <t xml:space="preserve"> 5.8469 </t>
  </si>
  <si>
    <t xml:space="preserve"> 423213.208 </t>
  </si>
  <si>
    <t xml:space="preserve"> 530869.686 </t>
  </si>
  <si>
    <t xml:space="preserve">F:\Données chgh\2020-CHG-CZA-Test-3\plaque 2/@21 Testo +  Pro 1000/A9_01.tif </t>
  </si>
  <si>
    <t xml:space="preserve"> 63.4444 </t>
  </si>
  <si>
    <t xml:space="preserve">F:\Données chgh\2020-CHG-CZA-Test-3\plaque 2/@21 Testo +  Pro 1000/A9_02.tif </t>
  </si>
  <si>
    <t xml:space="preserve"> 62.9286 </t>
  </si>
  <si>
    <t xml:space="preserve">F:\Données chgh\2020-CHG-CZA-Test-3\plaque 2/@21 Testo +  Pro 1000/A9_03.tif </t>
  </si>
  <si>
    <t xml:space="preserve"> 62.4 </t>
  </si>
  <si>
    <t xml:space="preserve">F:\Données chgh\2020-CHG-CZA-Test-3\plaque 2/@21 Testo +  Pro 1000/B9_01.tif </t>
  </si>
  <si>
    <t xml:space="preserve"> 14773.218 </t>
  </si>
  <si>
    <t xml:space="preserve"> 74.8433 </t>
  </si>
  <si>
    <t xml:space="preserve">F:\Données chgh\2020-CHG-CZA-Test-3\plaque 2/@21 Testo +  Pro 1000/B9_02.tif </t>
  </si>
  <si>
    <t xml:space="preserve"> 74.7559 </t>
  </si>
  <si>
    <t xml:space="preserve">F:\Données chgh\2020-CHG-CZA-Test-3\plaque 2/@21 Testo +  Pro 1000/B9_03.tif </t>
  </si>
  <si>
    <t xml:space="preserve"> 72.8271 </t>
  </si>
  <si>
    <t xml:space="preserve">F:\Données chgh\2020-CHG-CZA-Test-3\plaque 2/@21 Testo +  Pro 1000/C9_01.tif </t>
  </si>
  <si>
    <t xml:space="preserve"> 63.5154 </t>
  </si>
  <si>
    <t xml:space="preserve">F:\Données chgh\2020-CHG-CZA-Test-3\plaque 2/@21 Testo +  Pro 1000/C9_02.tif </t>
  </si>
  <si>
    <t xml:space="preserve"> 64.9848 </t>
  </si>
  <si>
    <t xml:space="preserve">F:\Données chgh\2020-CHG-CZA-Test-3\plaque 2/@21 Testo +  Pro 1000/C9_03.tif </t>
  </si>
  <si>
    <t xml:space="preserve"> 65.1844 </t>
  </si>
  <si>
    <t xml:space="preserve">F:\Données chgh\2020-CHG-CZA-Test-3\plaque 2/@21 Testo +  Pro 1000/D9_01.tif </t>
  </si>
  <si>
    <t xml:space="preserve"> 63.4872 </t>
  </si>
  <si>
    <t xml:space="preserve">F:\Données chgh\2020-CHG-CZA-Test-3\plaque 2/@21 Testo +  Pro 1000/D9_02.tif </t>
  </si>
  <si>
    <t xml:space="preserve"> 7786.7621 </t>
  </si>
  <si>
    <t xml:space="preserve"> 70.7778 </t>
  </si>
  <si>
    <t xml:space="preserve">F:\Données chgh\2020-CHG-CZA-Test-3\plaque 2/@21 Testo +  Pro 1000/D9_03.tif </t>
  </si>
  <si>
    <t xml:space="preserve"> 69.8134 </t>
  </si>
  <si>
    <t xml:space="preserve">F:\Données chgh\2020-CHG-CZA-Test-3\plaque 2/@21 Testo +  Pro 1000/E9_01.tif </t>
  </si>
  <si>
    <t xml:space="preserve">F:\Données chgh\2020-CHG-CZA-Test-3\plaque 2/@21 Testo +  Pro 1000/E9_02.tif </t>
  </si>
  <si>
    <t xml:space="preserve"> 69.0206 </t>
  </si>
  <si>
    <t xml:space="preserve">F:\Données chgh\2020-CHG-CZA-Test-3\plaque 2/@21 Testo +  Pro 1000/E9_03.tif </t>
  </si>
  <si>
    <t xml:space="preserve"> 6791.7869 </t>
  </si>
  <si>
    <t xml:space="preserve"> 76.5637 </t>
  </si>
  <si>
    <t xml:space="preserve">F:\Données chgh\2020-CHG-CZA-Test-3\plaque 2/@21 Testo +  Pro 1000/F9_01.tif </t>
  </si>
  <si>
    <t xml:space="preserve"> 69.628 </t>
  </si>
  <si>
    <t xml:space="preserve">F:\Données chgh\2020-CHG-CZA-Test-3\plaque 2/@21 Testo +  Pro 1000/F9_02.tif </t>
  </si>
  <si>
    <t xml:space="preserve"> 68.8273 </t>
  </si>
  <si>
    <t xml:space="preserve">F:\Données chgh\2020-CHG-CZA-Test-3\plaque 2/@21 Testo +  Pro 1000/F9_03.tif </t>
  </si>
  <si>
    <t xml:space="preserve"> 5493.9932 </t>
  </si>
  <si>
    <t xml:space="preserve"> 68.1969 </t>
  </si>
  <si>
    <t xml:space="preserve">F:\Données chgh\2020-CHG-CZA-Test-3\plaque 2/@21 Testo +  Pro 1000/G9_01.tif </t>
  </si>
  <si>
    <t xml:space="preserve"> 70.7901 </t>
  </si>
  <si>
    <t xml:space="preserve">F:\Données chgh\2020-CHG-CZA-Test-3\plaque 2/@21 Testo +  Pro 1000/G9_02.tif </t>
  </si>
  <si>
    <t xml:space="preserve"> 68.1022 </t>
  </si>
  <si>
    <t>F:\Données chgh\2020-CHG-CZA-Test-3\plaque 2/@21 Testo +  Pro 1000/G9_03- exclu.tif</t>
  </si>
  <si>
    <t xml:space="preserve">F:\Données chgh\2020-CHG-CZA-Test-3\plaque 2/@21 Testo +  Pro 1000/H9_01.tif </t>
  </si>
  <si>
    <t xml:space="preserve"> 72.8553 </t>
  </si>
  <si>
    <t xml:space="preserve">F:\Données chgh\2020-CHG-CZA-Test-3\plaque 2/@21 Testo +  Pro 1000/H9_02.tif </t>
  </si>
  <si>
    <t xml:space="preserve"> 10793.3174 </t>
  </si>
  <si>
    <t xml:space="preserve"> 74.5591 </t>
  </si>
  <si>
    <t>F:\Données chgh\2020-CHG-CZA-Test-3\plaque 2/@21 Testo +  Pro 1000/H9_03- exclu.tif</t>
  </si>
  <si>
    <t xml:space="preserve">F:\Données chgh\2020-CHG-CZA-Test-3\plaque 2/@21 Testo +  Pro 1000/ </t>
  </si>
  <si>
    <t xml:space="preserve"> 68.8796 </t>
  </si>
  <si>
    <t xml:space="preserve"> 4.3015 </t>
  </si>
  <si>
    <t xml:space="preserve"> 387865.542 </t>
  </si>
  <si>
    <t xml:space="preserve"> 329133.393 </t>
  </si>
  <si>
    <t>ns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</si>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</sst>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29">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2"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5"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7"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1" xfId="0" applyFont="1" applyFill="1" applyBorder="1"/>
    <xf numFmtId="0" fontId="8" fillId="9" borderId="31"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0"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0" xfId="0" applyNumberFormat="1" applyFont="1" applyFill="1" applyBorder="1" applyAlignment="1">
      <alignment horizontal="center" vertical="center" wrapText="1"/>
    </xf>
    <xf numFmtId="0" fontId="3" fillId="0" borderId="24"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2"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5"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1" xfId="0" applyNumberFormat="1" applyFont="1" applyFill="1" applyBorder="1" applyAlignment="1">
      <alignment horizontal="center"/>
    </xf>
    <xf numFmtId="2" fontId="8" fillId="15" borderId="31"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1" xfId="0" applyNumberFormat="1" applyFont="1" applyFill="1" applyBorder="1" applyAlignment="1">
      <alignment horizontal="center"/>
    </xf>
    <xf numFmtId="1" fontId="8" fillId="9" borderId="31"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1" xfId="0" applyNumberFormat="1" applyFont="1" applyFill="1" applyBorder="1" applyAlignment="1">
      <alignment horizontal="center"/>
    </xf>
    <xf numFmtId="0" fontId="8" fillId="16" borderId="31" xfId="7" applyNumberFormat="1" applyFont="1" applyFill="1" applyBorder="1" applyAlignment="1">
      <alignment horizontal="center"/>
    </xf>
    <xf numFmtId="0" fontId="8" fillId="9" borderId="31"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1" xfId="0" applyNumberFormat="1" applyFont="1" applyFill="1" applyBorder="1" applyAlignment="1">
      <alignment horizontal="center"/>
    </xf>
    <xf numFmtId="0" fontId="8" fillId="15" borderId="31" xfId="7" applyNumberFormat="1" applyFont="1" applyFill="1" applyBorder="1" applyAlignment="1">
      <alignment horizontal="center"/>
    </xf>
    <xf numFmtId="0" fontId="8" fillId="15" borderId="31" xfId="0" applyNumberFormat="1" applyFont="1" applyFill="1" applyBorder="1"/>
    <xf numFmtId="0" fontId="8" fillId="17" borderId="31" xfId="0" applyNumberFormat="1" applyFont="1" applyFill="1" applyBorder="1" applyAlignment="1">
      <alignment horizontal="center"/>
    </xf>
    <xf numFmtId="0" fontId="8" fillId="17" borderId="31" xfId="7" applyNumberFormat="1" applyFont="1" applyFill="1" applyBorder="1" applyAlignment="1">
      <alignment horizontal="center"/>
    </xf>
    <xf numFmtId="0" fontId="8" fillId="9" borderId="31" xfId="0" applyNumberFormat="1" applyFont="1" applyFill="1" applyBorder="1" applyAlignment="1">
      <alignment horizontal="center"/>
    </xf>
    <xf numFmtId="0" fontId="8" fillId="9" borderId="31"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0" xfId="0" applyFont="1" applyFill="1" applyBorder="1" applyAlignment="1">
      <alignment horizontal="center" vertical="center" wrapText="1"/>
    </xf>
    <xf numFmtId="13" fontId="16" fillId="18" borderId="30"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1"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5"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0" xfId="0" applyFont="1" applyBorder="1" applyAlignment="1">
      <alignment vertical="center"/>
    </xf>
    <xf numFmtId="0" fontId="3" fillId="0" borderId="21" xfId="0" applyNumberFormat="1" applyFont="1" applyBorder="1" applyAlignment="1">
      <alignment horizontal="center" vertical="center"/>
    </xf>
    <xf numFmtId="0" fontId="3" fillId="14" borderId="33" xfId="0" applyNumberFormat="1" applyFont="1" applyFill="1" applyBorder="1" applyAlignment="1">
      <alignment vertical="center"/>
    </xf>
    <xf numFmtId="0" fontId="3" fillId="14" borderId="28" xfId="0" applyFont="1" applyFill="1" applyBorder="1" applyAlignment="1">
      <alignment vertical="center"/>
    </xf>
    <xf numFmtId="0" fontId="3" fillId="14" borderId="34" xfId="0" applyNumberFormat="1" applyFont="1" applyFill="1" applyBorder="1" applyAlignment="1">
      <alignment vertical="center"/>
    </xf>
    <xf numFmtId="0" fontId="3" fillId="14" borderId="23" xfId="0" applyFont="1" applyFill="1" applyBorder="1" applyAlignment="1">
      <alignment vertical="center"/>
    </xf>
    <xf numFmtId="0" fontId="3" fillId="14" borderId="35" xfId="0" applyNumberFormat="1" applyFont="1" applyFill="1" applyBorder="1" applyAlignment="1">
      <alignment vertical="center"/>
    </xf>
    <xf numFmtId="0" fontId="3" fillId="14" borderId="36"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7" xfId="0" applyNumberFormat="1" applyFont="1" applyFill="1" applyBorder="1" applyAlignment="1">
      <alignment horizontal="center" vertical="center"/>
    </xf>
    <xf numFmtId="0" fontId="3" fillId="14" borderId="37" xfId="0" applyFont="1" applyFill="1" applyBorder="1" applyAlignment="1">
      <alignment horizontal="center" vertical="center"/>
    </xf>
    <xf numFmtId="0" fontId="3" fillId="14" borderId="32"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2" xfId="0" applyFont="1" applyFill="1" applyBorder="1" applyAlignment="1">
      <alignment horizontal="left" vertical="top" wrapText="1"/>
    </xf>
    <xf numFmtId="0" fontId="0" fillId="20" borderId="31" xfId="0" applyFont="1" applyFill="1" applyBorder="1" applyAlignment="1">
      <alignment horizontal="left" vertical="top" wrapText="1"/>
    </xf>
    <xf numFmtId="0" fontId="0" fillId="20" borderId="40" xfId="0" applyFont="1" applyFill="1" applyBorder="1" applyAlignment="1">
      <alignment horizontal="left" vertical="top" wrapText="1"/>
    </xf>
    <xf numFmtId="0" fontId="0" fillId="20" borderId="43" xfId="0" applyFont="1" applyFill="1" applyBorder="1" applyAlignment="1">
      <alignment horizontal="left" vertical="top" wrapText="1"/>
    </xf>
    <xf numFmtId="0" fontId="1" fillId="0" borderId="41"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40" xfId="0" applyFont="1" applyFill="1" applyBorder="1" applyAlignment="1">
      <alignment horizontal="center" vertical="center" wrapText="1"/>
    </xf>
    <xf numFmtId="0" fontId="1" fillId="0" borderId="43"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7" xfId="0" applyFont="1" applyFill="1" applyBorder="1" applyAlignment="1">
      <alignment horizontal="center"/>
    </xf>
    <xf numFmtId="0" fontId="3" fillId="14" borderId="44" xfId="0" applyNumberFormat="1" applyFont="1" applyFill="1" applyBorder="1" applyAlignment="1">
      <alignment vertical="center"/>
    </xf>
    <xf numFmtId="0" fontId="3" fillId="14" borderId="24"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9" xfId="0" applyFont="1" applyBorder="1" applyAlignment="1">
      <alignment horizontal="left" vertical="center"/>
    </xf>
    <xf numFmtId="14" fontId="3" fillId="0" borderId="3" xfId="0" applyNumberFormat="1" applyFont="1" applyBorder="1" applyAlignment="1">
      <alignment horizontal="left" vertical="center"/>
    </xf>
    <xf numFmtId="0" fontId="3" fillId="0" borderId="14" xfId="0" applyFont="1" applyBorder="1" applyAlignment="1">
      <alignment horizontal="left" vertical="center"/>
    </xf>
    <xf numFmtId="0" fontId="3" fillId="0" borderId="19" xfId="0" applyFont="1" applyBorder="1" applyAlignment="1">
      <alignment horizontal="left" vertical="center"/>
    </xf>
    <xf numFmtId="14" fontId="3" fillId="0" borderId="25" xfId="0" applyNumberFormat="1"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4"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pivotCacheDefinition" Target="pivotCache/pivotCacheDefinition4.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01-2F37-4A19-86E2-78F860F0A48B}"/>
              </c:ext>
            </c:extLst>
          </c:dPt>
          <c:dPt>
            <c:idx val="1"/>
            <c:invertIfNegative val="0"/>
            <c:bubble3D val="0"/>
            <c:spPr>
              <a:solidFill>
                <a:schemeClr val="accent2"/>
              </a:solidFill>
            </c:spPr>
            <c:extLst>
              <c:ext xmlns:c16="http://schemas.microsoft.com/office/drawing/2014/chart" uri="{C3380CC4-5D6E-409C-BE32-E72D297353CC}">
                <c16:uniqueId val="{00000002-2F37-4A19-86E2-78F860F0A48B}"/>
              </c:ext>
            </c:extLst>
          </c:dPt>
          <c:dPt>
            <c:idx val="2"/>
            <c:invertIfNegative val="0"/>
            <c:bubble3D val="0"/>
            <c:spPr>
              <a:solidFill>
                <a:schemeClr val="accent2"/>
              </a:solidFill>
            </c:spPr>
            <c:extLst>
              <c:ext xmlns:c16="http://schemas.microsoft.com/office/drawing/2014/chart" uri="{C3380CC4-5D6E-409C-BE32-E72D297353CC}">
                <c16:uniqueId val="{00000003-2F37-4A19-86E2-78F860F0A48B}"/>
              </c:ext>
            </c:extLst>
          </c:dPt>
          <c:dPt>
            <c:idx val="3"/>
            <c:invertIfNegative val="0"/>
            <c:bubble3D val="0"/>
            <c:spPr>
              <a:solidFill>
                <a:schemeClr val="accent2"/>
              </a:solidFill>
            </c:spPr>
            <c:extLst>
              <c:ext xmlns:c16="http://schemas.microsoft.com/office/drawing/2014/chart" uri="{C3380CC4-5D6E-409C-BE32-E72D297353CC}">
                <c16:uniqueId val="{00000004-2F37-4A19-86E2-78F860F0A48B}"/>
              </c:ext>
            </c:extLst>
          </c:dPt>
          <c:dPt>
            <c:idx val="4"/>
            <c:invertIfNegative val="0"/>
            <c:bubble3D val="0"/>
            <c:spPr>
              <a:solidFill>
                <a:schemeClr val="accent2"/>
              </a:solidFill>
            </c:spPr>
            <c:extLst>
              <c:ext xmlns:c16="http://schemas.microsoft.com/office/drawing/2014/chart" uri="{C3380CC4-5D6E-409C-BE32-E72D297353CC}">
                <c16:uniqueId val="{00000005-2F37-4A19-86E2-78F860F0A48B}"/>
              </c:ext>
            </c:extLst>
          </c:dPt>
          <c:dPt>
            <c:idx val="5"/>
            <c:invertIfNegative val="0"/>
            <c:bubble3D val="0"/>
            <c:spPr>
              <a:solidFill>
                <a:schemeClr val="accent2"/>
              </a:solidFill>
            </c:spPr>
            <c:extLst>
              <c:ext xmlns:c16="http://schemas.microsoft.com/office/drawing/2014/chart" uri="{C3380CC4-5D6E-409C-BE32-E72D297353CC}">
                <c16:uniqueId val="{00000006-2F37-4A19-86E2-78F860F0A48B}"/>
              </c:ext>
            </c:extLst>
          </c:dPt>
          <c:dPt>
            <c:idx val="6"/>
            <c:invertIfNegative val="0"/>
            <c:bubble3D val="0"/>
            <c:spPr>
              <a:solidFill>
                <a:schemeClr val="accent2"/>
              </a:solidFill>
            </c:spPr>
            <c:extLst>
              <c:ext xmlns:c16="http://schemas.microsoft.com/office/drawing/2014/chart" uri="{C3380CC4-5D6E-409C-BE32-E72D297353CC}">
                <c16:uniqueId val="{00000007-2F37-4A19-86E2-78F860F0A48B}"/>
              </c:ext>
            </c:extLst>
          </c:dPt>
          <c:dPt>
            <c:idx val="7"/>
            <c:invertIfNegative val="0"/>
            <c:bubble3D val="0"/>
            <c:spPr>
              <a:solidFill>
                <a:schemeClr val="accent6">
                  <a:lumMod val="60000"/>
                  <a:lumOff val="40000"/>
                </a:schemeClr>
              </a:solidFill>
            </c:spPr>
            <c:extLst>
              <c:ext xmlns:c16="http://schemas.microsoft.com/office/drawing/2014/chart" uri="{C3380CC4-5D6E-409C-BE32-E72D297353CC}">
                <c16:uniqueId val="{00000008-2F37-4A19-86E2-78F860F0A48B}"/>
              </c:ext>
            </c:extLst>
          </c:dPt>
          <c:dPt>
            <c:idx val="8"/>
            <c:invertIfNegative val="0"/>
            <c:bubble3D val="0"/>
            <c:spPr>
              <a:solidFill>
                <a:schemeClr val="accent6">
                  <a:lumMod val="60000"/>
                  <a:lumOff val="40000"/>
                </a:schemeClr>
              </a:solidFill>
            </c:spPr>
            <c:extLst>
              <c:ext xmlns:c16="http://schemas.microsoft.com/office/drawing/2014/chart" uri="{C3380CC4-5D6E-409C-BE32-E72D297353CC}">
                <c16:uniqueId val="{00000009-2F37-4A19-86E2-78F860F0A48B}"/>
              </c:ext>
            </c:extLst>
          </c:dPt>
          <c:dPt>
            <c:idx val="9"/>
            <c:invertIfNegative val="0"/>
            <c:bubble3D val="0"/>
            <c:spPr>
              <a:solidFill>
                <a:schemeClr val="accent6">
                  <a:lumMod val="60000"/>
                  <a:lumOff val="40000"/>
                </a:schemeClr>
              </a:solidFill>
            </c:spPr>
            <c:extLst>
              <c:ext xmlns:c16="http://schemas.microsoft.com/office/drawing/2014/chart" uri="{C3380CC4-5D6E-409C-BE32-E72D297353CC}">
                <c16:uniqueId val="{0000000A-2F37-4A19-86E2-78F860F0A48B}"/>
              </c:ext>
            </c:extLst>
          </c:dPt>
          <c:dPt>
            <c:idx val="10"/>
            <c:invertIfNegative val="0"/>
            <c:bubble3D val="0"/>
            <c:spPr>
              <a:solidFill>
                <a:schemeClr val="accent6">
                  <a:lumMod val="60000"/>
                  <a:lumOff val="40000"/>
                </a:schemeClr>
              </a:solidFill>
            </c:spPr>
            <c:extLst>
              <c:ext xmlns:c16="http://schemas.microsoft.com/office/drawing/2014/chart" uri="{C3380CC4-5D6E-409C-BE32-E72D297353CC}">
                <c16:uniqueId val="{0000000B-2F37-4A19-86E2-78F860F0A48B}"/>
              </c:ext>
            </c:extLst>
          </c:dPt>
          <c:dPt>
            <c:idx val="11"/>
            <c:invertIfNegative val="0"/>
            <c:bubble3D val="0"/>
            <c:spPr>
              <a:solidFill>
                <a:schemeClr val="accent6">
                  <a:lumMod val="60000"/>
                  <a:lumOff val="40000"/>
                </a:schemeClr>
              </a:solidFill>
            </c:spPr>
            <c:extLst>
              <c:ext xmlns:c16="http://schemas.microsoft.com/office/drawing/2014/chart" uri="{C3380CC4-5D6E-409C-BE32-E72D297353CC}">
                <c16:uniqueId val="{0000000C-2F37-4A19-86E2-78F860F0A48B}"/>
              </c:ext>
            </c:extLst>
          </c:dPt>
          <c:dPt>
            <c:idx val="13"/>
            <c:invertIfNegative val="0"/>
            <c:bubble3D val="0"/>
            <c:spPr>
              <a:solidFill>
                <a:srgbClr val="92D050"/>
              </a:solidFill>
            </c:spPr>
            <c:extLst>
              <c:ext xmlns:c16="http://schemas.microsoft.com/office/drawing/2014/chart" uri="{C3380CC4-5D6E-409C-BE32-E72D297353CC}">
                <c16:uniqueId val="{0000000D-2F37-4A19-86E2-78F860F0A48B}"/>
              </c:ext>
            </c:extLst>
          </c:dPt>
          <c:dPt>
            <c:idx val="14"/>
            <c:invertIfNegative val="0"/>
            <c:bubble3D val="0"/>
            <c:spPr>
              <a:solidFill>
                <a:srgbClr val="00B0F0"/>
              </a:solidFill>
            </c:spPr>
            <c:extLst>
              <c:ext xmlns:c16="http://schemas.microsoft.com/office/drawing/2014/chart" uri="{C3380CC4-5D6E-409C-BE32-E72D297353CC}">
                <c16:uniqueId val="{0000000E-2F37-4A19-86E2-78F860F0A48B}"/>
              </c:ext>
            </c:extLst>
          </c:dPt>
          <c:dPt>
            <c:idx val="15"/>
            <c:invertIfNegative val="0"/>
            <c:bubble3D val="0"/>
            <c:spPr>
              <a:solidFill>
                <a:srgbClr val="FF0000"/>
              </a:solidFill>
            </c:spPr>
            <c:extLst>
              <c:ext xmlns:c16="http://schemas.microsoft.com/office/drawing/2014/chart" uri="{C3380CC4-5D6E-409C-BE32-E72D297353CC}">
                <c16:uniqueId val="{0000000F-2F37-4A19-86E2-78F860F0A48B}"/>
              </c:ext>
            </c:extLst>
          </c:dPt>
          <c:dPt>
            <c:idx val="16"/>
            <c:invertIfNegative val="0"/>
            <c:bubble3D val="0"/>
            <c:spPr>
              <a:solidFill>
                <a:schemeClr val="accent6"/>
              </a:solidFill>
            </c:spPr>
            <c:extLst>
              <c:ext xmlns:c16="http://schemas.microsoft.com/office/drawing/2014/chart" uri="{C3380CC4-5D6E-409C-BE32-E72D297353CC}">
                <c16:uniqueId val="{00000010-2F37-4A19-86E2-78F860F0A48B}"/>
              </c:ext>
            </c:extLst>
          </c:dPt>
          <c:dPt>
            <c:idx val="17"/>
            <c:invertIfNegative val="0"/>
            <c:bubble3D val="0"/>
            <c:spPr>
              <a:solidFill>
                <a:schemeClr val="accent6"/>
              </a:solidFill>
            </c:spPr>
            <c:extLst>
              <c:ext xmlns:c16="http://schemas.microsoft.com/office/drawing/2014/chart" uri="{C3380CC4-5D6E-409C-BE32-E72D297353CC}">
                <c16:uniqueId val="{00000011-2F37-4A19-86E2-78F860F0A48B}"/>
              </c:ext>
            </c:extLst>
          </c:dPt>
          <c:dPt>
            <c:idx val="18"/>
            <c:invertIfNegative val="0"/>
            <c:bubble3D val="0"/>
            <c:spPr>
              <a:solidFill>
                <a:schemeClr val="accent6"/>
              </a:solidFill>
            </c:spPr>
            <c:extLst>
              <c:ext xmlns:c16="http://schemas.microsoft.com/office/drawing/2014/chart" uri="{C3380CC4-5D6E-409C-BE32-E72D297353CC}">
                <c16:uniqueId val="{00000012-2F37-4A19-86E2-78F860F0A48B}"/>
              </c:ext>
            </c:extLst>
          </c:dPt>
          <c:dPt>
            <c:idx val="19"/>
            <c:invertIfNegative val="0"/>
            <c:bubble3D val="0"/>
            <c:spPr>
              <a:solidFill>
                <a:schemeClr val="accent6"/>
              </a:solidFill>
            </c:spPr>
            <c:extLst>
              <c:ext xmlns:c16="http://schemas.microsoft.com/office/drawing/2014/chart" uri="{C3380CC4-5D6E-409C-BE32-E72D297353CC}">
                <c16:uniqueId val="{00000013-2F37-4A19-86E2-78F860F0A48B}"/>
              </c:ext>
            </c:extLst>
          </c:dPt>
          <c:dPt>
            <c:idx val="20"/>
            <c:invertIfNegative val="0"/>
            <c:bubble3D val="0"/>
            <c:spPr>
              <a:solidFill>
                <a:schemeClr val="accent6"/>
              </a:solidFill>
            </c:spPr>
            <c:extLst>
              <c:ext xmlns:c16="http://schemas.microsoft.com/office/drawing/2014/chart" uri="{C3380CC4-5D6E-409C-BE32-E72D297353CC}">
                <c16:uniqueId val="{00000014-2F37-4A19-86E2-78F860F0A48B}"/>
              </c:ext>
            </c:extLst>
          </c:dPt>
          <c:dLbls>
            <c:dLbl>
              <c:idx val="0"/>
              <c:tx>
                <c:rich>
                  <a:bodyPr/>
                  <a:lstStyle/>
                  <a:p>
                    <a:fld id="{80221E74-A46F-459E-9304-CA27962AFDA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F37-4A19-86E2-78F860F0A48B}"/>
                </c:ext>
              </c:extLst>
            </c:dLbl>
            <c:dLbl>
              <c:idx val="1"/>
              <c:tx>
                <c:rich>
                  <a:bodyPr/>
                  <a:lstStyle/>
                  <a:p>
                    <a:fld id="{B86447D4-8318-4A4F-B40A-F074D89CF0C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F37-4A19-86E2-78F860F0A48B}"/>
                </c:ext>
              </c:extLst>
            </c:dLbl>
            <c:dLbl>
              <c:idx val="2"/>
              <c:tx>
                <c:rich>
                  <a:bodyPr/>
                  <a:lstStyle/>
                  <a:p>
                    <a:fld id="{ADBC484B-A15E-4AED-BE79-4404FC95457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F37-4A19-86E2-78F860F0A48B}"/>
                </c:ext>
              </c:extLst>
            </c:dLbl>
            <c:dLbl>
              <c:idx val="3"/>
              <c:tx>
                <c:rich>
                  <a:bodyPr/>
                  <a:lstStyle/>
                  <a:p>
                    <a:fld id="{87184847-35AB-4FCF-BF55-CB8FAB86C58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F37-4A19-86E2-78F860F0A48B}"/>
                </c:ext>
              </c:extLst>
            </c:dLbl>
            <c:dLbl>
              <c:idx val="4"/>
              <c:tx>
                <c:rich>
                  <a:bodyPr/>
                  <a:lstStyle/>
                  <a:p>
                    <a:fld id="{D2B0CFAA-1096-495F-904D-C28A0973D8D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F37-4A19-86E2-78F860F0A48B}"/>
                </c:ext>
              </c:extLst>
            </c:dLbl>
            <c:dLbl>
              <c:idx val="5"/>
              <c:tx>
                <c:rich>
                  <a:bodyPr/>
                  <a:lstStyle/>
                  <a:p>
                    <a:fld id="{3755E5D0-5117-4BF7-BFE5-1A248622A70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F37-4A19-86E2-78F860F0A48B}"/>
                </c:ext>
              </c:extLst>
            </c:dLbl>
            <c:dLbl>
              <c:idx val="6"/>
              <c:tx>
                <c:rich>
                  <a:bodyPr/>
                  <a:lstStyle/>
                  <a:p>
                    <a:fld id="{CA709D4E-20E1-4842-8272-20184676D88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F37-4A19-86E2-78F860F0A48B}"/>
                </c:ext>
              </c:extLst>
            </c:dLbl>
            <c:dLbl>
              <c:idx val="7"/>
              <c:tx>
                <c:rich>
                  <a:bodyPr/>
                  <a:lstStyle/>
                  <a:p>
                    <a:fld id="{F90B9471-AC51-4901-87F6-9559B9508DC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F37-4A19-86E2-78F860F0A48B}"/>
                </c:ext>
              </c:extLst>
            </c:dLbl>
            <c:dLbl>
              <c:idx val="8"/>
              <c:tx>
                <c:rich>
                  <a:bodyPr/>
                  <a:lstStyle/>
                  <a:p>
                    <a:fld id="{7EDE9223-2127-4A77-B8A8-C04F70233E1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F37-4A19-86E2-78F860F0A48B}"/>
                </c:ext>
              </c:extLst>
            </c:dLbl>
            <c:dLbl>
              <c:idx val="9"/>
              <c:tx>
                <c:rich>
                  <a:bodyPr/>
                  <a:lstStyle/>
                  <a:p>
                    <a:fld id="{8DF3C212-471E-4E73-B9E4-870A475FBB1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F37-4A19-86E2-78F860F0A48B}"/>
                </c:ext>
              </c:extLst>
            </c:dLbl>
            <c:dLbl>
              <c:idx val="10"/>
              <c:tx>
                <c:rich>
                  <a:bodyPr/>
                  <a:lstStyle/>
                  <a:p>
                    <a:fld id="{9398C7B4-1A5C-4C6A-85F3-72912D5DE94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F37-4A19-86E2-78F860F0A48B}"/>
                </c:ext>
              </c:extLst>
            </c:dLbl>
            <c:dLbl>
              <c:idx val="11"/>
              <c:tx>
                <c:rich>
                  <a:bodyPr/>
                  <a:lstStyle/>
                  <a:p>
                    <a:fld id="{0AA2A668-34CF-4ED8-8D60-A610FDB6BD9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F37-4A19-86E2-78F860F0A48B}"/>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F37-4A19-86E2-78F860F0A48B}"/>
                </c:ext>
              </c:extLst>
            </c:dLbl>
            <c:dLbl>
              <c:idx val="13"/>
              <c:tx>
                <c:rich>
                  <a:bodyPr/>
                  <a:lstStyle/>
                  <a:p>
                    <a:fld id="{341E0E2F-446B-47EC-86E7-24F7795CC55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F37-4A19-86E2-78F860F0A48B}"/>
                </c:ext>
              </c:extLst>
            </c:dLbl>
            <c:dLbl>
              <c:idx val="14"/>
              <c:tx>
                <c:rich>
                  <a:bodyPr/>
                  <a:lstStyle/>
                  <a:p>
                    <a:fld id="{D78A1D67-F017-4BBF-9AE5-FCA34279761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F37-4A19-86E2-78F860F0A48B}"/>
                </c:ext>
              </c:extLst>
            </c:dLbl>
            <c:dLbl>
              <c:idx val="15"/>
              <c:tx>
                <c:rich>
                  <a:bodyPr/>
                  <a:lstStyle/>
                  <a:p>
                    <a:fld id="{764EDE76-7A59-4258-8122-39B19CD25C3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F37-4A19-86E2-78F860F0A48B}"/>
                </c:ext>
              </c:extLst>
            </c:dLbl>
            <c:dLbl>
              <c:idx val="16"/>
              <c:tx>
                <c:rich>
                  <a:bodyPr/>
                  <a:lstStyle/>
                  <a:p>
                    <a:fld id="{BF739882-3748-470A-934E-DCBAD105110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F37-4A19-86E2-78F860F0A48B}"/>
                </c:ext>
              </c:extLst>
            </c:dLbl>
            <c:dLbl>
              <c:idx val="17"/>
              <c:tx>
                <c:rich>
                  <a:bodyPr/>
                  <a:lstStyle/>
                  <a:p>
                    <a:fld id="{192E8378-151C-4061-8C85-D85396C4F5E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2F37-4A19-86E2-78F860F0A48B}"/>
                </c:ext>
              </c:extLst>
            </c:dLbl>
            <c:dLbl>
              <c:idx val="18"/>
              <c:tx>
                <c:rich>
                  <a:bodyPr/>
                  <a:lstStyle/>
                  <a:p>
                    <a:fld id="{C5725E41-E251-43FC-8134-32D44123551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2F37-4A19-86E2-78F860F0A48B}"/>
                </c:ext>
              </c:extLst>
            </c:dLbl>
            <c:dLbl>
              <c:idx val="19"/>
              <c:tx>
                <c:rich>
                  <a:bodyPr/>
                  <a:lstStyle/>
                  <a:p>
                    <a:fld id="{F28B3612-2467-41AA-9B25-1491DEB86EC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2F37-4A19-86E2-78F860F0A48B}"/>
                </c:ext>
              </c:extLst>
            </c:dLbl>
            <c:dLbl>
              <c:idx val="20"/>
              <c:tx>
                <c:rich>
                  <a:bodyPr/>
                  <a:lstStyle/>
                  <a:p>
                    <a:fld id="{5F882898-BAD8-4C03-8631-3934704D34F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2F37-4A19-86E2-78F860F0A48B}"/>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'R1'!$B$48:$V$48</c:f>
                <c:numCache>
                  <c:formatCode>General</c:formatCode>
                  <c:ptCount val="21"/>
                  <c:pt idx="0">
                    <c:v>6.3331747006260861E-2</c:v>
                  </c:pt>
                  <c:pt idx="1">
                    <c:v>4.6916548572723996E-2</c:v>
                  </c:pt>
                  <c:pt idx="2">
                    <c:v>4.7072549587616204E-2</c:v>
                  </c:pt>
                  <c:pt idx="3">
                    <c:v>1.8445455693868754E-2</c:v>
                  </c:pt>
                  <c:pt idx="4">
                    <c:v>0.37882822795877519</c:v>
                  </c:pt>
                  <c:pt idx="5">
                    <c:v>0.15631225757444309</c:v>
                  </c:pt>
                  <c:pt idx="6">
                    <c:v>0.39955745234327117</c:v>
                  </c:pt>
                  <c:pt idx="7">
                    <c:v>4.2497506949736544E-2</c:v>
                  </c:pt>
                  <c:pt idx="8">
                    <c:v>4.1246450310587511E-2</c:v>
                  </c:pt>
                  <c:pt idx="9">
                    <c:v>5.4187178912121776E-2</c:v>
                  </c:pt>
                  <c:pt idx="10">
                    <c:v>4.6048039893454476E-2</c:v>
                  </c:pt>
                  <c:pt idx="11">
                    <c:v>8.4175743663926758E-2</c:v>
                  </c:pt>
                  <c:pt idx="12">
                    <c:v>0</c:v>
                  </c:pt>
                  <c:pt idx="13">
                    <c:v>0.27525908055916726</c:v>
                  </c:pt>
                  <c:pt idx="14">
                    <c:v>0.34873771313497093</c:v>
                  </c:pt>
                  <c:pt idx="15">
                    <c:v>4.5482847415010914E-2</c:v>
                  </c:pt>
                  <c:pt idx="16">
                    <c:v>0.41295089891154591</c:v>
                  </c:pt>
                  <c:pt idx="17">
                    <c:v>0.42791165402024456</c:v>
                  </c:pt>
                  <c:pt idx="18">
                    <c:v>0.33772622037242861</c:v>
                  </c:pt>
                  <c:pt idx="19">
                    <c:v>0.20538415877776564</c:v>
                  </c:pt>
                  <c:pt idx="20">
                    <c:v>6.527772759963979E-2</c:v>
                  </c:pt>
                </c:numCache>
              </c:numRef>
            </c:plus>
            <c:minus>
              <c:numRef>
                <c:f>'R1'!$N$48:$V$48</c:f>
                <c:numCache>
                  <c:formatCode>General</c:formatCode>
                  <c:ptCount val="9"/>
                  <c:pt idx="0">
                    <c:v>0</c:v>
                  </c:pt>
                  <c:pt idx="1">
                    <c:v>0.27525908055916726</c:v>
                  </c:pt>
                  <c:pt idx="2">
                    <c:v>0.34873771313497093</c:v>
                  </c:pt>
                  <c:pt idx="3">
                    <c:v>4.5482847415010914E-2</c:v>
                  </c:pt>
                  <c:pt idx="4">
                    <c:v>0.41295089891154591</c:v>
                  </c:pt>
                  <c:pt idx="5">
                    <c:v>0.42791165402024456</c:v>
                  </c:pt>
                  <c:pt idx="6">
                    <c:v>0.33772622037242861</c:v>
                  </c:pt>
                  <c:pt idx="7">
                    <c:v>0.20538415877776564</c:v>
                  </c:pt>
                  <c:pt idx="8">
                    <c:v>6.527772759963979E-2</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Prochloraz-12µg/L</c:v>
                </c:pt>
                <c:pt idx="8">
                  <c:v>Prochloraz-37µg/L</c:v>
                </c:pt>
                <c:pt idx="9">
                  <c:v>Prochloraz-111µg/L</c:v>
                </c:pt>
                <c:pt idx="10">
                  <c:v>Prochloraz-333µg/L</c:v>
                </c:pt>
                <c:pt idx="11">
                  <c:v>Prochloraz-1000µg/L</c:v>
                </c:pt>
                <c:pt idx="13">
                  <c:v>Testo -30µg/L</c:v>
                </c:pt>
                <c:pt idx="14">
                  <c:v>Testo 30µg/L + EE2 -64ng/L</c:v>
                </c:pt>
                <c:pt idx="15">
                  <c:v>Testo 30µg/L + FAD-10mg/L</c:v>
                </c:pt>
                <c:pt idx="16">
                  <c:v>Prochloraz-12µg/L + Testostérone</c:v>
                </c:pt>
                <c:pt idx="17">
                  <c:v>Prochloraz-37µg/L + Testostérone</c:v>
                </c:pt>
                <c:pt idx="18">
                  <c:v>Prochloraz-111µg/L + Testostérone</c:v>
                </c:pt>
                <c:pt idx="19">
                  <c:v>Prochloraz-333µg/L + Testostérone</c:v>
                </c:pt>
                <c:pt idx="20">
                  <c:v>Prochloraz-1000µg/L + Testostérone</c:v>
                </c:pt>
              </c:strCache>
            </c:strRef>
          </c:cat>
          <c:val>
            <c:numRef>
              <c:f>'R1'!$B$53:$V$53</c:f>
              <c:numCache>
                <c:formatCode>0.0000</c:formatCode>
                <c:ptCount val="21"/>
                <c:pt idx="0">
                  <c:v>0.1565160629899007</c:v>
                </c:pt>
                <c:pt idx="1">
                  <c:v>0.17645412264192539</c:v>
                </c:pt>
                <c:pt idx="2">
                  <c:v>0.1703009031089891</c:v>
                </c:pt>
                <c:pt idx="3">
                  <c:v>0.22484484892863574</c:v>
                </c:pt>
                <c:pt idx="4">
                  <c:v>1.4515648348052201</c:v>
                </c:pt>
                <c:pt idx="5">
                  <c:v>2.6311225398568947</c:v>
                </c:pt>
                <c:pt idx="6">
                  <c:v>3.4617379182116688</c:v>
                </c:pt>
                <c:pt idx="7">
                  <c:v>0.12025116973940517</c:v>
                </c:pt>
                <c:pt idx="8">
                  <c:v>0.12002737455797506</c:v>
                </c:pt>
                <c:pt idx="9">
                  <c:v>0.16203967825927323</c:v>
                </c:pt>
                <c:pt idx="10">
                  <c:v>0.20247045760218876</c:v>
                </c:pt>
                <c:pt idx="11">
                  <c:v>0.30863917844512528</c:v>
                </c:pt>
                <c:pt idx="13">
                  <c:v>1.0000000000000002</c:v>
                </c:pt>
                <c:pt idx="14">
                  <c:v>1.9150416621964956</c:v>
                </c:pt>
                <c:pt idx="15">
                  <c:v>0.17102493436656804</c:v>
                </c:pt>
                <c:pt idx="16">
                  <c:v>1.2724510184985334</c:v>
                </c:pt>
                <c:pt idx="17">
                  <c:v>1.1778125189331581</c:v>
                </c:pt>
                <c:pt idx="18">
                  <c:v>0.92387853086152549</c:v>
                </c:pt>
                <c:pt idx="19">
                  <c:v>0.44718486567563004</c:v>
                </c:pt>
                <c:pt idx="20">
                  <c:v>0.28412989796279159</c:v>
                </c:pt>
              </c:numCache>
            </c:numRef>
          </c:val>
          <c:extLst>
            <c:ext xmlns:c15="http://schemas.microsoft.com/office/drawing/2012/chart" uri="{02D57815-91ED-43cb-92C2-25804820EDAC}">
              <c15:datalabelsRange>
                <c15:f>'R1'!$B$61:$V$61</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NS</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3.6"/>
          <c:min val="0"/>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1F96-428B-B2F4-8AA7FA02EE92}"/>
              </c:ext>
            </c:extLst>
          </c:dPt>
          <c:dPt>
            <c:idx val="7"/>
            <c:invertIfNegative val="0"/>
            <c:bubble3D val="0"/>
            <c:spPr>
              <a:solidFill>
                <a:schemeClr val="accent6">
                  <a:lumMod val="60000"/>
                  <a:lumOff val="40000"/>
                </a:schemeClr>
              </a:solidFill>
            </c:spPr>
            <c:extLst>
              <c:ext xmlns:c16="http://schemas.microsoft.com/office/drawing/2014/chart" uri="{C3380CC4-5D6E-409C-BE32-E72D297353CC}">
                <c16:uniqueId val="{00000019-1F96-428B-B2F4-8AA7FA02EE92}"/>
              </c:ext>
            </c:extLst>
          </c:dPt>
          <c:dPt>
            <c:idx val="8"/>
            <c:invertIfNegative val="0"/>
            <c:bubble3D val="0"/>
            <c:spPr>
              <a:solidFill>
                <a:schemeClr val="accent6">
                  <a:lumMod val="60000"/>
                  <a:lumOff val="40000"/>
                </a:schemeClr>
              </a:solidFill>
            </c:spPr>
            <c:extLst>
              <c:ext xmlns:c16="http://schemas.microsoft.com/office/drawing/2014/chart" uri="{C3380CC4-5D6E-409C-BE32-E72D297353CC}">
                <c16:uniqueId val="{0000001A-1F96-428B-B2F4-8AA7FA02EE92}"/>
              </c:ext>
            </c:extLst>
          </c:dPt>
          <c:dPt>
            <c:idx val="9"/>
            <c:invertIfNegative val="0"/>
            <c:bubble3D val="0"/>
            <c:spPr>
              <a:solidFill>
                <a:schemeClr val="accent6">
                  <a:lumMod val="60000"/>
                  <a:lumOff val="40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accent6">
                  <a:lumMod val="60000"/>
                  <a:lumOff val="40000"/>
                </a:schemeClr>
              </a:solidFill>
            </c:spPr>
            <c:extLst>
              <c:ext xmlns:c16="http://schemas.microsoft.com/office/drawing/2014/chart" uri="{C3380CC4-5D6E-409C-BE32-E72D297353CC}">
                <c16:uniqueId val="{0000001B-1F96-428B-B2F4-8AA7FA02EE92}"/>
              </c:ext>
            </c:extLst>
          </c:dPt>
          <c:dPt>
            <c:idx val="11"/>
            <c:invertIfNegative val="0"/>
            <c:bubble3D val="0"/>
            <c:spPr>
              <a:solidFill>
                <a:schemeClr val="accent6">
                  <a:lumMod val="60000"/>
                  <a:lumOff val="40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92D050"/>
              </a:solidFill>
            </c:spPr>
            <c:extLst>
              <c:ext xmlns:c16="http://schemas.microsoft.com/office/drawing/2014/chart" uri="{C3380CC4-5D6E-409C-BE32-E72D297353CC}">
                <c16:uniqueId val="{00000005-EED2-4ACE-91AA-7F8713196E92}"/>
              </c:ext>
            </c:extLst>
          </c:dPt>
          <c:dPt>
            <c:idx val="14"/>
            <c:invertIfNegative val="0"/>
            <c:bubble3D val="0"/>
            <c:spPr>
              <a:solidFill>
                <a:srgbClr val="00B0F0"/>
              </a:solidFill>
            </c:spPr>
            <c:extLst>
              <c:ext xmlns:c16="http://schemas.microsoft.com/office/drawing/2014/chart" uri="{C3380CC4-5D6E-409C-BE32-E72D297353CC}">
                <c16:uniqueId val="{0000001C-1F96-428B-B2F4-8AA7FA02EE92}"/>
              </c:ext>
            </c:extLst>
          </c:dPt>
          <c:dPt>
            <c:idx val="15"/>
            <c:invertIfNegative val="0"/>
            <c:bubble3D val="0"/>
            <c:spPr>
              <a:solidFill>
                <a:srgbClr val="FF0000"/>
              </a:solidFill>
            </c:spPr>
            <c:extLst>
              <c:ext xmlns:c16="http://schemas.microsoft.com/office/drawing/2014/chart" uri="{C3380CC4-5D6E-409C-BE32-E72D297353CC}">
                <c16:uniqueId val="{00000007-EED2-4ACE-91AA-7F8713196E92}"/>
              </c:ext>
            </c:extLst>
          </c:dPt>
          <c:dPt>
            <c:idx val="16"/>
            <c:invertIfNegative val="0"/>
            <c:bubble3D val="0"/>
            <c:spPr>
              <a:solidFill>
                <a:schemeClr val="accent6"/>
              </a:solidFill>
            </c:spPr>
            <c:extLst>
              <c:ext xmlns:c16="http://schemas.microsoft.com/office/drawing/2014/chart" uri="{C3380CC4-5D6E-409C-BE32-E72D297353CC}">
                <c16:uniqueId val="{0000001D-1F96-428B-B2F4-8AA7FA02EE92}"/>
              </c:ext>
            </c:extLst>
          </c:dPt>
          <c:dPt>
            <c:idx val="17"/>
            <c:invertIfNegative val="0"/>
            <c:bubble3D val="0"/>
            <c:spPr>
              <a:solidFill>
                <a:schemeClr val="accent6"/>
              </a:solidFill>
            </c:spPr>
            <c:extLst>
              <c:ext xmlns:c16="http://schemas.microsoft.com/office/drawing/2014/chart" uri="{C3380CC4-5D6E-409C-BE32-E72D297353CC}">
                <c16:uniqueId val="{0000001E-1F96-428B-B2F4-8AA7FA02EE92}"/>
              </c:ext>
            </c:extLst>
          </c:dPt>
          <c:dPt>
            <c:idx val="18"/>
            <c:invertIfNegative val="0"/>
            <c:bubble3D val="0"/>
            <c:spPr>
              <a:solidFill>
                <a:schemeClr val="accent6"/>
              </a:solidFill>
            </c:spPr>
            <c:extLst>
              <c:ext xmlns:c16="http://schemas.microsoft.com/office/drawing/2014/chart" uri="{C3380CC4-5D6E-409C-BE32-E72D297353CC}">
                <c16:uniqueId val="{0000001F-1F96-428B-B2F4-8AA7FA02EE92}"/>
              </c:ext>
            </c:extLst>
          </c:dPt>
          <c:dPt>
            <c:idx val="19"/>
            <c:invertIfNegative val="0"/>
            <c:bubble3D val="0"/>
            <c:spPr>
              <a:solidFill>
                <a:schemeClr val="accent6"/>
              </a:solidFill>
            </c:spPr>
            <c:extLst>
              <c:ext xmlns:c16="http://schemas.microsoft.com/office/drawing/2014/chart" uri="{C3380CC4-5D6E-409C-BE32-E72D297353CC}">
                <c16:uniqueId val="{00000020-1F96-428B-B2F4-8AA7FA02EE92}"/>
              </c:ext>
            </c:extLst>
          </c:dPt>
          <c:dPt>
            <c:idx val="20"/>
            <c:invertIfNegative val="0"/>
            <c:bubble3D val="0"/>
            <c:spPr>
              <a:solidFill>
                <a:schemeClr val="accent6"/>
              </a:solidFill>
            </c:spPr>
            <c:extLst>
              <c:ext xmlns:c16="http://schemas.microsoft.com/office/drawing/2014/chart" uri="{C3380CC4-5D6E-409C-BE32-E72D297353CC}">
                <c16:uniqueId val="{00000021-1F96-428B-B2F4-8AA7FA02E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9118882D-6F1F-4955-B7FC-9236816C1C22}"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1F96-428B-B2F4-8AA7FA02EE92}"/>
                </c:ext>
              </c:extLst>
            </c:dLbl>
            <c:dLbl>
              <c:idx val="1"/>
              <c:tx>
                <c:rich>
                  <a:bodyPr/>
                  <a:lstStyle/>
                  <a:p>
                    <a:fld id="{6942EFA2-952D-4476-B953-FA8A479DB92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1F96-428B-B2F4-8AA7FA02EE92}"/>
                </c:ext>
              </c:extLst>
            </c:dLbl>
            <c:dLbl>
              <c:idx val="2"/>
              <c:tx>
                <c:rich>
                  <a:bodyPr/>
                  <a:lstStyle/>
                  <a:p>
                    <a:fld id="{DC8B7FBE-6881-4A70-A85E-4D8F5F0DAE5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1F96-428B-B2F4-8AA7FA02EE92}"/>
                </c:ext>
              </c:extLst>
            </c:dLbl>
            <c:dLbl>
              <c:idx val="3"/>
              <c:tx>
                <c:rich>
                  <a:bodyPr/>
                  <a:lstStyle/>
                  <a:p>
                    <a:fld id="{E1BAE0D9-3CCB-4B70-8B7D-147671C6961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1F96-428B-B2F4-8AA7FA02EE92}"/>
                </c:ext>
              </c:extLst>
            </c:dLbl>
            <c:dLbl>
              <c:idx val="4"/>
              <c:tx>
                <c:rich>
                  <a:bodyPr/>
                  <a:lstStyle/>
                  <a:p>
                    <a:fld id="{C2450F07-E768-4287-8029-79799EC85D8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1F96-428B-B2F4-8AA7FA02EE92}"/>
                </c:ext>
              </c:extLst>
            </c:dLbl>
            <c:dLbl>
              <c:idx val="5"/>
              <c:tx>
                <c:rich>
                  <a:bodyPr/>
                  <a:lstStyle/>
                  <a:p>
                    <a:fld id="{F9C87300-8E7D-4179-9616-EA579B0092B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1F96-428B-B2F4-8AA7FA02EE92}"/>
                </c:ext>
              </c:extLst>
            </c:dLbl>
            <c:dLbl>
              <c:idx val="6"/>
              <c:tx>
                <c:rich>
                  <a:bodyPr/>
                  <a:lstStyle/>
                  <a:p>
                    <a:fld id="{7E5D757E-D3F6-4FF3-8B4C-A5D159F5618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1F96-428B-B2F4-8AA7FA02EE92}"/>
                </c:ext>
              </c:extLst>
            </c:dLbl>
            <c:dLbl>
              <c:idx val="7"/>
              <c:tx>
                <c:rich>
                  <a:bodyPr/>
                  <a:lstStyle/>
                  <a:p>
                    <a:fld id="{DE4F2DE8-7834-4114-9504-A41143E4849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F96-428B-B2F4-8AA7FA02EE92}"/>
                </c:ext>
              </c:extLst>
            </c:dLbl>
            <c:dLbl>
              <c:idx val="8"/>
              <c:tx>
                <c:rich>
                  <a:bodyPr/>
                  <a:lstStyle/>
                  <a:p>
                    <a:fld id="{FDD1AE83-9A0B-4264-9B6C-3CBC767BC13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1F96-428B-B2F4-8AA7FA02EE92}"/>
                </c:ext>
              </c:extLst>
            </c:dLbl>
            <c:dLbl>
              <c:idx val="9"/>
              <c:tx>
                <c:rich>
                  <a:bodyPr/>
                  <a:lstStyle/>
                  <a:p>
                    <a:fld id="{2E7DD092-36A6-41D3-9C2C-00EBDC74CB3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329475E1-29FB-4FE4-941C-01D04E93EBB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F96-428B-B2F4-8AA7FA02EE92}"/>
                </c:ext>
              </c:extLst>
            </c:dLbl>
            <c:dLbl>
              <c:idx val="11"/>
              <c:tx>
                <c:rich>
                  <a:bodyPr/>
                  <a:lstStyle/>
                  <a:p>
                    <a:fld id="{D1C4FE05-1387-4AA6-BE62-ED7271DEAB0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1F96-428B-B2F4-8AA7FA02EE92}"/>
                </c:ext>
              </c:extLst>
            </c:dLbl>
            <c:dLbl>
              <c:idx val="13"/>
              <c:tx>
                <c:rich>
                  <a:bodyPr/>
                  <a:lstStyle/>
                  <a:p>
                    <a:fld id="{382D5F42-813B-48D3-8B3A-A130A1DC0FE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5263AAB4-89DB-4BC1-BB6B-C67F61BA271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1F96-428B-B2F4-8AA7FA02EE92}"/>
                </c:ext>
              </c:extLst>
            </c:dLbl>
            <c:dLbl>
              <c:idx val="15"/>
              <c:tx>
                <c:rich>
                  <a:bodyPr/>
                  <a:lstStyle/>
                  <a:p>
                    <a:fld id="{3644ABA1-39B8-4BBB-8A45-E3C835154D5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58EAA6D7-11FB-47F1-9C5A-C60871D6F98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F96-428B-B2F4-8AA7FA02EE92}"/>
                </c:ext>
              </c:extLst>
            </c:dLbl>
            <c:dLbl>
              <c:idx val="17"/>
              <c:tx>
                <c:rich>
                  <a:bodyPr/>
                  <a:lstStyle/>
                  <a:p>
                    <a:fld id="{E3FD1844-0ADD-40C3-B736-ED53E40ABF7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1F96-428B-B2F4-8AA7FA02EE92}"/>
                </c:ext>
              </c:extLst>
            </c:dLbl>
            <c:dLbl>
              <c:idx val="18"/>
              <c:tx>
                <c:rich>
                  <a:bodyPr/>
                  <a:lstStyle/>
                  <a:p>
                    <a:fld id="{DB320EA9-500D-4211-B0AF-D3AA88938E4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1F96-428B-B2F4-8AA7FA02EE92}"/>
                </c:ext>
              </c:extLst>
            </c:dLbl>
            <c:dLbl>
              <c:idx val="19"/>
              <c:tx>
                <c:rich>
                  <a:bodyPr/>
                  <a:lstStyle/>
                  <a:p>
                    <a:fld id="{DD735CEF-650F-4283-9C9F-01928D7CFC5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1F96-428B-B2F4-8AA7FA02EE92}"/>
                </c:ext>
              </c:extLst>
            </c:dLbl>
            <c:dLbl>
              <c:idx val="20"/>
              <c:tx>
                <c:rich>
                  <a:bodyPr/>
                  <a:lstStyle/>
                  <a:p>
                    <a:fld id="{A025DD8F-6CDA-4C59-8E03-5441504FA7D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1F96-428B-B2F4-8AA7FA02EE92}"/>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'R2'!$B$48:$V$48</c:f>
                <c:numCache>
                  <c:formatCode>General</c:formatCode>
                  <c:ptCount val="21"/>
                  <c:pt idx="0">
                    <c:v>1.4065995565193569E-2</c:v>
                  </c:pt>
                  <c:pt idx="1">
                    <c:v>1.8771891551449097E-2</c:v>
                  </c:pt>
                  <c:pt idx="2">
                    <c:v>1.3420282238152845E-2</c:v>
                  </c:pt>
                  <c:pt idx="3">
                    <c:v>0.14171710645826205</c:v>
                  </c:pt>
                  <c:pt idx="4">
                    <c:v>0.15888572280547938</c:v>
                  </c:pt>
                  <c:pt idx="5">
                    <c:v>0.15100528204009142</c:v>
                  </c:pt>
                  <c:pt idx="6">
                    <c:v>0.24112092286400039</c:v>
                  </c:pt>
                  <c:pt idx="7">
                    <c:v>1.2812788222907602E-2</c:v>
                  </c:pt>
                  <c:pt idx="8">
                    <c:v>1.5297766334376281E-2</c:v>
                  </c:pt>
                  <c:pt idx="9">
                    <c:v>1.619729771429131E-2</c:v>
                  </c:pt>
                  <c:pt idx="10">
                    <c:v>1.9686323928959124E-2</c:v>
                  </c:pt>
                  <c:pt idx="11">
                    <c:v>2.7495977720397295E-2</c:v>
                  </c:pt>
                  <c:pt idx="12">
                    <c:v>0</c:v>
                  </c:pt>
                  <c:pt idx="13">
                    <c:v>0.15854308194358191</c:v>
                  </c:pt>
                  <c:pt idx="14">
                    <c:v>0.14557526502589008</c:v>
                  </c:pt>
                  <c:pt idx="15">
                    <c:v>2.034502640030884E-2</c:v>
                  </c:pt>
                  <c:pt idx="16">
                    <c:v>0.10659011938103564</c:v>
                  </c:pt>
                  <c:pt idx="17">
                    <c:v>0.19065103454413312</c:v>
                  </c:pt>
                  <c:pt idx="18">
                    <c:v>0.16477402724529344</c:v>
                  </c:pt>
                  <c:pt idx="19">
                    <c:v>0.11261990233974353</c:v>
                  </c:pt>
                  <c:pt idx="20">
                    <c:v>1.2786082527919075E-2</c:v>
                  </c:pt>
                </c:numCache>
              </c:numRef>
            </c:plus>
            <c:minus>
              <c:numRef>
                <c:f>'R1'!$N$48:$V$48</c:f>
                <c:numCache>
                  <c:formatCode>General</c:formatCode>
                  <c:ptCount val="9"/>
                  <c:pt idx="0">
                    <c:v>0</c:v>
                  </c:pt>
                  <c:pt idx="1">
                    <c:v>0.27525908055916726</c:v>
                  </c:pt>
                  <c:pt idx="2">
                    <c:v>0.34873771313497093</c:v>
                  </c:pt>
                  <c:pt idx="3">
                    <c:v>4.5482847415010914E-2</c:v>
                  </c:pt>
                  <c:pt idx="4">
                    <c:v>0.41295089891154591</c:v>
                  </c:pt>
                  <c:pt idx="5">
                    <c:v>0.42791165402024456</c:v>
                  </c:pt>
                  <c:pt idx="6">
                    <c:v>0.33772622037242861</c:v>
                  </c:pt>
                  <c:pt idx="7">
                    <c:v>0.20538415877776564</c:v>
                  </c:pt>
                  <c:pt idx="8">
                    <c:v>6.527772759963979E-2</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Prochloraz-12µg/L</c:v>
                </c:pt>
                <c:pt idx="8">
                  <c:v>Prochloraz-37µg/L</c:v>
                </c:pt>
                <c:pt idx="9">
                  <c:v>Prochloraz-111µg/L</c:v>
                </c:pt>
                <c:pt idx="10">
                  <c:v>Prochloraz-333µg/L</c:v>
                </c:pt>
                <c:pt idx="11">
                  <c:v>Prochloraz-1000µg/L</c:v>
                </c:pt>
                <c:pt idx="13">
                  <c:v>Testo -30µg/L</c:v>
                </c:pt>
                <c:pt idx="14">
                  <c:v>Testo 30µg/L + EE2 -64ng/L</c:v>
                </c:pt>
                <c:pt idx="15">
                  <c:v>Testo 30µg/L + FAD-10mg/L</c:v>
                </c:pt>
                <c:pt idx="16">
                  <c:v>Prochloraz-12µg/L + Testostérone</c:v>
                </c:pt>
                <c:pt idx="17">
                  <c:v>Prochloraz-37µg/L + Testostérone</c:v>
                </c:pt>
                <c:pt idx="18">
                  <c:v>Prochloraz-111µg/L + Testostérone</c:v>
                </c:pt>
                <c:pt idx="19">
                  <c:v>Prochloraz-333µg/L + Testostérone</c:v>
                </c:pt>
                <c:pt idx="20">
                  <c:v>Prochloraz-1000µg/L + Testostérone</c:v>
                </c:pt>
              </c:strCache>
            </c:strRef>
          </c:cat>
          <c:val>
            <c:numRef>
              <c:f>'R2'!$B$53:$V$53</c:f>
              <c:numCache>
                <c:formatCode>0.0000</c:formatCode>
                <c:ptCount val="21"/>
                <c:pt idx="0">
                  <c:v>5.4211369597549533E-2</c:v>
                </c:pt>
                <c:pt idx="1">
                  <c:v>7.3944558851353259E-2</c:v>
                </c:pt>
                <c:pt idx="2">
                  <c:v>8.9246901571933962E-2</c:v>
                </c:pt>
                <c:pt idx="3">
                  <c:v>0.32176267324959795</c:v>
                </c:pt>
                <c:pt idx="4">
                  <c:v>0.78352638542180597</c:v>
                </c:pt>
                <c:pt idx="5">
                  <c:v>1.3605571915393411</c:v>
                </c:pt>
                <c:pt idx="6">
                  <c:v>2.2887818741660659</c:v>
                </c:pt>
                <c:pt idx="7">
                  <c:v>0.10097741442109684</c:v>
                </c:pt>
                <c:pt idx="8">
                  <c:v>8.943741725101062E-2</c:v>
                </c:pt>
                <c:pt idx="9">
                  <c:v>5.7858440400186957E-2</c:v>
                </c:pt>
                <c:pt idx="10">
                  <c:v>9.5927505700781956E-2</c:v>
                </c:pt>
                <c:pt idx="11">
                  <c:v>0.13030025486690655</c:v>
                </c:pt>
                <c:pt idx="13">
                  <c:v>1.0000000000000002</c:v>
                </c:pt>
                <c:pt idx="14">
                  <c:v>1.6692689823653006</c:v>
                </c:pt>
                <c:pt idx="15">
                  <c:v>8.2913426468105483E-2</c:v>
                </c:pt>
                <c:pt idx="16">
                  <c:v>0.54670262661925917</c:v>
                </c:pt>
                <c:pt idx="17">
                  <c:v>0.96843977484818844</c:v>
                </c:pt>
                <c:pt idx="18">
                  <c:v>0.51519010348575611</c:v>
                </c:pt>
                <c:pt idx="19">
                  <c:v>0.38262839525691439</c:v>
                </c:pt>
                <c:pt idx="20">
                  <c:v>6.7335158196050238E-2</c:v>
                </c:pt>
              </c:numCache>
            </c:numRef>
          </c:val>
          <c:extLst>
            <c:ext xmlns:c15="http://schemas.microsoft.com/office/drawing/2012/chart" uri="{02D57815-91ED-43cb-92C2-25804820EDAC}">
              <c15:datalabelsRange>
                <c15:f>'R2'!$B$61:$V$61</c15:f>
                <c15:dlblRangeCache>
                  <c:ptCount val="21"/>
                  <c:pt idx="1">
                    <c:v>NS</c:v>
                  </c:pt>
                  <c:pt idx="2">
                    <c:v>NS</c:v>
                  </c:pt>
                  <c:pt idx="3">
                    <c:v>*</c:v>
                  </c:pt>
                  <c:pt idx="4">
                    <c:v>**</c:v>
                  </c:pt>
                  <c:pt idx="5">
                    <c:v>***</c:v>
                  </c:pt>
                  <c:pt idx="6">
                    <c:v>***</c:v>
                  </c:pt>
                  <c:pt idx="7">
                    <c:v>*</c:v>
                  </c:pt>
                  <c:pt idx="8">
                    <c:v>NS</c:v>
                  </c:pt>
                  <c:pt idx="9">
                    <c:v>NS</c:v>
                  </c:pt>
                  <c:pt idx="10">
                    <c:v>NS</c:v>
                  </c:pt>
                  <c:pt idx="11">
                    <c:v>*</c:v>
                  </c:pt>
                  <c:pt idx="13">
                    <c:v>***</c:v>
                  </c:pt>
                  <c:pt idx="14">
                    <c:v>**</c:v>
                  </c:pt>
                  <c:pt idx="15">
                    <c:v>***</c:v>
                  </c:pt>
                  <c:pt idx="16">
                    <c:v>*</c:v>
                  </c:pt>
                  <c:pt idx="17">
                    <c:v>NS</c:v>
                  </c:pt>
                  <c:pt idx="18">
                    <c:v>*</c:v>
                  </c:pt>
                  <c:pt idx="19">
                    <c:v>**</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2.4"/>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3F05-497E-B6CF-4F3798E463F9}"/>
              </c:ext>
            </c:extLst>
          </c:dPt>
          <c:dPt>
            <c:idx val="7"/>
            <c:invertIfNegative val="0"/>
            <c:bubble3D val="0"/>
            <c:spPr>
              <a:solidFill>
                <a:schemeClr val="accent6">
                  <a:lumMod val="20000"/>
                  <a:lumOff val="80000"/>
                </a:schemeClr>
              </a:solidFill>
            </c:spPr>
            <c:extLst>
              <c:ext xmlns:c16="http://schemas.microsoft.com/office/drawing/2014/chart" uri="{C3380CC4-5D6E-409C-BE32-E72D297353CC}">
                <c16:uniqueId val="{00000018-3F05-497E-B6CF-4F3798E463F9}"/>
              </c:ext>
            </c:extLst>
          </c:dPt>
          <c:dPt>
            <c:idx val="8"/>
            <c:invertIfNegative val="0"/>
            <c:bubble3D val="0"/>
            <c:spPr>
              <a:solidFill>
                <a:schemeClr val="accent6">
                  <a:lumMod val="20000"/>
                  <a:lumOff val="80000"/>
                </a:schemeClr>
              </a:solidFill>
            </c:spPr>
            <c:extLst>
              <c:ext xmlns:c16="http://schemas.microsoft.com/office/drawing/2014/chart" uri="{C3380CC4-5D6E-409C-BE32-E72D297353CC}">
                <c16:uniqueId val="{00000019-3F05-497E-B6CF-4F3798E463F9}"/>
              </c:ext>
            </c:extLst>
          </c:dPt>
          <c:dPt>
            <c:idx val="9"/>
            <c:invertIfNegative val="0"/>
            <c:bubble3D val="0"/>
            <c:spPr>
              <a:solidFill>
                <a:schemeClr val="accent6">
                  <a:lumMod val="20000"/>
                  <a:lumOff val="80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accent6">
                  <a:lumMod val="20000"/>
                  <a:lumOff val="80000"/>
                </a:schemeClr>
              </a:solidFill>
            </c:spPr>
            <c:extLst>
              <c:ext xmlns:c16="http://schemas.microsoft.com/office/drawing/2014/chart" uri="{C3380CC4-5D6E-409C-BE32-E72D297353CC}">
                <c16:uniqueId val="{0000001A-3F05-497E-B6CF-4F3798E463F9}"/>
              </c:ext>
            </c:extLst>
          </c:dPt>
          <c:dPt>
            <c:idx val="11"/>
            <c:invertIfNegative val="0"/>
            <c:bubble3D val="0"/>
            <c:spPr>
              <a:solidFill>
                <a:schemeClr val="accent6">
                  <a:lumMod val="20000"/>
                  <a:lumOff val="80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92D050"/>
              </a:solidFill>
            </c:spPr>
            <c:extLst>
              <c:ext xmlns:c16="http://schemas.microsoft.com/office/drawing/2014/chart" uri="{C3380CC4-5D6E-409C-BE32-E72D297353CC}">
                <c16:uniqueId val="{00000005-EED2-4ACE-91AA-7F8713196E92}"/>
              </c:ext>
            </c:extLst>
          </c:dPt>
          <c:dPt>
            <c:idx val="14"/>
            <c:invertIfNegative val="0"/>
            <c:bubble3D val="0"/>
            <c:spPr>
              <a:solidFill>
                <a:srgbClr val="00B0F0"/>
              </a:solidFill>
            </c:spPr>
            <c:extLst>
              <c:ext xmlns:c16="http://schemas.microsoft.com/office/drawing/2014/chart" uri="{C3380CC4-5D6E-409C-BE32-E72D297353CC}">
                <c16:uniqueId val="{0000001B-3F05-497E-B6CF-4F3798E463F9}"/>
              </c:ext>
            </c:extLst>
          </c:dPt>
          <c:dPt>
            <c:idx val="15"/>
            <c:invertIfNegative val="0"/>
            <c:bubble3D val="0"/>
            <c:spPr>
              <a:solidFill>
                <a:srgbClr val="FF0000"/>
              </a:solidFill>
            </c:spPr>
            <c:extLst>
              <c:ext xmlns:c16="http://schemas.microsoft.com/office/drawing/2014/chart" uri="{C3380CC4-5D6E-409C-BE32-E72D297353CC}">
                <c16:uniqueId val="{00000007-EED2-4ACE-91AA-7F8713196E92}"/>
              </c:ext>
            </c:extLst>
          </c:dPt>
          <c:dPt>
            <c:idx val="16"/>
            <c:invertIfNegative val="0"/>
            <c:bubble3D val="0"/>
            <c:spPr>
              <a:solidFill>
                <a:schemeClr val="accent6"/>
              </a:solidFill>
            </c:spPr>
            <c:extLst>
              <c:ext xmlns:c16="http://schemas.microsoft.com/office/drawing/2014/chart" uri="{C3380CC4-5D6E-409C-BE32-E72D297353CC}">
                <c16:uniqueId val="{0000001C-3F05-497E-B6CF-4F3798E463F9}"/>
              </c:ext>
            </c:extLst>
          </c:dPt>
          <c:dPt>
            <c:idx val="17"/>
            <c:invertIfNegative val="0"/>
            <c:bubble3D val="0"/>
            <c:spPr>
              <a:solidFill>
                <a:schemeClr val="accent6"/>
              </a:solidFill>
            </c:spPr>
            <c:extLst>
              <c:ext xmlns:c16="http://schemas.microsoft.com/office/drawing/2014/chart" uri="{C3380CC4-5D6E-409C-BE32-E72D297353CC}">
                <c16:uniqueId val="{0000001D-3F05-497E-B6CF-4F3798E463F9}"/>
              </c:ext>
            </c:extLst>
          </c:dPt>
          <c:dPt>
            <c:idx val="18"/>
            <c:invertIfNegative val="0"/>
            <c:bubble3D val="0"/>
            <c:spPr>
              <a:solidFill>
                <a:schemeClr val="accent6"/>
              </a:solidFill>
            </c:spPr>
            <c:extLst>
              <c:ext xmlns:c16="http://schemas.microsoft.com/office/drawing/2014/chart" uri="{C3380CC4-5D6E-409C-BE32-E72D297353CC}">
                <c16:uniqueId val="{0000001E-3F05-497E-B6CF-4F3798E463F9}"/>
              </c:ext>
            </c:extLst>
          </c:dPt>
          <c:dPt>
            <c:idx val="19"/>
            <c:invertIfNegative val="0"/>
            <c:bubble3D val="0"/>
            <c:spPr>
              <a:solidFill>
                <a:schemeClr val="accent6"/>
              </a:solidFill>
            </c:spPr>
            <c:extLst>
              <c:ext xmlns:c16="http://schemas.microsoft.com/office/drawing/2014/chart" uri="{C3380CC4-5D6E-409C-BE32-E72D297353CC}">
                <c16:uniqueId val="{0000001F-3F05-497E-B6CF-4F3798E463F9}"/>
              </c:ext>
            </c:extLst>
          </c:dPt>
          <c:dPt>
            <c:idx val="20"/>
            <c:invertIfNegative val="0"/>
            <c:bubble3D val="0"/>
            <c:spPr>
              <a:solidFill>
                <a:schemeClr val="accent6"/>
              </a:solidFill>
            </c:spPr>
            <c:extLst>
              <c:ext xmlns:c16="http://schemas.microsoft.com/office/drawing/2014/chart" uri="{C3380CC4-5D6E-409C-BE32-E72D297353CC}">
                <c16:uniqueId val="{00000020-3F05-497E-B6CF-4F3798E463F9}"/>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0AACA387-C06D-4CAE-ADED-BCB70D1F3706}"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3F05-497E-B6CF-4F3798E463F9}"/>
                </c:ext>
              </c:extLst>
            </c:dLbl>
            <c:dLbl>
              <c:idx val="1"/>
              <c:tx>
                <c:rich>
                  <a:bodyPr/>
                  <a:lstStyle/>
                  <a:p>
                    <a:fld id="{9AB782ED-EF1A-4EC0-8883-E7BF1D67C25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3F05-497E-B6CF-4F3798E463F9}"/>
                </c:ext>
              </c:extLst>
            </c:dLbl>
            <c:dLbl>
              <c:idx val="2"/>
              <c:tx>
                <c:rich>
                  <a:bodyPr/>
                  <a:lstStyle/>
                  <a:p>
                    <a:fld id="{CC7EC244-6275-44FA-8BF1-E1B9FEB598C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3F05-497E-B6CF-4F3798E463F9}"/>
                </c:ext>
              </c:extLst>
            </c:dLbl>
            <c:dLbl>
              <c:idx val="3"/>
              <c:tx>
                <c:rich>
                  <a:bodyPr/>
                  <a:lstStyle/>
                  <a:p>
                    <a:fld id="{825F6E3E-AA26-4B19-9095-F3DAB59682B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3F05-497E-B6CF-4F3798E463F9}"/>
                </c:ext>
              </c:extLst>
            </c:dLbl>
            <c:dLbl>
              <c:idx val="4"/>
              <c:tx>
                <c:rich>
                  <a:bodyPr/>
                  <a:lstStyle/>
                  <a:p>
                    <a:fld id="{F119EF54-47F1-4CE0-9351-FD19C125906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3F05-497E-B6CF-4F3798E463F9}"/>
                </c:ext>
              </c:extLst>
            </c:dLbl>
            <c:dLbl>
              <c:idx val="5"/>
              <c:tx>
                <c:rich>
                  <a:bodyPr/>
                  <a:lstStyle/>
                  <a:p>
                    <a:fld id="{F96FE97A-07FF-4EB1-BD29-655A148C587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3F05-497E-B6CF-4F3798E463F9}"/>
                </c:ext>
              </c:extLst>
            </c:dLbl>
            <c:dLbl>
              <c:idx val="6"/>
              <c:tx>
                <c:rich>
                  <a:bodyPr/>
                  <a:lstStyle/>
                  <a:p>
                    <a:fld id="{CAF164A1-C1D1-48A4-AB1D-2F71B0592B9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3F05-497E-B6CF-4F3798E463F9}"/>
                </c:ext>
              </c:extLst>
            </c:dLbl>
            <c:dLbl>
              <c:idx val="7"/>
              <c:tx>
                <c:rich>
                  <a:bodyPr/>
                  <a:lstStyle/>
                  <a:p>
                    <a:fld id="{71FB9AA4-5C18-43E1-A03F-5C93410208A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F05-497E-B6CF-4F3798E463F9}"/>
                </c:ext>
              </c:extLst>
            </c:dLbl>
            <c:dLbl>
              <c:idx val="8"/>
              <c:tx>
                <c:rich>
                  <a:bodyPr/>
                  <a:lstStyle/>
                  <a:p>
                    <a:fld id="{0361FAA5-B16E-4F76-826E-7B890CAD36E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F05-497E-B6CF-4F3798E463F9}"/>
                </c:ext>
              </c:extLst>
            </c:dLbl>
            <c:dLbl>
              <c:idx val="9"/>
              <c:tx>
                <c:rich>
                  <a:bodyPr/>
                  <a:lstStyle/>
                  <a:p>
                    <a:fld id="{4A552667-479E-4C56-9FC8-22DA3EABA8B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42F79605-4018-46AD-AB2A-FB1E601EB90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F05-497E-B6CF-4F3798E463F9}"/>
                </c:ext>
              </c:extLst>
            </c:dLbl>
            <c:dLbl>
              <c:idx val="11"/>
              <c:tx>
                <c:rich>
                  <a:bodyPr/>
                  <a:lstStyle/>
                  <a:p>
                    <a:fld id="{4AEF0CC6-83A7-4428-A72C-7536025B1EE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3F05-497E-B6CF-4F3798E463F9}"/>
                </c:ext>
              </c:extLst>
            </c:dLbl>
            <c:dLbl>
              <c:idx val="13"/>
              <c:tx>
                <c:rich>
                  <a:bodyPr/>
                  <a:lstStyle/>
                  <a:p>
                    <a:fld id="{B288DE90-E60F-4D34-AF8D-896A4954AA2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50B0E289-D7A3-42FA-8398-DC8CEDA0F59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F05-497E-B6CF-4F3798E463F9}"/>
                </c:ext>
              </c:extLst>
            </c:dLbl>
            <c:dLbl>
              <c:idx val="15"/>
              <c:tx>
                <c:rich>
                  <a:bodyPr/>
                  <a:lstStyle/>
                  <a:p>
                    <a:fld id="{59ADDEEB-43D1-461C-9883-5C0D5ECD541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539CC9B2-2D16-4CB0-B280-89AF5BA11EC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F05-497E-B6CF-4F3798E463F9}"/>
                </c:ext>
              </c:extLst>
            </c:dLbl>
            <c:dLbl>
              <c:idx val="17"/>
              <c:tx>
                <c:rich>
                  <a:bodyPr/>
                  <a:lstStyle/>
                  <a:p>
                    <a:fld id="{52F971DF-B558-4D58-80EC-332A07647B6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F05-497E-B6CF-4F3798E463F9}"/>
                </c:ext>
              </c:extLst>
            </c:dLbl>
            <c:dLbl>
              <c:idx val="18"/>
              <c:tx>
                <c:rich>
                  <a:bodyPr/>
                  <a:lstStyle/>
                  <a:p>
                    <a:fld id="{F2527950-743C-44F3-99DB-9C14C102215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3F05-497E-B6CF-4F3798E463F9}"/>
                </c:ext>
              </c:extLst>
            </c:dLbl>
            <c:dLbl>
              <c:idx val="19"/>
              <c:tx>
                <c:rich>
                  <a:bodyPr/>
                  <a:lstStyle/>
                  <a:p>
                    <a:fld id="{0836F59C-BEBB-44AE-AEAD-236E621438E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3F05-497E-B6CF-4F3798E463F9}"/>
                </c:ext>
              </c:extLst>
            </c:dLbl>
            <c:dLbl>
              <c:idx val="20"/>
              <c:tx>
                <c:rich>
                  <a:bodyPr/>
                  <a:lstStyle/>
                  <a:p>
                    <a:fld id="{23043623-A246-4C77-8712-3DA2855E970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3F05-497E-B6CF-4F3798E463F9}"/>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'R3'!$B$54:$V$54</c:f>
                <c:numCache>
                  <c:formatCode>General</c:formatCode>
                  <c:ptCount val="21"/>
                  <c:pt idx="0">
                    <c:v>3.7815450523442852E-2</c:v>
                  </c:pt>
                  <c:pt idx="1">
                    <c:v>9.594662620959489E-2</c:v>
                  </c:pt>
                  <c:pt idx="2">
                    <c:v>1.4624390567297909E-2</c:v>
                  </c:pt>
                  <c:pt idx="3">
                    <c:v>9.5483345714446055E-2</c:v>
                  </c:pt>
                  <c:pt idx="4">
                    <c:v>0.10327566910534711</c:v>
                  </c:pt>
                  <c:pt idx="5">
                    <c:v>9.1370273581671546E-2</c:v>
                  </c:pt>
                  <c:pt idx="6">
                    <c:v>0.24764820572380364</c:v>
                  </c:pt>
                  <c:pt idx="7">
                    <c:v>1.2773956514621694E-2</c:v>
                  </c:pt>
                  <c:pt idx="8">
                    <c:v>4.0682038865895644E-2</c:v>
                  </c:pt>
                  <c:pt idx="9">
                    <c:v>1.9400428366936572E-2</c:v>
                  </c:pt>
                  <c:pt idx="10">
                    <c:v>4.3724787808546356E-2</c:v>
                  </c:pt>
                  <c:pt idx="11">
                    <c:v>3.2010801020391749E-2</c:v>
                  </c:pt>
                  <c:pt idx="13">
                    <c:v>0.20018832035569609</c:v>
                  </c:pt>
                  <c:pt idx="14">
                    <c:v>0.16671849832962307</c:v>
                  </c:pt>
                  <c:pt idx="15">
                    <c:v>2.2524312465625501E-2</c:v>
                  </c:pt>
                  <c:pt idx="16">
                    <c:v>0.14962796022698488</c:v>
                  </c:pt>
                  <c:pt idx="17">
                    <c:v>0.23473999221883468</c:v>
                  </c:pt>
                  <c:pt idx="18">
                    <c:v>0.16429952350724808</c:v>
                  </c:pt>
                  <c:pt idx="19">
                    <c:v>7.6011130877486496E-2</c:v>
                  </c:pt>
                  <c:pt idx="20">
                    <c:v>4.4917685150935971E-2</c:v>
                  </c:pt>
                </c:numCache>
              </c:numRef>
            </c:plus>
            <c:minus>
              <c:numRef>
                <c:f>'R1'!$N$48:$V$48</c:f>
                <c:numCache>
                  <c:formatCode>General</c:formatCode>
                  <c:ptCount val="9"/>
                  <c:pt idx="0">
                    <c:v>0</c:v>
                  </c:pt>
                  <c:pt idx="1">
                    <c:v>0.27525908055916726</c:v>
                  </c:pt>
                  <c:pt idx="2">
                    <c:v>0.34873771313497093</c:v>
                  </c:pt>
                  <c:pt idx="3">
                    <c:v>4.5482847415010914E-2</c:v>
                  </c:pt>
                  <c:pt idx="4">
                    <c:v>0.41295089891154591</c:v>
                  </c:pt>
                  <c:pt idx="5">
                    <c:v>0.42791165402024456</c:v>
                  </c:pt>
                  <c:pt idx="6">
                    <c:v>0.33772622037242861</c:v>
                  </c:pt>
                  <c:pt idx="7">
                    <c:v>0.20538415877776564</c:v>
                  </c:pt>
                  <c:pt idx="8">
                    <c:v>6.527772759963979E-2</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Prochloraz-12µg/L</c:v>
                </c:pt>
                <c:pt idx="8">
                  <c:v>Prochloraz-37µg/L</c:v>
                </c:pt>
                <c:pt idx="9">
                  <c:v>Prochloraz-111µg/L</c:v>
                </c:pt>
                <c:pt idx="10">
                  <c:v>Prochloraz-333µg/L</c:v>
                </c:pt>
                <c:pt idx="11">
                  <c:v>Prochloraz-1000µg/L</c:v>
                </c:pt>
                <c:pt idx="13">
                  <c:v>Testo -30µg/L</c:v>
                </c:pt>
                <c:pt idx="14">
                  <c:v>Testo 30µg/L + EE2 -64ng/L</c:v>
                </c:pt>
                <c:pt idx="15">
                  <c:v>Testo 30µg/L + FAD-10mg/L</c:v>
                </c:pt>
                <c:pt idx="16">
                  <c:v>Prochloraz-12µg/L + Testostérone</c:v>
                </c:pt>
                <c:pt idx="17">
                  <c:v>Prochloraz-37µg/L + Testostérone</c:v>
                </c:pt>
                <c:pt idx="18">
                  <c:v>Prochloraz-111µg/L + Testostérone</c:v>
                </c:pt>
                <c:pt idx="19">
                  <c:v>Prochloraz-333µg/L + Testostérone</c:v>
                </c:pt>
                <c:pt idx="20">
                  <c:v>Prochloraz-1000µg/L + Testostérone</c:v>
                </c:pt>
              </c:strCache>
            </c:strRef>
          </c:cat>
          <c:val>
            <c:numRef>
              <c:f>'R3'!$B$53:$V$53</c:f>
              <c:numCache>
                <c:formatCode>0.0000</c:formatCode>
                <c:ptCount val="21"/>
                <c:pt idx="0">
                  <c:v>0.1450496093193806</c:v>
                </c:pt>
                <c:pt idx="1">
                  <c:v>0.18981258839163509</c:v>
                </c:pt>
                <c:pt idx="2">
                  <c:v>9.9485793075123063E-2</c:v>
                </c:pt>
                <c:pt idx="3">
                  <c:v>0.48574289496984346</c:v>
                </c:pt>
                <c:pt idx="4">
                  <c:v>1.0265390598149535</c:v>
                </c:pt>
                <c:pt idx="5">
                  <c:v>1.6022148856308811</c:v>
                </c:pt>
                <c:pt idx="6">
                  <c:v>2.9851647989215784</c:v>
                </c:pt>
                <c:pt idx="7">
                  <c:v>4.1323418741561327E-2</c:v>
                </c:pt>
                <c:pt idx="8">
                  <c:v>0.1341665251109444</c:v>
                </c:pt>
                <c:pt idx="9">
                  <c:v>8.030745461548329E-2</c:v>
                </c:pt>
                <c:pt idx="10">
                  <c:v>0.16287708362909195</c:v>
                </c:pt>
                <c:pt idx="11">
                  <c:v>9.4108487067195198E-2</c:v>
                </c:pt>
                <c:pt idx="13">
                  <c:v>1.0000000000000002</c:v>
                </c:pt>
                <c:pt idx="14">
                  <c:v>1.9002937811495046</c:v>
                </c:pt>
                <c:pt idx="15">
                  <c:v>8.7880479912498671E-2</c:v>
                </c:pt>
                <c:pt idx="16">
                  <c:v>0.66093005679724093</c:v>
                </c:pt>
                <c:pt idx="17">
                  <c:v>0.87409558474725702</c:v>
                </c:pt>
                <c:pt idx="18">
                  <c:v>0.40432898872539297</c:v>
                </c:pt>
                <c:pt idx="19">
                  <c:v>0.16924118748770201</c:v>
                </c:pt>
                <c:pt idx="20">
                  <c:v>0.14674051350066131</c:v>
                </c:pt>
              </c:numCache>
            </c:numRef>
          </c:val>
          <c:extLst>
            <c:ext xmlns:c15="http://schemas.microsoft.com/office/drawing/2012/chart" uri="{02D57815-91ED-43cb-92C2-25804820EDAC}">
              <c15:datalabelsRange>
                <c15:f>'R3'!$B$61:$V$61</c15:f>
                <c15:dlblRangeCache>
                  <c:ptCount val="21"/>
                  <c:pt idx="1">
                    <c:v>NS</c:v>
                  </c:pt>
                  <c:pt idx="2">
                    <c:v>NS</c:v>
                  </c:pt>
                  <c:pt idx="3">
                    <c:v>**</c:v>
                  </c:pt>
                  <c:pt idx="4">
                    <c:v>***</c:v>
                  </c:pt>
                  <c:pt idx="5">
                    <c:v>***</c:v>
                  </c:pt>
                  <c:pt idx="6">
                    <c:v>***</c:v>
                  </c:pt>
                  <c:pt idx="7">
                    <c:v>*</c:v>
                  </c:pt>
                  <c:pt idx="8">
                    <c:v>NS</c:v>
                  </c:pt>
                  <c:pt idx="9">
                    <c:v>NS</c:v>
                  </c:pt>
                  <c:pt idx="10">
                    <c:v>NS</c:v>
                  </c:pt>
                  <c:pt idx="11">
                    <c:v>NS</c:v>
                  </c:pt>
                  <c:pt idx="13">
                    <c:v>***</c:v>
                  </c:pt>
                  <c:pt idx="14">
                    <c:v>**</c:v>
                  </c:pt>
                  <c:pt idx="15">
                    <c:v>***</c:v>
                  </c:pt>
                  <c:pt idx="16">
                    <c:v>NS</c:v>
                  </c:pt>
                  <c:pt idx="17">
                    <c:v>NS</c:v>
                  </c:pt>
                  <c:pt idx="18">
                    <c:v>NS</c:v>
                  </c:pt>
                  <c:pt idx="19">
                    <c:v>NS</c:v>
                  </c:pt>
                  <c:pt idx="20">
                    <c:v>***</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3.4"/>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accent2"/>
              </a:solidFill>
            </c:spPr>
            <c:extLst>
              <c:ext xmlns:c16="http://schemas.microsoft.com/office/drawing/2014/chart" uri="{C3380CC4-5D6E-409C-BE32-E72D297353CC}">
                <c16:uniqueId val="{00000003-033C-4530-84A9-991A3866ABD4}"/>
              </c:ext>
            </c:extLst>
          </c:dPt>
          <c:dPt>
            <c:idx val="3"/>
            <c:invertIfNegative val="0"/>
            <c:bubble3D val="0"/>
            <c:spPr>
              <a:solidFill>
                <a:schemeClr val="accent2"/>
              </a:solidFill>
            </c:spPr>
            <c:extLst>
              <c:ext xmlns:c16="http://schemas.microsoft.com/office/drawing/2014/chart" uri="{C3380CC4-5D6E-409C-BE32-E72D297353CC}">
                <c16:uniqueId val="{00000005-033C-4530-84A9-991A3866ABD4}"/>
              </c:ext>
            </c:extLst>
          </c:dPt>
          <c:dPt>
            <c:idx val="4"/>
            <c:invertIfNegative val="0"/>
            <c:bubble3D val="0"/>
            <c:spPr>
              <a:solidFill>
                <a:schemeClr val="accent2"/>
              </a:solidFill>
            </c:spPr>
            <c:extLst>
              <c:ext xmlns:c16="http://schemas.microsoft.com/office/drawing/2014/chart" uri="{C3380CC4-5D6E-409C-BE32-E72D297353CC}">
                <c16:uniqueId val="{00000007-033C-4530-84A9-991A3866ABD4}"/>
              </c:ext>
            </c:extLst>
          </c:dPt>
          <c:dPt>
            <c:idx val="5"/>
            <c:invertIfNegative val="0"/>
            <c:bubble3D val="0"/>
            <c:spPr>
              <a:solidFill>
                <a:schemeClr val="accent2"/>
              </a:solidFill>
            </c:spPr>
            <c:extLst>
              <c:ext xmlns:c16="http://schemas.microsoft.com/office/drawing/2014/chart" uri="{C3380CC4-5D6E-409C-BE32-E72D297353CC}">
                <c16:uniqueId val="{00000009-033C-4530-84A9-991A3866ABD4}"/>
              </c:ext>
            </c:extLst>
          </c:dPt>
          <c:dPt>
            <c:idx val="6"/>
            <c:invertIfNegative val="0"/>
            <c:bubble3D val="0"/>
            <c:spPr>
              <a:solidFill>
                <a:schemeClr val="accent2"/>
              </a:solidFill>
            </c:spPr>
            <c:extLst>
              <c:ext xmlns:c16="http://schemas.microsoft.com/office/drawing/2014/chart" uri="{C3380CC4-5D6E-409C-BE32-E72D297353CC}">
                <c16:uniqueId val="{0000000B-033C-4530-84A9-991A3866ABD4}"/>
              </c:ext>
            </c:extLst>
          </c:dPt>
          <c:dPt>
            <c:idx val="7"/>
            <c:invertIfNegative val="0"/>
            <c:bubble3D val="0"/>
            <c:spPr>
              <a:solidFill>
                <a:schemeClr val="accent6">
                  <a:lumMod val="20000"/>
                  <a:lumOff val="8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accent6">
                  <a:lumMod val="20000"/>
                  <a:lumOff val="80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accent6">
                  <a:lumMod val="20000"/>
                  <a:lumOff val="80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accent6">
                  <a:lumMod val="20000"/>
                  <a:lumOff val="80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accent6">
                  <a:lumMod val="20000"/>
                  <a:lumOff val="8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rgbClr val="92D050"/>
              </a:solidFill>
            </c:spPr>
            <c:extLst>
              <c:ext xmlns:c16="http://schemas.microsoft.com/office/drawing/2014/chart" uri="{C3380CC4-5D6E-409C-BE32-E72D297353CC}">
                <c16:uniqueId val="{00000019-033C-4530-84A9-991A3866ABD4}"/>
              </c:ext>
            </c:extLst>
          </c:dPt>
          <c:dPt>
            <c:idx val="14"/>
            <c:invertIfNegative val="0"/>
            <c:bubble3D val="0"/>
            <c:spPr>
              <a:solidFill>
                <a:srgbClr val="00B0F0"/>
              </a:solidFill>
            </c:spPr>
            <c:extLst>
              <c:ext xmlns:c16="http://schemas.microsoft.com/office/drawing/2014/chart" uri="{C3380CC4-5D6E-409C-BE32-E72D297353CC}">
                <c16:uniqueId val="{0000001B-033C-4530-84A9-991A3866ABD4}"/>
              </c:ext>
            </c:extLst>
          </c:dPt>
          <c:dPt>
            <c:idx val="15"/>
            <c:invertIfNegative val="0"/>
            <c:bubble3D val="0"/>
            <c:spPr>
              <a:solidFill>
                <a:srgbClr val="FF0000"/>
              </a:solidFill>
            </c:spPr>
            <c:extLst>
              <c:ext xmlns:c16="http://schemas.microsoft.com/office/drawing/2014/chart" uri="{C3380CC4-5D6E-409C-BE32-E72D297353CC}">
                <c16:uniqueId val="{0000001D-033C-4530-84A9-991A3866ABD4}"/>
              </c:ext>
            </c:extLst>
          </c:dPt>
          <c:dPt>
            <c:idx val="16"/>
            <c:invertIfNegative val="0"/>
            <c:bubble3D val="0"/>
            <c:spPr>
              <a:solidFill>
                <a:schemeClr val="accent6"/>
              </a:solidFill>
            </c:spPr>
            <c:extLst>
              <c:ext xmlns:c16="http://schemas.microsoft.com/office/drawing/2014/chart" uri="{C3380CC4-5D6E-409C-BE32-E72D297353CC}">
                <c16:uniqueId val="{0000001F-033C-4530-84A9-991A3866ABD4}"/>
              </c:ext>
            </c:extLst>
          </c:dPt>
          <c:dPt>
            <c:idx val="17"/>
            <c:invertIfNegative val="0"/>
            <c:bubble3D val="0"/>
            <c:spPr>
              <a:solidFill>
                <a:schemeClr val="accent6"/>
              </a:solidFill>
            </c:spPr>
            <c:extLst>
              <c:ext xmlns:c16="http://schemas.microsoft.com/office/drawing/2014/chart" uri="{C3380CC4-5D6E-409C-BE32-E72D297353CC}">
                <c16:uniqueId val="{00000021-033C-4530-84A9-991A3866ABD4}"/>
              </c:ext>
            </c:extLst>
          </c:dPt>
          <c:dPt>
            <c:idx val="18"/>
            <c:invertIfNegative val="0"/>
            <c:bubble3D val="0"/>
            <c:spPr>
              <a:solidFill>
                <a:schemeClr val="accent6"/>
              </a:solidFill>
            </c:spPr>
            <c:extLst>
              <c:ext xmlns:c16="http://schemas.microsoft.com/office/drawing/2014/chart" uri="{C3380CC4-5D6E-409C-BE32-E72D297353CC}">
                <c16:uniqueId val="{00000023-033C-4530-84A9-991A3866ABD4}"/>
              </c:ext>
            </c:extLst>
          </c:dPt>
          <c:dPt>
            <c:idx val="19"/>
            <c:invertIfNegative val="0"/>
            <c:bubble3D val="0"/>
            <c:spPr>
              <a:solidFill>
                <a:schemeClr val="accent6"/>
              </a:solidFill>
            </c:spPr>
            <c:extLst>
              <c:ext xmlns:c16="http://schemas.microsoft.com/office/drawing/2014/chart" uri="{C3380CC4-5D6E-409C-BE32-E72D297353CC}">
                <c16:uniqueId val="{00000025-033C-4530-84A9-991A3866ABD4}"/>
              </c:ext>
            </c:extLst>
          </c:dPt>
          <c:dPt>
            <c:idx val="20"/>
            <c:invertIfNegative val="0"/>
            <c:bubble3D val="0"/>
            <c:spPr>
              <a:solidFill>
                <a:schemeClr val="accent6"/>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AE4E4E57-DCC2-4C2C-843E-3CFAB21B1F8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D908C21C-0BCE-44FD-878B-4B3D3472F25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737D6235-0B7F-40BF-A33E-79FAC742DC4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A5AD4D32-0EBB-4909-A098-7956A1BEEC9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437EC7D2-AAEE-48EB-AAE1-B26C21F0162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5E0D4773-61CA-48F7-B7C9-4DA7525743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6C9CE93B-53A1-4F61-9C0B-4CD0C48956A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52636F46-DFDC-4683-8072-26F5F7AE452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24BBE8FE-F382-4EF2-B9B7-588DDCCFAF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2D08EF5E-BA63-42EE-8997-776876018B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DBCE8B1B-0522-4FB3-909A-F05664AC855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99C45611-4FC5-4F70-8D58-24E010AC989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9364EFD2-395F-4C53-9057-FC0D75C51EC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BE9AB911-3F7A-40FA-A2F5-647C415A3B0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FDC7CDDC-EB63-414E-B6EF-C646ABDDD0C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1A70E09F-44C8-4004-A3A8-01C3D439E4F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D9DE8AC7-8E02-4550-87A4-1A1FF7150B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F646C567-6673-437F-9D85-84C23D4BD51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C578044F-067E-4FE5-8189-D9291F8643C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71A285E4-1025-4825-ADD0-CE711BABED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2.5750897036292023E-2</c:v>
                  </c:pt>
                  <c:pt idx="1">
                    <c:v>3.6186406256516597E-2</c:v>
                  </c:pt>
                  <c:pt idx="2">
                    <c:v>1.8534913934670386E-2</c:v>
                  </c:pt>
                  <c:pt idx="3">
                    <c:v>5.9169463447748767E-2</c:v>
                  </c:pt>
                  <c:pt idx="4">
                    <c:v>0.14668356396396956</c:v>
                  </c:pt>
                  <c:pt idx="5">
                    <c:v>0.13723746530195441</c:v>
                  </c:pt>
                  <c:pt idx="6">
                    <c:v>0.19596551391656936</c:v>
                  </c:pt>
                  <c:pt idx="7">
                    <c:v>1.6294487732580791E-2</c:v>
                  </c:pt>
                  <c:pt idx="8">
                    <c:v>1.9150555795434777E-2</c:v>
                  </c:pt>
                  <c:pt idx="9">
                    <c:v>2.1208923131888924E-2</c:v>
                  </c:pt>
                  <c:pt idx="10">
                    <c:v>2.3074937800339604E-2</c:v>
                  </c:pt>
                  <c:pt idx="11">
                    <c:v>3.5802047625812627E-2</c:v>
                  </c:pt>
                  <c:pt idx="13">
                    <c:v>0.12285657051909955</c:v>
                  </c:pt>
                  <c:pt idx="14">
                    <c:v>0.13363559103403616</c:v>
                  </c:pt>
                  <c:pt idx="15">
                    <c:v>1.9348113680028957E-2</c:v>
                  </c:pt>
                  <c:pt idx="16">
                    <c:v>0.16415615366304329</c:v>
                  </c:pt>
                  <c:pt idx="17">
                    <c:v>0.16897991911353255</c:v>
                  </c:pt>
                  <c:pt idx="18">
                    <c:v>0.13868826869266934</c:v>
                  </c:pt>
                  <c:pt idx="19">
                    <c:v>8.2252987129787292E-2</c:v>
                  </c:pt>
                  <c:pt idx="20">
                    <c:v>3.0769075977412619E-2</c:v>
                  </c:pt>
                </c:numCache>
              </c:numRef>
            </c:plus>
            <c:minus>
              <c:numRef>
                <c:f>'pooled normalised values'!$B$76:$V$76</c:f>
                <c:numCache>
                  <c:formatCode>General</c:formatCode>
                  <c:ptCount val="21"/>
                  <c:pt idx="0">
                    <c:v>2.5750897036292023E-2</c:v>
                  </c:pt>
                  <c:pt idx="1">
                    <c:v>3.6186406256516597E-2</c:v>
                  </c:pt>
                  <c:pt idx="2">
                    <c:v>1.8534913934670386E-2</c:v>
                  </c:pt>
                  <c:pt idx="3">
                    <c:v>5.9169463447748767E-2</c:v>
                  </c:pt>
                  <c:pt idx="4">
                    <c:v>0.14668356396396956</c:v>
                  </c:pt>
                  <c:pt idx="5">
                    <c:v>0.13723746530195441</c:v>
                  </c:pt>
                  <c:pt idx="6">
                    <c:v>0.19596551391656936</c:v>
                  </c:pt>
                  <c:pt idx="7">
                    <c:v>1.6294487732580791E-2</c:v>
                  </c:pt>
                  <c:pt idx="8">
                    <c:v>1.9150555795434777E-2</c:v>
                  </c:pt>
                  <c:pt idx="9">
                    <c:v>2.1208923131888924E-2</c:v>
                  </c:pt>
                  <c:pt idx="10">
                    <c:v>2.3074937800339604E-2</c:v>
                  </c:pt>
                  <c:pt idx="11">
                    <c:v>3.5802047625812627E-2</c:v>
                  </c:pt>
                  <c:pt idx="13">
                    <c:v>0.12285657051909955</c:v>
                  </c:pt>
                  <c:pt idx="14">
                    <c:v>0.13363559103403616</c:v>
                  </c:pt>
                  <c:pt idx="15">
                    <c:v>1.9348113680028957E-2</c:v>
                  </c:pt>
                  <c:pt idx="16">
                    <c:v>0.16415615366304329</c:v>
                  </c:pt>
                  <c:pt idx="17">
                    <c:v>0.16897991911353255</c:v>
                  </c:pt>
                  <c:pt idx="18">
                    <c:v>0.13868826869266934</c:v>
                  </c:pt>
                  <c:pt idx="19">
                    <c:v>8.2252987129787292E-2</c:v>
                  </c:pt>
                  <c:pt idx="20">
                    <c:v>3.0769075977412619E-2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Prochloraz-12µg/L</c:v>
                </c:pt>
                <c:pt idx="8">
                  <c:v>Prochloraz-37µg/L</c:v>
                </c:pt>
                <c:pt idx="9">
                  <c:v>Prochloraz-111µg/L</c:v>
                </c:pt>
                <c:pt idx="10">
                  <c:v>Prochloraz-333µg/L</c:v>
                </c:pt>
                <c:pt idx="11">
                  <c:v>Prochloraz-1000µg/L</c:v>
                </c:pt>
                <c:pt idx="13">
                  <c:v>Testo -30µg/L</c:v>
                </c:pt>
                <c:pt idx="14">
                  <c:v>Testo 30µg/L + EE2 -64ng/L</c:v>
                </c:pt>
                <c:pt idx="15">
                  <c:v>Testo 30µg/L + FAD-10mg/L</c:v>
                </c:pt>
                <c:pt idx="16">
                  <c:v>Prochloraz-12µg/L + Testostérone</c:v>
                </c:pt>
                <c:pt idx="17">
                  <c:v>Prochloraz-37µg/L + Testostérone</c:v>
                </c:pt>
                <c:pt idx="18">
                  <c:v>Prochloraz-111µg/L + Testostérone</c:v>
                </c:pt>
                <c:pt idx="19">
                  <c:v>Prochloraz-333µg/L + Testostérone</c:v>
                </c:pt>
                <c:pt idx="20">
                  <c:v>Prochloraz-1000µg/L + Testostérone</c:v>
                </c:pt>
              </c:strCache>
            </c:strRef>
          </c:cat>
          <c:val>
            <c:numRef>
              <c:f>'pooled normalised values'!$B$75:$V$75</c:f>
              <c:numCache>
                <c:formatCode>0.0000</c:formatCode>
                <c:ptCount val="21"/>
                <c:pt idx="0">
                  <c:v>0.11859234730227697</c:v>
                </c:pt>
                <c:pt idx="1">
                  <c:v>0.1467370899616379</c:v>
                </c:pt>
                <c:pt idx="2">
                  <c:v>0.12100095132506238</c:v>
                </c:pt>
                <c:pt idx="3">
                  <c:v>0.34411680571602571</c:v>
                </c:pt>
                <c:pt idx="4">
                  <c:v>1.0872100933473268</c:v>
                </c:pt>
                <c:pt idx="5">
                  <c:v>1.8646315390090387</c:v>
                </c:pt>
                <c:pt idx="6">
                  <c:v>2.9118948637664377</c:v>
                </c:pt>
                <c:pt idx="7">
                  <c:v>8.7517334300687769E-2</c:v>
                </c:pt>
                <c:pt idx="8">
                  <c:v>0.114305354817455</c:v>
                </c:pt>
                <c:pt idx="9">
                  <c:v>0.10006852442498115</c:v>
                </c:pt>
                <c:pt idx="10">
                  <c:v>0.15375834897735421</c:v>
                </c:pt>
                <c:pt idx="11">
                  <c:v>0.177682640126409</c:v>
                </c:pt>
                <c:pt idx="13">
                  <c:v>1.0000000000000004</c:v>
                </c:pt>
                <c:pt idx="14">
                  <c:v>1.8282014752371005</c:v>
                </c:pt>
                <c:pt idx="15">
                  <c:v>0.11393961358239073</c:v>
                </c:pt>
                <c:pt idx="16">
                  <c:v>0.83886812994352211</c:v>
                </c:pt>
                <c:pt idx="17">
                  <c:v>1.0067826261762012</c:v>
                </c:pt>
                <c:pt idx="18">
                  <c:v>0.61446587435755828</c:v>
                </c:pt>
                <c:pt idx="19">
                  <c:v>0.3330181494734154</c:v>
                </c:pt>
                <c:pt idx="20">
                  <c:v>0.1609354199701406</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c:v>
                  </c:pt>
                  <c:pt idx="2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Prochloraz-12µg/L : 0%</c:v>
                  </c:pt>
                  <c:pt idx="1">
                    <c:v>Prochloraz-37µg/L : 0%</c:v>
                  </c:pt>
                  <c:pt idx="2">
                    <c:v>Prochloraz-111µg/L : 0%</c:v>
                  </c:pt>
                  <c:pt idx="3">
                    <c:v>Prochloraz-333µg/L : 0%</c:v>
                  </c:pt>
                  <c:pt idx="4">
                    <c:v>Prochloraz-1000µg/L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Prochloraz-12µg/L : 0%</c:v>
                  </c:pt>
                  <c:pt idx="1">
                    <c:v>Prochloraz-37µg/L : 0%</c:v>
                  </c:pt>
                  <c:pt idx="2">
                    <c:v>Prochloraz-111µg/L : 0%</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Prochloraz-12µg/L : 0%</c:v>
                  </c:pt>
                  <c:pt idx="1">
                    <c:v>Prochloraz-37µg/L : 0%</c:v>
                  </c:pt>
                  <c:pt idx="2">
                    <c:v>Prochloraz-111µg/L : 0%</c:v>
                  </c:pt>
                  <c:pt idx="3">
                    <c:v>Prochloraz-333µg/L : 0%</c:v>
                  </c:pt>
                  <c:pt idx="4">
                    <c:v>Prochloraz-1000µg/L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Prochloraz-12µg/L : 0%</c:v>
                  </c:pt>
                  <c:pt idx="1">
                    <c:v>Prochloraz-37µg/L : 0%</c:v>
                  </c:pt>
                  <c:pt idx="2">
                    <c:v>Prochloraz-111µg/L : 0%</c:v>
                  </c:pt>
                  <c:pt idx="3">
                    <c:v>#NOMBRE!</c:v>
                  </c:pt>
                  <c:pt idx="4">
                    <c:v>#NOMBRE!</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Prochloraz-37µg/L</c:v>
                </c:pt>
                <c:pt idx="2">
                  <c:v>Prochloraz-111µg/L</c:v>
                </c:pt>
                <c:pt idx="3">
                  <c:v>Prochloraz-333µg/L</c:v>
                </c:pt>
                <c:pt idx="4">
                  <c:v>Prochloraz-1000µg/L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Prochloraz-37µg/L</c:v>
                </c:pt>
                <c:pt idx="2">
                  <c:v>Prochloraz-111µg/L</c:v>
                </c:pt>
                <c:pt idx="3">
                  <c:v>Prochloraz-333µg/L</c:v>
                </c:pt>
                <c:pt idx="4">
                  <c:v>Prochloraz-1000µg/L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Prochloraz-37µg/L</c:v>
                </c:pt>
                <c:pt idx="2">
                  <c:v>Prochloraz-111µg/L</c:v>
                </c:pt>
                <c:pt idx="3">
                  <c:v>Prochloraz-333µg/L</c:v>
                </c:pt>
                <c:pt idx="4">
                  <c:v>Prochloraz-1000µg/L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6A7B7687-C7D8-4A1E-9796-CFFBFE4000B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23EDC8DA-864A-4A9B-AB95-29E1B68DCF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EEBC777E-6815-4558-A910-D2DCF25FA4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FB2699C2-9942-4AF4-B00F-36AB559CC85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E5CE16E3-54B0-4E96-B920-FB4E8167243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40E0C423-F12D-4913-B443-D544DC87BEE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6EF16D66-5F21-4207-B6E7-C70132F4587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9D8ED62D-F4E8-4A80-92D0-00AE883731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AC6C2694-20B7-483E-9290-C7682095F4A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D509E161-95CE-4DDF-8463-1060CE5D4D1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F50E40B3-60C3-475F-9756-74DFDDB3D0B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8385856A-ED1C-45A3-BB55-AD6F998758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6235E68F-4580-48BC-A7B9-4C3D21FE01E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8991E3FD-1F04-401D-843E-B165A04C7E6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1.9150555795434777E-2</c:v>
                  </c:pt>
                  <c:pt idx="2">
                    <c:v>2.1208923131888924E-2</c:v>
                  </c:pt>
                  <c:pt idx="3">
                    <c:v>2.3074937800339604E-2</c:v>
                  </c:pt>
                  <c:pt idx="4">
                    <c:v>3.5802047625812627E-2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1.9150555795434777E-2</c:v>
                  </c:pt>
                  <c:pt idx="2">
                    <c:v>2.1208923131888924E-2</c:v>
                  </c:pt>
                  <c:pt idx="3">
                    <c:v>2.3074937800339604E-2</c:v>
                  </c:pt>
                  <c:pt idx="4">
                    <c:v>3.5802047625812627E-2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Prochloraz-37µg/L</c:v>
                </c:pt>
                <c:pt idx="2">
                  <c:v>Prochloraz-111µg/L</c:v>
                </c:pt>
                <c:pt idx="3">
                  <c:v>Prochloraz-333µg/L</c:v>
                </c:pt>
                <c:pt idx="4">
                  <c:v>Prochloraz-1000µg/L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0.114305354817455</c:v>
                </c:pt>
                <c:pt idx="2">
                  <c:v>0.10006852442498115</c:v>
                </c:pt>
                <c:pt idx="3">
                  <c:v>0.15375834897735421</c:v>
                </c:pt>
                <c:pt idx="4">
                  <c:v>0.177682640126409</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0.11859234730227697</c:v>
                </c:pt>
                <c:pt idx="1">
                  <c:v>0.11859234730227697</c:v>
                </c:pt>
                <c:pt idx="2">
                  <c:v>0.11859234730227697</c:v>
                </c:pt>
                <c:pt idx="3">
                  <c:v>0.11859234730227697</c:v>
                </c:pt>
                <c:pt idx="4">
                  <c:v>0.11859234730227697</c:v>
                </c:pt>
                <c:pt idx="5">
                  <c:v>0.11859234730227697</c:v>
                </c:pt>
                <c:pt idx="6">
                  <c:v>0.11859234730227697</c:v>
                </c:pt>
                <c:pt idx="7">
                  <c:v>0.11859234730227697</c:v>
                </c:pt>
                <c:pt idx="8">
                  <c:v>0.11859234730227697</c:v>
                </c:pt>
                <c:pt idx="9">
                  <c:v>0.11859234730227697</c:v>
                </c:pt>
                <c:pt idx="10">
                  <c:v>0.11859234730227697</c:v>
                </c:pt>
                <c:pt idx="11">
                  <c:v>0.11859234730227697</c:v>
                </c:pt>
                <c:pt idx="12">
                  <c:v>0.11859234730227697</c:v>
                </c:pt>
                <c:pt idx="13">
                  <c:v>0.11859234730227697</c:v>
                </c:pt>
                <c:pt idx="14">
                  <c:v>0.11859234730227697</c:v>
                </c:pt>
                <c:pt idx="15">
                  <c:v>0.11859234730227697</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Prochloraz-12µg/L + Testostérone</c:v>
                </c:pt>
                <c:pt idx="2">
                  <c:v>Prochloraz-37µg/L + Testostérone</c:v>
                </c:pt>
                <c:pt idx="3">
                  <c:v>Prochloraz-111µg/L + Testostérone</c:v>
                </c:pt>
                <c:pt idx="4">
                  <c:v>Prochloraz-333µg/L + Testostérone</c:v>
                </c:pt>
                <c:pt idx="5">
                  <c:v>Prochloraz-1000µg/L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0.11393961358239073</c:v>
                </c:pt>
                <c:pt idx="1">
                  <c:v>0.11393961358239073</c:v>
                </c:pt>
                <c:pt idx="2">
                  <c:v>0.11393961358239073</c:v>
                </c:pt>
                <c:pt idx="3">
                  <c:v>0.11393961358239073</c:v>
                </c:pt>
                <c:pt idx="4">
                  <c:v>0.11393961358239073</c:v>
                </c:pt>
                <c:pt idx="5">
                  <c:v>0.11393961358239073</c:v>
                </c:pt>
                <c:pt idx="6">
                  <c:v>0.11393961358239073</c:v>
                </c:pt>
                <c:pt idx="7">
                  <c:v>0.11393961358239073</c:v>
                </c:pt>
                <c:pt idx="8">
                  <c:v>0.11393961358239073</c:v>
                </c:pt>
                <c:pt idx="9">
                  <c:v>0.11393961358239073</c:v>
                </c:pt>
                <c:pt idx="10">
                  <c:v>0.11393961358239073</c:v>
                </c:pt>
                <c:pt idx="11">
                  <c:v>0.11393961358239073</c:v>
                </c:pt>
                <c:pt idx="12">
                  <c:v>0.11393961358239073</c:v>
                </c:pt>
                <c:pt idx="13">
                  <c:v>0.11393961358239073</c:v>
                </c:pt>
                <c:pt idx="14">
                  <c:v>0.11393961358239073</c:v>
                </c:pt>
                <c:pt idx="15">
                  <c:v>0.11393961358239073</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Prochloraz-12µg/L + Testostérone</c:v>
                </c:pt>
                <c:pt idx="2">
                  <c:v>Prochloraz-37µg/L + Testostérone</c:v>
                </c:pt>
                <c:pt idx="3">
                  <c:v>Prochloraz-111µg/L + Testostérone</c:v>
                </c:pt>
                <c:pt idx="4">
                  <c:v>Prochloraz-333µg/L + Testostérone</c:v>
                </c:pt>
                <c:pt idx="5">
                  <c:v>Prochloraz-1000µg/L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1.7142618616547098</c:v>
                </c:pt>
                <c:pt idx="1">
                  <c:v>1.7142618616547098</c:v>
                </c:pt>
                <c:pt idx="2">
                  <c:v>1.7142618616547098</c:v>
                </c:pt>
                <c:pt idx="3">
                  <c:v>1.7142618616547098</c:v>
                </c:pt>
                <c:pt idx="4">
                  <c:v>1.7142618616547098</c:v>
                </c:pt>
                <c:pt idx="5">
                  <c:v>1.7142618616547098</c:v>
                </c:pt>
                <c:pt idx="6">
                  <c:v>1.7142618616547098</c:v>
                </c:pt>
                <c:pt idx="7">
                  <c:v>1.7142618616547098</c:v>
                </c:pt>
                <c:pt idx="8">
                  <c:v>1.7142618616547098</c:v>
                </c:pt>
                <c:pt idx="9">
                  <c:v>1.7142618616547098</c:v>
                </c:pt>
                <c:pt idx="10">
                  <c:v>1.7142618616547098</c:v>
                </c:pt>
                <c:pt idx="11">
                  <c:v>1.7142618616547098</c:v>
                </c:pt>
                <c:pt idx="12">
                  <c:v>1.7142618616547098</c:v>
                </c:pt>
                <c:pt idx="13">
                  <c:v>1.7142618616547098</c:v>
                </c:pt>
                <c:pt idx="14">
                  <c:v>1.7142618616547098</c:v>
                </c:pt>
                <c:pt idx="15">
                  <c:v>1.7142618616547098</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Prochloraz-12µg/L + Testostérone</c:v>
                </c:pt>
                <c:pt idx="2">
                  <c:v>Prochloraz-37µg/L + Testostérone</c:v>
                </c:pt>
                <c:pt idx="3">
                  <c:v>Prochloraz-111µg/L + Testostérone</c:v>
                </c:pt>
                <c:pt idx="4">
                  <c:v>Prochloraz-333µg/L + Testostérone</c:v>
                </c:pt>
                <c:pt idx="5">
                  <c:v>Prochloraz-1000µg/L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0.78573813834529016</c:v>
                </c:pt>
                <c:pt idx="1">
                  <c:v>0.78573813834529016</c:v>
                </c:pt>
                <c:pt idx="2">
                  <c:v>0.78573813834529016</c:v>
                </c:pt>
                <c:pt idx="3">
                  <c:v>0.78573813834529016</c:v>
                </c:pt>
                <c:pt idx="4">
                  <c:v>0.78573813834529016</c:v>
                </c:pt>
                <c:pt idx="5">
                  <c:v>0.78573813834529016</c:v>
                </c:pt>
                <c:pt idx="6">
                  <c:v>0.78573813834529016</c:v>
                </c:pt>
                <c:pt idx="7">
                  <c:v>0.78573813834529016</c:v>
                </c:pt>
                <c:pt idx="8">
                  <c:v>0.78573813834529016</c:v>
                </c:pt>
                <c:pt idx="9">
                  <c:v>0.78573813834529016</c:v>
                </c:pt>
                <c:pt idx="10">
                  <c:v>0.78573813834529016</c:v>
                </c:pt>
                <c:pt idx="11">
                  <c:v>0.78573813834529016</c:v>
                </c:pt>
                <c:pt idx="12">
                  <c:v>0.78573813834529016</c:v>
                </c:pt>
                <c:pt idx="13">
                  <c:v>0.78573813834529016</c:v>
                </c:pt>
                <c:pt idx="14">
                  <c:v>0.78573813834529016</c:v>
                </c:pt>
                <c:pt idx="15">
                  <c:v>0.78573813834529016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FCF2460F-0376-4BE8-BF65-BE8BEC43E8A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83FF54EF-8A60-4752-934B-6051426BA5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0C811DBC-017B-4DDB-A7F7-615237EF1C1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444A5760-BFEB-4A11-B270-2EB2A17EE28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0308EE23-1810-41DB-ABF0-E0A414B53AC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58A246AA-38DF-4DB4-AC72-1E370977357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3544F3B7-9EFA-4167-A04D-9568FB9ECC9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7234FE9B-A9B0-41DA-8418-C17ADE79E0E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AC524EAC-C1B2-4C38-BB76-3BB897208CD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30C9874B-2445-4B86-8D70-124E63B0126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25890A03-3EA3-431E-BEFC-13468D80D75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70A779E3-1EA4-4B6E-A523-3E02366B682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48DF5200-3D88-405E-B3FD-448EEC53B5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AA8EE29A-A400-4E28-B595-919D5DDF40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0.16415615366304329</c:v>
                  </c:pt>
                  <c:pt idx="2">
                    <c:v>0.16897991911353255</c:v>
                  </c:pt>
                  <c:pt idx="3">
                    <c:v>0.13868826869266934</c:v>
                  </c:pt>
                  <c:pt idx="4">
                    <c:v>8.2252987129787292E-2</c:v>
                  </c:pt>
                  <c:pt idx="5">
                    <c:v>3.0769075977412619E-2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0.16415615366304329</c:v>
                  </c:pt>
                  <c:pt idx="2">
                    <c:v>0.16897991911353255</c:v>
                  </c:pt>
                  <c:pt idx="3">
                    <c:v>0.13868826869266934</c:v>
                  </c:pt>
                  <c:pt idx="4">
                    <c:v>8.2252987129787292E-2</c:v>
                  </c:pt>
                  <c:pt idx="5">
                    <c:v>3.0769075977412619E-2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Prochloraz-12µg/L + Testostérone</c:v>
                </c:pt>
                <c:pt idx="2">
                  <c:v>Prochloraz-37µg/L + Testostérone</c:v>
                </c:pt>
                <c:pt idx="3">
                  <c:v>Prochloraz-111µg/L + Testostérone</c:v>
                </c:pt>
                <c:pt idx="4">
                  <c:v>Prochloraz-333µg/L + Testostérone</c:v>
                </c:pt>
                <c:pt idx="5">
                  <c:v>Prochloraz-1000µg/L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0.83886812994352211</c:v>
                </c:pt>
                <c:pt idx="2">
                  <c:v>1.0067826261762012</c:v>
                </c:pt>
                <c:pt idx="3">
                  <c:v>0.61446587435755828</c:v>
                </c:pt>
                <c:pt idx="4">
                  <c:v>0.3330181494734154</c:v>
                </c:pt>
                <c:pt idx="5">
                  <c:v>0.1609354199701406</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Prochloraz-12µg/L + Testostérone</c:v>
                </c:pt>
                <c:pt idx="2">
                  <c:v>Prochloraz-37µg/L + Testostérone</c:v>
                </c:pt>
                <c:pt idx="3">
                  <c:v>Prochloraz-111µg/L + Testostérone</c:v>
                </c:pt>
                <c:pt idx="4">
                  <c:v>Prochloraz-333µg/L + Testostérone</c:v>
                </c:pt>
                <c:pt idx="5">
                  <c:v>Prochloraz-1000µg/L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1.0000000000000004</c:v>
                </c:pt>
                <c:pt idx="1">
                  <c:v>1.0000000000000004</c:v>
                </c:pt>
                <c:pt idx="2">
                  <c:v>1.0000000000000004</c:v>
                </c:pt>
                <c:pt idx="3">
                  <c:v>1.0000000000000004</c:v>
                </c:pt>
                <c:pt idx="4">
                  <c:v>1.0000000000000004</c:v>
                </c:pt>
                <c:pt idx="5">
                  <c:v>1.0000000000000004</c:v>
                </c:pt>
                <c:pt idx="6">
                  <c:v>1.0000000000000004</c:v>
                </c:pt>
                <c:pt idx="7">
                  <c:v>1.0000000000000004</c:v>
                </c:pt>
                <c:pt idx="8">
                  <c:v>1.0000000000000004</c:v>
                </c:pt>
                <c:pt idx="9">
                  <c:v>1.0000000000000004</c:v>
                </c:pt>
                <c:pt idx="10">
                  <c:v>1.0000000000000004</c:v>
                </c:pt>
                <c:pt idx="11">
                  <c:v>1.0000000000000004</c:v>
                </c:pt>
                <c:pt idx="12">
                  <c:v>1.0000000000000004</c:v>
                </c:pt>
                <c:pt idx="13">
                  <c:v>1.0000000000000004</c:v>
                </c:pt>
                <c:pt idx="14">
                  <c:v>1.0000000000000004</c:v>
                </c:pt>
                <c:pt idx="15">
                  <c:v>1.0000000000000004</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Prochloraz-37µg/L</c:v>
                </c:pt>
                <c:pt idx="2">
                  <c:v>Prochloraz-111µg/L</c:v>
                </c:pt>
                <c:pt idx="3">
                  <c:v>Prochloraz-333µg/L</c:v>
                </c:pt>
                <c:pt idx="4">
                  <c:v>Prochloraz-1000µg/L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Prochloraz-37µg/L</c:v>
                </c:pt>
                <c:pt idx="2">
                  <c:v>Prochloraz-111µg/L</c:v>
                </c:pt>
                <c:pt idx="3">
                  <c:v>Prochloraz-333µg/L</c:v>
                </c:pt>
                <c:pt idx="4">
                  <c:v>Prochloraz-1000µg/L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Prochloraz-37µg/L</c:v>
                </c:pt>
                <c:pt idx="2">
                  <c:v>Prochloraz-111µg/L</c:v>
                </c:pt>
                <c:pt idx="3">
                  <c:v>Prochloraz-333µg/L</c:v>
                </c:pt>
                <c:pt idx="4">
                  <c:v>Prochloraz-1000µg/L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9D299F14-624A-4C56-B83B-FB6E8EAAF75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EB3F3B33-73B4-42AA-AFFD-539437A11DE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BABE1CCB-4A2B-4108-BD3D-A24BE8A2A83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1AB66F60-7409-4E6D-8377-07E08948CD5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454AA75C-03FF-4B18-B9E9-D7C9F868CC2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C1A30399-6C8C-4488-B253-9455436953A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414C8923-C948-4173-A046-286F531830D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D9A80B12-00DC-42F2-B194-E632CE3DB3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FA17670E-FE34-4CA8-8156-8FEC7AB102D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A0BD4F85-A47F-485B-8837-9900129F317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FDE09446-B46D-4A8A-8382-A4E99CDC12A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C87E05B4-4C6D-4448-8663-C814F88904D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6A943161-26A3-46E4-95B9-61A481DB3F7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36A87FBA-6B99-4AAD-8954-ED5CAA777FF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1.9150555795434777E-2</c:v>
                  </c:pt>
                  <c:pt idx="2">
                    <c:v>2.1208923131888924E-2</c:v>
                  </c:pt>
                  <c:pt idx="3">
                    <c:v>2.3074937800339604E-2</c:v>
                  </c:pt>
                  <c:pt idx="4">
                    <c:v>3.5802047625812627E-2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1.9150555795434777E-2</c:v>
                  </c:pt>
                  <c:pt idx="2">
                    <c:v>2.1208923131888924E-2</c:v>
                  </c:pt>
                  <c:pt idx="3">
                    <c:v>2.3074937800339604E-2</c:v>
                  </c:pt>
                  <c:pt idx="4">
                    <c:v>3.5802047625812627E-2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Prochloraz-37µg/L</c:v>
                </c:pt>
                <c:pt idx="2">
                  <c:v>Prochloraz-111µg/L</c:v>
                </c:pt>
                <c:pt idx="3">
                  <c:v>Prochloraz-333µg/L</c:v>
                </c:pt>
                <c:pt idx="4">
                  <c:v>Prochloraz-1000µg/L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0.114305354817455</c:v>
                </c:pt>
                <c:pt idx="2">
                  <c:v>0.10006852442498115</c:v>
                </c:pt>
                <c:pt idx="3">
                  <c:v>0.15375834897735421</c:v>
                </c:pt>
                <c:pt idx="4">
                  <c:v>0.177682640126409</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0.11859234730227697</c:v>
                </c:pt>
                <c:pt idx="1">
                  <c:v>0.11859234730227697</c:v>
                </c:pt>
                <c:pt idx="2">
                  <c:v>0.11859234730227697</c:v>
                </c:pt>
                <c:pt idx="3">
                  <c:v>0.11859234730227697</c:v>
                </c:pt>
                <c:pt idx="4">
                  <c:v>0.11859234730227697</c:v>
                </c:pt>
                <c:pt idx="5">
                  <c:v>0.11859234730227697</c:v>
                </c:pt>
                <c:pt idx="6">
                  <c:v>0.11859234730227697</c:v>
                </c:pt>
                <c:pt idx="7">
                  <c:v>0.11859234730227697</c:v>
                </c:pt>
                <c:pt idx="8">
                  <c:v>0.11859234730227697</c:v>
                </c:pt>
                <c:pt idx="9">
                  <c:v>0.11859234730227697</c:v>
                </c:pt>
                <c:pt idx="10">
                  <c:v>0.11859234730227697</c:v>
                </c:pt>
                <c:pt idx="11">
                  <c:v>0.11859234730227697</c:v>
                </c:pt>
                <c:pt idx="12">
                  <c:v>0.11859234730227697</c:v>
                </c:pt>
                <c:pt idx="13">
                  <c:v>0.11859234730227697</c:v>
                </c:pt>
                <c:pt idx="14">
                  <c:v>0.11859234730227697</c:v>
                </c:pt>
                <c:pt idx="15">
                  <c:v>0.11859234730227697</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Prochloraz-12µg/L + Testostérone</c:v>
                </c:pt>
                <c:pt idx="2">
                  <c:v>Prochloraz-37µg/L + Testostérone</c:v>
                </c:pt>
                <c:pt idx="3">
                  <c:v>Prochloraz-111µg/L + Testostérone</c:v>
                </c:pt>
                <c:pt idx="4">
                  <c:v>Prochloraz-333µg/L + Testostérone</c:v>
                </c:pt>
                <c:pt idx="5">
                  <c:v>Prochloraz-1000µg/L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0.11393961358239073</c:v>
                </c:pt>
                <c:pt idx="1">
                  <c:v>0.11393961358239073</c:v>
                </c:pt>
                <c:pt idx="2">
                  <c:v>0.11393961358239073</c:v>
                </c:pt>
                <c:pt idx="3">
                  <c:v>0.11393961358239073</c:v>
                </c:pt>
                <c:pt idx="4">
                  <c:v>0.11393961358239073</c:v>
                </c:pt>
                <c:pt idx="5">
                  <c:v>0.11393961358239073</c:v>
                </c:pt>
                <c:pt idx="6">
                  <c:v>0.11393961358239073</c:v>
                </c:pt>
                <c:pt idx="7">
                  <c:v>0.11393961358239073</c:v>
                </c:pt>
                <c:pt idx="8">
                  <c:v>0.11393961358239073</c:v>
                </c:pt>
                <c:pt idx="9">
                  <c:v>0.11393961358239073</c:v>
                </c:pt>
                <c:pt idx="10">
                  <c:v>0.11393961358239073</c:v>
                </c:pt>
                <c:pt idx="11">
                  <c:v>0.11393961358239073</c:v>
                </c:pt>
                <c:pt idx="12">
                  <c:v>0.11393961358239073</c:v>
                </c:pt>
                <c:pt idx="13">
                  <c:v>0.11393961358239073</c:v>
                </c:pt>
                <c:pt idx="14">
                  <c:v>0.11393961358239073</c:v>
                </c:pt>
                <c:pt idx="15">
                  <c:v>0.11393961358239073</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Prochloraz-12µg/L + Testostérone</c:v>
                </c:pt>
                <c:pt idx="2">
                  <c:v>Prochloraz-37µg/L + Testostérone</c:v>
                </c:pt>
                <c:pt idx="3">
                  <c:v>Prochloraz-111µg/L + Testostérone</c:v>
                </c:pt>
                <c:pt idx="4">
                  <c:v>Prochloraz-333µg/L + Testostérone</c:v>
                </c:pt>
                <c:pt idx="5">
                  <c:v>Prochloraz-1000µg/L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1.7142618616547098</c:v>
                </c:pt>
                <c:pt idx="1">
                  <c:v>1.7142618616547098</c:v>
                </c:pt>
                <c:pt idx="2">
                  <c:v>1.7142618616547098</c:v>
                </c:pt>
                <c:pt idx="3">
                  <c:v>1.7142618616547098</c:v>
                </c:pt>
                <c:pt idx="4">
                  <c:v>1.7142618616547098</c:v>
                </c:pt>
                <c:pt idx="5">
                  <c:v>1.7142618616547098</c:v>
                </c:pt>
                <c:pt idx="6">
                  <c:v>1.7142618616547098</c:v>
                </c:pt>
                <c:pt idx="7">
                  <c:v>1.7142618616547098</c:v>
                </c:pt>
                <c:pt idx="8">
                  <c:v>1.7142618616547098</c:v>
                </c:pt>
                <c:pt idx="9">
                  <c:v>1.7142618616547098</c:v>
                </c:pt>
                <c:pt idx="10">
                  <c:v>1.7142618616547098</c:v>
                </c:pt>
                <c:pt idx="11">
                  <c:v>1.7142618616547098</c:v>
                </c:pt>
                <c:pt idx="12">
                  <c:v>1.7142618616547098</c:v>
                </c:pt>
                <c:pt idx="13">
                  <c:v>1.7142618616547098</c:v>
                </c:pt>
                <c:pt idx="14">
                  <c:v>1.7142618616547098</c:v>
                </c:pt>
                <c:pt idx="15">
                  <c:v>1.7142618616547098</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Prochloraz-12µg/L + Testostérone</c:v>
                </c:pt>
                <c:pt idx="2">
                  <c:v>Prochloraz-37µg/L + Testostérone</c:v>
                </c:pt>
                <c:pt idx="3">
                  <c:v>Prochloraz-111µg/L + Testostérone</c:v>
                </c:pt>
                <c:pt idx="4">
                  <c:v>Prochloraz-333µg/L + Testostérone</c:v>
                </c:pt>
                <c:pt idx="5">
                  <c:v>Prochloraz-1000µg/L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0.78573813834529016</c:v>
                </c:pt>
                <c:pt idx="1">
                  <c:v>0.78573813834529016</c:v>
                </c:pt>
                <c:pt idx="2">
                  <c:v>0.78573813834529016</c:v>
                </c:pt>
                <c:pt idx="3">
                  <c:v>0.78573813834529016</c:v>
                </c:pt>
                <c:pt idx="4">
                  <c:v>0.78573813834529016</c:v>
                </c:pt>
                <c:pt idx="5">
                  <c:v>0.78573813834529016</c:v>
                </c:pt>
                <c:pt idx="6">
                  <c:v>0.78573813834529016</c:v>
                </c:pt>
                <c:pt idx="7">
                  <c:v>0.78573813834529016</c:v>
                </c:pt>
                <c:pt idx="8">
                  <c:v>0.78573813834529016</c:v>
                </c:pt>
                <c:pt idx="9">
                  <c:v>0.78573813834529016</c:v>
                </c:pt>
                <c:pt idx="10">
                  <c:v>0.78573813834529016</c:v>
                </c:pt>
                <c:pt idx="11">
                  <c:v>0.78573813834529016</c:v>
                </c:pt>
                <c:pt idx="12">
                  <c:v>0.78573813834529016</c:v>
                </c:pt>
                <c:pt idx="13">
                  <c:v>0.78573813834529016</c:v>
                </c:pt>
                <c:pt idx="14">
                  <c:v>0.78573813834529016</c:v>
                </c:pt>
                <c:pt idx="15">
                  <c:v>0.78573813834529016</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4EA4F8BE-3299-4B0D-9E3B-94157D3DCD6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3D52D771-839A-460A-8B55-18780C9D35D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C8C03221-DE0E-4D79-BBD0-A77CFA14B2B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B6FF27B6-B15A-4743-B2BD-6BA1DB6689D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1ECDC722-6E58-4CBE-A92E-47A9D3AFF54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10E5B59E-8FA5-4288-A564-FBF3F5226D5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682CB0CE-C6F2-4E76-9A93-994BAD3ED7D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46E5C93B-E35F-4F59-9C61-FAA30A27F9C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7E10A2D2-90AF-46B1-BA4E-B4FABE49C99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F0858B95-5442-43A3-BB44-9613BAD400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E1713C1C-EAC4-468C-B332-FCC5C9D3FF0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E7CE9E5D-EE2B-4085-AC92-4B5C7F96EEC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E172C5C3-FDDD-49FC-9043-72F18FB409C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F71FDD6B-E170-4F05-B236-F0BCCC575F1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0.16415615366304329</c:v>
                  </c:pt>
                  <c:pt idx="2">
                    <c:v>0.16897991911353255</c:v>
                  </c:pt>
                  <c:pt idx="3">
                    <c:v>0.13868826869266934</c:v>
                  </c:pt>
                  <c:pt idx="4">
                    <c:v>8.2252987129787292E-2</c:v>
                  </c:pt>
                  <c:pt idx="5">
                    <c:v>3.0769075977412619E-2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0.16415615366304329</c:v>
                  </c:pt>
                  <c:pt idx="2">
                    <c:v>0.16897991911353255</c:v>
                  </c:pt>
                  <c:pt idx="3">
                    <c:v>0.13868826869266934</c:v>
                  </c:pt>
                  <c:pt idx="4">
                    <c:v>8.2252987129787292E-2</c:v>
                  </c:pt>
                  <c:pt idx="5">
                    <c:v>3.0769075977412619E-2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Prochloraz-12µg/L + Testostérone</c:v>
                </c:pt>
                <c:pt idx="2">
                  <c:v>Prochloraz-37µg/L + Testostérone</c:v>
                </c:pt>
                <c:pt idx="3">
                  <c:v>Prochloraz-111µg/L + Testostérone</c:v>
                </c:pt>
                <c:pt idx="4">
                  <c:v>Prochloraz-333µg/L + Testostérone</c:v>
                </c:pt>
                <c:pt idx="5">
                  <c:v>Prochloraz-1000µg/L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0.83886812994352211</c:v>
                </c:pt>
                <c:pt idx="2">
                  <c:v>1.0067826261762012</c:v>
                </c:pt>
                <c:pt idx="3">
                  <c:v>0.61446587435755828</c:v>
                </c:pt>
                <c:pt idx="4">
                  <c:v>0.3330181494734154</c:v>
                </c:pt>
                <c:pt idx="5">
                  <c:v>0.1609354199701406</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c:v>
                  </c:pt>
                  <c:pt idx="5">
                    <c:v>***</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Prochloraz-12µg/L + Testostérone</c:v>
                </c:pt>
                <c:pt idx="2">
                  <c:v>Prochloraz-37µg/L + Testostérone</c:v>
                </c:pt>
                <c:pt idx="3">
                  <c:v>Prochloraz-111µg/L + Testostérone</c:v>
                </c:pt>
                <c:pt idx="4">
                  <c:v>Prochloraz-333µg/L + Testostérone</c:v>
                </c:pt>
                <c:pt idx="5">
                  <c:v>Prochloraz-1000µg/L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1.0000000000000004</c:v>
                </c:pt>
                <c:pt idx="1">
                  <c:v>1.0000000000000004</c:v>
                </c:pt>
                <c:pt idx="2">
                  <c:v>1.0000000000000004</c:v>
                </c:pt>
                <c:pt idx="3">
                  <c:v>1.0000000000000004</c:v>
                </c:pt>
                <c:pt idx="4">
                  <c:v>1.0000000000000004</c:v>
                </c:pt>
                <c:pt idx="5">
                  <c:v>1.0000000000000004</c:v>
                </c:pt>
                <c:pt idx="6">
                  <c:v>1.0000000000000004</c:v>
                </c:pt>
                <c:pt idx="7">
                  <c:v>1.0000000000000004</c:v>
                </c:pt>
                <c:pt idx="8">
                  <c:v>1.0000000000000004</c:v>
                </c:pt>
                <c:pt idx="9">
                  <c:v>1.0000000000000004</c:v>
                </c:pt>
                <c:pt idx="10">
                  <c:v>1.0000000000000004</c:v>
                </c:pt>
                <c:pt idx="11">
                  <c:v>1.0000000000000004</c:v>
                </c:pt>
                <c:pt idx="12">
                  <c:v>1.0000000000000004</c:v>
                </c:pt>
                <c:pt idx="13">
                  <c:v>1.0000000000000004</c:v>
                </c:pt>
                <c:pt idx="14">
                  <c:v>1.0000000000000004</c:v>
                </c:pt>
                <c:pt idx="15">
                  <c:v>1.0000000000000004</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Prochloraz-37µg/L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Prochloraz-37µg/L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Prochloraz-37µg/L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E19607B0-6849-4529-BB74-A500D5EA7EC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8C2F22D2-4CB4-4E9B-8C39-4F76892DA72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1.9150555795434777E-2</c:v>
                  </c:pt>
                </c:numCache>
              </c:numRef>
            </c:plus>
            <c:minus>
              <c:numRef>
                <c:f>'Graph format rapport CHG 1éch'!$E$4:$G$4</c:f>
                <c:numCache>
                  <c:formatCode>General</c:formatCode>
                  <c:ptCount val="3"/>
                  <c:pt idx="1">
                    <c:v>1.9150555795434777E-2</c:v>
                  </c:pt>
                </c:numCache>
              </c:numRef>
            </c:minus>
          </c:errBars>
          <c:cat>
            <c:strRef>
              <c:f>'Graph format rapport CHG 1éch'!$E$2:$G$2</c:f>
              <c:strCache>
                <c:ptCount val="2"/>
                <c:pt idx="1">
                  <c:v>Prochloraz-37µg/L</c:v>
                </c:pt>
              </c:strCache>
            </c:strRef>
          </c:cat>
          <c:val>
            <c:numRef>
              <c:f>'Graph format rapport CHG 1éch'!$E$3:$G$3</c:f>
              <c:numCache>
                <c:formatCode>General</c:formatCode>
                <c:ptCount val="3"/>
                <c:pt idx="1">
                  <c:v>0.114305354817455</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0.11859234730227697</c:v>
                </c:pt>
                <c:pt idx="1">
                  <c:v>0.11859234730227697</c:v>
                </c:pt>
                <c:pt idx="2">
                  <c:v>0.11859234730227697</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Prochloraz-12µg/L + Testostérone</c:v>
                </c:pt>
              </c:strCache>
            </c:strRef>
          </c:cat>
          <c:val>
            <c:numRef>
              <c:f>'Graph format rapport CHG 1éch'!$H$8:$J$8</c:f>
              <c:numCache>
                <c:formatCode>General</c:formatCode>
                <c:ptCount val="3"/>
                <c:pt idx="0">
                  <c:v>0.11393961358239073</c:v>
                </c:pt>
                <c:pt idx="1">
                  <c:v>0.11393961358239073</c:v>
                </c:pt>
                <c:pt idx="2">
                  <c:v>0.11393961358239073</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Prochloraz-12µg/L + Testostérone</c:v>
                </c:pt>
              </c:strCache>
            </c:strRef>
          </c:cat>
          <c:val>
            <c:numRef>
              <c:f>'Graph format rapport CHG 1éch'!$H$9:$J$9</c:f>
              <c:numCache>
                <c:formatCode>General</c:formatCode>
                <c:ptCount val="3"/>
                <c:pt idx="0">
                  <c:v>1.7142618616547098</c:v>
                </c:pt>
                <c:pt idx="1">
                  <c:v>1.7142618616547098</c:v>
                </c:pt>
                <c:pt idx="2">
                  <c:v>1.7142618616547098</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Prochloraz-12µg/L + Testostérone</c:v>
                </c:pt>
              </c:strCache>
            </c:strRef>
          </c:cat>
          <c:val>
            <c:numRef>
              <c:f>'Graph format rapport CHG 1éch'!$H$10:$J$10</c:f>
              <c:numCache>
                <c:formatCode>General</c:formatCode>
                <c:ptCount val="3"/>
                <c:pt idx="0">
                  <c:v>0.78573813834529016</c:v>
                </c:pt>
                <c:pt idx="1">
                  <c:v>0.78573813834529016</c:v>
                </c:pt>
                <c:pt idx="2">
                  <c:v>0.78573813834529016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6F5E0A25-F08C-4495-8ECA-8A2AB1CE606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55290C3B-D3C5-44AA-973F-8952F1E61A2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0.16415615366304329</c:v>
                  </c:pt>
                </c:numCache>
              </c:numRef>
            </c:plus>
            <c:minus>
              <c:numRef>
                <c:f>'Graph format rapport CHG 1éch'!$H$4:$J$4</c:f>
                <c:numCache>
                  <c:formatCode>General</c:formatCode>
                  <c:ptCount val="3"/>
                  <c:pt idx="1">
                    <c:v>0.16415615366304329</c:v>
                  </c:pt>
                </c:numCache>
              </c:numRef>
            </c:minus>
          </c:errBars>
          <c:cat>
            <c:strRef>
              <c:f>'Graph format rapport CHG 1éch'!$H$2:$J$2</c:f>
              <c:strCache>
                <c:ptCount val="2"/>
                <c:pt idx="1">
                  <c:v>Prochloraz-12µg/L + Testostérone</c:v>
                </c:pt>
              </c:strCache>
            </c:strRef>
          </c:cat>
          <c:val>
            <c:numRef>
              <c:f>'Graph format rapport CHG 1éch'!$H$3:$J$3</c:f>
              <c:numCache>
                <c:formatCode>General</c:formatCode>
                <c:ptCount val="3"/>
                <c:pt idx="1">
                  <c:v>0.83886812994352211</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Prochloraz-12µg/L + Testostérone</c:v>
                </c:pt>
              </c:strCache>
            </c:strRef>
          </c:cat>
          <c:val>
            <c:numRef>
              <c:f>'Graph format rapport CHG 1éch'!$H$7:$J$7</c:f>
              <c:numCache>
                <c:formatCode>General</c:formatCode>
                <c:ptCount val="3"/>
                <c:pt idx="0">
                  <c:v>1.0000000000000004</c:v>
                </c:pt>
                <c:pt idx="1">
                  <c:v>1.0000000000000004</c:v>
                </c:pt>
                <c:pt idx="2">
                  <c:v>1.0000000000000004</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Prochloraz-37µg/L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Prochloraz-37µg/L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Prochloraz-37µg/L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055F9CDE-C063-42E6-9F27-BCD7A3FDD4C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117541BB-3B68-465D-9220-C0E9D2E50D5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1.9150555795434777E-2</c:v>
                  </c:pt>
                </c:numCache>
              </c:numRef>
            </c:plus>
            <c:minus>
              <c:numRef>
                <c:f>'Graph format rapport CHG 1éch'!$E$4:$G$4</c:f>
                <c:numCache>
                  <c:formatCode>General</c:formatCode>
                  <c:ptCount val="3"/>
                  <c:pt idx="1">
                    <c:v>1.9150555795434777E-2</c:v>
                  </c:pt>
                </c:numCache>
              </c:numRef>
            </c:minus>
          </c:errBars>
          <c:cat>
            <c:strRef>
              <c:f>'Graph format rapport CHG 1éch'!$E$2:$G$2</c:f>
              <c:strCache>
                <c:ptCount val="2"/>
                <c:pt idx="1">
                  <c:v>Prochloraz-37µg/L</c:v>
                </c:pt>
              </c:strCache>
            </c:strRef>
          </c:cat>
          <c:val>
            <c:numRef>
              <c:f>'Graph format rapport CHG 1éch'!$E$3:$G$3</c:f>
              <c:numCache>
                <c:formatCode>General</c:formatCode>
                <c:ptCount val="3"/>
                <c:pt idx="1">
                  <c:v>0.114305354817455</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0.11859234730227697</c:v>
                </c:pt>
                <c:pt idx="1">
                  <c:v>0.11859234730227697</c:v>
                </c:pt>
                <c:pt idx="2">
                  <c:v>0.11859234730227697</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Prochloraz-12µg/L + Testostérone</c:v>
                </c:pt>
              </c:strCache>
            </c:strRef>
          </c:cat>
          <c:val>
            <c:numRef>
              <c:f>'Graph format rapport CHG 1éch'!$H$8:$J$8</c:f>
              <c:numCache>
                <c:formatCode>General</c:formatCode>
                <c:ptCount val="3"/>
                <c:pt idx="0">
                  <c:v>0.11393961358239073</c:v>
                </c:pt>
                <c:pt idx="1">
                  <c:v>0.11393961358239073</c:v>
                </c:pt>
                <c:pt idx="2">
                  <c:v>0.11393961358239073</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Prochloraz-12µg/L + Testostérone</c:v>
                </c:pt>
              </c:strCache>
            </c:strRef>
          </c:cat>
          <c:val>
            <c:numRef>
              <c:f>'Graph format rapport CHG 1éch'!$H$9:$J$9</c:f>
              <c:numCache>
                <c:formatCode>General</c:formatCode>
                <c:ptCount val="3"/>
                <c:pt idx="0">
                  <c:v>1.7142618616547098</c:v>
                </c:pt>
                <c:pt idx="1">
                  <c:v>1.7142618616547098</c:v>
                </c:pt>
                <c:pt idx="2">
                  <c:v>1.7142618616547098</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Prochloraz-12µg/L + Testostérone</c:v>
                </c:pt>
              </c:strCache>
            </c:strRef>
          </c:cat>
          <c:val>
            <c:numRef>
              <c:f>'Graph format rapport CHG 1éch'!$H$10:$J$10</c:f>
              <c:numCache>
                <c:formatCode>General</c:formatCode>
                <c:ptCount val="3"/>
                <c:pt idx="0">
                  <c:v>0.78573813834529016</c:v>
                </c:pt>
                <c:pt idx="1">
                  <c:v>0.78573813834529016</c:v>
                </c:pt>
                <c:pt idx="2">
                  <c:v>0.78573813834529016</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2929781C-318A-46DB-98F9-F7DFF0D02B2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78809151-B9AE-4F30-BF6D-402309BC680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0.16415615366304329</c:v>
                  </c:pt>
                </c:numCache>
              </c:numRef>
            </c:plus>
            <c:minus>
              <c:numRef>
                <c:f>'Graph format rapport CHG 1éch'!$H$4:$J$4</c:f>
                <c:numCache>
                  <c:formatCode>General</c:formatCode>
                  <c:ptCount val="3"/>
                  <c:pt idx="1">
                    <c:v>0.16415615366304329</c:v>
                  </c:pt>
                </c:numCache>
              </c:numRef>
            </c:minus>
          </c:errBars>
          <c:cat>
            <c:strRef>
              <c:f>'Graph format rapport CHG 1éch'!$H$2:$J$2</c:f>
              <c:strCache>
                <c:ptCount val="2"/>
                <c:pt idx="1">
                  <c:v>Prochloraz-12µg/L + Testostérone</c:v>
                </c:pt>
              </c:strCache>
            </c:strRef>
          </c:cat>
          <c:val>
            <c:numRef>
              <c:f>'Graph format rapport CHG 1éch'!$H$3:$J$3</c:f>
              <c:numCache>
                <c:formatCode>General</c:formatCode>
                <c:ptCount val="3"/>
                <c:pt idx="1">
                  <c:v>0.83886812994352211</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Prochloraz-12µg/L + Testostérone</c:v>
                </c:pt>
              </c:strCache>
            </c:strRef>
          </c:cat>
          <c:val>
            <c:numRef>
              <c:f>'Graph format rapport CHG 1éch'!$H$7:$J$7</c:f>
              <c:numCache>
                <c:formatCode>General</c:formatCode>
                <c:ptCount val="3"/>
                <c:pt idx="0">
                  <c:v>1.0000000000000004</c:v>
                </c:pt>
                <c:pt idx="1">
                  <c:v>1.0000000000000004</c:v>
                </c:pt>
                <c:pt idx="2">
                  <c:v>1.0000000000000004</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20" workbookViewId="0"/>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20" workbookViewId="0"/>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22"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tabSelected="1" zoomScale="130" workbookViewId="0"/>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6875" cy="6048375"/>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0.45741</cdr:x>
      <cdr:y>0.01696</cdr:y>
    </cdr:from>
    <cdr:to>
      <cdr:x>0.6249</cdr:x>
      <cdr:y>0.10466</cdr:y>
    </cdr:to>
    <cdr:sp macro="" textlink="">
      <cdr:nvSpPr>
        <cdr:cNvPr id="2" name="ZoneTexte 1"/>
        <cdr:cNvSpPr txBox="1"/>
      </cdr:nvSpPr>
      <cdr:spPr>
        <a:xfrm xmlns:a="http://schemas.openxmlformats.org/drawingml/2006/main">
          <a:off x="4249649" y="102620"/>
          <a:ext cx="1556205"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2020-CHG-CZA-Prochloraz-1</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6875" cy="6048375"/>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0.44414</cdr:x>
      <cdr:y>0.01898</cdr:y>
    </cdr:from>
    <cdr:to>
      <cdr:x>0.6267</cdr:x>
      <cdr:y>0.10668</cdr:y>
    </cdr:to>
    <cdr:sp macro="" textlink="">
      <cdr:nvSpPr>
        <cdr:cNvPr id="2" name="ZoneTexte 1"/>
        <cdr:cNvSpPr txBox="1"/>
      </cdr:nvSpPr>
      <cdr:spPr>
        <a:xfrm xmlns:a="http://schemas.openxmlformats.org/drawingml/2006/main">
          <a:off x="4126422" y="114815"/>
          <a:ext cx="1696124" cy="530658"/>
        </a:xfrm>
        <a:prstGeom xmlns:a="http://schemas.openxmlformats.org/drawingml/2006/main" prst="rect">
          <a:avLst/>
        </a:prstGeom>
      </cdr:spPr>
      <cdr:txBody>
        <a:bodyPr xmlns:a="http://schemas.openxmlformats.org/drawingml/2006/main" vertOverflow="clip" horzOverflow="clip" wrap="square" rtlCol="0" anchor="ctr">
          <a:spAutoFit/>
        </a:bodyPr>
        <a:lstStyle xmlns:a="http://schemas.openxmlformats.org/drawingml/2006/main"/>
        <a:p xmlns:a="http://schemas.openxmlformats.org/drawingml/2006/main">
          <a:pPr algn="ctr"/>
          <a:r>
            <a:rPr lang="fr-FR" sz="1400" b="1">
              <a:effectLst/>
              <a:latin typeface="+mn-lt"/>
              <a:ea typeface="+mn-ea"/>
              <a:cs typeface="+mn-cs"/>
            </a:rPr>
            <a:t>2020-CHG-CZA-Prochloraz-2</a:t>
          </a:r>
          <a:endParaRPr lang="fr-FR" sz="1400">
            <a:effectLst/>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0779" cy="6050717"/>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0.10274</cdr:y>
    </cdr:to>
    <cdr:sp macro="" textlink="">
      <cdr:nvSpPr>
        <cdr:cNvPr id="2" name="ZoneTexte 1"/>
        <cdr:cNvSpPr txBox="1"/>
      </cdr:nvSpPr>
      <cdr:spPr>
        <a:xfrm xmlns:a="http://schemas.openxmlformats.org/drawingml/2006/main">
          <a:off x="3483485" y="91003"/>
          <a:ext cx="1696124"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kumimoji="0" lang="fr-FR" sz="1400" b="1" i="0" u="none" strike="noStrike" kern="0" cap="none" spc="0" normalizeH="0" baseline="0" noProof="0">
              <a:ln>
                <a:noFill/>
              </a:ln>
              <a:solidFill>
                <a:sysClr val="windowText" lastClr="000000"/>
              </a:solidFill>
              <a:effectLst/>
              <a:uLnTx/>
              <a:uFillTx/>
              <a:latin typeface="+mn-lt"/>
              <a:ea typeface="+mn-ea"/>
              <a:cs typeface="+mn-cs"/>
            </a:rPr>
            <a:t>2020-CHG-CZA-Prochloraz-3</a:t>
          </a:r>
          <a:endParaRPr kumimoji="0" lang="fr-FR" sz="1400" b="0" i="0" u="none" strike="noStrike" kern="0" cap="none" spc="0" normalizeH="0" baseline="0" noProof="0">
            <a:ln>
              <a:noFill/>
            </a:ln>
            <a:solidFill>
              <a:sysClr val="windowText" lastClr="000000"/>
            </a:solidFill>
            <a:effectLst/>
            <a:uLnTx/>
            <a:uFillTx/>
            <a:latin typeface="+mn-lt"/>
            <a:ea typeface="+mn-ea"/>
            <a:cs typeface="+mn-cs"/>
          </a:endParaRP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300308" cy="6076462"/>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0.40721</cdr:x>
      <cdr:y>0.02537</cdr:y>
    </cdr:from>
    <cdr:to>
      <cdr:x>0.58992</cdr:x>
      <cdr:y>0.07691</cdr:y>
    </cdr:to>
    <cdr:sp macro="" textlink="">
      <cdr:nvSpPr>
        <cdr:cNvPr id="2" name="ZoneTexte 1">
          <a:extLst xmlns:a="http://schemas.openxmlformats.org/drawingml/2006/main">
            <a:ext uri="{FF2B5EF4-FFF2-40B4-BE49-F238E27FC236}">
              <a16:creationId xmlns:a16="http://schemas.microsoft.com/office/drawing/2014/main" id="{4AAFC686-60ED-4954-BE13-CEAF39A6526D}"/>
            </a:ext>
          </a:extLst>
        </cdr:cNvPr>
        <cdr:cNvSpPr txBox="1"/>
      </cdr:nvSpPr>
      <cdr:spPr>
        <a:xfrm xmlns:a="http://schemas.openxmlformats.org/drawingml/2006/main">
          <a:off x="3780204" y="153378"/>
          <a:ext cx="1696124" cy="31149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kumimoji="0" lang="fr-FR" sz="1400" b="0" i="0" u="none" strike="noStrike" kern="0" cap="none" spc="0" normalizeH="0" baseline="0" noProof="0">
              <a:ln>
                <a:noFill/>
              </a:ln>
              <a:solidFill>
                <a:sysClr val="windowText" lastClr="000000"/>
              </a:solidFill>
              <a:effectLst/>
              <a:uLnTx/>
              <a:uFillTx/>
              <a:latin typeface="+mn-lt"/>
              <a:ea typeface="+mn-ea"/>
              <a:cs typeface="+mn-cs"/>
            </a:rPr>
            <a:t>Prochloraz-Pool</a:t>
          </a:r>
        </a:p>
      </cdr:txBody>
    </cdr:sp>
  </cdr:relSizeAnchor>
</c:userShapes>
</file>

<file path=xl/drawings/drawing9.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3.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4.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5.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8.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9.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061.485541203707" createdVersion="6" refreshedVersion="6" minRefreshableVersion="3" recordCount="52" xr:uid="{8DEF666A-6C7D-4C16-AD6D-82242760D5D9}">
  <cacheSource type="worksheet">
    <worksheetSource name="liste_groupe"/>
  </cacheSource>
  <cacheFields count="6">
    <cacheField name="Nom sur le graphique" numFmtId="0">
      <sharedItems count="13">
        <s v="Témoin solvant"/>
        <s v="EE2-22,5ng/L"/>
        <s v="EE2-33,8ng/L"/>
        <s v="EE2-50,6ng/L"/>
        <s v="EE2-76ng/L"/>
        <s v="EE2-114ng/L"/>
        <s v="EE2-170,9ng/L"/>
        <s v="EE2-488ng/L"/>
        <s v=" "/>
        <s v="Testo -30µg/L"/>
        <s v="Testo 30µg/L + EE2 -64ng/L"/>
        <s v="Testo 30µg/L + FAD-10mg/L"/>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103.696097337961" createdVersion="5" refreshedVersion="6" minRefreshableVersion="3" recordCount="1556" xr:uid="{00000000-000A-0000-FFFF-FFFF0C000000}">
  <cacheSource type="worksheet">
    <worksheetSource name="Tableau4"/>
  </cacheSource>
  <cacheFields count="9">
    <cacheField name="Nom groupe" numFmtId="0">
      <sharedItems containsBlank="1" count="23">
        <s v="01 TS"/>
        <s v=""/>
        <s v="02 EE2 34"/>
        <s v="03 EE2 51"/>
        <s v="04 EE2 76"/>
        <s v="05 EE2 114"/>
        <s v="06 EE2 171"/>
        <s v="07 EE2 488"/>
        <s v="08 Pro 12"/>
        <s v="09 Pro 37"/>
        <s v="10 Pro 111"/>
        <s v="11 Pro 333"/>
        <s v="12 Pro 1000"/>
        <s v="13 Testo 30"/>
        <s v="14 Testo 30"/>
        <s v="15 Testo + EE2"/>
        <s v="16 Testo + FAD"/>
        <s v="17 Testo + Pro 12"/>
        <s v="18  Testo + Pro 37"/>
        <s v="19 Testo + Pro 111"/>
        <s v="20 Testo + Pro 333"/>
        <s v="21 Testo +  Pro 1000"/>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2" maxValue="64"/>
    </cacheField>
    <cacheField name=" " numFmtId="0">
      <sharedItems containsBlank="1" count="24">
        <s v=" "/>
        <m/>
        <s v=" SD mean fluo "/>
        <s v=" 3.425 "/>
        <s v=" 3.0883 "/>
        <s v=" 3.0324 "/>
        <s v=" 1.7489 "/>
        <s v=" 6.9517 "/>
        <s v=" 6.3902 "/>
        <s v=" 11.0506 "/>
        <s v=" 2.0882 "/>
        <s v=" 3.9447 "/>
        <s v=" 5.76 "/>
        <s v=" 4.2822 "/>
        <s v=" 5.9446 "/>
        <s v=" 8.5526 "/>
        <s v=" 2.4689 "/>
        <s v=" 6.2278 "/>
        <s v=" 2.8429 "/>
        <s v=" 3.4574 "/>
        <s v=" 3.1195 "/>
        <s v=" 4.296 "/>
        <s v=" 3.2873 "/>
        <s v=" 6.9663 "/>
      </sharedItems>
    </cacheField>
    <cacheField name=" total fluorescence" numFmtId="0">
      <sharedItems containsBlank="1" containsMixedTypes="1" containsNumber="1" containsInteger="1" minValue="8133" maxValue="7595273"/>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104.493735069445" createdVersion="5" refreshedVersion="6" minRefreshableVersion="3" recordCount="1530" xr:uid="{00000000-000A-0000-FFFF-FFFF10000000}">
  <cacheSource type="worksheet">
    <worksheetSource name="Tableau46"/>
  </cacheSource>
  <cacheFields count="9">
    <cacheField name="Nom groupe" numFmtId="0">
      <sharedItems count="22">
        <s v="01 TS"/>
        <s v=""/>
        <s v="02 EE2 34"/>
        <s v="03 EE2 51"/>
        <s v="04 EE2 76"/>
        <s v="05 EE2 114"/>
        <s v="06 EE2 171"/>
        <s v="07 EE2 488"/>
        <s v="08 Pro 12"/>
        <s v="09 Pro 37"/>
        <s v="10 Pro 111"/>
        <s v="11 Pro 333"/>
        <s v="12 Pro 1000"/>
        <s v="13 Testo 30"/>
        <s v="14 Testo 30"/>
        <s v="15 Testo + EE2"/>
        <s v="16 Testo + FAD"/>
        <s v="17 Testo + Pro 12"/>
        <s v="18  Testo + Pro 37"/>
        <s v="19 Testo + Pro 111"/>
        <s v="20 Testo + Pro 333"/>
        <s v="21 Testo +  Pro 1000"/>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2" maxValue="70"/>
    </cacheField>
    <cacheField name=" " numFmtId="0">
      <sharedItems containsBlank="1" count="24">
        <m/>
        <s v=" "/>
        <s v=" SD mean fluo "/>
        <s v=" 2.3384 "/>
        <s v=" 3.1712 "/>
        <s v=" 11.3749 "/>
        <s v=" 3.025 "/>
        <s v=" 2.2616 "/>
        <s v=" 5.7061 "/>
        <s v=" 10.3571 "/>
        <s v=" 2.6562 "/>
        <s v=" 3.3455 "/>
        <s v=" 2.4308 "/>
        <s v=" 3.1841 "/>
        <s v=" 3.9098 "/>
        <s v=" 4.6189 "/>
        <s v=" 5.0747 "/>
        <s v=" 3.1725 "/>
        <s v=" 3.1303 "/>
        <s v=" 2.6882 "/>
        <s v=" 4.4363 "/>
        <s v=" 3.1185 "/>
        <s v=" 2.6798 "/>
        <s v=" 1.5694 "/>
      </sharedItems>
    </cacheField>
    <cacheField name=" total fluorescence" numFmtId="0">
      <sharedItems containsBlank="1" containsMixedTypes="1" containsNumber="1" containsInteger="1" minValue="9712" maxValue="8468709"/>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118.624576504626" createdVersion="5" refreshedVersion="6" minRefreshableVersion="3" recordCount="1710" xr:uid="{00000000-000A-0000-FFFF-FFFF14000000}">
  <cacheSource type="worksheet">
    <worksheetSource name="Tableau467"/>
  </cacheSource>
  <cacheFields count="9">
    <cacheField name="Nom groupe" numFmtId="0">
      <sharedItems count="22">
        <s v="01 TS"/>
        <s v=""/>
        <s v="02 EE2 34"/>
        <s v="03 EE2 51"/>
        <s v="04 EE2 76"/>
        <s v="05 EE2 114"/>
        <s v="06 EE2 171"/>
        <s v="07 EE2 488"/>
        <s v="08 Pro 12"/>
        <s v="09 Pro 37"/>
        <s v="10 Pro 111"/>
        <s v="11 Pro 333"/>
        <s v="12 Pro 1000"/>
        <s v="13 Testo 30"/>
        <s v="14 Testo 30"/>
        <s v="15 Testo + EE2"/>
        <s v="16 Testo + FAD"/>
        <s v="17 Testo + Pro 12"/>
        <s v="18  Testo + Pro 37"/>
        <s v="19 Testo + Pro 111"/>
        <s v="20 Testo + Pro 333"/>
        <s v="21 Testo +  Pro 1000"/>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3" maxValue="73"/>
    </cacheField>
    <cacheField name=" " numFmtId="0">
      <sharedItems containsBlank="1" count="24">
        <s v=" "/>
        <m/>
        <s v=" SD mean fluo "/>
        <s v=" 4.3094 "/>
        <s v=" 4.1467 "/>
        <s v=" 2.9733 "/>
        <s v=" 2.6331 "/>
        <s v=" 2.2299 "/>
        <s v=" 3.8684 "/>
        <s v=" 9.0691 "/>
        <s v=" 2.7831 "/>
        <s v=" 7.0768 "/>
        <s v=" 2.5015 "/>
        <s v=" 5.8786 "/>
        <s v=" 5.2887 "/>
        <s v=" 4.41 "/>
        <s v=" 3.6661 "/>
        <s v=" 6.4175 "/>
        <s v=" 2.283 "/>
        <s v=" 4.8764 "/>
        <s v=" 4.4639 "/>
        <s v=" 2.2389 "/>
        <s v=" 5.8469 "/>
        <s v=" 4.3015 "/>
      </sharedItems>
    </cacheField>
    <cacheField name=" total fluorescence" numFmtId="0">
      <sharedItems containsBlank="1" containsMixedTypes="1" containsNumber="1" containsInteger="1" minValue="6511" maxValue="10734376"/>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m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Données chgh\2020-CHG-CZA-Test-1\plaque 1/@01 TS/A1_01.tif "/>
    <s v=" 8132.8404 "/>
    <s v=" 69.7793 "/>
    <x v="0"/>
    <n v="567504"/>
    <m/>
    <m/>
  </r>
  <r>
    <x v="0"/>
    <x v="0"/>
    <s v="F:\Données chgh\2020-CHG-CZA-Test-1\plaque 1/@01 TS/A1_02.tif "/>
    <s v=" 11052.8762 "/>
    <s v=" 70.7182 "/>
    <x v="0"/>
    <n v="781640"/>
    <m/>
    <m/>
  </r>
  <r>
    <x v="0"/>
    <x v="0"/>
    <s v="F:\Données chgh\2020-CHG-CZA-Test-1\plaque 1/@01 TS/A1_03.tif "/>
    <s v=" 12112.741 "/>
    <s v=" 71.0893 "/>
    <x v="0"/>
    <n v="861086"/>
    <m/>
    <m/>
  </r>
  <r>
    <x v="0"/>
    <x v="1"/>
    <s v="F:\Données chgh\2020-CHG-CZA-Test-1\plaque 1/@01 TS/B1_01- exclu.tif"/>
    <m/>
    <m/>
    <x v="1"/>
    <m/>
    <m/>
    <m/>
  </r>
  <r>
    <x v="0"/>
    <x v="1"/>
    <s v="F:\Données chgh\2020-CHG-CZA-Test-1\plaque 1/@01 TS/B1_02- exclu.tif"/>
    <m/>
    <m/>
    <x v="1"/>
    <m/>
    <m/>
    <m/>
  </r>
  <r>
    <x v="0"/>
    <x v="1"/>
    <s v="F:\Données chgh\2020-CHG-CZA-Test-1\plaque 1/@01 TS/B1_03.tif "/>
    <s v=" 886.8257 "/>
    <s v=" 62.7317 "/>
    <x v="0"/>
    <n v="55632"/>
    <m/>
    <m/>
  </r>
  <r>
    <x v="0"/>
    <x v="2"/>
    <s v="F:\Données chgh\2020-CHG-CZA-Test-1\plaque 1/@01 TS/C1_01.tif "/>
    <s v=" 3568.9326 "/>
    <s v=" 66.3515 "/>
    <x v="0"/>
    <n v="236804"/>
    <m/>
    <m/>
  </r>
  <r>
    <x v="0"/>
    <x v="2"/>
    <s v="F:\Données chgh\2020-CHG-CZA-Test-1\plaque 1/@01 TS/C1_02.tif "/>
    <s v=" 410.968 "/>
    <s v=" 62.4211 "/>
    <x v="0"/>
    <n v="25653"/>
    <m/>
    <m/>
  </r>
  <r>
    <x v="0"/>
    <x v="2"/>
    <s v="F:\Données chgh\2020-CHG-CZA-Test-1\plaque 1/@01 TS/C1_03- exclu.tif"/>
    <m/>
    <m/>
    <x v="1"/>
    <m/>
    <m/>
    <m/>
  </r>
  <r>
    <x v="0"/>
    <x v="3"/>
    <s v="F:\Données chgh\2020-CHG-CZA-Test-1\plaque 1/@01 TS/D1_01.tif "/>
    <s v=" 6424.0787 "/>
    <s v=" 66.6465 "/>
    <x v="0"/>
    <n v="428142"/>
    <m/>
    <m/>
  </r>
  <r>
    <x v="0"/>
    <x v="3"/>
    <s v="F:\Données chgh\2020-CHG-CZA-Test-1\plaque 1/@01 TS/D1_02.tif "/>
    <s v=" 5256.0644 "/>
    <s v=" 65.5473 "/>
    <x v="0"/>
    <n v="344521"/>
    <m/>
    <m/>
  </r>
  <r>
    <x v="0"/>
    <x v="3"/>
    <s v="F:\Données chgh\2020-CHG-CZA-Test-1\plaque 1/@01 TS/D1_03.tif "/>
    <s v=" 7959.8012 "/>
    <s v=" 68.8207 "/>
    <x v="0"/>
    <n v="547799"/>
    <m/>
    <m/>
  </r>
  <r>
    <x v="0"/>
    <x v="4"/>
    <s v="F:\Données chgh\2020-CHG-CZA-Test-1\plaque 1/@01 TS/E1_01.tif "/>
    <s v=" 865.1958 "/>
    <s v=" 64.3 "/>
    <x v="0"/>
    <n v="55632"/>
    <m/>
    <m/>
  </r>
  <r>
    <x v="0"/>
    <x v="4"/>
    <s v="F:\Données chgh\2020-CHG-CZA-Test-1\plaque 1/@01 TS/E1_02.tif "/>
    <s v=" 173.0392 "/>
    <s v=" 62.75 "/>
    <x v="0"/>
    <n v="10858"/>
    <m/>
    <m/>
  </r>
  <r>
    <x v="0"/>
    <x v="4"/>
    <s v="F:\Données chgh\2020-CHG-CZA-Test-1\plaque 1/@01 TS/E1_03.tif "/>
    <s v=" 692.1566 "/>
    <s v=" 62.5 "/>
    <x v="0"/>
    <n v="43260"/>
    <m/>
    <m/>
  </r>
  <r>
    <x v="0"/>
    <x v="5"/>
    <s v="F:\Données chgh\2020-CHG-CZA-Test-1\plaque 1/@01 TS/F1_01.tif "/>
    <s v=" 1816.9111 "/>
    <s v=" 64.3333 "/>
    <x v="0"/>
    <n v="116888"/>
    <m/>
    <m/>
  </r>
  <r>
    <x v="0"/>
    <x v="5"/>
    <s v="F:\Données chgh\2020-CHG-CZA-Test-1\plaque 1/@01 TS/F1_02.tif "/>
    <s v=" 843.5659 "/>
    <s v=" 62.7949 "/>
    <x v="0"/>
    <n v="52972"/>
    <m/>
    <m/>
  </r>
  <r>
    <x v="0"/>
    <x v="5"/>
    <s v="F:\Données chgh\2020-CHG-CZA-Test-1\plaque 1/@01 TS/F1_03.tif "/>
    <s v=" 1168.0143 "/>
    <s v=" 63.9444 "/>
    <x v="0"/>
    <n v="74688"/>
    <m/>
    <m/>
  </r>
  <r>
    <x v="0"/>
    <x v="6"/>
    <s v="F:\Données chgh\2020-CHG-CZA-Test-1\plaque 1/@01 TS/G1_01.tif "/>
    <s v=" 2184.6194 "/>
    <s v=" 64.604 "/>
    <x v="0"/>
    <n v="141135"/>
    <m/>
    <m/>
  </r>
  <r>
    <x v="0"/>
    <x v="6"/>
    <s v="F:\Données chgh\2020-CHG-CZA-Test-1\plaque 1/@01 TS/G1_02.tif "/>
    <s v=" 432.5979 "/>
    <s v=" 64.2 "/>
    <x v="0"/>
    <n v="27773"/>
    <m/>
    <m/>
  </r>
  <r>
    <x v="0"/>
    <x v="6"/>
    <s v="F:\Données chgh\2020-CHG-CZA-Test-1\plaque 1/@01 TS/G1_03.tif "/>
    <s v=" 1903.4307 "/>
    <s v=" 67.7386 "/>
    <x v="0"/>
    <n v="128936"/>
    <m/>
    <m/>
  </r>
  <r>
    <x v="0"/>
    <x v="7"/>
    <s v="F:\Données chgh\2020-CHG-CZA-Test-1\plaque 1/@01 TS/H1_01.tif "/>
    <s v=" 259.5587 "/>
    <s v=" 62.5833 "/>
    <x v="0"/>
    <n v="16244"/>
    <m/>
    <m/>
  </r>
  <r>
    <x v="0"/>
    <x v="7"/>
    <s v="F:\Données chgh\2020-CHG-CZA-Test-1\plaque 1/@01 TS/H1_02.tif "/>
    <s v=" 2920.0358 "/>
    <s v=" 64.6296 "/>
    <x v="0"/>
    <n v="188721"/>
    <m/>
    <m/>
  </r>
  <r>
    <x v="0"/>
    <x v="7"/>
    <s v="F:\Données chgh\2020-CHG-CZA-Test-1\plaque 1/@01 TS/H1_03.tif "/>
    <s v=" 3071.445 "/>
    <s v=" 69.4085 "/>
    <x v="0"/>
    <n v="213184"/>
    <m/>
    <m/>
  </r>
  <r>
    <x v="1"/>
    <x v="8"/>
    <s v=" "/>
    <m/>
    <m/>
    <x v="1"/>
    <m/>
    <m/>
    <m/>
  </r>
  <r>
    <x v="1"/>
    <x v="8"/>
    <s v="group "/>
    <s v=" "/>
    <s v=" mean of mean fluo "/>
    <x v="2"/>
    <s v=" mean of total fluo "/>
    <s v=" SD total fluo "/>
    <s v=" n fluorescent "/>
  </r>
  <r>
    <x v="0"/>
    <x v="9"/>
    <s v="F:\Données chgh\2020-CHG-CZA-Test-1\plaque 1/@01 TS/ "/>
    <s v=" "/>
    <s v=" 65.9327 "/>
    <x v="3"/>
    <s v=" 235121.542 "/>
    <s v=" 267204.30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
    <x v="0"/>
    <s v="F:\Données chgh\2020-CHG-CZA-Test-1\plaque 1/@02 EE2 34/A2_01.tif "/>
    <s v=" 1341.0535 "/>
    <s v=" 64.371 "/>
    <x v="0"/>
    <n v="86325"/>
    <m/>
    <m/>
  </r>
  <r>
    <x v="2"/>
    <x v="0"/>
    <s v="F:\Données chgh\2020-CHG-CZA-Test-1\plaque 1/@02 EE2 34/A2_02.tif "/>
    <s v=" 2509.0678 "/>
    <s v=" 64.2845 "/>
    <x v="0"/>
    <n v="161294"/>
    <m/>
    <m/>
  </r>
  <r>
    <x v="2"/>
    <x v="0"/>
    <s v="F:\Données chgh\2020-CHG-CZA-Test-1\plaque 1/@02 EE2 34/A2_03.tif "/>
    <s v=" 562.3773 "/>
    <s v=" 62.2692 "/>
    <x v="0"/>
    <n v="35019"/>
    <m/>
    <m/>
  </r>
  <r>
    <x v="2"/>
    <x v="1"/>
    <s v="F:\Données chgh\2020-CHG-CZA-Test-1\plaque 1/@02 EE2 34/B2_01- exclu.tif"/>
    <m/>
    <m/>
    <x v="1"/>
    <m/>
    <m/>
    <m/>
  </r>
  <r>
    <x v="2"/>
    <x v="1"/>
    <s v="F:\Données chgh\2020-CHG-CZA-Test-1\plaque 1/@02 EE2 34/B2_02.tif "/>
    <s v=" 5688.6623 "/>
    <s v=" 70.9544 "/>
    <x v="0"/>
    <n v="403635"/>
    <m/>
    <m/>
  </r>
  <r>
    <x v="2"/>
    <x v="1"/>
    <s v="F:\Données chgh\2020-CHG-CZA-Test-1\plaque 1/@02 EE2 34/B2_03- exclu.tif"/>
    <m/>
    <m/>
    <x v="1"/>
    <m/>
    <m/>
    <m/>
  </r>
  <r>
    <x v="2"/>
    <x v="2"/>
    <s v="F:\Données chgh\2020-CHG-CZA-Test-1\plaque 1/@02 EE2 34/C2_01.tif "/>
    <s v=" 2379.2884 "/>
    <s v=" 66.7727 "/>
    <x v="0"/>
    <n v="158872"/>
    <m/>
    <m/>
  </r>
  <r>
    <x v="2"/>
    <x v="2"/>
    <s v="F:\Données chgh\2020-CHG-CZA-Test-1\plaque 1/@02 EE2 34/C2_02.tif "/>
    <s v=" 2314.3987 "/>
    <s v=" 65.6262 "/>
    <x v="0"/>
    <n v="151885"/>
    <m/>
    <m/>
  </r>
  <r>
    <x v="2"/>
    <x v="2"/>
    <s v="F:\Données chgh\2020-CHG-CZA-Test-1\plaque 1/@02 EE2 34/C2_03.tif "/>
    <s v=" 930.0855 "/>
    <s v=" 63.3256 "/>
    <x v="0"/>
    <n v="58898"/>
    <m/>
    <m/>
  </r>
  <r>
    <x v="2"/>
    <x v="3"/>
    <s v="F:\Données chgh\2020-CHG-CZA-Test-1\plaque 1/@02 EE2 34/D2_01.tif "/>
    <s v=" 7916.5414 "/>
    <s v=" 67.2158 "/>
    <x v="0"/>
    <n v="532117"/>
    <m/>
    <m/>
  </r>
  <r>
    <x v="2"/>
    <x v="3"/>
    <s v="F:\Données chgh\2020-CHG-CZA-Test-1\plaque 1/@02 EE2 34/D2_02.tif "/>
    <s v=" 8760.1073 "/>
    <s v=" 69.5926 "/>
    <x v="0"/>
    <n v="609639"/>
    <m/>
    <m/>
  </r>
  <r>
    <x v="2"/>
    <x v="3"/>
    <s v="F:\Données chgh\2020-CHG-CZA-Test-1\plaque 1/@02 EE2 34/D2_03.tif "/>
    <s v=" 9365.7444 "/>
    <s v=" 71.7182 "/>
    <x v="0"/>
    <n v="671695"/>
    <m/>
    <m/>
  </r>
  <r>
    <x v="2"/>
    <x v="4"/>
    <s v="F:\Données chgh\2020-CHG-CZA-Test-1\plaque 1/@02 EE2 34/E2_01.tif "/>
    <s v=" 3439.1532 "/>
    <s v=" 64.7044 "/>
    <x v="0"/>
    <n v="222528"/>
    <m/>
    <m/>
  </r>
  <r>
    <x v="2"/>
    <x v="4"/>
    <s v="F:\Données chgh\2020-CHG-CZA-Test-1\plaque 1/@02 EE2 34/E2_02.tif "/>
    <s v=" 129.7794 "/>
    <n v="63"/>
    <x v="0"/>
    <n v="8176"/>
    <m/>
    <m/>
  </r>
  <r>
    <x v="2"/>
    <x v="4"/>
    <s v="F:\Données chgh\2020-CHG-CZA-Test-1\plaque 1/@02 EE2 34/E2_03.tif "/>
    <s v=" 2963.2956 "/>
    <s v=" 65.6058 "/>
    <x v="0"/>
    <n v="194409"/>
    <m/>
    <m/>
  </r>
  <r>
    <x v="2"/>
    <x v="5"/>
    <s v="F:\Données chgh\2020-CHG-CZA-Test-1\plaque 1/@02 EE2 34/F2_01.tif "/>
    <s v=" 2271.1389 "/>
    <s v=" 67.2857 "/>
    <x v="0"/>
    <n v="152815"/>
    <m/>
    <m/>
  </r>
  <r>
    <x v="2"/>
    <x v="5"/>
    <s v="F:\Données chgh\2020-CHG-CZA-Test-1\plaque 1/@02 EE2 34/F2_02.tif "/>
    <s v=" 497.4876 "/>
    <s v=" 61.6522 "/>
    <x v="0"/>
    <n v="30671"/>
    <m/>
    <m/>
  </r>
  <r>
    <x v="2"/>
    <x v="5"/>
    <s v="F:\Données chgh\2020-CHG-CZA-Test-1\plaque 1/@02 EE2 34/F2_03- exclu.tif"/>
    <m/>
    <m/>
    <x v="1"/>
    <m/>
    <m/>
    <m/>
  </r>
  <r>
    <x v="2"/>
    <x v="6"/>
    <s v="F:\Données chgh\2020-CHG-CZA-Test-1\plaque 1/@02 EE2 34/G2_01.tif "/>
    <s v=" 3850.1212 "/>
    <s v=" 66.5225 "/>
    <x v="0"/>
    <n v="256120"/>
    <m/>
    <m/>
  </r>
  <r>
    <x v="2"/>
    <x v="6"/>
    <s v="F:\Données chgh\2020-CHG-CZA-Test-1\plaque 1/@02 EE2 34/G2_02.tif "/>
    <s v=" 627.2669 "/>
    <s v=" 64.7241 "/>
    <x v="0"/>
    <n v="40599"/>
    <m/>
    <m/>
  </r>
  <r>
    <x v="2"/>
    <x v="6"/>
    <s v="F:\Données chgh\2020-CHG-CZA-Test-1\plaque 1/@02 EE2 34/G2_03.tif "/>
    <s v=" 3806.8615 "/>
    <s v=" 66.108 "/>
    <x v="0"/>
    <n v="251664"/>
    <m/>
    <m/>
  </r>
  <r>
    <x v="2"/>
    <x v="7"/>
    <s v="F:\Données chgh\2020-CHG-CZA-Test-1\plaque 1/@02 EE2 34/H2_01.tif "/>
    <s v=" 6251.0395 "/>
    <s v=" 70.6644 "/>
    <x v="0"/>
    <n v="441726"/>
    <m/>
    <m/>
  </r>
  <r>
    <x v="2"/>
    <x v="7"/>
    <s v="F:\Données chgh\2020-CHG-CZA-Test-1\plaque 1/@02 EE2 34/H2_02.tif "/>
    <s v=" 670.5267 "/>
    <s v=" 62.9677 "/>
    <x v="0"/>
    <n v="42222"/>
    <m/>
    <m/>
  </r>
  <r>
    <x v="2"/>
    <x v="7"/>
    <s v="F:\Données chgh\2020-CHG-CZA-Test-1\plaque 1/@02 EE2 34/H2_03.tif "/>
    <s v=" 5688.6623 "/>
    <s v=" 72.0304 "/>
    <x v="0"/>
    <n v="409757"/>
    <m/>
    <m/>
  </r>
  <r>
    <x v="1"/>
    <x v="8"/>
    <s v=" "/>
    <m/>
    <m/>
    <x v="1"/>
    <m/>
    <m/>
    <m/>
  </r>
  <r>
    <x v="1"/>
    <x v="8"/>
    <s v="group "/>
    <s v=" "/>
    <s v=" mean of mean fluo "/>
    <x v="2"/>
    <s v=" mean of total fluo "/>
    <s v=" SD total fluo "/>
    <s v=" n fluorescent "/>
  </r>
  <r>
    <x v="2"/>
    <x v="9"/>
    <s v="F:\Données chgh\2020-CHG-CZA-Test-1\plaque 1/@02 EE2 34/ "/>
    <s v=" "/>
    <s v=" 65.9031 "/>
    <x v="4"/>
    <s v=" 207285.625 "/>
    <s v=" 201389.35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3"/>
    <x v="0"/>
    <s v="F:\Données chgh\2020-CHG-CZA-Test-1\plaque 1/@03 EE2 51/A3_01.tif "/>
    <s v=" 4066.4202 "/>
    <s v=" 65.1702 "/>
    <x v="0"/>
    <n v="265009"/>
    <m/>
    <m/>
  </r>
  <r>
    <x v="3"/>
    <x v="0"/>
    <s v="F:\Données chgh\2020-CHG-CZA-Test-1\plaque 1/@03 EE2 51/A3_02.tif "/>
    <s v=" 562.3773 "/>
    <s v=" 62.3077 "/>
    <x v="0"/>
    <n v="35040"/>
    <m/>
    <m/>
  </r>
  <r>
    <x v="3"/>
    <x v="0"/>
    <s v="F:\Données chgh\2020-CHG-CZA-Test-1\plaque 1/@03 EE2 51/A3_03.tif "/>
    <s v=" 1881.8008 "/>
    <s v=" 64.4598 "/>
    <x v="0"/>
    <n v="121300"/>
    <m/>
    <m/>
  </r>
  <r>
    <x v="3"/>
    <x v="1"/>
    <s v="F:\Données chgh\2020-CHG-CZA-Test-1\plaque 1/@03 EE2 51/B3_01.tif "/>
    <s v=" 4369.2387 "/>
    <s v=" 64.7574 "/>
    <x v="0"/>
    <n v="282941"/>
    <m/>
    <m/>
  </r>
  <r>
    <x v="3"/>
    <x v="1"/>
    <s v="F:\Données chgh\2020-CHG-CZA-Test-1\plaque 1/@03 EE2 51/B3_02.tif "/>
    <s v=" 670.5267 "/>
    <s v=" 63.5806 "/>
    <x v="0"/>
    <n v="42633"/>
    <m/>
    <m/>
  </r>
  <r>
    <x v="3"/>
    <x v="1"/>
    <s v="F:\Données chgh\2020-CHG-CZA-Test-1\plaque 1/@03 EE2 51/B3_03.tif "/>
    <s v=" 1514.0926 "/>
    <s v=" 64.2857 "/>
    <x v="0"/>
    <n v="97335"/>
    <m/>
    <m/>
  </r>
  <r>
    <x v="3"/>
    <x v="2"/>
    <s v="F:\Données chgh\2020-CHG-CZA-Test-1\plaque 1/@03 EE2 51/C3_01.tif "/>
    <s v=" 6510.5983 "/>
    <s v=" 64.1196 "/>
    <x v="0"/>
    <n v="417457"/>
    <m/>
    <m/>
  </r>
  <r>
    <x v="3"/>
    <x v="2"/>
    <s v="F:\Données chgh\2020-CHG-CZA-Test-1\plaque 1/@03 EE2 51/C3_02.tif "/>
    <s v=" 1362.6834 "/>
    <s v=" 62.3968 "/>
    <x v="0"/>
    <n v="85027"/>
    <m/>
    <m/>
  </r>
  <r>
    <x v="3"/>
    <x v="2"/>
    <s v="F:\Données chgh\2020-CHG-CZA-Test-1\plaque 1/@03 EE2 51/C3_03.tif "/>
    <s v=" 15573.5241 "/>
    <s v=" 76.1625 "/>
    <x v="0"/>
    <n v="1186119"/>
    <m/>
    <m/>
  </r>
  <r>
    <x v="3"/>
    <x v="3"/>
    <s v="F:\Données chgh\2020-CHG-CZA-Test-1\plaque 1/@03 EE2 51/D3_01.tif "/>
    <s v=" 4780.2067 "/>
    <s v=" 67.4027 "/>
    <x v="0"/>
    <n v="322199"/>
    <m/>
    <m/>
  </r>
  <r>
    <x v="3"/>
    <x v="3"/>
    <s v="F:\Données chgh\2020-CHG-CZA-Test-1\plaque 1/@03 EE2 51/D3_02.tif "/>
    <s v=" 3374.2636 "/>
    <s v=" 65.9487 "/>
    <x v="0"/>
    <n v="222528"/>
    <m/>
    <m/>
  </r>
  <r>
    <x v="3"/>
    <x v="3"/>
    <s v="F:\Données chgh\2020-CHG-CZA-Test-1\plaque 1/@03 EE2 51/D3_03.tif "/>
    <s v=" 4001.5305 "/>
    <s v=" 66.4811 "/>
    <x v="0"/>
    <n v="266026"/>
    <m/>
    <m/>
  </r>
  <r>
    <x v="3"/>
    <x v="4"/>
    <s v="F:\Données chgh\2020-CHG-CZA-Test-1\plaque 1/@03 EE2 51/E3_01.tif "/>
    <s v=" 4434.1284 "/>
    <s v=" 64.7951 "/>
    <x v="0"/>
    <n v="287310"/>
    <m/>
    <m/>
  </r>
  <r>
    <x v="3"/>
    <x v="4"/>
    <s v="F:\Données chgh\2020-CHG-CZA-Test-1\plaque 1/@03 EE2 51/E3_02.tif "/>
    <s v=" 1925.0606 "/>
    <s v=" 64.6292 "/>
    <x v="0"/>
    <n v="124415"/>
    <m/>
    <m/>
  </r>
  <r>
    <x v="3"/>
    <x v="4"/>
    <s v="F:\Données chgh\2020-CHG-CZA-Test-1\plaque 1/@03 EE2 51/E3_03.tif "/>
    <s v=" 8003.061 "/>
    <s v=" 68.1351 "/>
    <x v="0"/>
    <n v="545290"/>
    <m/>
    <m/>
  </r>
  <r>
    <x v="3"/>
    <x v="5"/>
    <s v="F:\Données chgh\2020-CHG-CZA-Test-1\plaque 1/@03 EE2 51/F3_01.tif "/>
    <s v=" 9062.9258 "/>
    <s v=" 71.2029 "/>
    <x v="0"/>
    <n v="645306"/>
    <m/>
    <m/>
  </r>
  <r>
    <x v="3"/>
    <x v="5"/>
    <s v="F:\Données chgh\2020-CHG-CZA-Test-1\plaque 1/@03 EE2 51/F3_02.tif "/>
    <s v=" 2098.0998 "/>
    <s v=" 63.9175 "/>
    <x v="0"/>
    <n v="134105"/>
    <m/>
    <m/>
  </r>
  <r>
    <x v="3"/>
    <x v="5"/>
    <s v="F:\Données chgh\2020-CHG-CZA-Test-1\plaque 1/@03 EE2 51/F3_03.tif "/>
    <s v=" 5169.5448 "/>
    <s v=" 65.5397 "/>
    <x v="0"/>
    <n v="338811"/>
    <m/>
    <m/>
  </r>
  <r>
    <x v="3"/>
    <x v="6"/>
    <s v="F:\Données chgh\2020-CHG-CZA-Test-1\plaque 1/@03 EE2 51/G3_01.tif "/>
    <s v=" 584.0072 "/>
    <s v=" 63.2222 "/>
    <x v="0"/>
    <n v="36922"/>
    <m/>
    <m/>
  </r>
  <r>
    <x v="3"/>
    <x v="6"/>
    <s v="F:\Données chgh\2020-CHG-CZA-Test-1\plaque 1/@03 EE2 51/G3_02.tif "/>
    <s v=" 432.5979 "/>
    <s v=" 63.65 "/>
    <x v="0"/>
    <n v="27535"/>
    <m/>
    <m/>
  </r>
  <r>
    <x v="3"/>
    <x v="6"/>
    <s v="F:\Données chgh\2020-CHG-CZA-Test-1\plaque 1/@03 EE2 51/G3_03.tif "/>
    <s v=" 324.4484 "/>
    <s v=" 63.1333 "/>
    <x v="0"/>
    <n v="20484"/>
    <m/>
    <m/>
  </r>
  <r>
    <x v="3"/>
    <x v="7"/>
    <s v="F:\Données chgh\2020-CHG-CZA-Test-1\plaque 1/@03 EE2 51/H3_01.tif "/>
    <s v=" 843.5659 "/>
    <s v=" 64.6923 "/>
    <x v="0"/>
    <n v="54572"/>
    <m/>
    <m/>
  </r>
  <r>
    <x v="3"/>
    <x v="7"/>
    <s v="F:\Données chgh\2020-CHG-CZA-Test-1\plaque 1/@03 EE2 51/H3_02.tif "/>
    <s v=" 562.3773 "/>
    <s v=" 63.6923 "/>
    <x v="0"/>
    <n v="35819"/>
    <m/>
    <m/>
  </r>
  <r>
    <x v="3"/>
    <x v="7"/>
    <s v="F:\Données chgh\2020-CHG-CZA-Test-1\plaque 1/@03 EE2 51/H3_03.tif "/>
    <s v=" 346.0783 "/>
    <s v=" 63.5 "/>
    <x v="0"/>
    <n v="21976"/>
    <m/>
    <m/>
  </r>
  <r>
    <x v="1"/>
    <x v="8"/>
    <s v=" "/>
    <m/>
    <m/>
    <x v="1"/>
    <m/>
    <m/>
    <m/>
  </r>
  <r>
    <x v="1"/>
    <x v="8"/>
    <s v="group "/>
    <s v=" "/>
    <s v=" mean of mean fluo "/>
    <x v="2"/>
    <s v=" mean of total fluo "/>
    <s v=" SD total fluo "/>
    <s v=" n fluorescent "/>
  </r>
  <r>
    <x v="3"/>
    <x v="9"/>
    <s v="F:\Données chgh\2020-CHG-CZA-Test-1\plaque 1/@03 EE2 51/ "/>
    <s v=" "/>
    <s v=" 65.2993 "/>
    <x v="5"/>
    <s v=" 234006.625 "/>
    <s v=" 266019.64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4"/>
    <x v="0"/>
    <s v="F:\Données chgh\2020-CHG-CZA-Test-1\plaque 1/@04 EE2 76/A4_01.tif "/>
    <s v=" 6683.6374 "/>
    <s v=" 65.7767 "/>
    <x v="0"/>
    <n v="439628"/>
    <m/>
    <m/>
  </r>
  <r>
    <x v="4"/>
    <x v="0"/>
    <s v="F:\Données chgh\2020-CHG-CZA-Test-1\plaque 1/@04 EE2 76/A4_02.tif "/>
    <s v=" 6229.4097 "/>
    <s v=" 64.4583 "/>
    <x v="0"/>
    <n v="401537"/>
    <m/>
    <m/>
  </r>
  <r>
    <x v="4"/>
    <x v="0"/>
    <s v="F:\Données chgh\2020-CHG-CZA-Test-1\plaque 1/@04 EE2 76/A4_03.tif "/>
    <s v=" 6251.0395 "/>
    <s v=" 64.7924 "/>
    <x v="0"/>
    <n v="405020"/>
    <m/>
    <m/>
  </r>
  <r>
    <x v="4"/>
    <x v="1"/>
    <s v="F:\Données chgh\2020-CHG-CZA-Test-1\plaque 1/@04 EE2 76/B4_01.tif "/>
    <s v=" 6164.52 "/>
    <s v=" 64.4561 "/>
    <x v="0"/>
    <n v="397341"/>
    <m/>
    <m/>
  </r>
  <r>
    <x v="4"/>
    <x v="1"/>
    <s v="F:\Données chgh\2020-CHG-CZA-Test-1\plaque 1/@04 EE2 76/B4_02.tif "/>
    <s v=" 3439.1532 "/>
    <s v=" 63.8679 "/>
    <x v="0"/>
    <n v="219652"/>
    <m/>
    <m/>
  </r>
  <r>
    <x v="4"/>
    <x v="1"/>
    <s v="F:\Données chgh\2020-CHG-CZA-Test-1\plaque 1/@04 EE2 76/B4_03.tif "/>
    <s v=" 3525.6728 "/>
    <s v=" 64.135 "/>
    <x v="0"/>
    <n v="226119"/>
    <m/>
    <m/>
  </r>
  <r>
    <x v="4"/>
    <x v="2"/>
    <s v="F:\Données chgh\2020-CHG-CZA-Test-1\plaque 1/@04 EE2 76/C4_01.tif "/>
    <s v=" 5753.552 "/>
    <s v=" 69.4211 "/>
    <x v="0"/>
    <n v="399418"/>
    <m/>
    <m/>
  </r>
  <r>
    <x v="4"/>
    <x v="2"/>
    <s v="F:\Données chgh\2020-CHG-CZA-Test-1\plaque 1/@04 EE2 76/C4_02.tif "/>
    <s v=" 1319.4236 "/>
    <s v=" 65.082 "/>
    <x v="0"/>
    <n v="85871"/>
    <m/>
    <m/>
  </r>
  <r>
    <x v="4"/>
    <x v="2"/>
    <s v="F:\Données chgh\2020-CHG-CZA-Test-1\plaque 1/@04 EE2 76/C4_03- exclu.tif"/>
    <m/>
    <m/>
    <x v="1"/>
    <m/>
    <m/>
    <m/>
  </r>
  <r>
    <x v="4"/>
    <x v="3"/>
    <s v="F:\Données chgh\2020-CHG-CZA-Test-1\plaque 1/@04 EE2 76/D4_01.tif "/>
    <s v=" 4088.0501 "/>
    <s v=" 65.0582 "/>
    <x v="0"/>
    <n v="265961"/>
    <m/>
    <m/>
  </r>
  <r>
    <x v="4"/>
    <x v="3"/>
    <s v="F:\Données chgh\2020-CHG-CZA-Test-1\plaque 1/@04 EE2 76/D4_02.tif "/>
    <s v=" 2271.1389 "/>
    <s v=" 64.4 "/>
    <x v="0"/>
    <n v="146261"/>
    <m/>
    <m/>
  </r>
  <r>
    <x v="4"/>
    <x v="3"/>
    <s v="F:\Données chgh\2020-CHG-CZA-Test-1\plaque 1/@04 EE2 76/D4_03.tif "/>
    <s v=" 5623.7726 "/>
    <s v=" 70.6269 "/>
    <x v="0"/>
    <n v="397190"/>
    <m/>
    <m/>
  </r>
  <r>
    <x v="4"/>
    <x v="4"/>
    <s v="F:\Données chgh\2020-CHG-CZA-Test-1\plaque 1/@04 EE2 76/E4_01.tif "/>
    <s v=" 4888.3562 "/>
    <s v=" 64.3761 "/>
    <x v="0"/>
    <n v="314693"/>
    <m/>
    <m/>
  </r>
  <r>
    <x v="4"/>
    <x v="4"/>
    <s v="F:\Données chgh\2020-CHG-CZA-Test-1\plaque 1/@04 EE2 76/E4_02.tif "/>
    <s v=" 7246.0147 "/>
    <s v=" 64.4179 "/>
    <x v="0"/>
    <n v="466773"/>
    <m/>
    <m/>
  </r>
  <r>
    <x v="4"/>
    <x v="4"/>
    <s v="F:\Données chgh\2020-CHG-CZA-Test-1\plaque 1/@04 EE2 76/E4_03.tif "/>
    <s v=" 5104.6551 "/>
    <s v=" 63.5085 "/>
    <x v="0"/>
    <n v="324189"/>
    <m/>
    <m/>
  </r>
  <r>
    <x v="4"/>
    <x v="5"/>
    <s v="F:\Données chgh\2020-CHG-CZA-Test-1\plaque 1/@04 EE2 76/F4_01.tif "/>
    <s v=" 8543.8084 "/>
    <s v=" 64.3696 "/>
    <x v="0"/>
    <n v="549962"/>
    <m/>
    <m/>
  </r>
  <r>
    <x v="4"/>
    <x v="5"/>
    <s v="F:\Données chgh\2020-CHG-CZA-Test-1\plaque 1/@04 EE2 76/F4_02.tif "/>
    <s v=" 6034.7406 "/>
    <s v=" 64.1004 "/>
    <x v="0"/>
    <n v="386829"/>
    <m/>
    <m/>
  </r>
  <r>
    <x v="4"/>
    <x v="5"/>
    <s v="F:\Données chgh\2020-CHG-CZA-Test-1\plaque 1/@04 EE2 76/F4_03.tif "/>
    <s v=" 3828.4913 "/>
    <s v=" 64.1017 "/>
    <x v="0"/>
    <n v="245413"/>
    <m/>
    <m/>
  </r>
  <r>
    <x v="4"/>
    <x v="6"/>
    <s v="F:\Données chgh\2020-CHG-CZA-Test-1\plaque 1/@04 EE2 76/G4_01.tif "/>
    <s v=" 4931.616 "/>
    <s v=" 64.557 "/>
    <x v="0"/>
    <n v="318370"/>
    <m/>
    <m/>
  </r>
  <r>
    <x v="4"/>
    <x v="6"/>
    <s v="F:\Données chgh\2020-CHG-CZA-Test-1\plaque 1/@04 EE2 76/G4_02.tif "/>
    <s v=" 4563.9078 "/>
    <s v=" 66.2749 "/>
    <x v="0"/>
    <n v="302472"/>
    <m/>
    <m/>
  </r>
  <r>
    <x v="4"/>
    <x v="6"/>
    <s v="F:\Données chgh\2020-CHG-CZA-Test-1\plaque 1/@04 EE2 76/G4_03.tif "/>
    <s v=" 1557.3524 "/>
    <s v=" 63.625 "/>
    <x v="0"/>
    <n v="99087"/>
    <m/>
    <m/>
  </r>
  <r>
    <x v="4"/>
    <x v="7"/>
    <s v="F:\Données chgh\2020-CHG-CZA-Test-1\plaque 1/@04 EE2 76/H4_01.tif "/>
    <s v=" 2617.2173 "/>
    <s v=" 64.5289 "/>
    <x v="0"/>
    <n v="168886"/>
    <m/>
    <m/>
  </r>
  <r>
    <x v="4"/>
    <x v="7"/>
    <s v="F:\Données chgh\2020-CHG-CZA-Test-1\plaque 1/@04 EE2 76/H4_02.tif "/>
    <s v=" 4563.9078 "/>
    <s v=" 66.1469 "/>
    <x v="0"/>
    <n v="301888"/>
    <m/>
    <m/>
  </r>
  <r>
    <x v="4"/>
    <x v="7"/>
    <s v="F:\Données chgh\2020-CHG-CZA-Test-1\plaque 1/@04 EE2 76/H4_03.tif "/>
    <s v=" 4672.0572 "/>
    <s v=" 66.287 "/>
    <x v="0"/>
    <n v="309697"/>
    <m/>
    <m/>
  </r>
  <r>
    <x v="1"/>
    <x v="8"/>
    <s v=" "/>
    <m/>
    <m/>
    <x v="1"/>
    <m/>
    <m/>
    <m/>
  </r>
  <r>
    <x v="1"/>
    <x v="8"/>
    <s v="group "/>
    <s v=" "/>
    <s v=" mean of mean fluo "/>
    <x v="2"/>
    <s v=" mean of total fluo "/>
    <s v=" SD total fluo "/>
    <s v=" n fluorescent "/>
  </r>
  <r>
    <x v="4"/>
    <x v="9"/>
    <s v="F:\Données chgh\2020-CHG-CZA-Test-1\plaque 1/@04 EE2 76/ "/>
    <s v=" "/>
    <s v=" 65.06 "/>
    <x v="6"/>
    <s v=" 299639.833 "/>
    <s v=" 130336.41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5"/>
    <x v="0"/>
    <s v="F:\Données chgh\2020-CHG-CZA-Test-1\plaque 1/@05 EE2 114/A5_01.tif "/>
    <s v=" 16460.3498 "/>
    <s v=" 70.2142 "/>
    <x v="0"/>
    <n v="1155750"/>
    <m/>
    <m/>
  </r>
  <r>
    <x v="5"/>
    <x v="0"/>
    <s v="F:\Données chgh\2020-CHG-CZA-Test-1\plaque 1/@05 EE2 114/A5_02.tif "/>
    <s v=" 14708.3283 "/>
    <s v=" 69.4044 "/>
    <x v="0"/>
    <n v="1020823"/>
    <m/>
    <m/>
  </r>
  <r>
    <x v="5"/>
    <x v="0"/>
    <s v="F:\Données chgh\2020-CHG-CZA-Test-1\plaque 1/@05 EE2 114/A5_03.tif "/>
    <s v=" 10144.4206 "/>
    <s v=" 66.8443 "/>
    <x v="0"/>
    <n v="678097"/>
    <m/>
    <m/>
  </r>
  <r>
    <x v="5"/>
    <x v="1"/>
    <s v="F:\Données chgh\2020-CHG-CZA-Test-1\plaque 1/@05 EE2 114/B5_01.tif "/>
    <s v=" 35148.5788 "/>
    <s v=" 68.4037 "/>
    <x v="0"/>
    <n v="2404293"/>
    <m/>
    <m/>
  </r>
  <r>
    <x v="5"/>
    <x v="1"/>
    <s v="F:\Données chgh\2020-CHG-CZA-Test-1\plaque 1/@05 EE2 114/B5_02.tif "/>
    <s v=" 24701.3397 "/>
    <s v=" 66.1813 "/>
    <x v="0"/>
    <n v="1634766"/>
    <m/>
    <m/>
  </r>
  <r>
    <x v="5"/>
    <x v="1"/>
    <s v="F:\Données chgh\2020-CHG-CZA-Test-1\plaque 1/@05 EE2 114/B5_03.tif "/>
    <s v=" 23273.7666 "/>
    <s v=" 66.434 "/>
    <x v="0"/>
    <n v="1546170"/>
    <m/>
    <m/>
  </r>
  <r>
    <x v="5"/>
    <x v="2"/>
    <s v="F:\Données chgh\2020-CHG-CZA-Test-1\plaque 1/@05 EE2 114/C5_01.tif "/>
    <s v=" 26777.8096 "/>
    <s v=" 72.0969 "/>
    <x v="0"/>
    <n v="1930598"/>
    <m/>
    <m/>
  </r>
  <r>
    <x v="5"/>
    <x v="2"/>
    <s v="F:\Données chgh\2020-CHG-CZA-Test-1\plaque 1/@05 EE2 114/C5_02.tif "/>
    <s v=" 26237.0622 "/>
    <s v=" 69.6101 "/>
    <x v="0"/>
    <n v="1826363"/>
    <m/>
    <m/>
  </r>
  <r>
    <x v="5"/>
    <x v="2"/>
    <s v="F:\Données chgh\2020-CHG-CZA-Test-1\plaque 1/@05 EE2 114/C5_03.tif "/>
    <s v=" 28724.5001 "/>
    <s v=" 71.5587 "/>
    <x v="0"/>
    <n v="2055489"/>
    <m/>
    <m/>
  </r>
  <r>
    <x v="5"/>
    <x v="3"/>
    <s v="F:\Données chgh\2020-CHG-CZA-Test-1\plaque 1/@05 EE2 114/D5_01.tif "/>
    <s v=" 9214.3351 "/>
    <s v=" 64.9554 "/>
    <x v="0"/>
    <n v="598521"/>
    <m/>
    <m/>
  </r>
  <r>
    <x v="5"/>
    <x v="3"/>
    <s v="F:\Données chgh\2020-CHG-CZA-Test-1\plaque 1/@05 EE2 114/D5_02.tif "/>
    <s v=" 7462.3136 "/>
    <s v=" 65.3391 "/>
    <x v="0"/>
    <n v="487581"/>
    <m/>
    <m/>
  </r>
  <r>
    <x v="5"/>
    <x v="3"/>
    <s v="F:\Données chgh\2020-CHG-CZA-Test-1\plaque 1/@05 EE2 114/D5_03.tif "/>
    <s v=" 7765.1322 "/>
    <s v=" 65.3565 "/>
    <x v="0"/>
    <n v="507502"/>
    <m/>
    <m/>
  </r>
  <r>
    <x v="5"/>
    <x v="4"/>
    <s v="F:\Données chgh\2020-CHG-CZA-Test-1\plaque 1/@05 EE2 114/E5_01.tif "/>
    <s v=" 12242.5204 "/>
    <s v=" 65.5318 "/>
    <x v="0"/>
    <n v="802274"/>
    <m/>
    <m/>
  </r>
  <r>
    <x v="5"/>
    <x v="4"/>
    <s v="F:\Données chgh\2020-CHG-CZA-Test-1\plaque 1/@05 EE2 114/E5_02.tif "/>
    <s v=" 8868.2568 "/>
    <s v=" 64.7 "/>
    <x v="0"/>
    <n v="573776"/>
    <m/>
    <m/>
  </r>
  <r>
    <x v="5"/>
    <x v="4"/>
    <s v="F:\Données chgh\2020-CHG-CZA-Test-1\plaque 1/@05 EE2 114/E5_03.tif "/>
    <s v=" 8089.5806 "/>
    <s v=" 64.4733 "/>
    <x v="0"/>
    <n v="521562"/>
    <m/>
    <m/>
  </r>
  <r>
    <x v="5"/>
    <x v="5"/>
    <s v="F:\Données chgh\2020-CHG-CZA-Test-1\plaque 1/@05 EE2 114/F5_01.tif "/>
    <s v=" 38933.8103 "/>
    <s v=" 78.3194 "/>
    <x v="0"/>
    <n v="3049274"/>
    <m/>
    <m/>
  </r>
  <r>
    <x v="5"/>
    <x v="5"/>
    <s v="F:\Données chgh\2020-CHG-CZA-Test-1\plaque 1/@05 EE2 114/F5_02- exclu.tif"/>
    <m/>
    <m/>
    <x v="1"/>
    <m/>
    <m/>
    <m/>
  </r>
  <r>
    <x v="5"/>
    <x v="5"/>
    <s v="F:\Données chgh\2020-CHG-CZA-Test-1\plaque 1/@05 EE2 114/F5_03.tif "/>
    <s v=" 26561.5106 "/>
    <s v=" 85.1759 "/>
    <x v="0"/>
    <n v="2262400"/>
    <m/>
    <m/>
  </r>
  <r>
    <x v="5"/>
    <x v="6"/>
    <s v="F:\Données chgh\2020-CHG-CZA-Test-1\plaque 1/@05 EE2 114/G5_01.tif "/>
    <s v=" 67442.0115 "/>
    <s v=" 82.9307 "/>
    <x v="0"/>
    <n v="5593015"/>
    <m/>
    <m/>
  </r>
  <r>
    <x v="5"/>
    <x v="6"/>
    <s v="F:\Données chgh\2020-CHG-CZA-Test-1\plaque 1/@05 EE2 114/G5_02.tif "/>
    <s v=" 56410.7652 "/>
    <s v=" 83.4233 "/>
    <x v="0"/>
    <n v="4705973"/>
    <m/>
    <m/>
  </r>
  <r>
    <x v="5"/>
    <x v="6"/>
    <s v="F:\Données chgh\2020-CHG-CZA-Test-1\plaque 1/@05 EE2 114/G5_03.tif "/>
    <s v=" 57449.0001 "/>
    <s v=" 86.1408 "/>
    <x v="0"/>
    <n v="4948704"/>
    <m/>
    <m/>
  </r>
  <r>
    <x v="5"/>
    <x v="7"/>
    <s v="F:\Données chgh\2020-CHG-CZA-Test-1\plaque 1/@05 EE2 114/H5_01.tif "/>
    <s v=" 34175.2335 "/>
    <s v=" 69.2456 "/>
    <x v="0"/>
    <n v="2366484"/>
    <m/>
    <m/>
  </r>
  <r>
    <x v="5"/>
    <x v="7"/>
    <s v="F:\Données chgh\2020-CHG-CZA-Test-1\plaque 1/@05 EE2 114/H5_02.tif "/>
    <s v=" 31947.3544 "/>
    <s v=" 68.7014 "/>
    <x v="0"/>
    <n v="2194829"/>
    <m/>
    <m/>
  </r>
  <r>
    <x v="5"/>
    <x v="7"/>
    <s v="F:\Données chgh\2020-CHG-CZA-Test-1\plaque 1/@05 EE2 114/H5_03.tif "/>
    <s v=" 34045.4541 "/>
    <s v=" 69.0083 "/>
    <x v="0"/>
    <n v="2349418"/>
    <m/>
    <m/>
  </r>
  <r>
    <x v="1"/>
    <x v="8"/>
    <s v=" "/>
    <m/>
    <m/>
    <x v="1"/>
    <m/>
    <m/>
    <m/>
  </r>
  <r>
    <x v="1"/>
    <x v="8"/>
    <s v="group "/>
    <s v=" "/>
    <s v=" mean of mean fluo "/>
    <x v="2"/>
    <s v=" mean of total fluo "/>
    <s v=" SD total fluo "/>
    <s v=" n fluorescent "/>
  </r>
  <r>
    <x v="5"/>
    <x v="9"/>
    <s v="F:\Données chgh\2020-CHG-CZA-Test-1\plaque 1/@05 EE2 114/ "/>
    <s v=" "/>
    <s v=" 70.8069 "/>
    <x v="7"/>
    <s v=" 1939176.88 "/>
    <s v=" 1427207.2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6"/>
    <x v="0"/>
    <s v="F:\Données chgh\2020-CHG-CZA-Test-1\plaque 1/@06 EE2 171/A6_01.tif "/>
    <s v=" 46223.0848 "/>
    <s v=" 83.8109 "/>
    <x v="0"/>
    <n v="3874001"/>
    <m/>
    <m/>
  </r>
  <r>
    <x v="6"/>
    <x v="0"/>
    <s v="F:\Données chgh\2020-CHG-CZA-Test-1\plaque 1/@06 EE2 171/A6_02.tif "/>
    <s v=" 47672.2878 "/>
    <s v=" 82.5363 "/>
    <x v="0"/>
    <n v="3934694"/>
    <m/>
    <m/>
  </r>
  <r>
    <x v="6"/>
    <x v="0"/>
    <s v="F:\Données chgh\2020-CHG-CZA-Test-1\plaque 1/@06 EE2 171/A6_03.tif "/>
    <s v=" 50094.836 "/>
    <s v=" 74.5069 "/>
    <x v="0"/>
    <n v="3732411"/>
    <m/>
    <m/>
  </r>
  <r>
    <x v="6"/>
    <x v="1"/>
    <s v="F:\Données chgh\2020-CHG-CZA-Test-1\plaque 1/@06 EE2 171/B6_01.tif "/>
    <s v=" 61126.0822 "/>
    <s v=" 82.7176 "/>
    <x v="0"/>
    <n v="5056204"/>
    <m/>
    <m/>
  </r>
  <r>
    <x v="6"/>
    <x v="1"/>
    <s v="F:\Données chgh\2020-CHG-CZA-Test-1\plaque 1/@06 EE2 171/B6_02.tif "/>
    <s v=" 46763.8322 "/>
    <s v=" 69.6138 "/>
    <x v="0"/>
    <n v="3255407"/>
    <m/>
    <m/>
  </r>
  <r>
    <x v="6"/>
    <x v="1"/>
    <s v="F:\Données chgh\2020-CHG-CZA-Test-1\plaque 1/@06 EE2 171/B6_03.tif "/>
    <s v=" 47650.6579 "/>
    <s v=" 81.7476 "/>
    <x v="0"/>
    <n v="3895328"/>
    <m/>
    <m/>
  </r>
  <r>
    <x v="6"/>
    <x v="2"/>
    <s v="F:\Données chgh\2020-CHG-CZA-Test-1\plaque 1/@06 EE2 171/C6_01.tif "/>
    <s v=" 44341.284 "/>
    <s v=" 74.4029 "/>
    <x v="0"/>
    <n v="3299121"/>
    <m/>
    <m/>
  </r>
  <r>
    <x v="6"/>
    <x v="2"/>
    <s v="F:\Données chgh\2020-CHG-CZA-Test-1\plaque 1/@06 EE2 171/C6_02- exclu.tif"/>
    <m/>
    <m/>
    <x v="1"/>
    <m/>
    <m/>
    <m/>
  </r>
  <r>
    <x v="6"/>
    <x v="2"/>
    <s v="F:\Données chgh\2020-CHG-CZA-Test-1\plaque 1/@06 EE2 171/C6_03.tif "/>
    <s v=" 37160.159 "/>
    <s v=" 75.5279 "/>
    <x v="0"/>
    <n v="2806630"/>
    <m/>
    <m/>
  </r>
  <r>
    <x v="6"/>
    <x v="3"/>
    <s v="F:\Données chgh\2020-CHG-CZA-Test-1\plaque 1/@06 EE2 171/D6_01.tif "/>
    <s v=" 56367.5054 "/>
    <s v=" 81.8492 "/>
    <x v="0"/>
    <n v="4613635"/>
    <m/>
    <m/>
  </r>
  <r>
    <x v="6"/>
    <x v="3"/>
    <s v="F:\Données chgh\2020-CHG-CZA-Test-1\plaque 1/@06 EE2 171/D6_02.tif "/>
    <s v=" 52301.0852 "/>
    <s v=" 76.2407 "/>
    <x v="0"/>
    <n v="3987471"/>
    <m/>
    <m/>
  </r>
  <r>
    <x v="6"/>
    <x v="3"/>
    <s v="F:\Données chgh\2020-CHG-CZA-Test-1\plaque 1/@06 EE2 171/D6_03.tif "/>
    <s v=" 54161.2562 "/>
    <s v=" 79.0304 "/>
    <x v="0"/>
    <n v="4280383"/>
    <m/>
    <m/>
  </r>
  <r>
    <x v="6"/>
    <x v="4"/>
    <s v="F:\Données chgh\2020-CHG-CZA-Test-1\plaque 1/@06 EE2 171/E6_01.tif "/>
    <s v=" 47369.4692 "/>
    <s v=" 68.4009 "/>
    <x v="0"/>
    <n v="3240115"/>
    <m/>
    <m/>
  </r>
  <r>
    <x v="6"/>
    <x v="4"/>
    <s v="F:\Données chgh\2020-CHG-CZA-Test-1\plaque 1/@06 EE2 171/E6_02.tif "/>
    <s v=" 35797.4756 "/>
    <s v=" 66.9855 "/>
    <x v="0"/>
    <n v="2397912"/>
    <m/>
    <m/>
  </r>
  <r>
    <x v="6"/>
    <x v="4"/>
    <s v="F:\Données chgh\2020-CHG-CZA-Test-1\plaque 1/@06 EE2 171/E6_03.tif "/>
    <s v=" 37830.6857 "/>
    <s v=" 66.9285 "/>
    <x v="0"/>
    <n v="2531952"/>
    <m/>
    <m/>
  </r>
  <r>
    <x v="6"/>
    <x v="5"/>
    <s v="F:\Données chgh\2020-CHG-CZA-Test-1\plaque 1/@06 EE2 171/F6_01.tif "/>
    <s v=" 38263.2836 "/>
    <s v=" 84.8485 "/>
    <x v="0"/>
    <n v="3246582"/>
    <m/>
    <m/>
  </r>
  <r>
    <x v="6"/>
    <x v="5"/>
    <s v="F:\Données chgh\2020-CHG-CZA-Test-1\plaque 1/@06 EE2 171/F6_02.tif "/>
    <s v=" 38760.7712 "/>
    <s v=" 84.2857 "/>
    <x v="0"/>
    <n v="3266979"/>
    <m/>
    <m/>
  </r>
  <r>
    <x v="6"/>
    <x v="5"/>
    <s v="F:\Données chgh\2020-CHG-CZA-Test-1\plaque 1/@06 EE2 171/F6_03.tif "/>
    <s v=" 33656.116 "/>
    <s v=" 71.8753 "/>
    <x v="0"/>
    <n v="2419044"/>
    <m/>
    <m/>
  </r>
  <r>
    <x v="6"/>
    <x v="6"/>
    <s v="F:\Données chgh\2020-CHG-CZA-Test-1\plaque 1/@06 EE2 171/G6_01.tif "/>
    <s v=" 42697.412 "/>
    <s v=" 85.0755 "/>
    <x v="0"/>
    <n v="3632503"/>
    <m/>
    <m/>
  </r>
  <r>
    <x v="6"/>
    <x v="6"/>
    <s v="F:\Données chgh\2020-CHG-CZA-Test-1\plaque 1/@06 EE2 171/G6_02.tif "/>
    <s v=" 50202.9854 "/>
    <s v=" 83.7156 "/>
    <x v="0"/>
    <n v="4202775"/>
    <m/>
    <m/>
  </r>
  <r>
    <x v="6"/>
    <x v="6"/>
    <s v="F:\Données chgh\2020-CHG-CZA-Test-1\plaque 1/@06 EE2 171/G6_03.tif "/>
    <s v=" 40318.1236 "/>
    <s v=" 86.9694 "/>
    <x v="0"/>
    <n v="3506444"/>
    <m/>
    <m/>
  </r>
  <r>
    <x v="6"/>
    <x v="7"/>
    <s v="F:\Données chgh\2020-CHG-CZA-Test-1\plaque 1/@06 EE2 171/H6_01.tif "/>
    <s v=" 66901.2641 "/>
    <s v=" 74.2768 "/>
    <x v="0"/>
    <n v="4969209"/>
    <m/>
    <m/>
  </r>
  <r>
    <x v="6"/>
    <x v="7"/>
    <s v="F:\Données chgh\2020-CHG-CZA-Test-1\plaque 1/@06 EE2 171/H6_02.tif "/>
    <s v=" 48039.996 "/>
    <s v=" 71.6844 "/>
    <x v="0"/>
    <n v="3443717"/>
    <m/>
    <m/>
  </r>
  <r>
    <x v="6"/>
    <x v="7"/>
    <s v="F:\Données chgh\2020-CHG-CZA-Test-1\plaque 1/@06 EE2 171/H6_03.tif "/>
    <s v=" 57211.0713 "/>
    <s v=" 72.0733 "/>
    <x v="0"/>
    <n v="4123393"/>
    <m/>
    <m/>
  </r>
  <r>
    <x v="1"/>
    <x v="8"/>
    <s v=" "/>
    <m/>
    <m/>
    <x v="1"/>
    <m/>
    <m/>
    <m/>
  </r>
  <r>
    <x v="1"/>
    <x v="8"/>
    <s v="group "/>
    <s v=" "/>
    <s v=" mean of mean fluo "/>
    <x v="2"/>
    <s v=" mean of total fluo "/>
    <s v=" SD total fluo "/>
    <s v=" n fluorescent "/>
  </r>
  <r>
    <x v="6"/>
    <x v="9"/>
    <s v="F:\Données chgh\2020-CHG-CZA-Test-1\plaque 1/@06 EE2 171/ "/>
    <s v=" "/>
    <s v=" 77.1369 "/>
    <x v="8"/>
    <s v=" 3507223.38 "/>
    <s v=" 965775.19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7"/>
    <x v="0"/>
    <s v="F:\Données chgh\2020-CHG-CZA-Test-1\plaque 1/@07 EE2 488/A7_01.tif "/>
    <s v=" 49554.0886 "/>
    <s v=" 91.7599 "/>
    <x v="0"/>
    <n v="4547080"/>
    <m/>
    <m/>
  </r>
  <r>
    <x v="7"/>
    <x v="0"/>
    <s v="F:\Données chgh\2020-CHG-CZA-Test-1\plaque 1/@07 EE2 488/A7_02- exclu.tif"/>
    <m/>
    <m/>
    <x v="1"/>
    <m/>
    <m/>
    <m/>
  </r>
  <r>
    <x v="7"/>
    <x v="0"/>
    <s v="F:\Données chgh\2020-CHG-CZA-Test-1\plaque 1/@07 EE2 488/A7_03.tif "/>
    <s v=" 45055.0705 "/>
    <s v=" 95.5142 "/>
    <x v="0"/>
    <n v="4303397"/>
    <m/>
    <m/>
  </r>
  <r>
    <x v="7"/>
    <x v="1"/>
    <s v="F:\Données chgh\2020-CHG-CZA-Test-1\plaque 1/@07 EE2 488/B7_01.tif "/>
    <s v=" 61039.5626 "/>
    <s v=" 98.7069 "/>
    <x v="0"/>
    <n v="6025029"/>
    <m/>
    <m/>
  </r>
  <r>
    <x v="7"/>
    <x v="1"/>
    <s v="F:\Données chgh\2020-CHG-CZA-Test-1\plaque 1/@07 EE2 488/B7_02.tif "/>
    <s v=" 59438.9504 "/>
    <s v=" 97.7427 "/>
    <x v="0"/>
    <n v="5809725"/>
    <m/>
    <m/>
  </r>
  <r>
    <x v="7"/>
    <x v="1"/>
    <s v="F:\Données chgh\2020-CHG-CZA-Test-1\plaque 1/@07 EE2 488/B7_03.tif "/>
    <s v=" 53533.9892 "/>
    <s v=" 102.459 "/>
    <x v="0"/>
    <n v="5485038"/>
    <m/>
    <m/>
  </r>
  <r>
    <x v="7"/>
    <x v="2"/>
    <s v="F:\Données chgh\2020-CHG-CZA-Test-1\plaque 1/@07 EE2 488/C7_01.tif "/>
    <s v=" 44384.5438 "/>
    <s v=" 97.9454 "/>
    <x v="0"/>
    <n v="4347263"/>
    <m/>
    <m/>
  </r>
  <r>
    <x v="7"/>
    <x v="2"/>
    <s v="F:\Données chgh\2020-CHG-CZA-Test-1\plaque 1/@07 EE2 488/C7_02.tif "/>
    <s v=" 42243.1842 "/>
    <s v=" 96.8285 "/>
    <x v="0"/>
    <n v="4090343"/>
    <m/>
    <m/>
  </r>
  <r>
    <x v="7"/>
    <x v="2"/>
    <s v="F:\Données chgh\2020-CHG-CZA-Test-1\plaque 1/@07 EE2 488/C7_03.tif "/>
    <s v=" 42848.8213 "/>
    <s v=" 98.5512 "/>
    <x v="0"/>
    <n v="4222804"/>
    <m/>
    <m/>
  </r>
  <r>
    <x v="7"/>
    <x v="3"/>
    <s v="F:\Données chgh\2020-CHG-CZA-Test-1\plaque 1/@07 EE2 488/D7_01.tif "/>
    <s v=" 43822.1665 "/>
    <s v=" 86.6204 "/>
    <x v="0"/>
    <n v="3795895"/>
    <m/>
    <m/>
  </r>
  <r>
    <x v="7"/>
    <x v="3"/>
    <s v="F:\Données chgh\2020-CHG-CZA-Test-1\plaque 1/@07 EE2 488/D7_02.tif "/>
    <s v=" 28637.9805 "/>
    <s v=" 83.9479 "/>
    <x v="0"/>
    <n v="2404098"/>
    <m/>
    <m/>
  </r>
  <r>
    <x v="7"/>
    <x v="3"/>
    <s v="F:\Données chgh\2020-CHG-CZA-Test-1\plaque 1/@07 EE2 488/D7_03.tif "/>
    <s v=" 29784.3649 "/>
    <s v=" 90.3784 "/>
    <x v="0"/>
    <n v="2691862"/>
    <m/>
    <m/>
  </r>
  <r>
    <x v="7"/>
    <x v="4"/>
    <s v="F:\Données chgh\2020-CHG-CZA-Test-1\plaque 1/@07 EE2 488/E7_01.tif "/>
    <s v=" 45292.9994 "/>
    <s v=" 81.6872 "/>
    <x v="0"/>
    <n v="3699858"/>
    <m/>
    <m/>
  </r>
  <r>
    <x v="7"/>
    <x v="4"/>
    <s v="F:\Données chgh\2020-CHG-CZA-Test-1\plaque 1/@07 EE2 488/E7_02.tif "/>
    <s v=" 42264.8141 "/>
    <s v=" 77.9273 "/>
    <x v="0"/>
    <n v="3293584"/>
    <m/>
    <m/>
  </r>
  <r>
    <x v="7"/>
    <x v="4"/>
    <s v="F:\Données chgh\2020-CHG-CZA-Test-1\plaque 1/@07 EE2 488/E7_03.tif "/>
    <s v=" 40534.4225 "/>
    <s v=" 78.4744 "/>
    <x v="0"/>
    <n v="3180914"/>
    <m/>
    <m/>
  </r>
  <r>
    <x v="7"/>
    <x v="5"/>
    <s v="F:\Données chgh\2020-CHG-CZA-Test-1\plaque 1/@07 EE2 488/F7_01.tif "/>
    <s v=" 50981.6616 "/>
    <s v=" 74.1561 "/>
    <x v="0"/>
    <n v="3780603"/>
    <m/>
    <m/>
  </r>
  <r>
    <x v="7"/>
    <x v="5"/>
    <s v="F:\Données chgh\2020-CHG-CZA-Test-1\plaque 1/@07 EE2 488/F7_02.tif "/>
    <s v=" 44903.6612 "/>
    <s v=" 74.6431 "/>
    <x v="0"/>
    <n v="3351747"/>
    <m/>
    <m/>
  </r>
  <r>
    <x v="7"/>
    <x v="5"/>
    <s v="F:\Données chgh\2020-CHG-CZA-Test-1\plaque 1/@07 EE2 488/F7_03.tif "/>
    <s v=" 47845.3269 "/>
    <s v=" 77.745 "/>
    <x v="0"/>
    <n v="3719736"/>
    <m/>
    <m/>
  </r>
  <r>
    <x v="7"/>
    <x v="6"/>
    <s v="F:\Données chgh\2020-CHG-CZA-Test-1\plaque 1/@07 EE2 488/G7_01.tif "/>
    <s v=" 72546.6666 "/>
    <s v=" 82.8113 "/>
    <x v="0"/>
    <n v="6007682"/>
    <m/>
    <m/>
  </r>
  <r>
    <x v="7"/>
    <x v="6"/>
    <s v="F:\Données chgh\2020-CHG-CZA-Test-1\plaque 1/@07 EE2 488/G7_02.tif "/>
    <s v=" 78754.4463 "/>
    <s v=" 85.7243 "/>
    <x v="0"/>
    <n v="6751166"/>
    <m/>
    <m/>
  </r>
  <r>
    <x v="7"/>
    <x v="6"/>
    <s v="F:\Données chgh\2020-CHG-CZA-Test-1\plaque 1/@07 EE2 488/G7_03.tif "/>
    <s v=" 75012.4746 "/>
    <s v=" 83.7901 "/>
    <x v="0"/>
    <n v="6285301"/>
    <m/>
    <m/>
  </r>
  <r>
    <x v="7"/>
    <x v="7"/>
    <s v="F:\Données chgh\2020-CHG-CZA-Test-1\plaque 1/@07 EE2 488/H7_01.tif "/>
    <s v=" 70059.2287 "/>
    <s v=" 103.8151 "/>
    <x v="0"/>
    <n v="7273203"/>
    <m/>
    <m/>
  </r>
  <r>
    <x v="7"/>
    <x v="7"/>
    <s v="F:\Données chgh\2020-CHG-CZA-Test-1\plaque 1/@07 EE2 488/H7_02.tif "/>
    <s v=" 68674.9154 "/>
    <s v=" 103.005 "/>
    <x v="0"/>
    <n v="7073862"/>
    <m/>
    <m/>
  </r>
  <r>
    <x v="7"/>
    <x v="7"/>
    <s v="F:\Données chgh\2020-CHG-CZA-Test-1\plaque 1/@07 EE2 488/H7_03.tif "/>
    <s v=" 73109.0438 "/>
    <s v=" 103.8896 "/>
    <x v="0"/>
    <n v="7595273"/>
    <m/>
    <m/>
  </r>
  <r>
    <x v="1"/>
    <x v="8"/>
    <s v=" "/>
    <m/>
    <m/>
    <x v="1"/>
    <m/>
    <m/>
    <m/>
  </r>
  <r>
    <x v="1"/>
    <x v="8"/>
    <s v="group "/>
    <s v=" "/>
    <s v=" mean of mean fluo "/>
    <x v="2"/>
    <s v=" mean of total fluo "/>
    <s v=" SD total fluo "/>
    <s v=" n fluorescent "/>
  </r>
  <r>
    <x v="7"/>
    <x v="9"/>
    <s v="F:\Données chgh\2020-CHG-CZA-Test-1\plaque 1/@07 EE2 488/ "/>
    <s v=" "/>
    <s v=" 88.8697 "/>
    <x v="9"/>
    <s v=" 4576979.42 "/>
    <s v=" 1785142.7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8"/>
    <x v="0"/>
    <s v="F:\Données chgh\2020-CHG-CZA-Test-1\plaque 1/@08 Pro 12/A8_01.tif "/>
    <s v=" 237.9288 "/>
    <s v=" 64.9091 "/>
    <x v="0"/>
    <n v="15444"/>
    <m/>
    <m/>
  </r>
  <r>
    <x v="8"/>
    <x v="0"/>
    <s v="F:\Données chgh\2020-CHG-CZA-Test-1\plaque 1/@08 Pro 12/A8_02.tif "/>
    <s v=" 2595.5874 "/>
    <s v=" 63.9333 "/>
    <x v="0"/>
    <n v="165945"/>
    <m/>
    <m/>
  </r>
  <r>
    <x v="8"/>
    <x v="0"/>
    <s v="F:\Données chgh\2020-CHG-CZA-Test-1\plaque 1/@08 Pro 12/A8_03.tif "/>
    <s v=" 3612.1924 "/>
    <s v=" 67.1976 "/>
    <x v="0"/>
    <n v="242731"/>
    <m/>
    <m/>
  </r>
  <r>
    <x v="8"/>
    <x v="1"/>
    <s v="F:\Données chgh\2020-CHG-CZA-Test-1\plaque 1/@08 Pro 12/B8_01.tif "/>
    <s v=" 1059.8648 "/>
    <s v=" 64.6735 "/>
    <x v="0"/>
    <n v="68545"/>
    <m/>
    <m/>
  </r>
  <r>
    <x v="8"/>
    <x v="1"/>
    <s v="F:\Données chgh\2020-CHG-CZA-Test-1\plaque 1/@08 Pro 12/B8_02.tif "/>
    <s v=" 994.9752 "/>
    <s v=" 64.4783 "/>
    <x v="0"/>
    <n v="64154"/>
    <m/>
    <m/>
  </r>
  <r>
    <x v="8"/>
    <x v="1"/>
    <s v="F:\Données chgh\2020-CHG-CZA-Test-1\plaque 1/@08 Pro 12/B8_03.tif "/>
    <s v=" 1557.3524 "/>
    <s v=" 69.1528 "/>
    <x v="0"/>
    <n v="107695"/>
    <m/>
    <m/>
  </r>
  <r>
    <x v="8"/>
    <x v="2"/>
    <s v="F:\Données chgh\2020-CHG-CZA-Test-1\plaque 1/@08 Pro 12/C8_01.tif "/>
    <s v=" 259.5587 "/>
    <s v=" 63.5833 "/>
    <x v="0"/>
    <n v="16504"/>
    <m/>
    <m/>
  </r>
  <r>
    <x v="8"/>
    <x v="2"/>
    <s v="F:\Données chgh\2020-CHG-CZA-Test-1\plaque 1/@08 Pro 12/C8_02- exclu.tif"/>
    <m/>
    <m/>
    <x v="1"/>
    <m/>
    <m/>
    <m/>
  </r>
  <r>
    <x v="8"/>
    <x v="2"/>
    <s v="F:\Données chgh\2020-CHG-CZA-Test-1\plaque 1/@08 Pro 12/C8_03.tif "/>
    <s v=" 237.9288 "/>
    <s v=" 64.4545 "/>
    <x v="0"/>
    <n v="15336"/>
    <m/>
    <m/>
  </r>
  <r>
    <x v="8"/>
    <x v="3"/>
    <s v="F:\Données chgh\2020-CHG-CZA-Test-1\plaque 1/@08 Pro 12/D8_01.tif "/>
    <s v=" 1038.2349 "/>
    <s v=" 62.8958 "/>
    <x v="0"/>
    <n v="65301"/>
    <m/>
    <m/>
  </r>
  <r>
    <x v="8"/>
    <x v="3"/>
    <s v="F:\Données chgh\2020-CHG-CZA-Test-1\plaque 1/@08 Pro 12/D8_02.tif "/>
    <s v=" 6121.2602 "/>
    <s v=" 69.6537 "/>
    <x v="0"/>
    <n v="426368"/>
    <m/>
    <m/>
  </r>
  <r>
    <x v="8"/>
    <x v="3"/>
    <s v="F:\Données chgh\2020-CHG-CZA-Test-1\plaque 1/@08 Pro 12/D8_03.tif "/>
    <s v=" 5256.0644 "/>
    <s v=" 69.3457 "/>
    <x v="0"/>
    <n v="364485"/>
    <m/>
    <m/>
  </r>
  <r>
    <x v="8"/>
    <x v="4"/>
    <s v="F:\Données chgh\2020-CHG-CZA-Test-1\plaque 1/@08 Pro 12/E8_01.tif "/>
    <s v=" 821.936 "/>
    <s v=" 67.0263 "/>
    <x v="0"/>
    <n v="55091"/>
    <m/>
    <m/>
  </r>
  <r>
    <x v="8"/>
    <x v="4"/>
    <s v="F:\Données chgh\2020-CHG-CZA-Test-1\plaque 1/@08 Pro 12/E8_02.tif "/>
    <s v=" 1103.1246 "/>
    <s v=" 64.5882 "/>
    <x v="0"/>
    <n v="71249"/>
    <m/>
    <m/>
  </r>
  <r>
    <x v="8"/>
    <x v="4"/>
    <s v="F:\Données chgh\2020-CHG-CZA-Test-1\plaque 1/@08 Pro 12/E8_03.tif "/>
    <s v=" 302.8185 "/>
    <s v=" 63.5 "/>
    <x v="0"/>
    <n v="19229"/>
    <m/>
    <m/>
  </r>
  <r>
    <x v="8"/>
    <x v="5"/>
    <s v="F:\Données chgh\2020-CHG-CZA-Test-1\plaque 1/@08 Pro 12/F8_01.tif "/>
    <s v=" 1124.7545 "/>
    <s v=" 63.1154 "/>
    <x v="0"/>
    <n v="70989"/>
    <m/>
    <m/>
  </r>
  <r>
    <x v="8"/>
    <x v="5"/>
    <s v="F:\Données chgh\2020-CHG-CZA-Test-1\plaque 1/@08 Pro 12/F8_02.tif "/>
    <s v=" 1557.3524 "/>
    <s v=" 65.4861 "/>
    <x v="0"/>
    <n v="101985"/>
    <m/>
    <m/>
  </r>
  <r>
    <x v="8"/>
    <x v="5"/>
    <s v="F:\Données chgh\2020-CHG-CZA-Test-1\plaque 1/@08 Pro 12/F8_03.tif "/>
    <s v=" 951.7154 "/>
    <s v=" 64.6591 "/>
    <x v="0"/>
    <n v="61537"/>
    <m/>
    <m/>
  </r>
  <r>
    <x v="8"/>
    <x v="6"/>
    <s v="F:\Données chgh\2020-CHG-CZA-Test-1\plaque 1/@08 Pro 12/G8_01.tif "/>
    <s v=" 8522.1785 "/>
    <s v=" 66.665 "/>
    <x v="0"/>
    <n v="568131"/>
    <m/>
    <m/>
  </r>
  <r>
    <x v="8"/>
    <x v="6"/>
    <s v="F:\Données chgh\2020-CHG-CZA-Test-1\plaque 1/@08 Pro 12/G8_02.tif "/>
    <s v=" 9387.3743 "/>
    <s v=" 68.5691 "/>
    <x v="0"/>
    <n v="643684"/>
    <m/>
    <m/>
  </r>
  <r>
    <x v="8"/>
    <x v="6"/>
    <s v="F:\Données chgh\2020-CHG-CZA-Test-1\plaque 1/@08 Pro 12/G8_03.tif "/>
    <s v=" 5320.9541 "/>
    <s v=" 64.813 "/>
    <x v="0"/>
    <n v="344867"/>
    <m/>
    <m/>
  </r>
  <r>
    <x v="8"/>
    <x v="7"/>
    <s v="F:\Données chgh\2020-CHG-CZA-Test-1\plaque 1/@08 Pro 12/H8_01.tif "/>
    <s v=" 1946.6905 "/>
    <s v=" 65.0222 "/>
    <x v="0"/>
    <n v="126578"/>
    <m/>
    <m/>
  </r>
  <r>
    <x v="8"/>
    <x v="7"/>
    <s v="F:\Données chgh\2020-CHG-CZA-Test-1\plaque 1/@08 Pro 12/H8_02.tif "/>
    <s v=" 4520.648 "/>
    <s v=" 66.622 "/>
    <x v="0"/>
    <n v="301175"/>
    <m/>
    <m/>
  </r>
  <r>
    <x v="8"/>
    <x v="7"/>
    <s v="F:\Données chgh\2020-CHG-CZA-Test-1\plaque 1/@08 Pro 12/H8_03.tif "/>
    <s v=" 519.1175 "/>
    <s v=" 62.9583 "/>
    <x v="0"/>
    <n v="32683"/>
    <m/>
    <m/>
  </r>
  <r>
    <x v="1"/>
    <x v="8"/>
    <s v=" "/>
    <m/>
    <m/>
    <x v="1"/>
    <m/>
    <m/>
    <m/>
  </r>
  <r>
    <x v="1"/>
    <x v="8"/>
    <s v="group "/>
    <s v=" "/>
    <s v=" mean of mean fluo "/>
    <x v="2"/>
    <s v=" mean of total fluo "/>
    <s v=" SD total fluo "/>
    <s v=" n fluorescent "/>
  </r>
  <r>
    <x v="8"/>
    <x v="9"/>
    <s v="F:\Données chgh\2020-CHG-CZA-Test-1\plaque 1/@08 Pro 12/ "/>
    <s v=" "/>
    <s v=" 65.4584 "/>
    <x v="10"/>
    <s v=" 165145.167 "/>
    <s v=" 182220.29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9"/>
    <x v="0"/>
    <s v="F:\Données chgh\2020-CHG-CZA-Test-1\plaque 1/@09 Pro 37/A9_01.tif "/>
    <s v=" 1860.1709 "/>
    <s v=" 65.0581 "/>
    <x v="0"/>
    <n v="121019"/>
    <m/>
    <m/>
  </r>
  <r>
    <x v="9"/>
    <x v="0"/>
    <s v="F:\Données chgh\2020-CHG-CZA-Test-1\plaque 1/@09 Pro 37/A9_02- exclu.tif"/>
    <m/>
    <m/>
    <x v="1"/>
    <m/>
    <m/>
    <m/>
  </r>
  <r>
    <x v="9"/>
    <x v="0"/>
    <s v="F:\Données chgh\2020-CHG-CZA-Test-1\plaque 1/@09 Pro 37/A9_03- exclu.tif"/>
    <m/>
    <m/>
    <x v="1"/>
    <m/>
    <m/>
    <m/>
  </r>
  <r>
    <x v="9"/>
    <x v="1"/>
    <s v="F:\Données chgh\2020-CHG-CZA-Test-1\plaque 1/@09 Pro 37/B9_01.tif "/>
    <s v=" 562.3773 "/>
    <s v=" 62.7692 "/>
    <x v="0"/>
    <n v="35300"/>
    <m/>
    <m/>
  </r>
  <r>
    <x v="9"/>
    <x v="1"/>
    <s v="F:\Données chgh\2020-CHG-CZA-Test-1\plaque 1/@09 Pro 37/B9_02.tif "/>
    <s v=" 410.968 "/>
    <s v=" 62.2105 "/>
    <x v="0"/>
    <n v="25567"/>
    <m/>
    <m/>
  </r>
  <r>
    <x v="9"/>
    <x v="1"/>
    <s v="F:\Données chgh\2020-CHG-CZA-Test-1\plaque 1/@09 Pro 37/B9_03.tif "/>
    <s v=" 259.5587 "/>
    <s v=" 62.8333 "/>
    <x v="0"/>
    <n v="16309"/>
    <m/>
    <m/>
  </r>
  <r>
    <x v="9"/>
    <x v="2"/>
    <s v="F:\Données chgh\2020-CHG-CZA-Test-1\plaque 1/@09 Pro 37/C9_01.tif "/>
    <s v=" 1470.8328 "/>
    <s v=" 63.9559 "/>
    <x v="0"/>
    <n v="94068"/>
    <m/>
    <m/>
  </r>
  <r>
    <x v="9"/>
    <x v="2"/>
    <s v="F:\Données chgh\2020-CHG-CZA-Test-1\plaque 1/@09 Pro 37/C9_02.tif "/>
    <s v=" 2119.7297 "/>
    <s v=" 64.2653 "/>
    <x v="0"/>
    <n v="136225"/>
    <m/>
    <m/>
  </r>
  <r>
    <x v="9"/>
    <x v="2"/>
    <s v="F:\Données chgh\2020-CHG-CZA-Test-1\plaque 1/@09 Pro 37/C9_03.tif "/>
    <s v=" 1687.1318 "/>
    <s v=" 64.859 "/>
    <x v="0"/>
    <n v="109426"/>
    <m/>
    <m/>
  </r>
  <r>
    <x v="9"/>
    <x v="3"/>
    <s v="F:\Données chgh\2020-CHG-CZA-Test-1\plaque 1/@09 Pro 37/D9_01.tif "/>
    <s v=" 475.8577 "/>
    <s v=" 63.0909 "/>
    <x v="0"/>
    <n v="30022"/>
    <m/>
    <m/>
  </r>
  <r>
    <x v="9"/>
    <x v="3"/>
    <s v="F:\Données chgh\2020-CHG-CZA-Test-1\plaque 1/@09 Pro 37/D9_02.tif "/>
    <s v=" 1925.0606 "/>
    <s v=" 64.382 "/>
    <x v="0"/>
    <n v="123939"/>
    <m/>
    <m/>
  </r>
  <r>
    <x v="9"/>
    <x v="3"/>
    <s v="F:\Données chgh\2020-CHG-CZA-Test-1\plaque 1/@09 Pro 37/D9_03.tif "/>
    <s v=" 2768.6265 "/>
    <s v=" 64.6328 "/>
    <x v="0"/>
    <n v="178944"/>
    <m/>
    <m/>
  </r>
  <r>
    <x v="9"/>
    <x v="4"/>
    <s v="F:\Données chgh\2020-CHG-CZA-Test-1\plaque 1/@09 Pro 37/E9_01- exclu.tif"/>
    <m/>
    <m/>
    <x v="1"/>
    <m/>
    <m/>
    <m/>
  </r>
  <r>
    <x v="9"/>
    <x v="4"/>
    <s v="F:\Données chgh\2020-CHG-CZA-Test-1\plaque 1/@09 Pro 37/E9_02- exclu.tif"/>
    <m/>
    <m/>
    <x v="1"/>
    <m/>
    <m/>
    <m/>
  </r>
  <r>
    <x v="9"/>
    <x v="4"/>
    <s v="F:\Données chgh\2020-CHG-CZA-Test-1\plaque 1/@09 Pro 37/E9_03- exclu.tif"/>
    <m/>
    <m/>
    <x v="1"/>
    <m/>
    <m/>
    <m/>
  </r>
  <r>
    <x v="9"/>
    <x v="5"/>
    <s v="F:\Données chgh\2020-CHG-CZA-Test-1\plaque 1/@09 Pro 37/F9_01- exclu.tif"/>
    <m/>
    <m/>
    <x v="1"/>
    <m/>
    <m/>
    <m/>
  </r>
  <r>
    <x v="9"/>
    <x v="5"/>
    <s v="F:\Données chgh\2020-CHG-CZA-Test-1\plaque 1/@09 Pro 37/F9_02.tif "/>
    <s v=" 3136.3347 "/>
    <s v=" 63.1103 "/>
    <x v="0"/>
    <n v="197935"/>
    <m/>
    <m/>
  </r>
  <r>
    <x v="9"/>
    <x v="5"/>
    <s v="F:\Données chgh\2020-CHG-CZA-Test-1\plaque 1/@09 Pro 37/F9_03.tif "/>
    <s v=" 11269.1751 "/>
    <s v=" 66.7927 "/>
    <x v="0"/>
    <n v="752699"/>
    <m/>
    <m/>
  </r>
  <r>
    <x v="9"/>
    <x v="6"/>
    <s v="F:\Données chgh\2020-CHG-CZA-Test-1\plaque 1/@09 Pro 37/G9_01.tif "/>
    <s v=" 800.3061 "/>
    <s v=" 64.1081 "/>
    <x v="0"/>
    <n v="51306"/>
    <m/>
    <m/>
  </r>
  <r>
    <x v="9"/>
    <x v="6"/>
    <s v="F:\Données chgh\2020-CHG-CZA-Test-1\plaque 1/@09 Pro 37/G9_02.tif "/>
    <s v=" 1427.573 "/>
    <s v=" 65.1364 "/>
    <x v="0"/>
    <n v="92987"/>
    <m/>
    <m/>
  </r>
  <r>
    <x v="9"/>
    <x v="6"/>
    <s v="F:\Données chgh\2020-CHG-CZA-Test-1\plaque 1/@09 Pro 37/G9_03.tif "/>
    <s v=" 1405.9432 "/>
    <s v=" 64.7846 "/>
    <x v="0"/>
    <n v="91083"/>
    <m/>
    <m/>
  </r>
  <r>
    <x v="9"/>
    <x v="7"/>
    <s v="F:\Données chgh\2020-CHG-CZA-Test-1\plaque 1/@09 Pro 37/H9_01.tif "/>
    <s v=" 4693.6871 "/>
    <s v=" 70.3548 "/>
    <x v="0"/>
    <n v="330224"/>
    <m/>
    <m/>
  </r>
  <r>
    <x v="9"/>
    <x v="7"/>
    <s v="F:\Données chgh\2020-CHG-CZA-Test-1\plaque 1/@09 Pro 37/H9_02.tif "/>
    <s v=" 1038.2349 "/>
    <s v=" 63.3542 "/>
    <x v="0"/>
    <n v="65777"/>
    <m/>
    <m/>
  </r>
  <r>
    <x v="9"/>
    <x v="7"/>
    <s v="F:\Données chgh\2020-CHG-CZA-Test-1\plaque 1/@09 Pro 37/H9_03.tif "/>
    <s v=" 4023.1604 "/>
    <s v=" 72.8978 "/>
    <x v="0"/>
    <n v="293280"/>
    <m/>
    <m/>
  </r>
  <r>
    <x v="1"/>
    <x v="8"/>
    <s v=" "/>
    <m/>
    <m/>
    <x v="1"/>
    <m/>
    <m/>
    <m/>
  </r>
  <r>
    <x v="1"/>
    <x v="8"/>
    <s v="group "/>
    <s v=" "/>
    <s v=" mean of mean fluo "/>
    <x v="2"/>
    <s v=" mean of total fluo "/>
    <s v=" SD total fluo "/>
    <s v=" n fluorescent "/>
  </r>
  <r>
    <x v="9"/>
    <x v="9"/>
    <s v="F:\Données chgh\2020-CHG-CZA-Test-1\plaque 1/@09 Pro 37/ "/>
    <s v=" "/>
    <s v=" 65.726 "/>
    <x v="11"/>
    <s v=" 165289.375 "/>
    <s v=" 212147.93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0"/>
    <x v="0"/>
    <s v="F:\Données chgh\2020-CHG-CZA-Test-1\plaque 1/@10 Pro 111/A10_01.tif "/>
    <s v=" 8500.5486 "/>
    <s v=" 75.3919 "/>
    <x v="0"/>
    <n v="640872"/>
    <m/>
    <m/>
  </r>
  <r>
    <x v="10"/>
    <x v="0"/>
    <s v="F:\Données chgh\2020-CHG-CZA-Test-1\plaque 1/@10 Pro 111/A10_02.tif "/>
    <s v=" 9279.2248 "/>
    <s v=" 73.2774 "/>
    <x v="0"/>
    <n v="679957"/>
    <m/>
    <m/>
  </r>
  <r>
    <x v="10"/>
    <x v="0"/>
    <s v="F:\Données chgh\2020-CHG-CZA-Test-1\plaque 1/@10 Pro 111/A10_03.tif "/>
    <s v=" 8522.1785 "/>
    <s v=" 76.0279 "/>
    <x v="0"/>
    <n v="647923"/>
    <m/>
    <m/>
  </r>
  <r>
    <x v="10"/>
    <x v="1"/>
    <s v="F:\Données chgh\2020-CHG-CZA-Test-1\plaque 1/@10 Pro 111/B10_01.tif "/>
    <s v=" 475.8577 "/>
    <s v=" 63.4091 "/>
    <x v="0"/>
    <n v="30174"/>
    <m/>
    <m/>
  </r>
  <r>
    <x v="10"/>
    <x v="1"/>
    <s v="F:\Données chgh\2020-CHG-CZA-Test-1\plaque 1/@10 Pro 111/B10_02- exclu.tif"/>
    <m/>
    <m/>
    <x v="1"/>
    <m/>
    <m/>
    <m/>
  </r>
  <r>
    <x v="10"/>
    <x v="1"/>
    <s v="F:\Données chgh\2020-CHG-CZA-Test-1\plaque 1/@10 Pro 111/B10_03- exclu.tif"/>
    <m/>
    <m/>
    <x v="1"/>
    <m/>
    <m/>
    <m/>
  </r>
  <r>
    <x v="10"/>
    <x v="2"/>
    <s v="F:\Données chgh\2020-CHG-CZA-Test-1\plaque 1/@10 Pro 111/C10_01- exclu.tif"/>
    <m/>
    <m/>
    <x v="1"/>
    <m/>
    <m/>
    <m/>
  </r>
  <r>
    <x v="10"/>
    <x v="2"/>
    <s v="F:\Données chgh\2020-CHG-CZA-Test-1\plaque 1/@10 Pro 111/C10_02.tif "/>
    <s v=" 410.968 "/>
    <s v=" 71.7895 "/>
    <x v="0"/>
    <n v="29503"/>
    <m/>
    <m/>
  </r>
  <r>
    <x v="10"/>
    <x v="2"/>
    <s v="F:\Données chgh\2020-CHG-CZA-Test-1\plaque 1/@10 Pro 111/C10_03.tif "/>
    <s v=" 302.8185 "/>
    <s v=" 63.3571 "/>
    <x v="0"/>
    <n v="19186"/>
    <m/>
    <m/>
  </r>
  <r>
    <x v="10"/>
    <x v="3"/>
    <s v="F:\Données chgh\2020-CHG-CZA-Test-1\plaque 1/@10 Pro 111/D10_01.tif "/>
    <s v=" 2660.477 "/>
    <s v=" 66.9675 "/>
    <x v="0"/>
    <n v="178165"/>
    <m/>
    <m/>
  </r>
  <r>
    <x v="10"/>
    <x v="3"/>
    <s v="F:\Données chgh\2020-CHG-CZA-Test-1\plaque 1/@10 Pro 111/D10_02.tif "/>
    <s v=" 951.7154 "/>
    <s v=" 63.5227 "/>
    <x v="0"/>
    <n v="60456"/>
    <m/>
    <m/>
  </r>
  <r>
    <x v="10"/>
    <x v="3"/>
    <s v="F:\Données chgh\2020-CHG-CZA-Test-1\plaque 1/@10 Pro 111/D10_03.tif "/>
    <s v=" 2530.6977 "/>
    <s v=" 67.4615 "/>
    <x v="0"/>
    <n v="170725"/>
    <m/>
    <m/>
  </r>
  <r>
    <x v="10"/>
    <x v="4"/>
    <s v="F:\Données chgh\2020-CHG-CZA-Test-1\plaque 1/@10 Pro 111/E10_01.tif "/>
    <s v=" 1773.6514 "/>
    <s v=" 65.4512 "/>
    <x v="0"/>
    <n v="116088"/>
    <m/>
    <m/>
  </r>
  <r>
    <x v="10"/>
    <x v="4"/>
    <s v="F:\Données chgh\2020-CHG-CZA-Test-1\plaque 1/@10 Pro 111/E10_02.tif "/>
    <s v=" 2119.7297 "/>
    <s v=" 65.1327 "/>
    <x v="0"/>
    <n v="138064"/>
    <m/>
    <m/>
  </r>
  <r>
    <x v="10"/>
    <x v="4"/>
    <s v="F:\Données chgh\2020-CHG-CZA-Test-1\plaque 1/@10 Pro 111/E10_03- exclu.tif"/>
    <m/>
    <m/>
    <x v="1"/>
    <m/>
    <m/>
    <m/>
  </r>
  <r>
    <x v="10"/>
    <x v="5"/>
    <s v="F:\Données chgh\2020-CHG-CZA-Test-1\plaque 1/@10 Pro 111/F10_01.tif "/>
    <s v=" 5602.1427 "/>
    <s v=" 69.2085 "/>
    <x v="0"/>
    <n v="387716"/>
    <m/>
    <m/>
  </r>
  <r>
    <x v="10"/>
    <x v="5"/>
    <s v="F:\Données chgh\2020-CHG-CZA-Test-1\plaque 1/@10 Pro 111/F10_02.tif "/>
    <s v=" 4845.0964 "/>
    <s v=" 68.1429 "/>
    <x v="0"/>
    <n v="330159"/>
    <m/>
    <m/>
  </r>
  <r>
    <x v="10"/>
    <x v="5"/>
    <s v="F:\Données chgh\2020-CHG-CZA-Test-1\plaque 1/@10 Pro 111/F10_03.tif "/>
    <s v=" 2617.2173 "/>
    <s v=" 64.7438 "/>
    <x v="0"/>
    <n v="169449"/>
    <m/>
    <m/>
  </r>
  <r>
    <x v="10"/>
    <x v="6"/>
    <s v="F:\Données chgh\2020-CHG-CZA-Test-1\plaque 1/@10 Pro 111/G10_01.tif "/>
    <s v=" 9473.8938 "/>
    <s v=" 87.5571 "/>
    <x v="0"/>
    <n v="829506"/>
    <m/>
    <m/>
  </r>
  <r>
    <x v="10"/>
    <x v="6"/>
    <s v="F:\Données chgh\2020-CHG-CZA-Test-1\plaque 1/@10 Pro 111/G10_02.tif "/>
    <s v=" 1925.0606 "/>
    <s v=" 64.3708 "/>
    <x v="0"/>
    <n v="123918"/>
    <m/>
    <m/>
  </r>
  <r>
    <x v="10"/>
    <x v="6"/>
    <s v="F:\Données chgh\2020-CHG-CZA-Test-1\plaque 1/@10 Pro 111/G10_03.tif "/>
    <s v=" 1989.9503 "/>
    <s v=" 64.2935 "/>
    <x v="0"/>
    <n v="127941"/>
    <m/>
    <m/>
  </r>
  <r>
    <x v="10"/>
    <x v="7"/>
    <s v="F:\Données chgh\2020-CHG-CZA-Test-1\plaque 1/@10 Pro 111/H10_01.tif "/>
    <s v=" 2638.8471 "/>
    <s v=" 66.123 "/>
    <x v="0"/>
    <n v="174488"/>
    <m/>
    <m/>
  </r>
  <r>
    <x v="10"/>
    <x v="7"/>
    <s v="F:\Données chgh\2020-CHG-CZA-Test-1\plaque 1/@10 Pro 111/H10_02.tif "/>
    <s v=" 1838.541 "/>
    <s v=" 64.9412 "/>
    <x v="0"/>
    <n v="119397"/>
    <m/>
    <m/>
  </r>
  <r>
    <x v="10"/>
    <x v="7"/>
    <s v="F:\Données chgh\2020-CHG-CZA-Test-1\plaque 1/@10 Pro 111/H10_03.tif "/>
    <s v=" 2465.808 "/>
    <s v=" 64.1842 "/>
    <x v="0"/>
    <n v="158266"/>
    <m/>
    <m/>
  </r>
  <r>
    <x v="1"/>
    <x v="8"/>
    <s v=" "/>
    <m/>
    <m/>
    <x v="1"/>
    <m/>
    <m/>
    <m/>
  </r>
  <r>
    <x v="1"/>
    <x v="8"/>
    <s v="group "/>
    <s v=" "/>
    <s v=" mean of mean fluo "/>
    <x v="2"/>
    <s v=" mean of total fluo "/>
    <s v=" SD total fluo "/>
    <s v=" n fluorescent "/>
  </r>
  <r>
    <x v="10"/>
    <x v="9"/>
    <s v="F:\Données chgh\2020-CHG-CZA-Test-1\plaque 1/@10 Pro 111/ "/>
    <s v=" "/>
    <s v=" 67.4797 "/>
    <x v="12"/>
    <s v=" 229689.667 "/>
    <s v=" 233920.46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1"/>
    <x v="0"/>
    <s v="F:\Données chgh\2020-CHG-CZA-Test-1\plaque 1/@11 Pro 333/A11_01.tif "/>
    <s v=" 6445.7086 "/>
    <s v=" 78.0235 "/>
    <x v="0"/>
    <n v="502917"/>
    <m/>
    <m/>
  </r>
  <r>
    <x v="11"/>
    <x v="0"/>
    <s v="F:\Données chgh\2020-CHG-CZA-Test-1\plaque 1/@11 Pro 333/A11_02.tif "/>
    <s v=" 8587.0682 "/>
    <s v=" 73.4836 "/>
    <x v="0"/>
    <n v="631009"/>
    <m/>
    <m/>
  </r>
  <r>
    <x v="11"/>
    <x v="0"/>
    <s v="F:\Données chgh\2020-CHG-CZA-Test-1\plaque 1/@11 Pro 333/A11_03.tif "/>
    <s v=" 6553.8581 "/>
    <s v=" 72.7624 "/>
    <x v="0"/>
    <n v="476874"/>
    <m/>
    <m/>
  </r>
  <r>
    <x v="11"/>
    <x v="1"/>
    <s v="F:\Données chgh\2020-CHG-CZA-Test-1\plaque 1/@11 Pro 333/B11_01.tif "/>
    <s v=" 3482.413 "/>
    <s v=" 66.6087 "/>
    <x v="0"/>
    <n v="231959"/>
    <m/>
    <m/>
  </r>
  <r>
    <x v="11"/>
    <x v="1"/>
    <s v="F:\Données chgh\2020-CHG-CZA-Test-1\plaque 1/@11 Pro 333/B11_02.tif "/>
    <s v=" 3222.8543 "/>
    <s v=" 65.8188 "/>
    <x v="0"/>
    <n v="212124"/>
    <m/>
    <m/>
  </r>
  <r>
    <x v="11"/>
    <x v="1"/>
    <s v="F:\Données chgh\2020-CHG-CZA-Test-1\plaque 1/@11 Pro 333/B11_03.tif "/>
    <s v=" 1038.2349 "/>
    <s v=" 63.4375 "/>
    <x v="0"/>
    <n v="65863"/>
    <m/>
    <m/>
  </r>
  <r>
    <x v="11"/>
    <x v="2"/>
    <s v="F:\Données chgh\2020-CHG-CZA-Test-1\plaque 1/@11 Pro 333/C11_01.tif "/>
    <s v=" 9084.5557 "/>
    <s v=" 74.769 "/>
    <x v="0"/>
    <n v="679244"/>
    <m/>
    <m/>
  </r>
  <r>
    <x v="11"/>
    <x v="2"/>
    <s v="F:\Données chgh\2020-CHG-CZA-Test-1\plaque 1/@11 Pro 333/C11_02.tif "/>
    <s v=" 5991.4808 "/>
    <s v=" 74.9783 "/>
    <x v="0"/>
    <n v="449231"/>
    <m/>
    <m/>
  </r>
  <r>
    <x v="11"/>
    <x v="2"/>
    <s v="F:\Données chgh\2020-CHG-CZA-Test-1\plaque 1/@11 Pro 333/C11_03.tif "/>
    <s v=" 259.5587 "/>
    <s v=" 63.5 "/>
    <x v="0"/>
    <n v="16482"/>
    <m/>
    <m/>
  </r>
  <r>
    <x v="11"/>
    <x v="3"/>
    <s v="F:\Données chgh\2020-CHG-CZA-Test-1\plaque 1/@11 Pro 333/D11_01.tif "/>
    <s v=" 1968.3204 "/>
    <s v=" 63.3297 "/>
    <x v="0"/>
    <n v="124653"/>
    <m/>
    <m/>
  </r>
  <r>
    <x v="11"/>
    <x v="3"/>
    <s v="F:\Données chgh\2020-CHG-CZA-Test-1\plaque 1/@11 Pro 333/D11_02.tif "/>
    <s v=" 1643.872 "/>
    <s v=" 64.1974 "/>
    <x v="0"/>
    <n v="105532"/>
    <m/>
    <m/>
  </r>
  <r>
    <x v="11"/>
    <x v="3"/>
    <s v="F:\Données chgh\2020-CHG-CZA-Test-1\plaque 1/@11 Pro 333/D11_03.tif "/>
    <s v=" 519.1175 "/>
    <s v=" 64.1667 "/>
    <x v="0"/>
    <n v="33310"/>
    <m/>
    <m/>
  </r>
  <r>
    <x v="11"/>
    <x v="4"/>
    <s v="F:\Données chgh\2020-CHG-CZA-Test-1\plaque 1/@11 Pro 333/E11_01.tif "/>
    <s v=" 7419.0539 "/>
    <s v=" 68.7259 "/>
    <x v="0"/>
    <n v="509882"/>
    <m/>
    <m/>
  </r>
  <r>
    <x v="11"/>
    <x v="4"/>
    <s v="F:\Données chgh\2020-CHG-CZA-Test-1\plaque 1/@11 Pro 333/E11_02.tif "/>
    <s v=" 4088.0501 "/>
    <s v=" 65.5397 "/>
    <x v="0"/>
    <n v="267930"/>
    <m/>
    <m/>
  </r>
  <r>
    <x v="11"/>
    <x v="4"/>
    <s v="F:\Données chgh\2020-CHG-CZA-Test-1\plaque 1/@11 Pro 333/E11_03.tif "/>
    <s v=" 6488.9684 "/>
    <s v=" 67.53 "/>
    <x v="0"/>
    <n v="438200"/>
    <m/>
    <m/>
  </r>
  <r>
    <x v="11"/>
    <x v="5"/>
    <s v="F:\Données chgh\2020-CHG-CZA-Test-1\plaque 1/@11 Pro 333/F11_01.tif "/>
    <s v=" 951.7154 "/>
    <s v=" 64.4773 "/>
    <x v="0"/>
    <n v="61364"/>
    <m/>
    <m/>
  </r>
  <r>
    <x v="11"/>
    <x v="5"/>
    <s v="F:\Données chgh\2020-CHG-CZA-Test-1\plaque 1/@11 Pro 333/F11_02.tif "/>
    <s v=" 4390.8686 "/>
    <s v=" 67.8571 "/>
    <x v="0"/>
    <n v="297952"/>
    <m/>
    <m/>
  </r>
  <r>
    <x v="11"/>
    <x v="5"/>
    <s v="F:\Données chgh\2020-CHG-CZA-Test-1\plaque 1/@11 Pro 333/F11_03- exclu.tif"/>
    <m/>
    <m/>
    <x v="1"/>
    <m/>
    <m/>
    <m/>
  </r>
  <r>
    <x v="11"/>
    <x v="6"/>
    <s v="F:\Données chgh\2020-CHG-CZA-Test-1\plaque 1/@11 Pro 333/G11_01.tif "/>
    <s v=" 757.0463 "/>
    <s v=" 65.2571 "/>
    <x v="0"/>
    <n v="49403"/>
    <m/>
    <m/>
  </r>
  <r>
    <x v="11"/>
    <x v="6"/>
    <s v="F:\Données chgh\2020-CHG-CZA-Test-1\plaque 1/@11 Pro 333/G11_02.tif "/>
    <s v=" 951.7154 "/>
    <s v=" 65.8182 "/>
    <x v="0"/>
    <n v="62640"/>
    <m/>
    <m/>
  </r>
  <r>
    <x v="11"/>
    <x v="6"/>
    <s v="F:\Données chgh\2020-CHG-CZA-Test-1\plaque 1/@11 Pro 333/G11_03.tif "/>
    <s v=" 454.2278 "/>
    <s v=" 64.381 "/>
    <x v="0"/>
    <n v="29244"/>
    <m/>
    <m/>
  </r>
  <r>
    <x v="11"/>
    <x v="7"/>
    <s v="F:\Données chgh\2020-CHG-CZA-Test-1\plaque 1/@11 Pro 333/H11_01.tif "/>
    <s v=" 3677.0821 "/>
    <s v=" 65.5706 "/>
    <x v="0"/>
    <n v="241108"/>
    <m/>
    <m/>
  </r>
  <r>
    <x v="11"/>
    <x v="7"/>
    <s v="F:\Données chgh\2020-CHG-CZA-Test-1\plaque 1/@11 Pro 333/H11_02.tif "/>
    <s v=" 8284.2496 "/>
    <s v=" 71.2272 "/>
    <x v="0"/>
    <n v="590064"/>
    <m/>
    <m/>
  </r>
  <r>
    <x v="11"/>
    <x v="7"/>
    <s v="F:\Données chgh\2020-CHG-CZA-Test-1\plaque 1/@11 Pro 333/H11_03.tif "/>
    <s v=" 6186.1499 "/>
    <s v=" 67.958 "/>
    <x v="0"/>
    <n v="420399"/>
    <m/>
    <m/>
  </r>
  <r>
    <x v="1"/>
    <x v="8"/>
    <s v=" "/>
    <m/>
    <m/>
    <x v="1"/>
    <m/>
    <m/>
    <m/>
  </r>
  <r>
    <x v="1"/>
    <x v="8"/>
    <s v="group "/>
    <s v=" "/>
    <s v=" mean of mean fluo "/>
    <x v="2"/>
    <s v=" mean of total fluo "/>
    <s v=" SD total fluo "/>
    <s v=" n fluorescent "/>
  </r>
  <r>
    <x v="11"/>
    <x v="9"/>
    <s v="F:\Données chgh\2020-CHG-CZA-Test-1\plaque 1/@11 Pro 333/ "/>
    <s v=" "/>
    <s v=" 67.6344 "/>
    <x v="13"/>
    <s v=" 272219.5 "/>
    <s v=" 218918.11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2"/>
    <x v="0"/>
    <s v="F:\Données chgh\2020-CHG-CZA-Test-1\plaque 1/@12 Pro 1000/A12_01.tif "/>
    <s v=" 346.0783 "/>
    <s v=" 64.1875 "/>
    <x v="0"/>
    <n v="22214"/>
    <m/>
    <m/>
  </r>
  <r>
    <x v="12"/>
    <x v="0"/>
    <s v="F:\Données chgh\2020-CHG-CZA-Test-1\plaque 1/@12 Pro 1000/A12_02.tif "/>
    <s v=" 6445.7086 "/>
    <s v=" 66.755 "/>
    <x v="0"/>
    <n v="430283"/>
    <m/>
    <m/>
  </r>
  <r>
    <x v="12"/>
    <x v="0"/>
    <s v="F:\Données chgh\2020-CHG-CZA-Test-1\plaque 1/@12 Pro 1000/A12_03.tif "/>
    <s v=" 4131.3099 "/>
    <s v=" 66.0785 "/>
    <x v="0"/>
    <n v="272991"/>
    <m/>
    <m/>
  </r>
  <r>
    <x v="12"/>
    <x v="1"/>
    <s v="F:\Données chgh\2020-CHG-CZA-Test-1\plaque 1/@12 Pro 1000/B12_01- exclu.tif"/>
    <m/>
    <m/>
    <x v="1"/>
    <m/>
    <m/>
    <m/>
  </r>
  <r>
    <x v="12"/>
    <x v="1"/>
    <s v="F:\Données chgh\2020-CHG-CZA-Test-1\plaque 1/@12 Pro 1000/B12_02.tif "/>
    <s v=" 757.0463 "/>
    <s v=" 64.2286 "/>
    <x v="0"/>
    <n v="48624"/>
    <m/>
    <m/>
  </r>
  <r>
    <x v="12"/>
    <x v="1"/>
    <s v="F:\Données chgh\2020-CHG-CZA-Test-1\plaque 1/@12 Pro 1000/B12_03.tif "/>
    <s v=" 497.4876 "/>
    <s v=" 63.6957 "/>
    <x v="0"/>
    <n v="31688"/>
    <m/>
    <m/>
  </r>
  <r>
    <x v="12"/>
    <x v="2"/>
    <s v="F:\Données chgh\2020-CHG-CZA-Test-1\plaque 1/@12 Pro 1000/C12_01.tif "/>
    <s v=" 1600.6122 "/>
    <s v=" 64.8649 "/>
    <x v="0"/>
    <n v="103823"/>
    <m/>
    <m/>
  </r>
  <r>
    <x v="12"/>
    <x v="2"/>
    <s v="F:\Données chgh\2020-CHG-CZA-Test-1\plaque 1/@12 Pro 1000/C12_02.tif "/>
    <s v=" 886.8257 "/>
    <s v=" 64.9024 "/>
    <x v="0"/>
    <n v="57557"/>
    <m/>
    <m/>
  </r>
  <r>
    <x v="12"/>
    <x v="2"/>
    <s v="F:\Données chgh\2020-CHG-CZA-Test-1\plaque 1/@12 Pro 1000/C12_03.tif "/>
    <s v=" 6899.9364 "/>
    <s v=" 68.6803 "/>
    <x v="0"/>
    <n v="473889"/>
    <m/>
    <m/>
  </r>
  <r>
    <x v="12"/>
    <x v="3"/>
    <s v="F:\Données chgh\2020-CHG-CZA-Test-1\plaque 1/@12 Pro 1000/D12_01.tif "/>
    <s v=" 7051.3456 "/>
    <s v=" 72.0429 "/>
    <x v="0"/>
    <n v="508000"/>
    <m/>
    <m/>
  </r>
  <r>
    <x v="12"/>
    <x v="3"/>
    <s v="F:\Données chgh\2020-CHG-CZA-Test-1\plaque 1/@12 Pro 1000/D12_02.tif "/>
    <s v=" 8673.5877 "/>
    <s v=" 72.9401 "/>
    <x v="0"/>
    <n v="632653"/>
    <m/>
    <m/>
  </r>
  <r>
    <x v="12"/>
    <x v="3"/>
    <s v="F:\Données chgh\2020-CHG-CZA-Test-1\plaque 1/@12 Pro 1000/D12_03.tif "/>
    <s v=" 3936.6408 "/>
    <s v=" 68.8022 "/>
    <x v="0"/>
    <n v="270850"/>
    <m/>
    <m/>
  </r>
  <r>
    <x v="12"/>
    <x v="4"/>
    <s v="F:\Données chgh\2020-CHG-CZA-Test-1\plaque 1/@12 Pro 1000/E12_01.tif "/>
    <s v=" 8435.6589 "/>
    <s v=" 82.8513 "/>
    <x v="0"/>
    <n v="698905"/>
    <m/>
    <m/>
  </r>
  <r>
    <x v="12"/>
    <x v="4"/>
    <s v="F:\Données chgh\2020-CHG-CZA-Test-1\plaque 1/@12 Pro 1000/E12_02.tif "/>
    <s v=" 173.0392 "/>
    <n v="63"/>
    <x v="0"/>
    <n v="10901"/>
    <m/>
    <m/>
  </r>
  <r>
    <x v="12"/>
    <x v="4"/>
    <s v="F:\Données chgh\2020-CHG-CZA-Test-1\plaque 1/@12 Pro 1000/E12_03- exclu.tif"/>
    <m/>
    <m/>
    <x v="1"/>
    <m/>
    <m/>
    <m/>
  </r>
  <r>
    <x v="12"/>
    <x v="5"/>
    <s v="F:\Données chgh\2020-CHG-CZA-Test-1\plaque 1/@12 Pro 1000/F12_01.tif "/>
    <s v=" 10144.4206 "/>
    <s v=" 74.5842 "/>
    <x v="0"/>
    <n v="756614"/>
    <m/>
    <m/>
  </r>
  <r>
    <x v="12"/>
    <x v="5"/>
    <s v="F:\Données chgh\2020-CHG-CZA-Test-1\plaque 1/@12 Pro 1000/F12_02.tif "/>
    <s v=" 5169.5448 "/>
    <s v=" 66.9163 "/>
    <x v="0"/>
    <n v="345927"/>
    <m/>
    <m/>
  </r>
  <r>
    <x v="12"/>
    <x v="5"/>
    <s v="F:\Données chgh\2020-CHG-CZA-Test-1\plaque 1/@12 Pro 1000/F12_03.tif "/>
    <s v=" 1643.872 "/>
    <s v=" 69.0526 "/>
    <x v="0"/>
    <n v="113514"/>
    <m/>
    <m/>
  </r>
  <r>
    <x v="12"/>
    <x v="6"/>
    <s v="F:\Données chgh\2020-CHG-CZA-Test-1\plaque 1/@12 Pro 1000/G12_01.tif "/>
    <s v=" 16157.5313 "/>
    <s v=" 81.5194 "/>
    <x v="0"/>
    <n v="1317152"/>
    <m/>
    <m/>
  </r>
  <r>
    <x v="12"/>
    <x v="6"/>
    <s v="F:\Données chgh\2020-CHG-CZA-Test-1\plaque 1/@12 Pro 1000/G12_02.tif "/>
    <s v=" 12977.9368 "/>
    <s v=" 79.3617 "/>
    <x v="0"/>
    <n v="1029951"/>
    <m/>
    <m/>
  </r>
  <r>
    <x v="12"/>
    <x v="6"/>
    <s v="F:\Données chgh\2020-CHG-CZA-Test-1\plaque 1/@12 Pro 1000/G12_03.tif "/>
    <s v=" 13734.9831 "/>
    <s v=" 76.8157 "/>
    <x v="0"/>
    <n v="1055063"/>
    <m/>
    <m/>
  </r>
  <r>
    <x v="12"/>
    <x v="7"/>
    <s v="F:\Données chgh\2020-CHG-CZA-Test-1\plaque 1/@12 Pro 1000/H12_01.tif "/>
    <s v=" 7094.6054 "/>
    <s v=" 75.7165 "/>
    <x v="0"/>
    <n v="537178"/>
    <m/>
    <m/>
  </r>
  <r>
    <x v="12"/>
    <x v="7"/>
    <s v="F:\Données chgh\2020-CHG-CZA-Test-1\plaque 1/@12 Pro 1000/H12_02.tif "/>
    <s v=" 5861.7014 "/>
    <s v=" 73.2768 "/>
    <x v="0"/>
    <n v="429526"/>
    <m/>
    <m/>
  </r>
  <r>
    <x v="12"/>
    <x v="7"/>
    <s v="F:\Données chgh\2020-CHG-CZA-Test-1\plaque 1/@12 Pro 1000/H12_03.tif "/>
    <s v=" 8824.997 "/>
    <s v=" 72.0564 "/>
    <x v="0"/>
    <n v="635897"/>
    <m/>
    <m/>
  </r>
  <r>
    <x v="1"/>
    <x v="8"/>
    <s v=" "/>
    <m/>
    <m/>
    <x v="1"/>
    <m/>
    <m/>
    <m/>
  </r>
  <r>
    <x v="1"/>
    <x v="8"/>
    <s v="group "/>
    <s v=" "/>
    <s v=" mean of mean fluo "/>
    <x v="2"/>
    <s v=" mean of total fluo "/>
    <s v=" SD total fluo "/>
    <s v=" n fluorescent "/>
  </r>
  <r>
    <x v="12"/>
    <x v="9"/>
    <s v="F:\Données chgh\2020-CHG-CZA-Test-1\plaque 1/@12 Pro 1000/ "/>
    <s v=" "/>
    <s v=" 70.3663 "/>
    <x v="14"/>
    <s v=" 435413.292 "/>
    <s v=" 365537.08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3"/>
    <x v="0"/>
    <s v="F:\Données chgh\2020-CHG-CZA-Test-1\plaque 2/@13 Testo 30/A1_01.tif "/>
    <s v=" 30952.3792 "/>
    <s v=" 68.9616 "/>
    <x v="0"/>
    <n v="2134525"/>
    <m/>
    <m/>
  </r>
  <r>
    <x v="13"/>
    <x v="0"/>
    <s v="F:\Données chgh\2020-CHG-CZA-Test-1\plaque 2/@13 Testo 30/A1_02- exclu.tif"/>
    <m/>
    <m/>
    <x v="1"/>
    <m/>
    <m/>
    <m/>
  </r>
  <r>
    <x v="13"/>
    <x v="0"/>
    <s v="F:\Données chgh\2020-CHG-CZA-Test-1\plaque 2/@13 Testo 30/A1_03.tif "/>
    <s v=" 22754.6491 "/>
    <s v=" 66.4981 "/>
    <x v="0"/>
    <n v="1513141"/>
    <m/>
    <m/>
  </r>
  <r>
    <x v="13"/>
    <x v="1"/>
    <s v="F:\Données chgh\2020-CHG-CZA-Test-1\plaque 2/@13 Testo 30/B1_01.tif "/>
    <s v=" 61839.8687 "/>
    <s v=" 89.5841 "/>
    <x v="0"/>
    <n v="5539870"/>
    <m/>
    <m/>
  </r>
  <r>
    <x v="13"/>
    <x v="1"/>
    <s v="F:\Données chgh\2020-CHG-CZA-Test-1\plaque 2/@13 Testo 30/B1_02.tif "/>
    <s v=" 63721.6696 "/>
    <s v=" 91.2685 "/>
    <x v="0"/>
    <n v="5815781"/>
    <m/>
    <m/>
  </r>
  <r>
    <x v="13"/>
    <x v="1"/>
    <s v="F:\Données chgh\2020-CHG-CZA-Test-1\plaque 2/@13 Testo 30/B1_03.tif "/>
    <s v=" 53707.0284 "/>
    <s v=" 89.731 "/>
    <x v="0"/>
    <n v="4819184"/>
    <m/>
    <m/>
  </r>
  <r>
    <x v="13"/>
    <x v="2"/>
    <s v="F:\Données chgh\2020-CHG-CZA-Test-1\plaque 2/@13 Testo 30/C1_01.tif "/>
    <s v=" 30303.4824 "/>
    <s v=" 76.5075 "/>
    <x v="0"/>
    <n v="2318444"/>
    <m/>
    <m/>
  </r>
  <r>
    <x v="13"/>
    <x v="2"/>
    <s v="F:\Données chgh\2020-CHG-CZA-Test-1\plaque 2/@13 Testo 30/C1_02.tif "/>
    <s v=" 27686.2651 "/>
    <s v=" 75.8867 "/>
    <x v="0"/>
    <n v="2101020"/>
    <m/>
    <m/>
  </r>
  <r>
    <x v="13"/>
    <x v="2"/>
    <s v="F:\Données chgh\2020-CHG-CZA-Test-1\plaque 2/@13 Testo 30/C1_03.tif "/>
    <s v=" 32033.8739 "/>
    <s v=" 74.6745 "/>
    <x v="0"/>
    <n v="2392115"/>
    <m/>
    <m/>
  </r>
  <r>
    <x v="13"/>
    <x v="3"/>
    <s v="F:\Données chgh\2020-CHG-CZA-Test-1\plaque 2/@13 Testo 30/D1_01.tif "/>
    <s v=" 51414.2595 "/>
    <s v=" 72.5574 "/>
    <x v="0"/>
    <n v="3730486"/>
    <m/>
    <m/>
  </r>
  <r>
    <x v="13"/>
    <x v="3"/>
    <s v="F:\Données chgh\2020-CHG-CZA-Test-1\plaque 2/@13 Testo 30/D1_02- exclu.tif"/>
    <m/>
    <m/>
    <x v="1"/>
    <m/>
    <m/>
    <m/>
  </r>
  <r>
    <x v="13"/>
    <x v="3"/>
    <s v="F:\Données chgh\2020-CHG-CZA-Test-1\plaque 2/@13 Testo 30/D1_03.tif "/>
    <s v=" 54074.7366 "/>
    <s v=" 72.4916 "/>
    <x v="0"/>
    <n v="3919964"/>
    <m/>
    <m/>
  </r>
  <r>
    <x v="13"/>
    <x v="4"/>
    <s v="F:\Données chgh\2020-CHG-CZA-Test-1\plaque 2/@13 Testo 30/E1_01- exclu.tif"/>
    <m/>
    <m/>
    <x v="1"/>
    <m/>
    <m/>
    <m/>
  </r>
  <r>
    <x v="13"/>
    <x v="4"/>
    <s v="F:\Données chgh\2020-CHG-CZA-Test-1\plaque 2/@13 Testo 30/E1_02.tif "/>
    <s v=" 15097.6665 "/>
    <s v=" 72.0201 "/>
    <x v="0"/>
    <n v="1087335"/>
    <m/>
    <m/>
  </r>
  <r>
    <x v="13"/>
    <x v="4"/>
    <s v="F:\Données chgh\2020-CHG-CZA-Test-1\plaque 2/@13 Testo 30/E1_03- exclu.tif"/>
    <m/>
    <m/>
    <x v="1"/>
    <m/>
    <m/>
    <m/>
  </r>
  <r>
    <x v="13"/>
    <x v="5"/>
    <s v="F:\Données chgh\2020-CHG-CZA-Test-1\plaque 2/@13 Testo 30/F1_01.tif "/>
    <s v=" 4131.3099 "/>
    <s v=" 67.3141 "/>
    <x v="0"/>
    <n v="278096"/>
    <m/>
    <m/>
  </r>
  <r>
    <x v="13"/>
    <x v="5"/>
    <s v="F:\Données chgh\2020-CHG-CZA-Test-1\plaque 2/@13 Testo 30/F1_02.tif "/>
    <s v=" 7592.093 "/>
    <s v=" 70.1425 "/>
    <x v="0"/>
    <n v="532528"/>
    <m/>
    <m/>
  </r>
  <r>
    <x v="13"/>
    <x v="5"/>
    <s v="F:\Données chgh\2020-CHG-CZA-Test-1\plaque 2/@13 Testo 30/F1_03.tif "/>
    <s v=" 519.1175 "/>
    <s v=" 63.6667 "/>
    <x v="0"/>
    <n v="33050"/>
    <m/>
    <m/>
  </r>
  <r>
    <x v="13"/>
    <x v="6"/>
    <s v="F:\Données chgh\2020-CHG-CZA-Test-1\plaque 2/@13 Testo 30/G1_01.tif "/>
    <s v=" 1168.0143 "/>
    <n v="64"/>
    <x v="0"/>
    <n v="74753"/>
    <m/>
    <m/>
  </r>
  <r>
    <x v="13"/>
    <x v="6"/>
    <s v="F:\Données chgh\2020-CHG-CZA-Test-1\plaque 2/@13 Testo 30/G1_02.tif "/>
    <s v=" 3331.0038 "/>
    <s v=" 65.6688 "/>
    <x v="0"/>
    <n v="218743"/>
    <m/>
    <m/>
  </r>
  <r>
    <x v="13"/>
    <x v="6"/>
    <s v="F:\Données chgh\2020-CHG-CZA-Test-1\plaque 2/@13 Testo 30/G1_03.tif "/>
    <s v=" 3417.5234 "/>
    <s v=" 64.5443 "/>
    <x v="0"/>
    <n v="220582"/>
    <m/>
    <m/>
  </r>
  <r>
    <x v="13"/>
    <x v="7"/>
    <s v="F:\Données chgh\2020-CHG-CZA-Test-1\plaque 2/@13 Testo 30/H1_01.tif "/>
    <s v=" 3417.5234 "/>
    <s v=" 65.1203 "/>
    <x v="0"/>
    <n v="222550"/>
    <m/>
    <m/>
  </r>
  <r>
    <x v="13"/>
    <x v="7"/>
    <s v="F:\Données chgh\2020-CHG-CZA-Test-1\plaque 2/@13 Testo 30/H1_02.tif "/>
    <s v=" 2054.84 "/>
    <s v=" 64.6316 "/>
    <x v="0"/>
    <n v="132808"/>
    <m/>
    <m/>
  </r>
  <r>
    <x v="13"/>
    <x v="7"/>
    <s v="F:\Données chgh\2020-CHG-CZA-Test-1\plaque 2/@13 Testo 30/H1_03.tif "/>
    <s v=" 2530.6977 "/>
    <s v=" 64.6068 "/>
    <x v="0"/>
    <n v="163500"/>
    <m/>
    <m/>
  </r>
  <r>
    <x v="1"/>
    <x v="8"/>
    <s v=" "/>
    <m/>
    <m/>
    <x v="1"/>
    <m/>
    <m/>
    <m/>
  </r>
  <r>
    <x v="1"/>
    <x v="8"/>
    <s v="group "/>
    <s v=" "/>
    <s v=" mean of mean fluo "/>
    <x v="2"/>
    <s v=" mean of total fluo "/>
    <s v=" SD total fluo "/>
    <s v=" n fluorescent "/>
  </r>
  <r>
    <x v="13"/>
    <x v="9"/>
    <s v="F:\Données chgh\2020-CHG-CZA-Test-1\plaque 2/@13 Testo 30/ "/>
    <s v=" "/>
    <s v=" 71.2064 "/>
    <x v="15"/>
    <s v=" 1631937.79 "/>
    <s v=" 1862980.0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4"/>
    <x v="0"/>
    <s v="F:\Données chgh\2020-CHG-CZA-Test-1\plaque 2/@14 Testo 30/A2_01.tif "/>
    <s v=" 3287.744 "/>
    <s v=" 63.75 "/>
    <x v="0"/>
    <n v="209594"/>
    <m/>
    <m/>
  </r>
  <r>
    <x v="14"/>
    <x v="0"/>
    <s v="F:\Données chgh\2020-CHG-CZA-Test-1\plaque 2/@14 Testo 30/A2_02.tif "/>
    <s v=" 410.968 "/>
    <s v=" 62.6842 "/>
    <x v="0"/>
    <n v="25761"/>
    <m/>
    <m/>
  </r>
  <r>
    <x v="14"/>
    <x v="0"/>
    <s v="F:\Données chgh\2020-CHG-CZA-Test-1\plaque 2/@14 Testo 30/A2_03.tif "/>
    <s v=" 3482.413 "/>
    <s v=" 63.7888 "/>
    <x v="0"/>
    <n v="222139"/>
    <m/>
    <m/>
  </r>
  <r>
    <x v="14"/>
    <x v="1"/>
    <s v="F:\Données chgh\2020-CHG-CZA-Test-1\plaque 2/@14 Testo 30/B2_01.tif "/>
    <s v=" 497.4876 "/>
    <s v=" 65.3043 "/>
    <x v="0"/>
    <n v="32488"/>
    <m/>
    <m/>
  </r>
  <r>
    <x v="14"/>
    <x v="1"/>
    <s v="F:\Données chgh\2020-CHG-CZA-Test-1\plaque 2/@14 Testo 30/B2_02.tif "/>
    <s v=" 454.2278 "/>
    <s v=" 64.0476 "/>
    <x v="0"/>
    <n v="29092"/>
    <m/>
    <m/>
  </r>
  <r>
    <x v="14"/>
    <x v="1"/>
    <s v="F:\Données chgh\2020-CHG-CZA-Test-1\plaque 2/@14 Testo 30/B2_03.tif "/>
    <s v=" 302.8185 "/>
    <n v="62"/>
    <x v="0"/>
    <n v="18775"/>
    <m/>
    <m/>
  </r>
  <r>
    <x v="14"/>
    <x v="2"/>
    <s v="F:\Données chgh\2020-CHG-CZA-Test-1\plaque 2/@14 Testo 30/C2_01.tif "/>
    <s v=" 23792.8841 "/>
    <s v=" 68.1018 "/>
    <x v="0"/>
    <n v="1620339"/>
    <m/>
    <m/>
  </r>
  <r>
    <x v="14"/>
    <x v="2"/>
    <s v="F:\Données chgh\2020-CHG-CZA-Test-1\plaque 2/@14 Testo 30/C2_02.tif "/>
    <s v=" 25155.5675 "/>
    <s v=" 67.8616 "/>
    <x v="0"/>
    <n v="1707096"/>
    <m/>
    <m/>
  </r>
  <r>
    <x v="14"/>
    <x v="2"/>
    <s v="F:\Données chgh\2020-CHG-CZA-Test-1\plaque 2/@14 Testo 30/C2_03.tif "/>
    <s v=" 32552.9914 "/>
    <s v=" 67.6804 "/>
    <x v="0"/>
    <n v="2203199"/>
    <m/>
    <m/>
  </r>
  <r>
    <x v="14"/>
    <x v="3"/>
    <s v="F:\Données chgh\2020-CHG-CZA-Test-1\plaque 2/@14 Testo 30/D2_01.tif "/>
    <s v=" 11225.9153 "/>
    <s v=" 69.0674 "/>
    <x v="0"/>
    <n v="775345"/>
    <m/>
    <m/>
  </r>
  <r>
    <x v="14"/>
    <x v="3"/>
    <s v="F:\Données chgh\2020-CHG-CZA-Test-1\plaque 2/@14 Testo 30/D2_02.tif "/>
    <s v=" 6726.8972 "/>
    <s v=" 66.8199 "/>
    <x v="0"/>
    <n v="449491"/>
    <m/>
    <m/>
  </r>
  <r>
    <x v="14"/>
    <x v="3"/>
    <s v="F:\Données chgh\2020-CHG-CZA-Test-1\plaque 2/@14 Testo 30/D2_03.tif "/>
    <s v=" 6121.2602 "/>
    <s v=" 64.8657 "/>
    <x v="0"/>
    <n v="397060"/>
    <m/>
    <m/>
  </r>
  <r>
    <x v="14"/>
    <x v="4"/>
    <s v="F:\Données chgh\2020-CHG-CZA-Test-1\plaque 2/@14 Testo 30/E2_01.tif "/>
    <s v=" 13497.0542 "/>
    <s v=" 65.4135 "/>
    <x v="0"/>
    <n v="882889"/>
    <m/>
    <m/>
  </r>
  <r>
    <x v="14"/>
    <x v="4"/>
    <s v="F:\Données chgh\2020-CHG-CZA-Test-1\plaque 2/@14 Testo 30/E2_02.tif "/>
    <s v=" 5147.9149 "/>
    <s v=" 64.3824 "/>
    <x v="0"/>
    <n v="331435"/>
    <m/>
    <m/>
  </r>
  <r>
    <x v="14"/>
    <x v="4"/>
    <s v="F:\Données chgh\2020-CHG-CZA-Test-1\plaque 2/@14 Testo 30/E2_03.tif "/>
    <s v=" 9841.6021 "/>
    <s v=" 65.7626 "/>
    <x v="0"/>
    <n v="647210"/>
    <m/>
    <m/>
  </r>
  <r>
    <x v="14"/>
    <x v="5"/>
    <s v="F:\Données chgh\2020-CHG-CZA-Test-1\plaque 2/@14 Testo 30/F2_01- exclu.tif"/>
    <m/>
    <m/>
    <x v="1"/>
    <m/>
    <m/>
    <m/>
  </r>
  <r>
    <x v="14"/>
    <x v="5"/>
    <s v="F:\Données chgh\2020-CHG-CZA-Test-1\plaque 2/@14 Testo 30/F2_02.tif "/>
    <s v=" 12934.677 "/>
    <s v=" 66.4431 "/>
    <x v="0"/>
    <n v="859421"/>
    <m/>
    <m/>
  </r>
  <r>
    <x v="14"/>
    <x v="5"/>
    <s v="F:\Données chgh\2020-CHG-CZA-Test-1\plaque 2/@14 Testo 30/F2_03.tif "/>
    <s v=" 14643.4387 "/>
    <s v=" 67.2925 "/>
    <x v="0"/>
    <n v="985393"/>
    <m/>
    <m/>
  </r>
  <r>
    <x v="14"/>
    <x v="6"/>
    <s v="F:\Données chgh\2020-CHG-CZA-Test-1\plaque 2/@14 Testo 30/G2_01.tif "/>
    <s v=" 35732.5859 "/>
    <s v=" 70.2869 "/>
    <x v="0"/>
    <n v="2511534"/>
    <m/>
    <m/>
  </r>
  <r>
    <x v="14"/>
    <x v="6"/>
    <s v="F:\Données chgh\2020-CHG-CZA-Test-1\plaque 2/@14 Testo 30/G2_02.tif "/>
    <s v=" 35278.3581 "/>
    <s v=" 71.4715 "/>
    <x v="0"/>
    <n v="2521397"/>
    <m/>
    <m/>
  </r>
  <r>
    <x v="14"/>
    <x v="6"/>
    <s v="F:\Données chgh\2020-CHG-CZA-Test-1\plaque 2/@14 Testo 30/G2_03.tif "/>
    <s v=" 32488.1017 "/>
    <s v=" 69.5326 "/>
    <x v="0"/>
    <n v="2258983"/>
    <m/>
    <m/>
  </r>
  <r>
    <x v="14"/>
    <x v="7"/>
    <s v="F:\Données chgh\2020-CHG-CZA-Test-1\plaque 2/@14 Testo 30/H2_01.tif "/>
    <s v=" 8111.2105 "/>
    <s v=" 65.3013 "/>
    <x v="0"/>
    <n v="529673"/>
    <m/>
    <m/>
  </r>
  <r>
    <x v="14"/>
    <x v="7"/>
    <s v="F:\Données chgh\2020-CHG-CZA-Test-1\plaque 2/@14 Testo 30/H2_02.tif "/>
    <s v=" 2811.8863 "/>
    <s v=" 63.3077 "/>
    <x v="0"/>
    <n v="178014"/>
    <m/>
    <m/>
  </r>
  <r>
    <x v="14"/>
    <x v="7"/>
    <s v="F:\Données chgh\2020-CHG-CZA-Test-1\plaque 2/@14 Testo 30/H2_03.tif "/>
    <s v=" 8587.0682 "/>
    <s v=" 65.7708 "/>
    <x v="0"/>
    <n v="564778"/>
    <m/>
    <m/>
  </r>
  <r>
    <x v="1"/>
    <x v="8"/>
    <s v=" "/>
    <m/>
    <m/>
    <x v="1"/>
    <m/>
    <m/>
    <m/>
  </r>
  <r>
    <x v="1"/>
    <x v="8"/>
    <s v="group "/>
    <s v=" "/>
    <s v=" mean of mean fluo "/>
    <x v="2"/>
    <s v=" mean of total fluo "/>
    <s v=" SD total fluo "/>
    <s v=" n fluorescent "/>
  </r>
  <r>
    <x v="14"/>
    <x v="9"/>
    <s v="F:\Données chgh\2020-CHG-CZA-Test-1\plaque 2/@14 Testo 30/ "/>
    <s v=" "/>
    <s v=" 66.0449 "/>
    <x v="16"/>
    <s v=" 847320.542 "/>
    <s v=" 828239.92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5"/>
    <x v="0"/>
    <s v="F:\Données chgh\2020-CHG-CZA-Test-1\plaque 2/@15 Testo + EE2/A3_01- exclu.tif"/>
    <m/>
    <m/>
    <x v="1"/>
    <m/>
    <m/>
    <m/>
  </r>
  <r>
    <x v="15"/>
    <x v="0"/>
    <s v="F:\Données chgh\2020-CHG-CZA-Test-1\plaque 2/@15 Testo + EE2/A3_02.tif "/>
    <s v=" 25220.4571 "/>
    <s v=" 72.9571 "/>
    <x v="0"/>
    <n v="1840012"/>
    <m/>
    <m/>
  </r>
  <r>
    <x v="15"/>
    <x v="0"/>
    <s v="F:\Données chgh\2020-CHG-CZA-Test-1\plaque 2/@15 Testo + EE2/A3_03.tif "/>
    <s v=" 23619.8449 "/>
    <s v=" 71.8709 "/>
    <x v="0"/>
    <n v="1697579"/>
    <m/>
    <m/>
  </r>
  <r>
    <x v="15"/>
    <x v="1"/>
    <s v="F:\Données chgh\2020-CHG-CZA-Test-1\plaque 2/@15 Testo + EE2/B3_01.tif "/>
    <s v=" 28962.4289 "/>
    <s v=" 66.8686 "/>
    <x v="0"/>
    <n v="1936676"/>
    <m/>
    <m/>
  </r>
  <r>
    <x v="15"/>
    <x v="1"/>
    <s v="F:\Données chgh\2020-CHG-CZA-Test-1\plaque 2/@15 Testo + EE2/B3_02- exclu.tif"/>
    <m/>
    <m/>
    <x v="1"/>
    <m/>
    <m/>
    <m/>
  </r>
  <r>
    <x v="15"/>
    <x v="1"/>
    <s v="F:\Données chgh\2020-CHG-CZA-Test-1\plaque 2/@15 Testo + EE2/B3_03.tif "/>
    <s v=" 21629.8946 "/>
    <s v=" 67.006 "/>
    <x v="0"/>
    <n v="1449333"/>
    <m/>
    <m/>
  </r>
  <r>
    <x v="15"/>
    <x v="2"/>
    <s v="F:\Données chgh\2020-CHG-CZA-Test-1\plaque 2/@15 Testo + EE2/C3_01.tif "/>
    <s v=" 55199.4911 "/>
    <s v=" 81.9083 "/>
    <x v="0"/>
    <n v="4521297"/>
    <m/>
    <m/>
  </r>
  <r>
    <x v="15"/>
    <x v="2"/>
    <s v="F:\Données chgh\2020-CHG-CZA-Test-1\plaque 2/@15 Testo + EE2/C3_02.tif "/>
    <s v=" 50808.6225 "/>
    <s v=" 85.9323 "/>
    <x v="0"/>
    <n v="4366102"/>
    <m/>
    <m/>
  </r>
  <r>
    <x v="15"/>
    <x v="2"/>
    <s v="F:\Données chgh\2020-CHG-CZA-Test-1\plaque 2/@15 Testo + EE2/C3_03.tif "/>
    <s v=" 54377.5551 "/>
    <s v=" 77.0453 "/>
    <x v="0"/>
    <n v="4189538"/>
    <m/>
    <m/>
  </r>
  <r>
    <x v="15"/>
    <x v="3"/>
    <s v="F:\Données chgh\2020-CHG-CZA-Test-1\plaque 2/@15 Testo + EE2/D3_01.tif "/>
    <s v=" 47888.5867 "/>
    <s v=" 83.7877 "/>
    <x v="0"/>
    <n v="4012475"/>
    <m/>
    <m/>
  </r>
  <r>
    <x v="15"/>
    <x v="3"/>
    <s v="F:\Données chgh\2020-CHG-CZA-Test-1\plaque 2/@15 Testo + EE2/D3_02.tif "/>
    <s v=" 50981.6616 "/>
    <s v=" 80.4968 "/>
    <x v="0"/>
    <n v="4103862"/>
    <m/>
    <m/>
  </r>
  <r>
    <x v="15"/>
    <x v="3"/>
    <s v="F:\Données chgh\2020-CHG-CZA-Test-1\plaque 2/@15 Testo + EE2/D3_03.tif "/>
    <s v=" 47239.6899 "/>
    <s v=" 72.6122 "/>
    <x v="0"/>
    <n v="3430177"/>
    <m/>
    <m/>
  </r>
  <r>
    <x v="15"/>
    <x v="4"/>
    <s v="F:\Données chgh\2020-CHG-CZA-Test-1\plaque 2/@15 Testo + EE2/E3_01.tif "/>
    <s v=" 23446.8058 "/>
    <s v=" 73.4926 "/>
    <x v="0"/>
    <n v="1723167"/>
    <m/>
    <m/>
  </r>
  <r>
    <x v="15"/>
    <x v="4"/>
    <s v="F:\Données chgh\2020-CHG-CZA-Test-1\plaque 2/@15 Testo + EE2/E3_02.tif "/>
    <s v=" 25285.3468 "/>
    <s v=" 71.2438 "/>
    <x v="0"/>
    <n v="1801424"/>
    <m/>
    <m/>
  </r>
  <r>
    <x v="15"/>
    <x v="4"/>
    <s v="F:\Données chgh\2020-CHG-CZA-Test-1\plaque 2/@15 Testo + EE2/E3_03.tif "/>
    <s v=" 26777.8096 "/>
    <s v=" 69.9677 "/>
    <x v="0"/>
    <n v="1873581"/>
    <m/>
    <m/>
  </r>
  <r>
    <x v="15"/>
    <x v="5"/>
    <s v="F:\Données chgh\2020-CHG-CZA-Test-1\plaque 2/@15 Testo + EE2/F3_01.tif "/>
    <s v=" 56518.9147 "/>
    <s v=" 76.9591 "/>
    <x v="0"/>
    <n v="4349642"/>
    <m/>
    <m/>
  </r>
  <r>
    <x v="15"/>
    <x v="5"/>
    <s v="F:\Données chgh\2020-CHG-CZA-Test-1\plaque 2/@15 Testo + EE2/F3_02.tif "/>
    <s v=" 59893.1782 "/>
    <s v=" 80.6804 "/>
    <x v="0"/>
    <n v="4832205"/>
    <m/>
    <m/>
  </r>
  <r>
    <x v="15"/>
    <x v="5"/>
    <s v="F:\Données chgh\2020-CHG-CZA-Test-1\plaque 2/@15 Testo + EE2/F3_03.tif "/>
    <s v=" 58141.1568 "/>
    <s v=" 74.8289 "/>
    <x v="0"/>
    <n v="4350637"/>
    <m/>
    <m/>
  </r>
  <r>
    <x v="15"/>
    <x v="6"/>
    <s v="F:\Données chgh\2020-CHG-CZA-Test-1\plaque 2/@15 Testo + EE2/G3_01.tif "/>
    <s v=" 28659.6104 "/>
    <s v=" 72.6309 "/>
    <x v="0"/>
    <n v="2081575"/>
    <m/>
    <m/>
  </r>
  <r>
    <x v="15"/>
    <x v="6"/>
    <s v="F:\Données chgh\2020-CHG-CZA-Test-1\plaque 2/@15 Testo + EE2/G3_02.tif "/>
    <s v=" 13929.6521 "/>
    <s v=" 66.0217 "/>
    <x v="0"/>
    <n v="919660"/>
    <m/>
    <m/>
  </r>
  <r>
    <x v="15"/>
    <x v="6"/>
    <s v="F:\Données chgh\2020-CHG-CZA-Test-1\plaque 2/@15 Testo + EE2/G3_03.tif "/>
    <s v=" 31558.0163 "/>
    <s v=" 76.244 "/>
    <x v="0"/>
    <n v="2406109"/>
    <m/>
    <m/>
  </r>
  <r>
    <x v="15"/>
    <x v="7"/>
    <s v="F:\Données chgh\2020-CHG-CZA-Test-1\plaque 2/@15 Testo + EE2/H3_01.tif "/>
    <s v=" 22646.4997 "/>
    <s v=" 67.5883 "/>
    <x v="0"/>
    <n v="1530639"/>
    <m/>
    <m/>
  </r>
  <r>
    <x v="15"/>
    <x v="7"/>
    <s v="F:\Données chgh\2020-CHG-CZA-Test-1\plaque 2/@15 Testo + EE2/H3_02.tif "/>
    <s v=" 17174.1363 "/>
    <s v=" 66.573 "/>
    <x v="0"/>
    <n v="1143335"/>
    <m/>
    <m/>
  </r>
  <r>
    <x v="15"/>
    <x v="7"/>
    <s v="F:\Données chgh\2020-CHG-CZA-Test-1\plaque 2/@15 Testo + EE2/H3_03.tif "/>
    <s v=" 17065.9869 "/>
    <s v=" 66.398 "/>
    <x v="0"/>
    <n v="1133147"/>
    <m/>
    <m/>
  </r>
  <r>
    <x v="1"/>
    <x v="8"/>
    <s v=" "/>
    <m/>
    <m/>
    <x v="1"/>
    <m/>
    <m/>
    <m/>
  </r>
  <r>
    <x v="1"/>
    <x v="8"/>
    <s v="group "/>
    <s v=" "/>
    <s v=" mean of mean fluo "/>
    <x v="2"/>
    <s v=" mean of total fluo "/>
    <s v=" SD total fluo "/>
    <s v=" n fluorescent "/>
  </r>
  <r>
    <x v="15"/>
    <x v="9"/>
    <s v="F:\Données chgh\2020-CHG-CZA-Test-1\plaque 2/@15 Testo + EE2/ "/>
    <s v=" "/>
    <s v=" 73.0775 "/>
    <x v="17"/>
    <s v=" 2498803.5 "/>
    <s v=" 1487510.6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6"/>
    <x v="0"/>
    <s v="F:\Données chgh\2020-CHG-CZA-Test-1\plaque 2/@16 Testo + FAD/A4_01.tif "/>
    <s v=" 432.5979 "/>
    <s v=" 63.95 "/>
    <x v="0"/>
    <n v="27665"/>
    <m/>
    <m/>
  </r>
  <r>
    <x v="16"/>
    <x v="0"/>
    <s v="F:\Données chgh\2020-CHG-CZA-Test-1\plaque 2/@16 Testo + FAD/A4_02.tif "/>
    <s v=" 151.4093 "/>
    <n v="64"/>
    <x v="0"/>
    <n v="9690"/>
    <m/>
    <m/>
  </r>
  <r>
    <x v="16"/>
    <x v="0"/>
    <s v="F:\Données chgh\2020-CHG-CZA-Test-1\plaque 2/@16 Testo + FAD/A4_03.tif "/>
    <s v=" 324.4484 "/>
    <s v=" 64.6 "/>
    <x v="0"/>
    <n v="20959"/>
    <m/>
    <m/>
  </r>
  <r>
    <x v="16"/>
    <x v="1"/>
    <s v="F:\Données chgh\2020-CHG-CZA-Test-1\plaque 2/@16 Testo + FAD/B4_01- exclu.tif"/>
    <m/>
    <m/>
    <x v="1"/>
    <m/>
    <m/>
    <m/>
  </r>
  <r>
    <x v="16"/>
    <x v="1"/>
    <s v="F:\Données chgh\2020-CHG-CZA-Test-1\plaque 2/@16 Testo + FAD/B4_02- exclu.tif"/>
    <m/>
    <m/>
    <x v="1"/>
    <m/>
    <m/>
    <m/>
  </r>
  <r>
    <x v="16"/>
    <x v="1"/>
    <s v="F:\Données chgh\2020-CHG-CZA-Test-1\plaque 2/@16 Testo + FAD/B4_03.tif "/>
    <s v=" 2768.6265 "/>
    <s v=" 64.8359 "/>
    <x v="0"/>
    <n v="179506"/>
    <m/>
    <m/>
  </r>
  <r>
    <x v="16"/>
    <x v="2"/>
    <s v="F:\Données chgh\2020-CHG-CZA-Test-1\plaque 2/@16 Testo + FAD/C4_01.tif "/>
    <s v=" 4607.1676 "/>
    <s v=" 67.1831 "/>
    <x v="0"/>
    <n v="309524"/>
    <m/>
    <m/>
  </r>
  <r>
    <x v="16"/>
    <x v="2"/>
    <s v="F:\Données chgh\2020-CHG-CZA-Test-1\plaque 2/@16 Testo + FAD/C4_02.tif "/>
    <s v=" 3244.4842 "/>
    <s v=" 70.4267 "/>
    <x v="0"/>
    <n v="228498"/>
    <m/>
    <m/>
  </r>
  <r>
    <x v="16"/>
    <x v="2"/>
    <s v="F:\Données chgh\2020-CHG-CZA-Test-1\plaque 2/@16 Testo + FAD/C4_03.tif "/>
    <s v=" 2119.7297 "/>
    <s v=" 65.8776 "/>
    <x v="0"/>
    <n v="139643"/>
    <m/>
    <m/>
  </r>
  <r>
    <x v="16"/>
    <x v="3"/>
    <s v="F:\Données chgh\2020-CHG-CZA-Test-1\plaque 2/@16 Testo + FAD/D4_01.tif "/>
    <s v=" 6835.0467 "/>
    <s v=" 68.1772 "/>
    <x v="0"/>
    <n v="465994"/>
    <m/>
    <m/>
  </r>
  <r>
    <x v="16"/>
    <x v="3"/>
    <s v="F:\Données chgh\2020-CHG-CZA-Test-1\plaque 2/@16 Testo + FAD/D4_02.tif "/>
    <s v=" 7808.392 "/>
    <s v=" 73.3241 "/>
    <x v="0"/>
    <n v="572543"/>
    <m/>
    <m/>
  </r>
  <r>
    <x v="16"/>
    <x v="3"/>
    <s v="F:\Données chgh\2020-CHG-CZA-Test-1\plaque 2/@16 Testo + FAD/D4_03.tif "/>
    <s v=" 8240.9899 "/>
    <s v=" 69.1391 "/>
    <x v="0"/>
    <n v="569775"/>
    <m/>
    <m/>
  </r>
  <r>
    <x v="16"/>
    <x v="4"/>
    <s v="F:\Données chgh\2020-CHG-CZA-Test-1\plaque 2/@16 Testo + FAD/E4_01.tif "/>
    <s v=" 1168.0143 "/>
    <s v=" 64.8889 "/>
    <x v="0"/>
    <n v="75791"/>
    <m/>
    <m/>
  </r>
  <r>
    <x v="16"/>
    <x v="4"/>
    <s v="F:\Données chgh\2020-CHG-CZA-Test-1\plaque 2/@16 Testo + FAD/E4_02.tif "/>
    <s v=" 1254.5339 "/>
    <s v=" 63.7931 "/>
    <x v="0"/>
    <n v="80031"/>
    <m/>
    <m/>
  </r>
  <r>
    <x v="16"/>
    <x v="4"/>
    <s v="F:\Données chgh\2020-CHG-CZA-Test-1\plaque 2/@16 Testo + FAD/E4_03- exclu.tif"/>
    <m/>
    <m/>
    <x v="1"/>
    <m/>
    <m/>
    <m/>
  </r>
  <r>
    <x v="16"/>
    <x v="5"/>
    <s v="F:\Données chgh\2020-CHG-CZA-Test-1\plaque 2/@16 Testo + FAD/F4_01.tif "/>
    <s v=" 1124.7545 "/>
    <s v=" 64.5385 "/>
    <x v="0"/>
    <n v="72590"/>
    <m/>
    <m/>
  </r>
  <r>
    <x v="16"/>
    <x v="5"/>
    <s v="F:\Données chgh\2020-CHG-CZA-Test-1\plaque 2/@16 Testo + FAD/F4_02.tif "/>
    <s v=" 5320.9541 "/>
    <s v=" 69.4024 "/>
    <x v="0"/>
    <n v="369287"/>
    <m/>
    <m/>
  </r>
  <r>
    <x v="16"/>
    <x v="5"/>
    <s v="F:\Données chgh\2020-CHG-CZA-Test-1\plaque 2/@16 Testo + FAD/F4_03- exclu.tif"/>
    <m/>
    <m/>
    <x v="1"/>
    <m/>
    <m/>
    <m/>
  </r>
  <r>
    <x v="16"/>
    <x v="6"/>
    <s v="F:\Données chgh\2020-CHG-CZA-Test-1\plaque 2/@16 Testo + FAD/G4_01.tif "/>
    <s v=" 9733.4526 "/>
    <s v=" 68.0267 "/>
    <x v="0"/>
    <n v="662134"/>
    <m/>
    <m/>
  </r>
  <r>
    <x v="16"/>
    <x v="6"/>
    <s v="F:\Données chgh\2020-CHG-CZA-Test-1\plaque 2/@16 Testo + FAD/G4_02.tif "/>
    <s v=" 7592.093 "/>
    <s v=" 67.886 "/>
    <x v="0"/>
    <n v="515397"/>
    <m/>
    <m/>
  </r>
  <r>
    <x v="16"/>
    <x v="6"/>
    <s v="F:\Données chgh\2020-CHG-CZA-Test-1\plaque 2/@16 Testo + FAD/G4_03.tif "/>
    <s v=" 2941.6657 "/>
    <s v=" 64.2426 "/>
    <x v="0"/>
    <n v="188980"/>
    <m/>
    <m/>
  </r>
  <r>
    <x v="16"/>
    <x v="7"/>
    <s v="F:\Données chgh\2020-CHG-CZA-Test-1\plaque 2/@16 Testo + FAD/H4_01.tif "/>
    <s v=" 973.3453 "/>
    <s v=" 63.5111 "/>
    <x v="0"/>
    <n v="61818"/>
    <m/>
    <m/>
  </r>
  <r>
    <x v="16"/>
    <x v="7"/>
    <s v="F:\Données chgh\2020-CHG-CZA-Test-1\plaque 2/@16 Testo + FAD/H4_02- exclu.tif"/>
    <m/>
    <m/>
    <x v="1"/>
    <m/>
    <m/>
    <m/>
  </r>
  <r>
    <x v="16"/>
    <x v="7"/>
    <s v="F:\Données chgh\2020-CHG-CZA-Test-1\plaque 2/@16 Testo + FAD/H4_03.tif "/>
    <s v=" 3785.2316 "/>
    <s v=" 70.7029 "/>
    <x v="0"/>
    <n v="267627"/>
    <m/>
    <m/>
  </r>
  <r>
    <x v="1"/>
    <x v="8"/>
    <s v=" "/>
    <m/>
    <m/>
    <x v="1"/>
    <m/>
    <m/>
    <m/>
  </r>
  <r>
    <x v="1"/>
    <x v="8"/>
    <s v="group "/>
    <s v=" "/>
    <s v=" mean of mean fluo "/>
    <x v="2"/>
    <s v=" mean of total fluo "/>
    <s v=" SD total fluo "/>
    <s v=" n fluorescent "/>
  </r>
  <r>
    <x v="16"/>
    <x v="9"/>
    <s v="F:\Données chgh\2020-CHG-CZA-Test-1\plaque 2/@16 Testo + FAD/ "/>
    <s v=" "/>
    <s v=" 66.1834 "/>
    <x v="18"/>
    <s v=" 208516.583 "/>
    <s v=" 209498.47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7"/>
    <x v="0"/>
    <s v="F:\Données chgh\2020-CHG-CZA-Test-1\plaque 2/@17 Testo + Pro 12/A5_01.tif "/>
    <s v=" 4109.68 "/>
    <s v=" 64.0368 "/>
    <x v="0"/>
    <n v="263171"/>
    <m/>
    <m/>
  </r>
  <r>
    <x v="17"/>
    <x v="0"/>
    <s v="F:\Données chgh\2020-CHG-CZA-Test-1\plaque 2/@17 Testo + Pro 12/A5_02- exclu.tif"/>
    <m/>
    <m/>
    <x v="1"/>
    <m/>
    <m/>
    <m/>
  </r>
  <r>
    <x v="17"/>
    <x v="0"/>
    <s v="F:\Données chgh\2020-CHG-CZA-Test-1\plaque 2/@17 Testo + Pro 12/A5_03- exclu.tif"/>
    <m/>
    <m/>
    <x v="1"/>
    <m/>
    <m/>
    <m/>
  </r>
  <r>
    <x v="17"/>
    <x v="1"/>
    <s v="F:\Données chgh\2020-CHG-CZA-Test-1\plaque 2/@17 Testo + Pro 12/B5_01.tif "/>
    <s v=" 52928.3522 "/>
    <s v=" 72.7908 "/>
    <x v="0"/>
    <n v="3852695"/>
    <m/>
    <m/>
  </r>
  <r>
    <x v="17"/>
    <x v="1"/>
    <s v="F:\Données chgh\2020-CHG-CZA-Test-1\plaque 2/@17 Testo + Pro 12/B5_02.tif "/>
    <s v=" 56410.7652 "/>
    <s v=" 72.092 "/>
    <x v="0"/>
    <n v="4066766"/>
    <m/>
    <m/>
  </r>
  <r>
    <x v="17"/>
    <x v="1"/>
    <s v="F:\Données chgh\2020-CHG-CZA-Test-1\plaque 2/@17 Testo + Pro 12/B5_03.tif "/>
    <s v=" 47996.7362 "/>
    <s v=" 73.6706 "/>
    <x v="0"/>
    <n v="3535947"/>
    <m/>
    <m/>
  </r>
  <r>
    <x v="17"/>
    <x v="2"/>
    <s v="F:\Données chgh\2020-CHG-CZA-Test-1\plaque 2/@17 Testo + Pro 12/C5_01.tif "/>
    <s v=" 34694.351 "/>
    <s v=" 68.8959 "/>
    <x v="0"/>
    <n v="2390298"/>
    <m/>
    <m/>
  </r>
  <r>
    <x v="17"/>
    <x v="2"/>
    <s v="F:\Données chgh\2020-CHG-CZA-Test-1\plaque 2/@17 Testo + Pro 12/C5_02.tif "/>
    <s v=" 23944.2934 "/>
    <s v=" 67.2349 "/>
    <x v="0"/>
    <n v="1609891"/>
    <m/>
    <m/>
  </r>
  <r>
    <x v="17"/>
    <x v="2"/>
    <s v="F:\Données chgh\2020-CHG-CZA-Test-1\plaque 2/@17 Testo + Pro 12/C5_03.tif "/>
    <s v=" 20310.4711 "/>
    <s v=" 66.3024 "/>
    <x v="0"/>
    <n v="1346634"/>
    <m/>
    <m/>
  </r>
  <r>
    <x v="17"/>
    <x v="3"/>
    <s v="F:\Données chgh\2020-CHG-CZA-Test-1\plaque 2/@17 Testo + Pro 12/D5_01.tif "/>
    <s v=" 70015.9689 "/>
    <s v=" 73.2654 "/>
    <x v="0"/>
    <n v="5129746"/>
    <m/>
    <m/>
  </r>
  <r>
    <x v="17"/>
    <x v="3"/>
    <s v="F:\Données chgh\2020-CHG-CZA-Test-1\plaque 2/@17 Testo + Pro 12/D5_02.tif "/>
    <s v=" 63375.5913 "/>
    <s v=" 74.285 "/>
    <x v="0"/>
    <n v="4707855"/>
    <m/>
    <m/>
  </r>
  <r>
    <x v="17"/>
    <x v="3"/>
    <s v="F:\Données chgh\2020-CHG-CZA-Test-1\plaque 2/@17 Testo + Pro 12/D5_03.tif "/>
    <s v=" 53555.6191 "/>
    <s v=" 72.42 "/>
    <x v="0"/>
    <n v="3878500"/>
    <m/>
    <m/>
  </r>
  <r>
    <x v="17"/>
    <x v="4"/>
    <s v="F:\Données chgh\2020-CHG-CZA-Test-1\plaque 2/@17 Testo + Pro 12/E5_01.tif "/>
    <s v=" 9949.7515 "/>
    <s v=" 65.2739 "/>
    <x v="0"/>
    <n v="649459"/>
    <m/>
    <m/>
  </r>
  <r>
    <x v="17"/>
    <x v="4"/>
    <s v="F:\Données chgh\2020-CHG-CZA-Test-1\plaque 2/@17 Testo + Pro 12/E5_02.tif "/>
    <s v=" 6121.2602 "/>
    <s v=" 64.1413 "/>
    <x v="0"/>
    <n v="392626"/>
    <m/>
    <m/>
  </r>
  <r>
    <x v="17"/>
    <x v="4"/>
    <s v="F:\Données chgh\2020-CHG-CZA-Test-1\plaque 2/@17 Testo + Pro 12/E5_03.tif "/>
    <s v=" 7959.8012 "/>
    <s v=" 65.6141 "/>
    <x v="0"/>
    <n v="522275"/>
    <m/>
    <m/>
  </r>
  <r>
    <x v="17"/>
    <x v="5"/>
    <s v="F:\Données chgh\2020-CHG-CZA-Test-1\plaque 2/@17 Testo + Pro 12/F5_01.tif "/>
    <s v=" 14037.8016 "/>
    <s v=" 66.6302 "/>
    <x v="0"/>
    <n v="935342"/>
    <m/>
    <m/>
  </r>
  <r>
    <x v="17"/>
    <x v="5"/>
    <s v="F:\Données chgh\2020-CHG-CZA-Test-1\plaque 2/@17 Testo + Pro 12/F5_02.tif "/>
    <s v=" 14859.7376 "/>
    <s v=" 67.7817 "/>
    <x v="0"/>
    <n v="1007218"/>
    <m/>
    <m/>
  </r>
  <r>
    <x v="17"/>
    <x v="5"/>
    <s v="F:\Données chgh\2020-CHG-CZA-Test-1\plaque 2/@17 Testo + Pro 12/F5_03.tif "/>
    <s v=" 18234.0012 "/>
    <s v=" 68.3049 "/>
    <x v="0"/>
    <n v="1245471"/>
    <m/>
    <m/>
  </r>
  <r>
    <x v="17"/>
    <x v="6"/>
    <s v="F:\Données chgh\2020-CHG-CZA-Test-1\plaque 2/@17 Testo + Pro 12/G5_01.tif "/>
    <s v=" 25306.9767 "/>
    <s v=" 68.3051 "/>
    <x v="0"/>
    <n v="1728596"/>
    <m/>
    <m/>
  </r>
  <r>
    <x v="17"/>
    <x v="6"/>
    <s v="F:\Données chgh\2020-CHG-CZA-Test-1\plaque 2/@17 Testo + Pro 12/G5_02.tif "/>
    <s v=" 22970.9481 "/>
    <s v=" 66.5885 "/>
    <x v="0"/>
    <n v="1529601"/>
    <m/>
    <m/>
  </r>
  <r>
    <x v="17"/>
    <x v="6"/>
    <s v="F:\Données chgh\2020-CHG-CZA-Test-1\plaque 2/@17 Testo + Pro 12/G5_03.tif "/>
    <s v=" 16006.122 "/>
    <s v=" 66.7459 "/>
    <x v="0"/>
    <n v="1068344"/>
    <m/>
    <m/>
  </r>
  <r>
    <x v="17"/>
    <x v="7"/>
    <s v="F:\Données chgh\2020-CHG-CZA-Test-1\plaque 2/@17 Testo + Pro 12/H5_01.tif "/>
    <s v=" 12134.3709 "/>
    <s v=" 66.1818 "/>
    <x v="0"/>
    <n v="803075"/>
    <m/>
    <m/>
  </r>
  <r>
    <x v="17"/>
    <x v="7"/>
    <s v="F:\Données chgh\2020-CHG-CZA-Test-1\plaque 2/@17 Testo + Pro 12/H5_02.tif "/>
    <s v=" 8543.8084 "/>
    <s v=" 65.0278 "/>
    <x v="0"/>
    <n v="555585"/>
    <m/>
    <m/>
  </r>
  <r>
    <x v="17"/>
    <x v="7"/>
    <s v="F:\Données chgh\2020-CHG-CZA-Test-1\plaque 2/@17 Testo + Pro 12/H5_03.tif "/>
    <s v=" 3417.5234 "/>
    <s v=" 63.5759 "/>
    <x v="0"/>
    <n v="217272"/>
    <m/>
    <m/>
  </r>
  <r>
    <x v="1"/>
    <x v="8"/>
    <s v=" "/>
    <m/>
    <m/>
    <x v="1"/>
    <m/>
    <m/>
    <m/>
  </r>
  <r>
    <x v="1"/>
    <x v="8"/>
    <s v="group "/>
    <s v=" "/>
    <s v=" mean of mean fluo "/>
    <x v="2"/>
    <s v=" mean of total fluo "/>
    <s v=" SD total fluo "/>
    <s v=" n fluorescent "/>
  </r>
  <r>
    <x v="17"/>
    <x v="9"/>
    <s v="F:\Données chgh\2020-CHG-CZA-Test-1\plaque 2/@17 Testo + Pro 12/ "/>
    <s v=" "/>
    <s v=" 67.8078 "/>
    <x v="19"/>
    <s v=" 1727775.25 "/>
    <s v=" 1584002.9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8"/>
    <x v="0"/>
    <s v="F:\Données chgh\2020-CHG-CZA-Test-1\plaque 2/@18  Testo + Pro 37/A6_01.tif "/>
    <s v=" 56735.2136 "/>
    <s v=" 73.3732 "/>
    <x v="0"/>
    <n v="4162846"/>
    <m/>
    <m/>
  </r>
  <r>
    <x v="18"/>
    <x v="0"/>
    <s v="F:\Données chgh\2020-CHG-CZA-Test-1\plaque 2/@18  Testo + Pro 37/A6_02.tif "/>
    <s v=" 58184.4166 "/>
    <s v=" 72.6833 "/>
    <x v="0"/>
    <n v="4229034"/>
    <m/>
    <m/>
  </r>
  <r>
    <x v="18"/>
    <x v="0"/>
    <s v="F:\Données chgh\2020-CHG-CZA-Test-1\plaque 2/@18  Testo + Pro 37/A6_03.tif "/>
    <s v=" 52560.6439 "/>
    <s v=" 73.0938 "/>
    <x v="0"/>
    <n v="3841859"/>
    <m/>
    <m/>
  </r>
  <r>
    <x v="18"/>
    <x v="1"/>
    <s v="F:\Données chgh\2020-CHG-CZA-Test-1\plaque 2/@18  Testo + Pro 37/B6_01.tif "/>
    <s v=" 39388.0381 "/>
    <s v=" 70.7155 "/>
    <x v="0"/>
    <n v="2785346"/>
    <m/>
    <m/>
  </r>
  <r>
    <x v="18"/>
    <x v="1"/>
    <s v="F:\Données chgh\2020-CHG-CZA-Test-1\plaque 2/@18  Testo + Pro 37/B6_02.tif "/>
    <s v=" 34261.7531 "/>
    <s v=" 70.7449 "/>
    <x v="0"/>
    <n v="2423846"/>
    <m/>
    <m/>
  </r>
  <r>
    <x v="18"/>
    <x v="1"/>
    <s v="F:\Données chgh\2020-CHG-CZA-Test-1\plaque 2/@18  Testo + Pro 37/B6_03.tif "/>
    <s v=" 34715.9809 "/>
    <s v=" 70.99 "/>
    <x v="0"/>
    <n v="2464489"/>
    <m/>
    <m/>
  </r>
  <r>
    <x v="18"/>
    <x v="2"/>
    <s v="F:\Données chgh\2020-CHG-CZA-Test-1\plaque 2/@18  Testo + Pro 37/C6_01.tif "/>
    <s v=" 1838.541 "/>
    <s v=" 68.1647 "/>
    <x v="0"/>
    <n v="125324"/>
    <m/>
    <m/>
  </r>
  <r>
    <x v="18"/>
    <x v="2"/>
    <s v="F:\Données chgh\2020-CHG-CZA-Test-1\plaque 2/@18  Testo + Pro 37/C6_02.tif "/>
    <s v=" 4390.8686 "/>
    <s v=" 68.9951 "/>
    <x v="0"/>
    <n v="302948"/>
    <m/>
    <m/>
  </r>
  <r>
    <x v="18"/>
    <x v="2"/>
    <s v="F:\Données chgh\2020-CHG-CZA-Test-1\plaque 2/@18  Testo + Pro 37/C6_03.tif "/>
    <s v=" 4628.7975 "/>
    <s v=" 67.3645 "/>
    <x v="0"/>
    <n v="311817"/>
    <m/>
    <m/>
  </r>
  <r>
    <x v="18"/>
    <x v="3"/>
    <s v="F:\Données chgh\2020-CHG-CZA-Test-1\plaque 2/@18  Testo + Pro 37/D6_01.tif "/>
    <s v=" 2336.0286 "/>
    <s v=" 66.6852 "/>
    <x v="0"/>
    <n v="155779"/>
    <m/>
    <m/>
  </r>
  <r>
    <x v="18"/>
    <x v="3"/>
    <s v="F:\Données chgh\2020-CHG-CZA-Test-1\plaque 2/@18  Testo + Pro 37/D6_02.tif "/>
    <s v=" 735.4164 "/>
    <s v=" 66.2647 "/>
    <x v="0"/>
    <n v="48732"/>
    <m/>
    <m/>
  </r>
  <r>
    <x v="18"/>
    <x v="3"/>
    <s v="F:\Données chgh\2020-CHG-CZA-Test-1\plaque 2/@18  Testo + Pro 37/D6_03.tif "/>
    <s v=" 1492.4627 "/>
    <s v=" 67.2029 "/>
    <x v="0"/>
    <n v="100298"/>
    <m/>
    <m/>
  </r>
  <r>
    <x v="18"/>
    <x v="4"/>
    <s v="F:\Données chgh\2020-CHG-CZA-Test-1\plaque 2/@18  Testo + Pro 37/E6_01.tif "/>
    <s v=" 10079.5309 "/>
    <s v=" 65.0558 "/>
    <x v="0"/>
    <n v="655732"/>
    <m/>
    <m/>
  </r>
  <r>
    <x v="18"/>
    <x v="4"/>
    <s v="F:\Données chgh\2020-CHG-CZA-Test-1\plaque 2/@18  Testo + Pro 37/E6_02.tif "/>
    <s v=" 10923.0968 "/>
    <s v=" 64.9426 "/>
    <x v="0"/>
    <n v="709374"/>
    <m/>
    <m/>
  </r>
  <r>
    <x v="18"/>
    <x v="4"/>
    <s v="F:\Données chgh\2020-CHG-CZA-Test-1\plaque 2/@18  Testo + Pro 37/E6_03- exclu.tif"/>
    <m/>
    <m/>
    <x v="1"/>
    <m/>
    <m/>
    <m/>
  </r>
  <r>
    <x v="18"/>
    <x v="5"/>
    <s v="F:\Données chgh\2020-CHG-CZA-Test-1\plaque 2/@18  Testo + Pro 37/F6_01.tif "/>
    <s v=" 18536.8197 "/>
    <s v=" 66.9137 "/>
    <x v="0"/>
    <n v="1240366"/>
    <m/>
    <m/>
  </r>
  <r>
    <x v="18"/>
    <x v="5"/>
    <s v="F:\Données chgh\2020-CHG-CZA-Test-1\plaque 2/@18  Testo + Pro 37/F6_02.tif "/>
    <s v=" 13908.0222 "/>
    <s v=" 65.7527 "/>
    <x v="0"/>
    <n v="914490"/>
    <m/>
    <m/>
  </r>
  <r>
    <x v="18"/>
    <x v="5"/>
    <s v="F:\Données chgh\2020-CHG-CZA-Test-1\plaque 2/@18  Testo + Pro 37/F6_03.tif "/>
    <s v=" 18342.1506 "/>
    <s v=" 66.434 "/>
    <x v="0"/>
    <n v="1218542"/>
    <m/>
    <m/>
  </r>
  <r>
    <x v="18"/>
    <x v="6"/>
    <s v="F:\Données chgh\2020-CHG-CZA-Test-1\plaque 2/@18  Testo + Pro 37/G6_01.tif "/>
    <s v=" 3331.0038 "/>
    <s v=" 66.4026 "/>
    <x v="0"/>
    <n v="221187"/>
    <m/>
    <m/>
  </r>
  <r>
    <x v="18"/>
    <x v="6"/>
    <s v="F:\Données chgh\2020-CHG-CZA-Test-1\plaque 2/@18  Testo + Pro 37/G6_02.tif "/>
    <s v=" 5364.2139 "/>
    <s v=" 64.6976 "/>
    <x v="0"/>
    <n v="347052"/>
    <m/>
    <m/>
  </r>
  <r>
    <x v="18"/>
    <x v="6"/>
    <s v="F:\Données chgh\2020-CHG-CZA-Test-1\plaque 2/@18  Testo + Pro 37/G6_03.tif "/>
    <s v=" 2682.1069 "/>
    <s v=" 64.629 "/>
    <x v="0"/>
    <n v="173342"/>
    <m/>
    <m/>
  </r>
  <r>
    <x v="18"/>
    <x v="7"/>
    <s v="F:\Données chgh\2020-CHG-CZA-Test-1\plaque 2/@18  Testo + Pro 37/H6_01.tif "/>
    <s v=" 52452.4945 "/>
    <s v=" 71.7414 "/>
    <x v="0"/>
    <n v="3763018"/>
    <m/>
    <m/>
  </r>
  <r>
    <x v="18"/>
    <x v="7"/>
    <s v="F:\Données chgh\2020-CHG-CZA-Test-1\plaque 2/@18  Testo + Pro 37/H6_02.tif "/>
    <s v=" 54939.9324 "/>
    <s v=" 72.0386 "/>
    <x v="0"/>
    <n v="3957795"/>
    <m/>
    <m/>
  </r>
  <r>
    <x v="18"/>
    <x v="7"/>
    <s v="F:\Données chgh\2020-CHG-CZA-Test-1\plaque 2/@18  Testo + Pro 37/H6_03.tif "/>
    <s v=" 55848.3879 "/>
    <s v=" 71.7293 "/>
    <x v="0"/>
    <n v="4005965"/>
    <m/>
    <m/>
  </r>
  <r>
    <x v="1"/>
    <x v="8"/>
    <s v=" "/>
    <m/>
    <m/>
    <x v="1"/>
    <m/>
    <m/>
    <m/>
  </r>
  <r>
    <x v="1"/>
    <x v="8"/>
    <s v="group "/>
    <s v=" "/>
    <s v=" mean of mean fluo "/>
    <x v="2"/>
    <s v=" mean of total fluo "/>
    <s v=" SD total fluo "/>
    <s v=" n fluorescent "/>
  </r>
  <r>
    <x v="18"/>
    <x v="9"/>
    <s v="F:\Données chgh\2020-CHG-CZA-Test-1\plaque 2/@18  Testo + Pro 37/ "/>
    <s v=" "/>
    <s v=" 68.3249 "/>
    <x v="20"/>
    <s v=" 1590592.25 "/>
    <s v=" 1616050.9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9"/>
    <x v="0"/>
    <s v="F:\Données chgh\2020-CHG-CZA-Test-1\plaque 2/@19 Testo + Pro 111/A7_01.tif "/>
    <s v=" 17498.5848 "/>
    <s v=" 65.8393 "/>
    <x v="0"/>
    <n v="1152095"/>
    <m/>
    <m/>
  </r>
  <r>
    <x v="19"/>
    <x v="0"/>
    <s v="F:\Données chgh\2020-CHG-CZA-Test-1\plaque 2/@19 Testo + Pro 111/A7_02- exclu.tif"/>
    <m/>
    <m/>
    <x v="1"/>
    <m/>
    <m/>
    <m/>
  </r>
  <r>
    <x v="19"/>
    <x v="0"/>
    <s v="F:\Données chgh\2020-CHG-CZA-Test-1\plaque 2/@19 Testo + Pro 111/A7_03.tif "/>
    <s v=" 13388.9048 "/>
    <s v=" 64.7044 "/>
    <x v="0"/>
    <n v="866321"/>
    <m/>
    <m/>
  </r>
  <r>
    <x v="19"/>
    <x v="1"/>
    <s v="F:\Données chgh\2020-CHG-CZA-Test-1\plaque 2/@19 Testo + Pro 111/B7_01.tif "/>
    <s v=" 32488.1017 "/>
    <s v=" 74.4254 "/>
    <x v="0"/>
    <n v="2417941"/>
    <m/>
    <m/>
  </r>
  <r>
    <x v="19"/>
    <x v="1"/>
    <s v="F:\Données chgh\2020-CHG-CZA-Test-1\plaque 2/@19 Testo + Pro 111/B7_02.tif "/>
    <s v=" 25717.9447 "/>
    <s v=" 73.7553 "/>
    <x v="0"/>
    <n v="1896834"/>
    <m/>
    <m/>
  </r>
  <r>
    <x v="19"/>
    <x v="1"/>
    <s v="F:\Données chgh\2020-CHG-CZA-Test-1\plaque 2/@19 Testo + Pro 111/B7_03- exclu.tif"/>
    <m/>
    <m/>
    <x v="1"/>
    <m/>
    <m/>
    <m/>
  </r>
  <r>
    <x v="19"/>
    <x v="2"/>
    <s v="F:\Données chgh\2020-CHG-CZA-Test-1\plaque 2/@19 Testo + Pro 111/C7_01- exclu.tif"/>
    <m/>
    <m/>
    <x v="1"/>
    <m/>
    <m/>
    <m/>
  </r>
  <r>
    <x v="19"/>
    <x v="2"/>
    <s v="F:\Données chgh\2020-CHG-CZA-Test-1\plaque 2/@19 Testo + Pro 111/C7_02.tif "/>
    <s v=" 2725.3667 "/>
    <s v=" 66.7857 "/>
    <x v="0"/>
    <n v="182016"/>
    <m/>
    <m/>
  </r>
  <r>
    <x v="19"/>
    <x v="2"/>
    <s v="F:\Données chgh\2020-CHG-CZA-Test-1\plaque 2/@19 Testo + Pro 111/C7_03.tif "/>
    <s v=" 3309.3739 "/>
    <s v=" 67.085 "/>
    <x v="0"/>
    <n v="222009"/>
    <m/>
    <m/>
  </r>
  <r>
    <x v="19"/>
    <x v="3"/>
    <s v="F:\Données chgh\2020-CHG-CZA-Test-1\plaque 2/@19 Testo + Pro 111/D7_01.tif "/>
    <s v=" 56345.8755 "/>
    <s v=" 72.615 "/>
    <x v="0"/>
    <n v="4091554"/>
    <m/>
    <m/>
  </r>
  <r>
    <x v="19"/>
    <x v="3"/>
    <s v="F:\Données chgh\2020-CHG-CZA-Test-1\plaque 2/@19 Testo + Pro 111/D7_02.tif "/>
    <s v=" 54009.8469 "/>
    <s v=" 72.5831 "/>
    <x v="0"/>
    <n v="3920202"/>
    <m/>
    <m/>
  </r>
  <r>
    <x v="19"/>
    <x v="3"/>
    <s v="F:\Données chgh\2020-CHG-CZA-Test-1\plaque 2/@19 Testo + Pro 111/D7_03.tif "/>
    <s v=" 56713.5837 "/>
    <s v=" 72.6663 "/>
    <x v="0"/>
    <n v="4121165"/>
    <m/>
    <m/>
  </r>
  <r>
    <x v="19"/>
    <x v="4"/>
    <s v="F:\Données chgh\2020-CHG-CZA-Test-1\plaque 2/@19 Testo + Pro 111/E7_01.tif "/>
    <s v=" 8435.6589 "/>
    <s v=" 65.3487 "/>
    <x v="0"/>
    <n v="551259"/>
    <m/>
    <m/>
  </r>
  <r>
    <x v="19"/>
    <x v="4"/>
    <s v="F:\Données chgh\2020-CHG-CZA-Test-1\plaque 2/@19 Testo + Pro 111/E7_02.tif "/>
    <s v=" 8803.3671 "/>
    <s v=" 65.828 "/>
    <x v="0"/>
    <n v="579508"/>
    <m/>
    <m/>
  </r>
  <r>
    <x v="19"/>
    <x v="4"/>
    <s v="F:\Données chgh\2020-CHG-CZA-Test-1\plaque 2/@19 Testo + Pro 111/E7_03.tif "/>
    <s v=" 10230.9402 "/>
    <s v=" 65.7886 "/>
    <x v="0"/>
    <n v="673079"/>
    <m/>
    <m/>
  </r>
  <r>
    <x v="19"/>
    <x v="5"/>
    <s v="F:\Données chgh\2020-CHG-CZA-Test-1\plaque 2/@19 Testo + Pro 111/F7_01.tif "/>
    <s v=" 1795.2813 "/>
    <s v=" 63.5663 "/>
    <x v="0"/>
    <n v="114119"/>
    <m/>
    <m/>
  </r>
  <r>
    <x v="19"/>
    <x v="5"/>
    <s v="F:\Données chgh\2020-CHG-CZA-Test-1\plaque 2/@19 Testo + Pro 111/F7_02.tif "/>
    <s v=" 1492.4627 "/>
    <s v=" 66.7681 "/>
    <x v="0"/>
    <n v="99649"/>
    <m/>
    <m/>
  </r>
  <r>
    <x v="19"/>
    <x v="5"/>
    <s v="F:\Données chgh\2020-CHG-CZA-Test-1\plaque 2/@19 Testo + Pro 111/F7_03.tif "/>
    <s v=" 1016.605 "/>
    <s v=" 66.4043 "/>
    <x v="0"/>
    <n v="67507"/>
    <m/>
    <m/>
  </r>
  <r>
    <x v="19"/>
    <x v="6"/>
    <s v="F:\Données chgh\2020-CHG-CZA-Test-1\plaque 2/@19 Testo + Pro 111/G7_01.tif "/>
    <s v=" 33288.4078 "/>
    <s v=" 67.5835 "/>
    <x v="0"/>
    <n v="2249747"/>
    <m/>
    <m/>
  </r>
  <r>
    <x v="19"/>
    <x v="6"/>
    <s v="F:\Données chgh\2020-CHG-CZA-Test-1\plaque 2/@19 Testo + Pro 111/G7_02.tif "/>
    <s v=" 18580.0795 "/>
    <s v=" 65.6275 "/>
    <x v="0"/>
    <n v="1219364"/>
    <m/>
    <m/>
  </r>
  <r>
    <x v="19"/>
    <x v="6"/>
    <s v="F:\Données chgh\2020-CHG-CZA-Test-1\plaque 2/@19 Testo + Pro 111/G7_03.tif "/>
    <s v=" 14902.9974 "/>
    <s v=" 65.0552 "/>
    <x v="0"/>
    <n v="969517"/>
    <m/>
    <m/>
  </r>
  <r>
    <x v="19"/>
    <x v="7"/>
    <s v="F:\Données chgh\2020-CHG-CZA-Test-1\plaque 2/@19 Testo + Pro 111/H7_01.tif "/>
    <s v=" 10555.3886 "/>
    <s v=" 79.7848 "/>
    <x v="0"/>
    <n v="842160"/>
    <m/>
    <m/>
  </r>
  <r>
    <x v="19"/>
    <x v="7"/>
    <s v="F:\Données chgh\2020-CHG-CZA-Test-1\plaque 2/@19 Testo + Pro 111/H7_02.tif "/>
    <s v=" 2746.9966 "/>
    <s v=" 63.2835 "/>
    <x v="0"/>
    <n v="173839"/>
    <m/>
    <m/>
  </r>
  <r>
    <x v="19"/>
    <x v="7"/>
    <s v="F:\Données chgh\2020-CHG-CZA-Test-1\plaque 2/@19 Testo + Pro 111/H7_03.tif "/>
    <s v=" 9646.933 "/>
    <s v=" 71.426 "/>
    <x v="0"/>
    <n v="689042"/>
    <m/>
    <m/>
  </r>
  <r>
    <x v="1"/>
    <x v="8"/>
    <s v=" "/>
    <m/>
    <m/>
    <x v="1"/>
    <m/>
    <m/>
    <m/>
  </r>
  <r>
    <x v="1"/>
    <x v="8"/>
    <s v="group "/>
    <s v=" "/>
    <s v=" mean of mean fluo "/>
    <x v="2"/>
    <s v=" mean of total fluo "/>
    <s v=" SD total fluo "/>
    <s v=" n fluorescent "/>
  </r>
  <r>
    <x v="19"/>
    <x v="9"/>
    <s v="F:\Données chgh\2020-CHG-CZA-Test-1\plaque 2/@19 Testo + Pro 111/ "/>
    <s v=" "/>
    <s v=" 68.0248 "/>
    <x v="21"/>
    <s v=" 1145467.88 "/>
    <s v=" 1304129.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0"/>
    <x v="0"/>
    <s v="F:\Données chgh\2020-CHG-CZA-Test-1\plaque 2/@20 Testo + Pro 333/A8_01.tif "/>
    <s v=" 324.4484 "/>
    <s v=" 65.8 "/>
    <x v="0"/>
    <n v="21349"/>
    <m/>
    <m/>
  </r>
  <r>
    <x v="20"/>
    <x v="0"/>
    <s v="F:\Données chgh\2020-CHG-CZA-Test-1\plaque 2/@20 Testo + Pro 333/A8_02.tif "/>
    <s v=" 410.968 "/>
    <s v=" 63.3158 "/>
    <x v="0"/>
    <n v="26021"/>
    <m/>
    <m/>
  </r>
  <r>
    <x v="20"/>
    <x v="0"/>
    <s v="F:\Données chgh\2020-CHG-CZA-Test-1\plaque 2/@20 Testo + Pro 333/A8_03- exclu.tif"/>
    <m/>
    <m/>
    <x v="1"/>
    <m/>
    <m/>
    <m/>
  </r>
  <r>
    <x v="20"/>
    <x v="1"/>
    <s v="F:\Données chgh\2020-CHG-CZA-Test-1\plaque 2/@20 Testo + Pro 333/B8_01.tif "/>
    <s v=" 6640.3777 "/>
    <s v=" 68.2541 "/>
    <x v="0"/>
    <n v="453233"/>
    <m/>
    <m/>
  </r>
  <r>
    <x v="20"/>
    <x v="1"/>
    <s v="F:\Données chgh\2020-CHG-CZA-Test-1\plaque 2/@20 Testo + Pro 333/B8_02.tif "/>
    <s v=" 1341.0535 "/>
    <s v=" 63.129 "/>
    <x v="0"/>
    <n v="84659"/>
    <m/>
    <m/>
  </r>
  <r>
    <x v="20"/>
    <x v="1"/>
    <s v="F:\Données chgh\2020-CHG-CZA-Test-1\plaque 2/@20 Testo + Pro 333/B8_03.tif "/>
    <s v=" 540.7474 "/>
    <s v=" 63.76 "/>
    <x v="0"/>
    <n v="34478"/>
    <m/>
    <m/>
  </r>
  <r>
    <x v="20"/>
    <x v="2"/>
    <s v="F:\Données chgh\2020-CHG-CZA-Test-1\plaque 2/@20 Testo + Pro 333/C8_01.tif "/>
    <s v=" 6510.5983 "/>
    <s v=" 72.6047 "/>
    <x v="0"/>
    <n v="472700"/>
    <m/>
    <m/>
  </r>
  <r>
    <x v="20"/>
    <x v="2"/>
    <s v="F:\Données chgh\2020-CHG-CZA-Test-1\plaque 2/@20 Testo + Pro 333/C8_02.tif "/>
    <s v=" 7873.2816 "/>
    <s v=" 72.3544 "/>
    <x v="0"/>
    <n v="569667"/>
    <m/>
    <m/>
  </r>
  <r>
    <x v="20"/>
    <x v="2"/>
    <s v="F:\Données chgh\2020-CHG-CZA-Test-1\plaque 2/@20 Testo + Pro 333/C8_03.tif "/>
    <s v=" 10403.9793 "/>
    <s v=" 74.9459 "/>
    <x v="0"/>
    <n v="779736"/>
    <m/>
    <m/>
  </r>
  <r>
    <x v="20"/>
    <x v="3"/>
    <s v="F:\Données chgh\2020-CHG-CZA-Test-1\plaque 2/@20 Testo + Pro 333/D8_01.tif "/>
    <s v=" 16741.5384 "/>
    <s v=" 66.438 "/>
    <x v="0"/>
    <n v="1112274"/>
    <m/>
    <m/>
  </r>
  <r>
    <x v="20"/>
    <x v="3"/>
    <s v="F:\Données chgh\2020-CHG-CZA-Test-1\plaque 2/@20 Testo + Pro 333/D8_02.tif "/>
    <s v=" 12999.5667 "/>
    <s v=" 67.1281 "/>
    <x v="0"/>
    <n v="872636"/>
    <m/>
    <m/>
  </r>
  <r>
    <x v="20"/>
    <x v="3"/>
    <s v="F:\Données chgh\2020-CHG-CZA-Test-1\plaque 2/@20 Testo + Pro 333/D8_03.tif "/>
    <s v=" 9430.6341 "/>
    <s v=" 65.0321 "/>
    <x v="0"/>
    <n v="613294"/>
    <m/>
    <m/>
  </r>
  <r>
    <x v="20"/>
    <x v="4"/>
    <s v="F:\Données chgh\2020-CHG-CZA-Test-1\plaque 2/@20 Testo + Pro 333/E8_01.tif "/>
    <s v=" 37982.095 "/>
    <s v=" 68.2853 "/>
    <x v="0"/>
    <n v="2593619"/>
    <m/>
    <m/>
  </r>
  <r>
    <x v="20"/>
    <x v="4"/>
    <s v="F:\Données chgh\2020-CHG-CZA-Test-1\plaque 2/@20 Testo + Pro 333/E8_02.tif "/>
    <s v=" 34413.1624 "/>
    <s v=" 68.5726 "/>
    <x v="0"/>
    <n v="2359800"/>
    <m/>
    <m/>
  </r>
  <r>
    <x v="20"/>
    <x v="4"/>
    <s v="F:\Données chgh\2020-CHG-CZA-Test-1\plaque 2/@20 Testo + Pro 333/E8_03.tif "/>
    <s v=" 34737.6108 "/>
    <s v=" 67.9041 "/>
    <x v="0"/>
    <n v="2358827"/>
    <m/>
    <m/>
  </r>
  <r>
    <x v="20"/>
    <x v="5"/>
    <s v="F:\Données chgh\2020-CHG-CZA-Test-1\plaque 2/@20 Testo + Pro 333/F8_01.tif "/>
    <s v=" 2141.3596 "/>
    <s v=" 65.9192 "/>
    <x v="0"/>
    <n v="141157"/>
    <m/>
    <m/>
  </r>
  <r>
    <x v="20"/>
    <x v="5"/>
    <s v="F:\Données chgh\2020-CHG-CZA-Test-1\plaque 2/@20 Testo + Pro 333/F8_02- exclu.tif"/>
    <m/>
    <m/>
    <x v="1"/>
    <m/>
    <m/>
    <m/>
  </r>
  <r>
    <x v="20"/>
    <x v="5"/>
    <s v="F:\Données chgh\2020-CHG-CZA-Test-1\plaque 2/@20 Testo + Pro 333/F8_03- exclu.tif"/>
    <m/>
    <m/>
    <x v="1"/>
    <m/>
    <m/>
    <m/>
  </r>
  <r>
    <x v="20"/>
    <x v="6"/>
    <s v="F:\Données chgh\2020-CHG-CZA-Test-1\plaque 2/@20 Testo + Pro 333/G8_01.tif "/>
    <s v=" 12242.5204 "/>
    <s v=" 67.6396 "/>
    <x v="0"/>
    <n v="828079"/>
    <m/>
    <m/>
  </r>
  <r>
    <x v="20"/>
    <x v="6"/>
    <s v="F:\Données chgh\2020-CHG-CZA-Test-1\plaque 2/@20 Testo + Pro 333/G8_02.tif "/>
    <s v=" 4304.349 "/>
    <s v=" 64.3668 "/>
    <x v="0"/>
    <n v="277057"/>
    <m/>
    <m/>
  </r>
  <r>
    <x v="20"/>
    <x v="6"/>
    <s v="F:\Données chgh\2020-CHG-CZA-Test-1\plaque 2/@20 Testo + Pro 333/G8_03.tif "/>
    <s v=" 10382.3494 "/>
    <s v=" 67.2875 "/>
    <x v="0"/>
    <n v="698602"/>
    <m/>
    <m/>
  </r>
  <r>
    <x v="20"/>
    <x v="7"/>
    <s v="F:\Données chgh\2020-CHG-CZA-Test-1\plaque 2/@20 Testo + Pro 333/H8_01.tif "/>
    <s v=" 1276.1638 "/>
    <s v=" 65.2712 "/>
    <x v="0"/>
    <n v="83297"/>
    <m/>
    <m/>
  </r>
  <r>
    <x v="20"/>
    <x v="7"/>
    <s v="F:\Données chgh\2020-CHG-CZA-Test-1\plaque 2/@20 Testo + Pro 333/H8_02.tif "/>
    <s v=" 129.7794 "/>
    <s v=" 62.6667 "/>
    <x v="0"/>
    <n v="8133"/>
    <m/>
    <m/>
  </r>
  <r>
    <x v="20"/>
    <x v="7"/>
    <s v="F:\Données chgh\2020-CHG-CZA-Test-1\plaque 2/@20 Testo + Pro 333/H8_03.tif "/>
    <s v=" 757.0463 "/>
    <s v=" 69.4571 "/>
    <x v="0"/>
    <n v="52582"/>
    <m/>
    <m/>
  </r>
  <r>
    <x v="1"/>
    <x v="8"/>
    <s v=" "/>
    <m/>
    <m/>
    <x v="1"/>
    <m/>
    <m/>
    <m/>
  </r>
  <r>
    <x v="1"/>
    <x v="8"/>
    <s v="group "/>
    <s v=" "/>
    <s v=" mean of mean fluo "/>
    <x v="2"/>
    <s v=" mean of total fluo "/>
    <s v=" SD total fluo "/>
    <s v=" n fluorescent "/>
  </r>
  <r>
    <x v="20"/>
    <x v="9"/>
    <s v="F:\Données chgh\2020-CHG-CZA-Test-1\plaque 2/@20 Testo + Pro 333/ "/>
    <s v=" "/>
    <s v=" 66.674 "/>
    <x v="22"/>
    <s v=" 604170.792 "/>
    <s v=" 783698.78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1"/>
    <x v="0"/>
    <s v="F:\Données chgh\2020-CHG-CZA-Test-1\plaque 2/@21 Testo +  Pro 1000/A9_01- exclu.tif"/>
    <m/>
    <m/>
    <x v="1"/>
    <m/>
    <m/>
    <m/>
  </r>
  <r>
    <x v="21"/>
    <x v="0"/>
    <s v="F:\Données chgh\2020-CHG-CZA-Test-1\plaque 2/@21 Testo +  Pro 1000/A9_02- exclu.tif"/>
    <m/>
    <m/>
    <x v="1"/>
    <m/>
    <m/>
    <m/>
  </r>
  <r>
    <x v="21"/>
    <x v="0"/>
    <s v="F:\Données chgh\2020-CHG-CZA-Test-1\plaque 2/@21 Testo +  Pro 1000/A9_03- exclu.tif"/>
    <m/>
    <m/>
    <x v="1"/>
    <m/>
    <m/>
    <m/>
  </r>
  <r>
    <x v="21"/>
    <x v="1"/>
    <s v="F:\Données chgh\2020-CHG-CZA-Test-1\plaque 2/@21 Testo +  Pro 1000/B9_01.tif "/>
    <s v=" 2271.1389 "/>
    <s v=" 65.1429 "/>
    <x v="0"/>
    <n v="147948"/>
    <m/>
    <m/>
  </r>
  <r>
    <x v="21"/>
    <x v="1"/>
    <s v="F:\Données chgh\2020-CHG-CZA-Test-1\plaque 2/@21 Testo +  Pro 1000/B9_02.tif "/>
    <s v=" 259.5587 "/>
    <n v="63"/>
    <x v="0"/>
    <n v="16352"/>
    <m/>
    <m/>
  </r>
  <r>
    <x v="21"/>
    <x v="1"/>
    <s v="F:\Données chgh\2020-CHG-CZA-Test-1\plaque 2/@21 Testo +  Pro 1000/B9_03.tif "/>
    <s v=" 3352.6337 "/>
    <s v=" 67.0452 "/>
    <x v="0"/>
    <n v="224778"/>
    <m/>
    <m/>
  </r>
  <r>
    <x v="21"/>
    <x v="2"/>
    <s v="F:\Données chgh\2020-CHG-CZA-Test-1\plaque 2/@21 Testo +  Pro 1000/C9_01.tif "/>
    <s v=" 5385.8438 "/>
    <s v=" 67.6908 "/>
    <x v="0"/>
    <n v="364572"/>
    <m/>
    <m/>
  </r>
  <r>
    <x v="21"/>
    <x v="2"/>
    <s v="F:\Données chgh\2020-CHG-CZA-Test-1\plaque 2/@21 Testo +  Pro 1000/C9_02.tif "/>
    <s v=" 8327.5094 "/>
    <s v=" 67.5091 "/>
    <x v="0"/>
    <n v="562183"/>
    <m/>
    <m/>
  </r>
  <r>
    <x v="21"/>
    <x v="2"/>
    <s v="F:\Données chgh\2020-CHG-CZA-Test-1\plaque 2/@21 Testo +  Pro 1000/C9_03.tif "/>
    <s v=" 2811.8863 "/>
    <s v=" 63.3923 "/>
    <x v="0"/>
    <n v="178252"/>
    <m/>
    <m/>
  </r>
  <r>
    <x v="21"/>
    <x v="3"/>
    <s v="F:\Données chgh\2020-CHG-CZA-Test-1\plaque 2/@21 Testo +  Pro 1000/D9_01.tif "/>
    <s v=" 3482.413 "/>
    <s v=" 65.7391 "/>
    <x v="0"/>
    <n v="228931"/>
    <m/>
    <m/>
  </r>
  <r>
    <x v="21"/>
    <x v="3"/>
    <s v="F:\Données chgh\2020-CHG-CZA-Test-1\plaque 2/@21 Testo +  Pro 1000/D9_02.tif "/>
    <s v=" 1752.0215 "/>
    <s v=" 65.9753 "/>
    <x v="0"/>
    <n v="115590"/>
    <m/>
    <m/>
  </r>
  <r>
    <x v="21"/>
    <x v="3"/>
    <s v="F:\Données chgh\2020-CHG-CZA-Test-1\plaque 2/@21 Testo +  Pro 1000/D9_03.tif "/>
    <s v=" 2790.2564 "/>
    <s v=" 64.7287 "/>
    <x v="0"/>
    <n v="180610"/>
    <m/>
    <m/>
  </r>
  <r>
    <x v="21"/>
    <x v="4"/>
    <s v="F:\Données chgh\2020-CHG-CZA-Test-1\plaque 2/@21 Testo +  Pro 1000/E9_01.tif "/>
    <s v=" 11571.9936 "/>
    <s v=" 65.7645 "/>
    <x v="0"/>
    <n v="761026"/>
    <m/>
    <m/>
  </r>
  <r>
    <x v="21"/>
    <x v="4"/>
    <s v="F:\Données chgh\2020-CHG-CZA-Test-1\plaque 2/@21 Testo +  Pro 1000/E9_02.tif "/>
    <s v=" 7873.2816 "/>
    <s v=" 65.2692 "/>
    <x v="0"/>
    <n v="513883"/>
    <m/>
    <m/>
  </r>
  <r>
    <x v="21"/>
    <x v="4"/>
    <s v="F:\Données chgh\2020-CHG-CZA-Test-1\plaque 2/@21 Testo +  Pro 1000/E9_03.tif "/>
    <s v=" 11009.6164 "/>
    <s v=" 65.9843 "/>
    <x v="0"/>
    <n v="726462"/>
    <m/>
    <m/>
  </r>
  <r>
    <x v="21"/>
    <x v="5"/>
    <s v="F:\Données chgh\2020-CHG-CZA-Test-1\plaque 2/@21 Testo +  Pro 1000/F9_01.tif "/>
    <s v=" 1449.2029 "/>
    <s v=" 64.2836 "/>
    <x v="0"/>
    <n v="93160"/>
    <m/>
    <m/>
  </r>
  <r>
    <x v="21"/>
    <x v="5"/>
    <s v="F:\Données chgh\2020-CHG-CZA-Test-1\plaque 2/@21 Testo +  Pro 1000/F9_02- exclu.tif"/>
    <m/>
    <m/>
    <x v="1"/>
    <m/>
    <m/>
    <m/>
  </r>
  <r>
    <x v="21"/>
    <x v="5"/>
    <s v="F:\Données chgh\2020-CHG-CZA-Test-1\plaque 2/@21 Testo +  Pro 1000/F9_03.tif "/>
    <s v=" 5039.7654 "/>
    <s v=" 69.6438 "/>
    <x v="0"/>
    <n v="350988"/>
    <m/>
    <m/>
  </r>
  <r>
    <x v="21"/>
    <x v="6"/>
    <s v="F:\Données chgh\2020-CHG-CZA-Test-1\plaque 2/@21 Testo +  Pro 1000/G9_01.tif "/>
    <s v=" 10057.901 "/>
    <s v=" 68.0882 "/>
    <x v="0"/>
    <n v="684824"/>
    <m/>
    <m/>
  </r>
  <r>
    <x v="21"/>
    <x v="6"/>
    <s v="F:\Données chgh\2020-CHG-CZA-Test-1\plaque 2/@21 Testo +  Pro 1000/G9_02.tif "/>
    <s v=" 8478.9187 "/>
    <s v=" 65.8214 "/>
    <x v="0"/>
    <n v="558095"/>
    <m/>
    <m/>
  </r>
  <r>
    <x v="21"/>
    <x v="6"/>
    <s v="F:\Données chgh\2020-CHG-CZA-Test-1\plaque 2/@21 Testo +  Pro 1000/G9_03.tif "/>
    <s v=" 13518.6841 "/>
    <s v=" 70.1776 "/>
    <x v="0"/>
    <n v="948709"/>
    <m/>
    <m/>
  </r>
  <r>
    <x v="21"/>
    <x v="7"/>
    <s v="F:\Données chgh\2020-CHG-CZA-Test-1\plaque 2/@21 Testo +  Pro 1000/H9_01.tif "/>
    <s v=" 5710.2922 "/>
    <s v=" 77.072 "/>
    <x v="0"/>
    <n v="440103"/>
    <m/>
    <m/>
  </r>
  <r>
    <x v="21"/>
    <x v="7"/>
    <s v="F:\Données chgh\2020-CHG-CZA-Test-1\plaque 2/@21 Testo +  Pro 1000/H9_02- exclu.tif"/>
    <m/>
    <m/>
    <x v="1"/>
    <m/>
    <m/>
    <m/>
  </r>
  <r>
    <x v="21"/>
    <x v="7"/>
    <s v="F:\Données chgh\2020-CHG-CZA-Test-1\plaque 2/@21 Testo +  Pro 1000/H9_03- exclu.tif"/>
    <m/>
    <m/>
    <x v="1"/>
    <m/>
    <m/>
    <m/>
  </r>
  <r>
    <x v="1"/>
    <x v="8"/>
    <s v=" "/>
    <m/>
    <m/>
    <x v="1"/>
    <m/>
    <m/>
    <m/>
  </r>
  <r>
    <x v="1"/>
    <x v="8"/>
    <s v="group "/>
    <s v=" "/>
    <s v=" mean of mean fluo "/>
    <x v="2"/>
    <s v=" mean of total fluo "/>
    <s v=" SD total fluo "/>
    <s v=" n fluorescent "/>
  </r>
  <r>
    <x v="21"/>
    <x v="9"/>
    <s v="F:\Données chgh\2020-CHG-CZA-Test-1\plaque 2/@21 Testo +  Pro 1000/ "/>
    <s v=" "/>
    <s v=" 69.3131 "/>
    <x v="23"/>
    <s v=" 492309.958 "/>
    <s v=" 391294.422 "/>
    <n v="24"/>
  </r>
  <r>
    <x v="1"/>
    <x v="8"/>
    <s v=" "/>
    <m/>
    <m/>
    <x v="1"/>
    <m/>
    <m/>
    <m/>
  </r>
  <r>
    <x v="1"/>
    <x v="8"/>
    <s v=" "/>
    <m/>
    <m/>
    <x v="1"/>
    <m/>
    <m/>
    <m/>
  </r>
  <r>
    <x v="1"/>
    <x v="8"/>
    <s v=" "/>
    <m/>
    <m/>
    <x v="1"/>
    <m/>
    <m/>
    <m/>
  </r>
  <r>
    <x v="1"/>
    <x v="8"/>
    <s v=" "/>
    <m/>
    <m/>
    <x v="1"/>
    <m/>
    <m/>
    <m/>
  </r>
  <r>
    <x v="1"/>
    <x v="8"/>
    <s v=" "/>
    <m/>
    <m/>
    <x v="1"/>
    <m/>
    <m/>
    <m/>
  </r>
  <r>
    <x v="1"/>
    <x v="8"/>
    <s v=" "/>
    <m/>
    <m/>
    <x v="1"/>
    <m/>
    <m/>
    <m/>
  </r>
  <r>
    <x v="1"/>
    <x v="8"/>
    <m/>
    <s v=" n total analysed"/>
    <m/>
    <x v="1"/>
    <m/>
    <m/>
    <m/>
  </r>
  <r>
    <x v="1"/>
    <x v="8"/>
    <m/>
    <n v="504"/>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Données chgh\2020-CHG-CZA-Test-2\plaque 1/@01 TS/A1_01- exclu.tif"/>
    <m/>
    <m/>
    <x v="0"/>
    <m/>
    <m/>
    <m/>
  </r>
  <r>
    <x v="0"/>
    <x v="0"/>
    <s v="F:\Données chgh\2020-CHG-CZA-Test-2\plaque 1/@01 TS/A1_02.tif "/>
    <s v=" 173.0392 "/>
    <n v="62"/>
    <x v="1"/>
    <n v="10728"/>
    <m/>
    <m/>
  </r>
  <r>
    <x v="0"/>
    <x v="0"/>
    <s v="F:\Données chgh\2020-CHG-CZA-Test-2\plaque 1/@01 TS/A1_03.tif "/>
    <s v=" 2833.5162 "/>
    <s v=" 67.3588 "/>
    <x v="1"/>
    <n v="190862"/>
    <m/>
    <m/>
  </r>
  <r>
    <x v="0"/>
    <x v="1"/>
    <s v="F:\Données chgh\2020-CHG-CZA-Test-2\plaque 1/@01 TS/B1_01- exclu.tif"/>
    <m/>
    <m/>
    <x v="0"/>
    <m/>
    <m/>
    <m/>
  </r>
  <r>
    <x v="0"/>
    <x v="1"/>
    <s v="F:\Données chgh\2020-CHG-CZA-Test-2\plaque 1/@01 TS/B1_02.tif "/>
    <s v=" 1038.2349 "/>
    <s v=" 63.5208 "/>
    <x v="1"/>
    <n v="65950"/>
    <m/>
    <m/>
  </r>
  <r>
    <x v="0"/>
    <x v="1"/>
    <s v="F:\Données chgh\2020-CHG-CZA-Test-2\plaque 1/@01 TS/B1_03.tif "/>
    <s v=" 1146.3844 "/>
    <s v=" 63.6792 "/>
    <x v="1"/>
    <n v="73001"/>
    <m/>
    <m/>
  </r>
  <r>
    <x v="0"/>
    <x v="2"/>
    <s v="F:\Données chgh\2020-CHG-CZA-Test-2\plaque 1/@01 TS/C1_01- exclu.tif"/>
    <m/>
    <m/>
    <x v="0"/>
    <m/>
    <m/>
    <m/>
  </r>
  <r>
    <x v="0"/>
    <x v="2"/>
    <s v="F:\Données chgh\2020-CHG-CZA-Test-2\plaque 1/@01 TS/C1_02.tif "/>
    <s v=" 713.7865 "/>
    <s v=" 63.6061 "/>
    <x v="1"/>
    <n v="45401"/>
    <m/>
    <m/>
  </r>
  <r>
    <x v="0"/>
    <x v="2"/>
    <s v="F:\Données chgh\2020-CHG-CZA-Test-2\plaque 1/@01 TS/C1_03.tif "/>
    <s v=" 3763.6017 "/>
    <s v=" 68.092 "/>
    <x v="1"/>
    <n v="256271"/>
    <m/>
    <m/>
  </r>
  <r>
    <x v="0"/>
    <x v="3"/>
    <s v="F:\Données chgh\2020-CHG-CZA-Test-2\plaque 1/@01 TS/D1_01.tif "/>
    <s v=" 4866.7263 "/>
    <s v=" 65.3689 "/>
    <x v="1"/>
    <n v="318132"/>
    <m/>
    <m/>
  </r>
  <r>
    <x v="0"/>
    <x v="3"/>
    <s v="F:\Données chgh\2020-CHG-CZA-Test-2\plaque 1/@01 TS/D1_02.tif "/>
    <s v=" 6186.1499 "/>
    <s v=" 67.965 "/>
    <x v="1"/>
    <n v="420442"/>
    <m/>
    <m/>
  </r>
  <r>
    <x v="0"/>
    <x v="3"/>
    <s v="F:\Données chgh\2020-CHG-CZA-Test-2\plaque 1/@01 TS/D1_03.tif "/>
    <s v=" 5299.3242 "/>
    <s v=" 67.7347 "/>
    <x v="1"/>
    <n v="358948"/>
    <m/>
    <m/>
  </r>
  <r>
    <x v="0"/>
    <x v="4"/>
    <s v="F:\Données chgh\2020-CHG-CZA-Test-2\plaque 1/@01 TS/E1_01- exclu.tif"/>
    <m/>
    <m/>
    <x v="0"/>
    <m/>
    <m/>
    <m/>
  </r>
  <r>
    <x v="0"/>
    <x v="4"/>
    <s v="F:\Données chgh\2020-CHG-CZA-Test-2\plaque 1/@01 TS/E1_02.tif "/>
    <s v=" 843.5659 "/>
    <s v=" 67.2564 "/>
    <x v="1"/>
    <n v="56735"/>
    <m/>
    <m/>
  </r>
  <r>
    <x v="0"/>
    <x v="4"/>
    <s v="F:\Données chgh\2020-CHG-CZA-Test-2\plaque 1/@01 TS/E1_03- exclu.tif"/>
    <m/>
    <m/>
    <x v="0"/>
    <m/>
    <m/>
    <m/>
  </r>
  <r>
    <x v="0"/>
    <x v="5"/>
    <s v="F:\Données chgh\2020-CHG-CZA-Test-2\plaque 1/@01 TS/F1_01.tif "/>
    <s v=" 4174.5697 "/>
    <s v=" 66.9378 "/>
    <x v="1"/>
    <n v="279437"/>
    <m/>
    <m/>
  </r>
  <r>
    <x v="0"/>
    <x v="5"/>
    <s v="F:\Données chgh\2020-CHG-CZA-Test-2\plaque 1/@01 TS/F1_02.tif "/>
    <s v=" 2509.0678 "/>
    <s v=" 65.681 "/>
    <x v="1"/>
    <n v="164798"/>
    <m/>
    <m/>
  </r>
  <r>
    <x v="0"/>
    <x v="5"/>
    <s v="F:\Données chgh\2020-CHG-CZA-Test-2\plaque 1/@01 TS/F1_03- exclu.tif"/>
    <m/>
    <m/>
    <x v="0"/>
    <m/>
    <m/>
    <m/>
  </r>
  <r>
    <x v="0"/>
    <x v="6"/>
    <s v="F:\Données chgh\2020-CHG-CZA-Test-2\plaque 1/@01 TS/G1_01.tif "/>
    <s v=" 627.2669 "/>
    <s v=" 62.7586 "/>
    <x v="1"/>
    <n v="39366"/>
    <m/>
    <m/>
  </r>
  <r>
    <x v="0"/>
    <x v="6"/>
    <s v="F:\Données chgh\2020-CHG-CZA-Test-2\plaque 1/@01 TS/G1_02.tif "/>
    <s v=" 670.5267 "/>
    <s v=" 64.871 "/>
    <x v="1"/>
    <n v="43498"/>
    <m/>
    <m/>
  </r>
  <r>
    <x v="0"/>
    <x v="6"/>
    <s v="F:\Données chgh\2020-CHG-CZA-Test-2\plaque 1/@01 TS/G1_03.tif "/>
    <s v=" 670.5267 "/>
    <s v=" 64.7097 "/>
    <x v="1"/>
    <n v="43390"/>
    <m/>
    <m/>
  </r>
  <r>
    <x v="0"/>
    <x v="7"/>
    <s v="F:\Données chgh\2020-CHG-CZA-Test-2\plaque 1/@01 TS/H1_01.tif "/>
    <s v=" 216.2989 "/>
    <s v=" 61.6 "/>
    <x v="1"/>
    <n v="13324"/>
    <m/>
    <m/>
  </r>
  <r>
    <x v="0"/>
    <x v="7"/>
    <s v="F:\Données chgh\2020-CHG-CZA-Test-2\plaque 1/@01 TS/H1_02.tif "/>
    <s v=" 1622.2421 "/>
    <s v=" 65.3333 "/>
    <x v="1"/>
    <n v="105986"/>
    <m/>
    <m/>
  </r>
  <r>
    <x v="0"/>
    <x v="7"/>
    <s v="F:\Données chgh\2020-CHG-CZA-Test-2\plaque 1/@01 TS/H1_03.tif "/>
    <s v=" 5364.2139 "/>
    <s v=" 70.7903 "/>
    <x v="1"/>
    <n v="379734"/>
    <m/>
    <m/>
  </r>
  <r>
    <x v="1"/>
    <x v="8"/>
    <s v=" "/>
    <m/>
    <m/>
    <x v="0"/>
    <m/>
    <m/>
    <m/>
  </r>
  <r>
    <x v="1"/>
    <x v="8"/>
    <s v="group "/>
    <s v=" "/>
    <s v=" mean of mean fluo "/>
    <x v="2"/>
    <s v=" mean of total fluo "/>
    <s v=" SD total fluo "/>
    <s v=" n fluorescent "/>
  </r>
  <r>
    <x v="0"/>
    <x v="9"/>
    <s v="F:\Données chgh\2020-CHG-CZA-Test-2\plaque 1/@01 TS/ "/>
    <s v=" "/>
    <s v=" 65.0661 "/>
    <x v="3"/>
    <s v=" 123469.708 "/>
    <s v=" 136103.99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2"/>
    <x v="0"/>
    <s v="F:\Données chgh\2020-CHG-CZA-Test-2\plaque 1/@02 EE2 34/A2_01.tif "/>
    <s v=" 627.2669 "/>
    <s v=" 63.1379 "/>
    <x v="1"/>
    <n v="39604"/>
    <m/>
    <m/>
  </r>
  <r>
    <x v="2"/>
    <x v="0"/>
    <s v="F:\Données chgh\2020-CHG-CZA-Test-2\plaque 1/@02 EE2 34/A2_02.tif "/>
    <s v=" 432.5979 "/>
    <s v=" 62.65 "/>
    <x v="1"/>
    <n v="27102"/>
    <m/>
    <m/>
  </r>
  <r>
    <x v="2"/>
    <x v="0"/>
    <s v="F:\Données chgh\2020-CHG-CZA-Test-2\plaque 1/@02 EE2 34/A2_03.tif "/>
    <s v=" 757.0463 "/>
    <s v=" 64.3429 "/>
    <x v="1"/>
    <n v="48711"/>
    <m/>
    <m/>
  </r>
  <r>
    <x v="2"/>
    <x v="1"/>
    <s v="F:\Données chgh\2020-CHG-CZA-Test-2\plaque 1/@02 EE2 34/B2_01.tif "/>
    <s v=" 886.8257 "/>
    <s v=" 62.6585 "/>
    <x v="1"/>
    <n v="55567"/>
    <m/>
    <m/>
  </r>
  <r>
    <x v="2"/>
    <x v="1"/>
    <s v="F:\Données chgh\2020-CHG-CZA-Test-2\plaque 1/@02 EE2 34/B2_02.tif "/>
    <s v=" 3287.744 "/>
    <s v=" 65.9211 "/>
    <x v="1"/>
    <n v="216732"/>
    <m/>
    <m/>
  </r>
  <r>
    <x v="2"/>
    <x v="1"/>
    <s v="F:\Données chgh\2020-CHG-CZA-Test-2\plaque 1/@02 EE2 34/B2_03.tif "/>
    <s v=" 3850.1212 "/>
    <s v=" 70.2921 "/>
    <x v="1"/>
    <n v="270633"/>
    <m/>
    <m/>
  </r>
  <r>
    <x v="2"/>
    <x v="2"/>
    <s v="F:\Données chgh\2020-CHG-CZA-Test-2\plaque 1/@02 EE2 34/C2_01.tif "/>
    <s v=" 1600.6122 "/>
    <s v=" 63.7162 "/>
    <x v="1"/>
    <n v="101985"/>
    <m/>
    <m/>
  </r>
  <r>
    <x v="2"/>
    <x v="2"/>
    <s v="F:\Données chgh\2020-CHG-CZA-Test-2\plaque 1/@02 EE2 34/C2_02.tif "/>
    <s v=" 519.1175 "/>
    <s v=" 63.5833 "/>
    <x v="1"/>
    <n v="33007"/>
    <m/>
    <m/>
  </r>
  <r>
    <x v="2"/>
    <x v="2"/>
    <s v="F:\Données chgh\2020-CHG-CZA-Test-2\plaque 1/@02 EE2 34/C2_03.tif "/>
    <s v=" 1189.6442 "/>
    <s v=" 65.1091 "/>
    <x v="1"/>
    <n v="77457"/>
    <m/>
    <m/>
  </r>
  <r>
    <x v="2"/>
    <x v="3"/>
    <s v="F:\Données chgh\2020-CHG-CZA-Test-2\plaque 1/@02 EE2 34/D2_01.tif "/>
    <s v=" 432.5979 "/>
    <s v=" 62.15 "/>
    <x v="1"/>
    <n v="26886"/>
    <m/>
    <m/>
  </r>
  <r>
    <x v="2"/>
    <x v="3"/>
    <s v="F:\Données chgh\2020-CHG-CZA-Test-2\plaque 1/@02 EE2 34/D2_02.tif "/>
    <s v=" 5018.1356 "/>
    <s v=" 68.056 "/>
    <x v="1"/>
    <n v="341514"/>
    <m/>
    <m/>
  </r>
  <r>
    <x v="2"/>
    <x v="3"/>
    <s v="F:\Données chgh\2020-CHG-CZA-Test-2\plaque 1/@02 EE2 34/D2_03.tif "/>
    <s v=" 2379.2884 "/>
    <s v=" 64.0455 "/>
    <x v="1"/>
    <n v="152383"/>
    <m/>
    <m/>
  </r>
  <r>
    <x v="2"/>
    <x v="4"/>
    <s v="F:\Données chgh\2020-CHG-CZA-Test-2\plaque 1/@02 EE2 34/E2_01.tif "/>
    <s v=" 9041.296 "/>
    <s v=" 72.366 "/>
    <x v="1"/>
    <n v="654283"/>
    <m/>
    <m/>
  </r>
  <r>
    <x v="2"/>
    <x v="4"/>
    <s v="F:\Données chgh\2020-CHG-CZA-Test-2\plaque 1/@02 EE2 34/E2_02.tif "/>
    <s v=" 5191.1747 "/>
    <s v=" 71.675 "/>
    <x v="1"/>
    <n v="372077"/>
    <m/>
    <m/>
  </r>
  <r>
    <x v="2"/>
    <x v="4"/>
    <s v="F:\Données chgh\2020-CHG-CZA-Test-2\plaque 1/@02 EE2 34/E2_03.tif "/>
    <s v=" 5018.1356 "/>
    <s v=" 71.7328 "/>
    <x v="1"/>
    <n v="359965"/>
    <m/>
    <m/>
  </r>
  <r>
    <x v="2"/>
    <x v="5"/>
    <s v="F:\Données chgh\2020-CHG-CZA-Test-2\plaque 1/@02 EE2 34/F2_01.tif "/>
    <s v=" 1860.1709 "/>
    <s v=" 67.7791 "/>
    <x v="1"/>
    <n v="126081"/>
    <m/>
    <m/>
  </r>
  <r>
    <x v="2"/>
    <x v="5"/>
    <s v="F:\Données chgh\2020-CHG-CZA-Test-2\plaque 1/@02 EE2 34/F2_02.tif "/>
    <s v=" 2422.5482 "/>
    <s v=" 65.7232 "/>
    <x v="1"/>
    <n v="159218"/>
    <m/>
    <m/>
  </r>
  <r>
    <x v="2"/>
    <x v="5"/>
    <s v="F:\Données chgh\2020-CHG-CZA-Test-2\plaque 1/@02 EE2 34/F2_03.tif "/>
    <s v=" 886.8257 "/>
    <s v=" 63.2927 "/>
    <x v="1"/>
    <n v="56130"/>
    <m/>
    <m/>
  </r>
  <r>
    <x v="2"/>
    <x v="6"/>
    <s v="F:\Données chgh\2020-CHG-CZA-Test-2\plaque 1/@02 EE2 34/G2_01.tif "/>
    <s v=" 5861.7014 "/>
    <s v=" 68.1402 "/>
    <x v="1"/>
    <n v="399418"/>
    <m/>
    <m/>
  </r>
  <r>
    <x v="2"/>
    <x v="6"/>
    <s v="F:\Données chgh\2020-CHG-CZA-Test-2\plaque 1/@02 EE2 34/G2_02.tif "/>
    <s v=" 4499.0181 "/>
    <s v=" 69.9519 "/>
    <x v="1"/>
    <n v="314715"/>
    <m/>
    <m/>
  </r>
  <r>
    <x v="2"/>
    <x v="6"/>
    <s v="F:\Données chgh\2020-CHG-CZA-Test-2\plaque 1/@02 EE2 34/G2_03- exclu.tif"/>
    <m/>
    <m/>
    <x v="0"/>
    <m/>
    <m/>
    <m/>
  </r>
  <r>
    <x v="2"/>
    <x v="7"/>
    <s v="F:\Données chgh\2020-CHG-CZA-Test-2\plaque 1/@02 EE2 34/H2_01.tif "/>
    <s v=" 3136.3347 "/>
    <s v=" 68.2897 "/>
    <x v="1"/>
    <n v="214179"/>
    <m/>
    <m/>
  </r>
  <r>
    <x v="2"/>
    <x v="7"/>
    <s v="F:\Données chgh\2020-CHG-CZA-Test-2\plaque 1/@02 EE2 34/H2_02.tif "/>
    <s v=" 2941.6657 "/>
    <s v=" 66.4412 "/>
    <x v="1"/>
    <n v="195448"/>
    <m/>
    <m/>
  </r>
  <r>
    <x v="2"/>
    <x v="7"/>
    <s v="F:\Données chgh\2020-CHG-CZA-Test-2\plaque 1/@02 EE2 34/H2_03- exclu.tif"/>
    <m/>
    <m/>
    <x v="0"/>
    <m/>
    <m/>
    <m/>
  </r>
  <r>
    <x v="1"/>
    <x v="8"/>
    <s v=" "/>
    <m/>
    <m/>
    <x v="0"/>
    <m/>
    <m/>
    <m/>
  </r>
  <r>
    <x v="1"/>
    <x v="8"/>
    <s v="group "/>
    <s v=" "/>
    <s v=" mean of mean fluo "/>
    <x v="2"/>
    <s v=" mean of total fluo "/>
    <s v=" SD total fluo "/>
    <s v=" n fluorescent "/>
  </r>
  <r>
    <x v="2"/>
    <x v="9"/>
    <s v="F:\Données chgh\2020-CHG-CZA-Test-2\plaque 1/@02 EE2 34/ "/>
    <s v=" "/>
    <s v=" 66.2603 "/>
    <x v="4"/>
    <s v=" 183828.958 "/>
    <s v=" 158821.644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3"/>
    <x v="0"/>
    <s v="F:\Données chgh\2020-CHG-CZA-Test-2\plaque 1/@03 EE2 51/A3_01.tif "/>
    <s v=" 9365.7444 "/>
    <s v=" 71.7806 "/>
    <x v="1"/>
    <n v="672279"/>
    <m/>
    <m/>
  </r>
  <r>
    <x v="3"/>
    <x v="0"/>
    <s v="F:\Données chgh\2020-CHG-CZA-Test-2\plaque 1/@03 EE2 51/A3_02.tif "/>
    <s v=" 6294.2993 "/>
    <s v=" 69.8522 "/>
    <x v="1"/>
    <n v="439671"/>
    <m/>
    <m/>
  </r>
  <r>
    <x v="3"/>
    <x v="0"/>
    <s v="F:\Données chgh\2020-CHG-CZA-Test-2\plaque 1/@03 EE2 51/A3_03.tif "/>
    <s v=" 800.3061 "/>
    <s v=" 64.1892 "/>
    <x v="1"/>
    <n v="51371"/>
    <m/>
    <m/>
  </r>
  <r>
    <x v="3"/>
    <x v="1"/>
    <s v="F:\Données chgh\2020-CHG-CZA-Test-2\plaque 1/@03 EE2 51/B3_01- exclu.tif"/>
    <m/>
    <m/>
    <x v="0"/>
    <m/>
    <m/>
    <m/>
  </r>
  <r>
    <x v="3"/>
    <x v="1"/>
    <s v="F:\Données chgh\2020-CHG-CZA-Test-2\plaque 1/@03 EE2 51/B3_02.tif "/>
    <s v=" 2617.2173 "/>
    <s v=" 65.1818 "/>
    <x v="1"/>
    <n v="170595"/>
    <m/>
    <m/>
  </r>
  <r>
    <x v="3"/>
    <x v="1"/>
    <s v="F:\Données chgh\2020-CHG-CZA-Test-2\plaque 1/@03 EE2 51/B3_03.tif "/>
    <s v=" 2530.6977 "/>
    <s v=" 64.8205 "/>
    <x v="1"/>
    <n v="164041"/>
    <m/>
    <m/>
  </r>
  <r>
    <x v="3"/>
    <x v="2"/>
    <s v="F:\Données chgh\2020-CHG-CZA-Test-2\plaque 1/@03 EE2 51/C3_01.tif "/>
    <s v=" 2984.9255 "/>
    <s v=" 67.2536 "/>
    <x v="1"/>
    <n v="200747"/>
    <m/>
    <m/>
  </r>
  <r>
    <x v="3"/>
    <x v="2"/>
    <s v="F:\Données chgh\2020-CHG-CZA-Test-2\plaque 1/@03 EE2 51/C3_02- exclu.tif"/>
    <m/>
    <m/>
    <x v="0"/>
    <m/>
    <m/>
    <m/>
  </r>
  <r>
    <x v="3"/>
    <x v="2"/>
    <s v="F:\Données chgh\2020-CHG-CZA-Test-2\plaque 1/@03 EE2 51/C3_03- exclu.tif"/>
    <m/>
    <m/>
    <x v="0"/>
    <m/>
    <m/>
    <m/>
  </r>
  <r>
    <x v="3"/>
    <x v="3"/>
    <s v="F:\Données chgh\2020-CHG-CZA-Test-2\plaque 1/@03 EE2 51/D3_01.tif "/>
    <s v=" 3850.1212 "/>
    <s v=" 65.1798 "/>
    <x v="1"/>
    <n v="250950"/>
    <m/>
    <m/>
  </r>
  <r>
    <x v="3"/>
    <x v="3"/>
    <s v="F:\Données chgh\2020-CHG-CZA-Test-2\plaque 1/@03 EE2 51/D3_02.tif "/>
    <s v=" 4499.0181 "/>
    <s v=" 67.6779 "/>
    <x v="1"/>
    <n v="304484"/>
    <m/>
    <m/>
  </r>
  <r>
    <x v="3"/>
    <x v="3"/>
    <s v="F:\Données chgh\2020-CHG-CZA-Test-2\plaque 1/@03 EE2 51/D3_03.tif "/>
    <s v=" 4304.349 "/>
    <s v=" 69.2864 "/>
    <x v="1"/>
    <n v="298233"/>
    <m/>
    <m/>
  </r>
  <r>
    <x v="3"/>
    <x v="4"/>
    <s v="F:\Données chgh\2020-CHG-CZA-Test-2\plaque 1/@03 EE2 51/E3_01.tif "/>
    <s v=" 7894.9115 "/>
    <s v=" 67.126 "/>
    <x v="1"/>
    <n v="529954"/>
    <m/>
    <m/>
  </r>
  <r>
    <x v="3"/>
    <x v="4"/>
    <s v="F:\Données chgh\2020-CHG-CZA-Test-2\plaque 1/@03 EE2 51/E3_02- exclu.tif"/>
    <m/>
    <m/>
    <x v="0"/>
    <m/>
    <m/>
    <m/>
  </r>
  <r>
    <x v="3"/>
    <x v="4"/>
    <s v="F:\Données chgh\2020-CHG-CZA-Test-2\plaque 1/@03 EE2 51/E3_03.tif "/>
    <s v=" 1925.0606 "/>
    <s v=" 65.4382 "/>
    <x v="1"/>
    <n v="125973"/>
    <m/>
    <m/>
  </r>
  <r>
    <x v="3"/>
    <x v="5"/>
    <s v="F:\Données chgh\2020-CHG-CZA-Test-2\plaque 1/@03 EE2 51/F3_01.tif "/>
    <s v=" 2184.6194 "/>
    <s v=" 64.9802 "/>
    <x v="1"/>
    <n v="141957"/>
    <m/>
    <m/>
  </r>
  <r>
    <x v="3"/>
    <x v="5"/>
    <s v="F:\Données chgh\2020-CHG-CZA-Test-2\plaque 1/@03 EE2 51/F3_02.tif "/>
    <s v=" 2314.3987 "/>
    <n v="70"/>
    <x v="1"/>
    <n v="162008"/>
    <m/>
    <m/>
  </r>
  <r>
    <x v="3"/>
    <x v="5"/>
    <s v="F:\Données chgh\2020-CHG-CZA-Test-2\plaque 1/@03 EE2 51/F3_03.tif "/>
    <s v=" 540.7474 "/>
    <s v=" 62.92 "/>
    <x v="1"/>
    <n v="34024"/>
    <m/>
    <m/>
  </r>
  <r>
    <x v="3"/>
    <x v="6"/>
    <s v="F:\Données chgh\2020-CHG-CZA-Test-2\plaque 1/@03 EE2 51/G3_01.tif "/>
    <s v=" 3590.5625 "/>
    <s v=" 66.7108 "/>
    <x v="1"/>
    <n v="239529"/>
    <m/>
    <m/>
  </r>
  <r>
    <x v="3"/>
    <x v="6"/>
    <s v="F:\Données chgh\2020-CHG-CZA-Test-2\plaque 1/@03 EE2 51/G3_02.tif "/>
    <s v=" 4412.4985 "/>
    <s v=" 69.6765 "/>
    <x v="1"/>
    <n v="307447"/>
    <m/>
    <m/>
  </r>
  <r>
    <x v="3"/>
    <x v="6"/>
    <s v="F:\Données chgh\2020-CHG-CZA-Test-2\plaque 1/@03 EE2 51/G3_03.tif "/>
    <s v=" 1319.4236 "/>
    <s v=" 63.9508 "/>
    <x v="1"/>
    <n v="84378"/>
    <m/>
    <m/>
  </r>
  <r>
    <x v="3"/>
    <x v="7"/>
    <s v="F:\Données chgh\2020-CHG-CZA-Test-2\plaque 1/@03 EE2 51/H3_01- exclu.tif"/>
    <m/>
    <m/>
    <x v="0"/>
    <m/>
    <m/>
    <m/>
  </r>
  <r>
    <x v="3"/>
    <x v="7"/>
    <s v="F:\Données chgh\2020-CHG-CZA-Test-2\plaque 1/@03 EE2 51/H3_02- exclu.tif"/>
    <m/>
    <m/>
    <x v="0"/>
    <m/>
    <m/>
    <m/>
  </r>
  <r>
    <x v="3"/>
    <x v="7"/>
    <s v="F:\Données chgh\2020-CHG-CZA-Test-2\plaque 1/@03 EE2 51/H3_03- exclu.tif"/>
    <m/>
    <m/>
    <x v="0"/>
    <m/>
    <m/>
    <m/>
  </r>
  <r>
    <x v="1"/>
    <x v="8"/>
    <s v=" "/>
    <m/>
    <m/>
    <x v="0"/>
    <m/>
    <m/>
    <m/>
  </r>
  <r>
    <x v="1"/>
    <x v="8"/>
    <s v="group "/>
    <s v=" "/>
    <s v=" mean of mean fluo "/>
    <x v="2"/>
    <s v=" mean of total fluo "/>
    <s v=" SD total fluo "/>
    <s v=" n fluorescent "/>
  </r>
  <r>
    <x v="3"/>
    <x v="9"/>
    <s v="F:\Données chgh\2020-CHG-CZA-Test-2\plaque 1/@03 EE2 51/ "/>
    <s v=" "/>
    <s v=" 70.9097 "/>
    <x v="5"/>
    <s v=" 379948.083 "/>
    <s v=" 422901.778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4"/>
    <x v="0"/>
    <s v="F:\Données chgh\2020-CHG-CZA-Test-2\plaque 1/@04 EE2 76/A4_01.tif "/>
    <s v=" 43973.5758 "/>
    <s v=" 72.9975 "/>
    <x v="1"/>
    <n v="3209963"/>
    <m/>
    <m/>
  </r>
  <r>
    <x v="4"/>
    <x v="0"/>
    <s v="F:\Données chgh\2020-CHG-CZA-Test-2\plaque 1/@04 EE2 76/A4_02.tif "/>
    <s v=" 41983.6255 "/>
    <s v=" 73.2602 "/>
    <x v="1"/>
    <n v="3075728"/>
    <m/>
    <m/>
  </r>
  <r>
    <x v="4"/>
    <x v="0"/>
    <s v="F:\Données chgh\2020-CHG-CZA-Test-2\plaque 1/@04 EE2 76/A4_03.tif "/>
    <s v=" 30563.0411 "/>
    <s v=" 68.2852 "/>
    <x v="1"/>
    <n v="2087004"/>
    <m/>
    <m/>
  </r>
  <r>
    <x v="4"/>
    <x v="1"/>
    <s v="F:\Données chgh\2020-CHG-CZA-Test-2\plaque 1/@04 EE2 76/B4_01.tif "/>
    <s v=" 2898.4059 "/>
    <s v=" 63.4328 "/>
    <x v="1"/>
    <n v="183854"/>
    <m/>
    <m/>
  </r>
  <r>
    <x v="4"/>
    <x v="1"/>
    <s v="F:\Données chgh\2020-CHG-CZA-Test-2\plaque 1/@04 EE2 76/B4_02.tif "/>
    <s v=" 1946.6905 "/>
    <s v=" 63.7778 "/>
    <x v="1"/>
    <n v="124156"/>
    <m/>
    <m/>
  </r>
  <r>
    <x v="4"/>
    <x v="1"/>
    <s v="F:\Données chgh\2020-CHG-CZA-Test-2\plaque 1/@04 EE2 76/B4_03.tif "/>
    <s v=" 1535.7225 "/>
    <s v=" 62.831 "/>
    <x v="1"/>
    <n v="96491"/>
    <m/>
    <m/>
  </r>
  <r>
    <x v="4"/>
    <x v="2"/>
    <s v="F:\Données chgh\2020-CHG-CZA-Test-2\plaque 1/@04 EE2 76/C4_01.tif "/>
    <s v=" 2444.1781 "/>
    <s v=" 64.0442 "/>
    <x v="1"/>
    <n v="156536"/>
    <m/>
    <m/>
  </r>
  <r>
    <x v="4"/>
    <x v="2"/>
    <s v="F:\Données chgh\2020-CHG-CZA-Test-2\plaque 1/@04 EE2 76/C4_02.tif "/>
    <s v=" 2271.1389 "/>
    <s v=" 64.0286 "/>
    <x v="1"/>
    <n v="145418"/>
    <m/>
    <m/>
  </r>
  <r>
    <x v="4"/>
    <x v="2"/>
    <s v="F:\Données chgh\2020-CHG-CZA-Test-2\plaque 1/@04 EE2 76/C4_03.tif "/>
    <s v=" 1297.7937 "/>
    <s v=" 63.3167 "/>
    <x v="1"/>
    <n v="82172"/>
    <m/>
    <m/>
  </r>
  <r>
    <x v="4"/>
    <x v="3"/>
    <s v="F:\Données chgh\2020-CHG-CZA-Test-2\plaque 1/@04 EE2 76/D4_01.tif "/>
    <s v=" 42956.9707 "/>
    <s v=" 66.6445 "/>
    <x v="1"/>
    <n v="2862846"/>
    <m/>
    <m/>
  </r>
  <r>
    <x v="4"/>
    <x v="3"/>
    <s v="F:\Données chgh\2020-CHG-CZA-Test-2\plaque 1/@04 EE2 76/D4_02.tif "/>
    <s v=" 39020.3299 "/>
    <s v=" 67.1197 "/>
    <x v="1"/>
    <n v="2619034"/>
    <m/>
    <m/>
  </r>
  <r>
    <x v="4"/>
    <x v="3"/>
    <s v="F:\Données chgh\2020-CHG-CZA-Test-2\plaque 1/@04 EE2 76/D4_03.tif "/>
    <s v=" 27015.7384 "/>
    <s v=" 66.0488 "/>
    <x v="1"/>
    <n v="1784358"/>
    <m/>
    <m/>
  </r>
  <r>
    <x v="4"/>
    <x v="4"/>
    <s v="F:\Données chgh\2020-CHG-CZA-Test-2\plaque 1/@04 EE2 76/E4_01.tif "/>
    <s v=" 3222.8543 "/>
    <s v=" 64.2886 "/>
    <x v="1"/>
    <n v="207193"/>
    <m/>
    <m/>
  </r>
  <r>
    <x v="4"/>
    <x v="4"/>
    <s v="F:\Données chgh\2020-CHG-CZA-Test-2\plaque 1/@04 EE2 76/E4_02.tif "/>
    <s v=" 4888.3562 "/>
    <s v=" 65.5796 "/>
    <x v="1"/>
    <n v="320577"/>
    <m/>
    <m/>
  </r>
  <r>
    <x v="4"/>
    <x v="4"/>
    <s v="F:\Données chgh\2020-CHG-CZA-Test-2\plaque 1/@04 EE2 76/E4_03.tif "/>
    <s v=" 1362.6834 "/>
    <s v=" 63.2381 "/>
    <x v="1"/>
    <n v="86174"/>
    <m/>
    <m/>
  </r>
  <r>
    <x v="4"/>
    <x v="5"/>
    <s v="F:\Données chgh\2020-CHG-CZA-Test-2\plaque 1/@04 EE2 76/F4_01.tif "/>
    <s v=" 10144.4206 "/>
    <s v=" 70.7292 "/>
    <x v="1"/>
    <n v="717507"/>
    <m/>
    <m/>
  </r>
  <r>
    <x v="4"/>
    <x v="5"/>
    <s v="F:\Données chgh\2020-CHG-CZA-Test-2\plaque 1/@04 EE2 76/F4_02.tif "/>
    <s v=" 2422.5482 "/>
    <s v=" 64.3839 "/>
    <x v="1"/>
    <n v="155973"/>
    <m/>
    <m/>
  </r>
  <r>
    <x v="4"/>
    <x v="5"/>
    <s v="F:\Données chgh\2020-CHG-CZA-Test-2\plaque 1/@04 EE2 76/F4_03.tif "/>
    <s v=" 302.8185 "/>
    <n v="63"/>
    <x v="1"/>
    <n v="19078"/>
    <m/>
    <m/>
  </r>
  <r>
    <x v="4"/>
    <x v="6"/>
    <s v="F:\Données chgh\2020-CHG-CZA-Test-2\plaque 1/@04 EE2 76/G4_01.tif "/>
    <s v=" 6445.7086 "/>
    <s v=" 65.1342 "/>
    <x v="1"/>
    <n v="419836"/>
    <m/>
    <m/>
  </r>
  <r>
    <x v="4"/>
    <x v="6"/>
    <s v="F:\Données chgh\2020-CHG-CZA-Test-2\plaque 1/@04 EE2 76/G4_02.tif "/>
    <s v=" 6553.8581 "/>
    <s v=" 68.3168 "/>
    <x v="1"/>
    <n v="447739"/>
    <m/>
    <m/>
  </r>
  <r>
    <x v="4"/>
    <x v="6"/>
    <s v="F:\Données chgh\2020-CHG-CZA-Test-2\plaque 1/@04 EE2 76/G4_03.tif "/>
    <s v=" 7008.0859 "/>
    <s v=" 68.2438 "/>
    <x v="1"/>
    <n v="478259"/>
    <m/>
    <m/>
  </r>
  <r>
    <x v="4"/>
    <x v="7"/>
    <s v="F:\Données chgh\2020-CHG-CZA-Test-2\plaque 1/@04 EE2 76/H4_01.tif "/>
    <s v=" 7808.392 "/>
    <s v=" 63.9945 "/>
    <x v="1"/>
    <n v="499694"/>
    <m/>
    <m/>
  </r>
  <r>
    <x v="4"/>
    <x v="7"/>
    <s v="F:\Données chgh\2020-CHG-CZA-Test-2\plaque 1/@04 EE2 76/H4_02.tif "/>
    <s v=" 12523.709 "/>
    <s v=" 65.6218 "/>
    <x v="1"/>
    <n v="821828"/>
    <m/>
    <m/>
  </r>
  <r>
    <x v="4"/>
    <x v="7"/>
    <s v="F:\Données chgh\2020-CHG-CZA-Test-2\plaque 1/@04 EE2 76/H4_03.tif "/>
    <s v=" 4823.4665 "/>
    <s v=" 63.6413 "/>
    <x v="1"/>
    <n v="306971"/>
    <m/>
    <m/>
  </r>
  <r>
    <x v="1"/>
    <x v="8"/>
    <s v=" "/>
    <m/>
    <m/>
    <x v="0"/>
    <m/>
    <m/>
    <m/>
  </r>
  <r>
    <x v="1"/>
    <x v="8"/>
    <s v="group "/>
    <s v=" "/>
    <s v=" mean of mean fluo "/>
    <x v="2"/>
    <s v=" mean of total fluo "/>
    <s v=" SD total fluo "/>
    <s v=" n fluorescent "/>
  </r>
  <r>
    <x v="4"/>
    <x v="9"/>
    <s v="F:\Données chgh\2020-CHG-CZA-Test-2\plaque 1/@04 EE2 76/ "/>
    <s v=" "/>
    <s v=" 65.915 "/>
    <x v="6"/>
    <s v=" 871182.875 "/>
    <s v=" 1074851.52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5"/>
    <x v="0"/>
    <s v="F:\Données chgh\2020-CHG-CZA-Test-2\plaque 1/@05 EE2 114/A5_01.tif "/>
    <s v=" 58422.3454 "/>
    <s v=" 70.077 "/>
    <x v="1"/>
    <n v="4094063"/>
    <m/>
    <m/>
  </r>
  <r>
    <x v="5"/>
    <x v="0"/>
    <s v="F:\Données chgh\2020-CHG-CZA-Test-2\plaque 1/@05 EE2 114/A5_02.tif "/>
    <s v=" 50376.0246 "/>
    <s v=" 69.4878 "/>
    <x v="1"/>
    <n v="3500517"/>
    <m/>
    <m/>
  </r>
  <r>
    <x v="5"/>
    <x v="0"/>
    <s v="F:\Données chgh\2020-CHG-CZA-Test-2\plaque 1/@05 EE2 114/A5_03.tif "/>
    <s v=" 53187.9109 "/>
    <s v=" 69.9585 "/>
    <x v="1"/>
    <n v="3720948"/>
    <m/>
    <m/>
  </r>
  <r>
    <x v="5"/>
    <x v="1"/>
    <s v="F:\Données chgh\2020-CHG-CZA-Test-2\plaque 1/@05 EE2 114/B5_01.tif "/>
    <s v=" 19293.866 "/>
    <s v=" 65.3587 "/>
    <x v="1"/>
    <n v="1261023"/>
    <m/>
    <m/>
  </r>
  <r>
    <x v="5"/>
    <x v="1"/>
    <s v="F:\Données chgh\2020-CHG-CZA-Test-2\plaque 1/@05 EE2 114/B5_02.tif "/>
    <s v=" 11117.7658 "/>
    <s v=" 65.0584 "/>
    <x v="1"/>
    <n v="723304"/>
    <m/>
    <m/>
  </r>
  <r>
    <x v="5"/>
    <x v="1"/>
    <s v="F:\Données chgh\2020-CHG-CZA-Test-2\plaque 1/@05 EE2 114/B5_03.tif "/>
    <s v=" 17952.8125 "/>
    <s v=" 65.6952 "/>
    <x v="1"/>
    <n v="1179413"/>
    <m/>
    <m/>
  </r>
  <r>
    <x v="5"/>
    <x v="2"/>
    <s v="F:\Données chgh\2020-CHG-CZA-Test-2\plaque 1/@05 EE2 114/C5_01.tif "/>
    <s v=" 14383.8799 "/>
    <s v=" 67.4271 "/>
    <x v="1"/>
    <n v="969863"/>
    <m/>
    <m/>
  </r>
  <r>
    <x v="5"/>
    <x v="2"/>
    <s v="F:\Données chgh\2020-CHG-CZA-Test-2\plaque 1/@05 EE2 114/C5_02.tif "/>
    <s v=" 5342.584 "/>
    <s v=" 65.1012 "/>
    <x v="1"/>
    <n v="347809"/>
    <m/>
    <m/>
  </r>
  <r>
    <x v="5"/>
    <x v="2"/>
    <s v="F:\Données chgh\2020-CHG-CZA-Test-2\plaque 1/@05 EE2 114/C5_03.tif "/>
    <s v=" 2703.7368 "/>
    <s v=" 64.648 "/>
    <x v="1"/>
    <n v="174791"/>
    <m/>
    <m/>
  </r>
  <r>
    <x v="5"/>
    <x v="3"/>
    <s v="F:\Données chgh\2020-CHG-CZA-Test-2\plaque 1/@05 EE2 114/D5_01.tif "/>
    <s v=" 45812.1168 "/>
    <s v=" 69.2913 "/>
    <x v="1"/>
    <n v="3174382"/>
    <m/>
    <m/>
  </r>
  <r>
    <x v="5"/>
    <x v="3"/>
    <s v="F:\Données chgh\2020-CHG-CZA-Test-2\plaque 1/@05 EE2 114/D5_02.tif "/>
    <s v=" 35537.9169 "/>
    <s v=" 68.0712 "/>
    <x v="1"/>
    <n v="2419109"/>
    <m/>
    <m/>
  </r>
  <r>
    <x v="5"/>
    <x v="3"/>
    <s v="F:\Données chgh\2020-CHG-CZA-Test-2\plaque 1/@05 EE2 114/D5_03.tif "/>
    <s v=" 25133.9376 "/>
    <s v=" 66.9639 "/>
    <x v="1"/>
    <n v="1683065"/>
    <m/>
    <m/>
  </r>
  <r>
    <x v="5"/>
    <x v="4"/>
    <s v="F:\Données chgh\2020-CHG-CZA-Test-2\plaque 1/@05 EE2 114/E5_01.tif "/>
    <s v=" 36900.6002 "/>
    <s v=" 68.8183 "/>
    <x v="1"/>
    <n v="2539436"/>
    <m/>
    <m/>
  </r>
  <r>
    <x v="5"/>
    <x v="4"/>
    <s v="F:\Données chgh\2020-CHG-CZA-Test-2\plaque 1/@05 EE2 114/E5_02.tif "/>
    <s v=" 24917.6386 "/>
    <s v=" 66.3715 "/>
    <x v="1"/>
    <n v="1653822"/>
    <m/>
    <m/>
  </r>
  <r>
    <x v="5"/>
    <x v="4"/>
    <s v="F:\Données chgh\2020-CHG-CZA-Test-2\plaque 1/@05 EE2 114/E5_03.tif "/>
    <s v=" 24939.2685 "/>
    <s v=" 66.3868 "/>
    <x v="1"/>
    <n v="1655639"/>
    <m/>
    <m/>
  </r>
  <r>
    <x v="5"/>
    <x v="5"/>
    <s v="F:\Données chgh\2020-CHG-CZA-Test-2\plaque 1/@05 EE2 114/F5_01.tif "/>
    <s v=" 14556.9191 "/>
    <s v=" 64.5557 "/>
    <x v="1"/>
    <n v="939732"/>
    <m/>
    <m/>
  </r>
  <r>
    <x v="5"/>
    <x v="5"/>
    <s v="F:\Données chgh\2020-CHG-CZA-Test-2\plaque 1/@05 EE2 114/F5_02.tif "/>
    <s v=" 14881.3675 "/>
    <s v=" 64.5901 "/>
    <x v="1"/>
    <n v="961189"/>
    <m/>
    <m/>
  </r>
  <r>
    <x v="5"/>
    <x v="5"/>
    <s v="F:\Données chgh\2020-CHG-CZA-Test-2\plaque 1/@05 EE2 114/F5_03- exclu.tif"/>
    <m/>
    <m/>
    <x v="0"/>
    <m/>
    <m/>
    <m/>
  </r>
  <r>
    <x v="5"/>
    <x v="6"/>
    <s v="F:\Données chgh\2020-CHG-CZA-Test-2\plaque 1/@05 EE2 114/G5_01.tif "/>
    <s v=" 51176.3307 "/>
    <s v=" 71.459 "/>
    <x v="1"/>
    <n v="3657010"/>
    <m/>
    <m/>
  </r>
  <r>
    <x v="5"/>
    <x v="6"/>
    <s v="F:\Données chgh\2020-CHG-CZA-Test-2\plaque 1/@05 EE2 114/G5_02.tif "/>
    <s v=" 55048.0818 "/>
    <s v=" 70.6224 "/>
    <x v="1"/>
    <n v="3887627"/>
    <m/>
    <m/>
  </r>
  <r>
    <x v="5"/>
    <x v="6"/>
    <s v="F:\Données chgh\2020-CHG-CZA-Test-2\plaque 1/@05 EE2 114/G5_03.tif "/>
    <s v=" 41940.3657 "/>
    <s v=" 69.3889 "/>
    <x v="1"/>
    <n v="2910194"/>
    <m/>
    <m/>
  </r>
  <r>
    <x v="5"/>
    <x v="7"/>
    <s v="F:\Données chgh\2020-CHG-CZA-Test-2\plaque 1/@05 EE2 114/H5_01.tif "/>
    <s v=" 37722.5362 "/>
    <s v=" 67.9702 "/>
    <x v="1"/>
    <n v="2564008"/>
    <m/>
    <m/>
  </r>
  <r>
    <x v="5"/>
    <x v="7"/>
    <s v="F:\Données chgh\2020-CHG-CZA-Test-2\plaque 1/@05 EE2 114/H5_02.tif "/>
    <s v=" 43130.0099 "/>
    <s v=" 68.337 "/>
    <x v="1"/>
    <n v="2947376"/>
    <m/>
    <m/>
  </r>
  <r>
    <x v="5"/>
    <x v="7"/>
    <s v="F:\Données chgh\2020-CHG-CZA-Test-2\plaque 1/@05 EE2 114/H5_03.tif "/>
    <s v=" 42827.1914 "/>
    <s v=" 70.0343 "/>
    <x v="1"/>
    <n v="2999374"/>
    <m/>
    <m/>
  </r>
  <r>
    <x v="1"/>
    <x v="8"/>
    <s v=" "/>
    <m/>
    <m/>
    <x v="0"/>
    <m/>
    <m/>
    <m/>
  </r>
  <r>
    <x v="1"/>
    <x v="8"/>
    <s v="group "/>
    <s v=" "/>
    <s v=" mean of mean fluo "/>
    <x v="2"/>
    <s v=" mean of total fluo "/>
    <s v=" SD total fluo "/>
    <s v=" n fluorescent "/>
  </r>
  <r>
    <x v="5"/>
    <x v="9"/>
    <s v="F:\Données chgh\2020-CHG-CZA-Test-2\plaque 1/@05 EE2 114/ "/>
    <s v=" "/>
    <s v=" 67.4893 "/>
    <x v="7"/>
    <s v=" 2109883.58 "/>
    <s v=" 1229694.84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6"/>
    <x v="0"/>
    <s v="F:\Données chgh\2020-CHG-CZA-Test-2\plaque 1/@06 EE2 171/A6_01.tif "/>
    <s v=" 50419.2844 "/>
    <s v=" 72.9271 "/>
    <x v="1"/>
    <n v="3676931"/>
    <m/>
    <m/>
  </r>
  <r>
    <x v="6"/>
    <x v="0"/>
    <s v="F:\Données chgh\2020-CHG-CZA-Test-2\plaque 1/@06 EE2 171/A6_02.tif "/>
    <s v=" 40080.1947 "/>
    <s v=" 69.6325 "/>
    <x v="1"/>
    <n v="2790884"/>
    <m/>
    <m/>
  </r>
  <r>
    <x v="6"/>
    <x v="0"/>
    <s v="F:\Données chgh\2020-CHG-CZA-Test-2\plaque 1/@06 EE2 171/A6_03.tif "/>
    <s v=" 49727.1278 "/>
    <s v=" 72.3049 "/>
    <x v="1"/>
    <n v="3595516"/>
    <m/>
    <m/>
  </r>
  <r>
    <x v="6"/>
    <x v="1"/>
    <s v="F:\Données chgh\2020-CHG-CZA-Test-2\plaque 1/@06 EE2 171/B6_01.tif "/>
    <s v=" 28097.2331 "/>
    <s v=" 69.7606 "/>
    <x v="1"/>
    <n v="1960079"/>
    <m/>
    <m/>
  </r>
  <r>
    <x v="6"/>
    <x v="1"/>
    <s v="F:\Données chgh\2020-CHG-CZA-Test-2\plaque 1/@06 EE2 171/B6_02.tif "/>
    <s v=" 22365.311 "/>
    <s v=" 68.1228 "/>
    <x v="1"/>
    <n v="1523588"/>
    <m/>
    <m/>
  </r>
  <r>
    <x v="6"/>
    <x v="1"/>
    <s v="F:\Données chgh\2020-CHG-CZA-Test-2\plaque 1/@06 EE2 171/B6_03.tif "/>
    <s v=" 23879.4037 "/>
    <s v=" 68.8161 "/>
    <x v="1"/>
    <n v="1643288"/>
    <m/>
    <m/>
  </r>
  <r>
    <x v="6"/>
    <x v="2"/>
    <s v="F:\Données chgh\2020-CHG-CZA-Test-2\plaque 1/@06 EE2 171/C6_01.tif "/>
    <s v=" 51998.2667 "/>
    <s v=" 77.1156 "/>
    <x v="1"/>
    <n v="4009880"/>
    <m/>
    <m/>
  </r>
  <r>
    <x v="6"/>
    <x v="2"/>
    <s v="F:\Données chgh\2020-CHG-CZA-Test-2\plaque 1/@06 EE2 171/C6_02.tif "/>
    <s v=" 49510.8288 "/>
    <s v=" 76.896 "/>
    <x v="1"/>
    <n v="3807186"/>
    <m/>
    <m/>
  </r>
  <r>
    <x v="6"/>
    <x v="2"/>
    <s v="F:\Données chgh\2020-CHG-CZA-Test-2\plaque 1/@06 EE2 171/C6_03- exclu.tif"/>
    <m/>
    <m/>
    <x v="0"/>
    <m/>
    <m/>
    <m/>
  </r>
  <r>
    <x v="6"/>
    <x v="3"/>
    <s v="F:\Données chgh\2020-CHG-CZA-Test-2\plaque 1/@06 EE2 171/D6_01.tif "/>
    <s v=" 48472.5939 "/>
    <s v=" 86.4993 "/>
    <x v="1"/>
    <n v="4192847"/>
    <m/>
    <m/>
  </r>
  <r>
    <x v="6"/>
    <x v="3"/>
    <s v="F:\Données chgh\2020-CHG-CZA-Test-2\plaque 1/@06 EE2 171/D6_02.tif "/>
    <s v=" 46720.5724 "/>
    <s v=" 86.7389 "/>
    <x v="1"/>
    <n v="4052491"/>
    <m/>
    <m/>
  </r>
  <r>
    <x v="6"/>
    <x v="3"/>
    <s v="F:\Données chgh\2020-CHG-CZA-Test-2\plaque 1/@06 EE2 171/D6_03- exclu.tif"/>
    <m/>
    <m/>
    <x v="0"/>
    <m/>
    <m/>
    <m/>
  </r>
  <r>
    <x v="6"/>
    <x v="4"/>
    <s v="F:\Données chgh\2020-CHG-CZA-Test-2\plaque 1/@06 EE2 171/E6_01.tif "/>
    <s v=" 56691.9538 "/>
    <s v=" 77.3907 "/>
    <x v="1"/>
    <n v="4387429"/>
    <m/>
    <m/>
  </r>
  <r>
    <x v="6"/>
    <x v="4"/>
    <s v="F:\Données chgh\2020-CHG-CZA-Test-2\plaque 1/@06 EE2 171/E6_02.tif "/>
    <s v=" 59136.1319 "/>
    <s v=" 77.5304 "/>
    <x v="1"/>
    <n v="4584846"/>
    <m/>
    <m/>
  </r>
  <r>
    <x v="6"/>
    <x v="4"/>
    <s v="F:\Données chgh\2020-CHG-CZA-Test-2\plaque 1/@06 EE2 171/E6_03.tif "/>
    <s v=" 53166.281 "/>
    <s v=" 75.7758 "/>
    <x v="1"/>
    <n v="4028719"/>
    <m/>
    <m/>
  </r>
  <r>
    <x v="6"/>
    <x v="5"/>
    <s v="F:\Données chgh\2020-CHG-CZA-Test-2\plaque 1/@06 EE2 171/F6_01.tif "/>
    <s v=" 32704.4007 "/>
    <s v=" 79.2421 "/>
    <x v="1"/>
    <n v="2591564"/>
    <m/>
    <m/>
  </r>
  <r>
    <x v="6"/>
    <x v="5"/>
    <s v="F:\Données chgh\2020-CHG-CZA-Test-2\plaque 1/@06 EE2 171/F6_02.tif "/>
    <s v=" 36100.2941 "/>
    <s v=" 76.4907 "/>
    <x v="1"/>
    <n v="2761337"/>
    <m/>
    <m/>
  </r>
  <r>
    <x v="6"/>
    <x v="5"/>
    <s v="F:\Données chgh\2020-CHG-CZA-Test-2\plaque 1/@06 EE2 171/F6_03- exclu.tif"/>
    <m/>
    <m/>
    <x v="0"/>
    <m/>
    <m/>
    <m/>
  </r>
  <r>
    <x v="6"/>
    <x v="6"/>
    <s v="F:\Données chgh\2020-CHG-CZA-Test-2\plaque 1/@06 EE2 171/G6_01.tif "/>
    <s v=" 70015.9689 "/>
    <s v=" 82.0884 "/>
    <x v="1"/>
    <n v="5747496"/>
    <m/>
    <m/>
  </r>
  <r>
    <x v="6"/>
    <x v="6"/>
    <s v="F:\Données chgh\2020-CHG-CZA-Test-2\plaque 1/@06 EE2 171/G6_02.tif "/>
    <s v=" 68220.6877 "/>
    <s v=" 82.4867 "/>
    <x v="1"/>
    <n v="5627298"/>
    <m/>
    <m/>
  </r>
  <r>
    <x v="6"/>
    <x v="6"/>
    <s v="F:\Données chgh\2020-CHG-CZA-Test-2\plaque 1/@06 EE2 171/G6_03.tif "/>
    <s v=" 67550.1609 "/>
    <s v=" 80.2402 "/>
    <x v="1"/>
    <n v="5420235"/>
    <m/>
    <m/>
  </r>
  <r>
    <x v="6"/>
    <x v="7"/>
    <s v="F:\Données chgh\2020-CHG-CZA-Test-2\plaque 1/@06 EE2 171/H6_01.tif "/>
    <s v=" 47650.6579 "/>
    <s v=" 80.8153 "/>
    <x v="1"/>
    <n v="3850900"/>
    <m/>
    <m/>
  </r>
  <r>
    <x v="6"/>
    <x v="7"/>
    <s v="F:\Données chgh\2020-CHG-CZA-Test-2\plaque 1/@06 EE2 171/H6_02.tif "/>
    <s v=" 45076.7004 "/>
    <s v=" 78.9453 "/>
    <x v="1"/>
    <n v="3558594"/>
    <m/>
    <m/>
  </r>
  <r>
    <x v="6"/>
    <x v="7"/>
    <s v="F:\Données chgh\2020-CHG-CZA-Test-2\plaque 1/@06 EE2 171/H6_03.tif "/>
    <s v=" 48213.0351 "/>
    <s v=" 80.7106 "/>
    <x v="1"/>
    <n v="3891305"/>
    <m/>
    <m/>
  </r>
  <r>
    <x v="1"/>
    <x v="8"/>
    <s v=" "/>
    <m/>
    <m/>
    <x v="0"/>
    <m/>
    <m/>
    <m/>
  </r>
  <r>
    <x v="1"/>
    <x v="8"/>
    <s v="group "/>
    <s v=" "/>
    <s v=" mean of mean fluo "/>
    <x v="2"/>
    <s v=" mean of total fluo "/>
    <s v=" SD total fluo "/>
    <s v=" n fluorescent "/>
  </r>
  <r>
    <x v="6"/>
    <x v="9"/>
    <s v="F:\Données chgh\2020-CHG-CZA-Test-2\plaque 1/@06 EE2 171/ "/>
    <s v=" "/>
    <s v=" 76.2501 "/>
    <x v="8"/>
    <s v=" 3286080.38 "/>
    <s v=" 1569291.73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7"/>
    <x v="0"/>
    <s v="F:\Données chgh\2020-CHG-CZA-Test-2\plaque 1/@07 EE2 488/A7_01.tif "/>
    <s v=" 76569.827 "/>
    <s v=" 98.3856 "/>
    <x v="1"/>
    <n v="7533368"/>
    <m/>
    <m/>
  </r>
  <r>
    <x v="7"/>
    <x v="0"/>
    <s v="F:\Données chgh\2020-CHG-CZA-Test-2\plaque 1/@07 EE2 488/A7_02.tif "/>
    <s v=" 77218.7238 "/>
    <s v=" 93.0683 "/>
    <x v="1"/>
    <n v="7186619"/>
    <m/>
    <m/>
  </r>
  <r>
    <x v="7"/>
    <x v="0"/>
    <s v="F:\Données chgh\2020-CHG-CZA-Test-2\plaque 1/@07 EE2 488/A7_03.tif "/>
    <s v=" 74168.9087 "/>
    <s v=" 94.3998 "/>
    <x v="1"/>
    <n v="7001532"/>
    <m/>
    <m/>
  </r>
  <r>
    <x v="7"/>
    <x v="1"/>
    <s v="F:\Données chgh\2020-CHG-CZA-Test-2\plaque 1/@07 EE2 488/B7_01.tif "/>
    <s v=" 72957.6346 "/>
    <s v=" 94.0726 "/>
    <x v="1"/>
    <n v="6863317"/>
    <m/>
    <m/>
  </r>
  <r>
    <x v="7"/>
    <x v="1"/>
    <s v="F:\Données chgh\2020-CHG-CZA-Test-2\plaque 1/@07 EE2 488/B7_02.tif "/>
    <s v=" 71465.1719 "/>
    <s v=" 92.0896 "/>
    <x v="1"/>
    <n v="6581198"/>
    <m/>
    <m/>
  </r>
  <r>
    <x v="7"/>
    <x v="1"/>
    <s v="F:\Données chgh\2020-CHG-CZA-Test-2\plaque 1/@07 EE2 488/B7_03.tif "/>
    <s v=" 71832.8801 "/>
    <s v=" 92.3863 "/>
    <x v="1"/>
    <n v="6636376"/>
    <m/>
    <m/>
  </r>
  <r>
    <x v="7"/>
    <x v="2"/>
    <s v="F:\Données chgh\2020-CHG-CZA-Test-2\plaque 1/@07 EE2 488/C7_01.tif "/>
    <s v=" 60347.406 "/>
    <s v=" 73.5183 "/>
    <x v="1"/>
    <n v="4436637"/>
    <m/>
    <m/>
  </r>
  <r>
    <x v="7"/>
    <x v="2"/>
    <s v="F:\Données chgh\2020-CHG-CZA-Test-2\plaque 1/@07 EE2 488/C7_02.tif "/>
    <s v=" 64608.4953 "/>
    <s v=" 73.8658 "/>
    <x v="1"/>
    <n v="4772355"/>
    <m/>
    <m/>
  </r>
  <r>
    <x v="7"/>
    <x v="2"/>
    <s v="F:\Données chgh\2020-CHG-CZA-Test-2\plaque 1/@07 EE2 488/C7_03.tif "/>
    <s v=" 62077.7976 "/>
    <s v=" 76.0523 "/>
    <x v="1"/>
    <n v="4721157"/>
    <m/>
    <m/>
  </r>
  <r>
    <x v="7"/>
    <x v="3"/>
    <s v="F:\Données chgh\2020-CHG-CZA-Test-2\plaque 1/@07 EE2 488/D7_01.tif "/>
    <s v=" 41313.0987 "/>
    <s v=" 73.2979 "/>
    <x v="1"/>
    <n v="3028164"/>
    <m/>
    <m/>
  </r>
  <r>
    <x v="7"/>
    <x v="3"/>
    <s v="F:\Données chgh\2020-CHG-CZA-Test-2\plaque 1/@07 EE2 488/D7_02.tif "/>
    <s v=" 38782.4011 "/>
    <s v=" 72.5103 "/>
    <x v="1"/>
    <n v="2812124"/>
    <m/>
    <m/>
  </r>
  <r>
    <x v="7"/>
    <x v="3"/>
    <s v="F:\Données chgh\2020-CHG-CZA-Test-2\plaque 1/@07 EE2 488/D7_03.tif "/>
    <s v=" 36273.3333 "/>
    <s v=" 72.9535 "/>
    <x v="1"/>
    <n v="2646266"/>
    <m/>
    <m/>
  </r>
  <r>
    <x v="7"/>
    <x v="4"/>
    <s v="F:\Données chgh\2020-CHG-CZA-Test-2\plaque 1/@07 EE2 488/E7_01.tif "/>
    <s v=" 81609.5924 "/>
    <s v=" 103.771 "/>
    <x v="1"/>
    <n v="8468709"/>
    <m/>
    <m/>
  </r>
  <r>
    <x v="7"/>
    <x v="4"/>
    <s v="F:\Données chgh\2020-CHG-CZA-Test-2\plaque 1/@07 EE2 488/E7_02.tif "/>
    <s v=" 81501.443 "/>
    <s v=" 102.6805 "/>
    <x v="1"/>
    <n v="8368606"/>
    <m/>
    <m/>
  </r>
  <r>
    <x v="7"/>
    <x v="4"/>
    <s v="F:\Données chgh\2020-CHG-CZA-Test-2\plaque 1/@07 EE2 488/E7_03.tif "/>
    <s v=" 80203.6493 "/>
    <s v=" 101.414 "/>
    <x v="1"/>
    <n v="8133770"/>
    <m/>
    <m/>
  </r>
  <r>
    <x v="7"/>
    <x v="5"/>
    <s v="F:\Données chgh\2020-CHG-CZA-Test-2\plaque 1/@07 EE2 488/F7_01.tif "/>
    <s v=" 56735.2136 "/>
    <s v=" 92.3031 "/>
    <x v="1"/>
    <n v="5236835"/>
    <m/>
    <m/>
  </r>
  <r>
    <x v="7"/>
    <x v="5"/>
    <s v="F:\Données chgh\2020-CHG-CZA-Test-2\plaque 1/@07 EE2 488/F7_02.tif "/>
    <s v=" 56194.4662 "/>
    <s v=" 90.7136 "/>
    <x v="1"/>
    <n v="5097604"/>
    <m/>
    <m/>
  </r>
  <r>
    <x v="7"/>
    <x v="5"/>
    <s v="F:\Données chgh\2020-CHG-CZA-Test-2\plaque 1/@07 EE2 488/F7_03.tif "/>
    <s v=" 59330.801 "/>
    <s v=" 92.7517 "/>
    <x v="1"/>
    <n v="5503035"/>
    <m/>
    <m/>
  </r>
  <r>
    <x v="7"/>
    <x v="6"/>
    <s v="F:\Données chgh\2020-CHG-CZA-Test-2\plaque 1/@07 EE2 488/G7_01.tif "/>
    <s v=" 76158.859 "/>
    <s v=" 89.8819 "/>
    <x v="1"/>
    <n v="6845299"/>
    <m/>
    <m/>
  </r>
  <r>
    <x v="7"/>
    <x v="6"/>
    <s v="F:\Données chgh\2020-CHG-CZA-Test-2\plaque 1/@07 EE2 488/G7_02.tif "/>
    <s v=" 72546.6666 "/>
    <s v=" 87.7484 "/>
    <x v="1"/>
    <n v="6365851"/>
    <m/>
    <m/>
  </r>
  <r>
    <x v="7"/>
    <x v="6"/>
    <s v="F:\Données chgh\2020-CHG-CZA-Test-2\plaque 1/@07 EE2 488/G7_03.tif "/>
    <s v=" 73866.0902 "/>
    <s v=" 87.5362 "/>
    <x v="1"/>
    <n v="6465954"/>
    <m/>
    <m/>
  </r>
  <r>
    <x v="7"/>
    <x v="7"/>
    <s v="F:\Données chgh\2020-CHG-CZA-Test-2\plaque 1/@07 EE2 488/H7_01.tif "/>
    <s v=" 79273.5638 "/>
    <s v=" 100.1823 "/>
    <x v="1"/>
    <n v="7941805"/>
    <m/>
    <m/>
  </r>
  <r>
    <x v="7"/>
    <x v="7"/>
    <s v="F:\Données chgh\2020-CHG-CZA-Test-2\plaque 1/@07 EE2 488/H7_02.tif "/>
    <s v=" 80982.3255 "/>
    <s v=" 99.8112 "/>
    <x v="1"/>
    <n v="8082940"/>
    <m/>
    <m/>
  </r>
  <r>
    <x v="7"/>
    <x v="7"/>
    <s v="F:\Données chgh\2020-CHG-CZA-Test-2\plaque 1/@07 EE2 488/H7_03.tif "/>
    <s v=" 83210.2046 "/>
    <s v=" 96.1097 "/>
    <x v="1"/>
    <n v="7997307"/>
    <m/>
    <m/>
  </r>
  <r>
    <x v="1"/>
    <x v="8"/>
    <s v=" "/>
    <m/>
    <m/>
    <x v="0"/>
    <m/>
    <m/>
    <m/>
  </r>
  <r>
    <x v="1"/>
    <x v="8"/>
    <s v="group "/>
    <s v=" "/>
    <s v=" mean of mean fluo "/>
    <x v="2"/>
    <s v=" mean of total fluo "/>
    <s v=" SD total fluo "/>
    <s v=" n fluorescent "/>
  </r>
  <r>
    <x v="7"/>
    <x v="9"/>
    <s v="F:\Données chgh\2020-CHG-CZA-Test-2\plaque 1/@07 EE2 488/ "/>
    <s v=" "/>
    <s v=" 89.646 "/>
    <x v="9"/>
    <s v=" 6196951.17 "/>
    <s v=" 1771924.82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8"/>
    <x v="0"/>
    <s v="F:\Données chgh\2020-CHG-CZA-Test-2\plaque 1/@08 Pro 12/A8_01.tif "/>
    <s v=" 4044.7903 "/>
    <s v=" 65.893 "/>
    <x v="1"/>
    <n v="266524"/>
    <m/>
    <m/>
  </r>
  <r>
    <x v="8"/>
    <x v="0"/>
    <s v="F:\Données chgh\2020-CHG-CZA-Test-2\plaque 1/@08 Pro 12/A8_02.tif "/>
    <s v=" 3309.3739 "/>
    <s v=" 66.098 "/>
    <x v="1"/>
    <n v="218743"/>
    <m/>
    <m/>
  </r>
  <r>
    <x v="8"/>
    <x v="0"/>
    <s v="F:\Données chgh\2020-CHG-CZA-Test-2\plaque 1/@08 Pro 12/A8_03.tif "/>
    <s v=" 1968.3204 "/>
    <s v=" 64.0769 "/>
    <x v="1"/>
    <n v="126124"/>
    <m/>
    <m/>
  </r>
  <r>
    <x v="8"/>
    <x v="1"/>
    <s v="F:\Données chgh\2020-CHG-CZA-Test-2\plaque 1/@08 Pro 12/B8_01.tif "/>
    <s v=" 3504.0429 "/>
    <s v=" 66.4444 "/>
    <x v="1"/>
    <n v="232824"/>
    <m/>
    <m/>
  </r>
  <r>
    <x v="8"/>
    <x v="1"/>
    <s v="F:\Données chgh\2020-CHG-CZA-Test-2\plaque 1/@08 Pro 12/B8_02.tif "/>
    <s v=" 5191.1747 "/>
    <s v=" 67.8292 "/>
    <x v="1"/>
    <n v="352113"/>
    <m/>
    <m/>
  </r>
  <r>
    <x v="8"/>
    <x v="1"/>
    <s v="F:\Données chgh\2020-CHG-CZA-Test-2\plaque 1/@08 Pro 12/B8_03.tif "/>
    <s v=" 2876.776 "/>
    <s v=" 66.6767 "/>
    <x v="1"/>
    <n v="191814"/>
    <m/>
    <m/>
  </r>
  <r>
    <x v="8"/>
    <x v="2"/>
    <s v="F:\Données chgh\2020-CHG-CZA-Test-2\plaque 1/@08 Pro 12/C8_01.tif "/>
    <s v=" 821.936 "/>
    <s v=" 63.5526 "/>
    <x v="1"/>
    <n v="52236"/>
    <m/>
    <m/>
  </r>
  <r>
    <x v="8"/>
    <x v="2"/>
    <s v="F:\Données chgh\2020-CHG-CZA-Test-2\plaque 1/@08 Pro 12/C8_02.tif "/>
    <s v=" 10490.4989 "/>
    <s v=" 70.9567 "/>
    <x v="1"/>
    <n v="744371"/>
    <m/>
    <m/>
  </r>
  <r>
    <x v="8"/>
    <x v="2"/>
    <s v="F:\Données chgh\2020-CHG-CZA-Test-2\plaque 1/@08 Pro 12/C8_03- exclu.tif"/>
    <m/>
    <m/>
    <x v="0"/>
    <m/>
    <m/>
    <m/>
  </r>
  <r>
    <x v="8"/>
    <x v="3"/>
    <s v="F:\Données chgh\2020-CHG-CZA-Test-2\plaque 1/@08 Pro 12/D8_01.tif "/>
    <s v=" 281.1886 "/>
    <s v=" 64.6923 "/>
    <x v="1"/>
    <n v="18191"/>
    <m/>
    <m/>
  </r>
  <r>
    <x v="8"/>
    <x v="3"/>
    <s v="F:\Données chgh\2020-CHG-CZA-Test-2\plaque 1/@08 Pro 12/D8_02.tif "/>
    <s v=" 4217.8295 "/>
    <s v=" 68.3949 "/>
    <x v="1"/>
    <n v="288478"/>
    <m/>
    <m/>
  </r>
  <r>
    <x v="8"/>
    <x v="3"/>
    <s v="F:\Données chgh\2020-CHG-CZA-Test-2\plaque 1/@08 Pro 12/D8_03.tif "/>
    <s v=" 3374.2636 "/>
    <s v=" 70.2244 "/>
    <x v="1"/>
    <n v="236955"/>
    <m/>
    <m/>
  </r>
  <r>
    <x v="8"/>
    <x v="4"/>
    <s v="F:\Données chgh\2020-CHG-CZA-Test-2\plaque 1/@08 Pro 12/E8_01.tif "/>
    <s v=" 3958.2707 "/>
    <s v=" 64.8689 "/>
    <x v="1"/>
    <n v="256768"/>
    <m/>
    <m/>
  </r>
  <r>
    <x v="8"/>
    <x v="4"/>
    <s v="F:\Données chgh\2020-CHG-CZA-Test-2\plaque 1/@08 Pro 12/E8_02.tif "/>
    <s v=" 1903.4307 "/>
    <s v=" 63.7386 "/>
    <x v="1"/>
    <n v="121322"/>
    <m/>
    <m/>
  </r>
  <r>
    <x v="8"/>
    <x v="4"/>
    <s v="F:\Données chgh\2020-CHG-CZA-Test-2\plaque 1/@08 Pro 12/E8_03.tif "/>
    <s v=" 2227.8791 "/>
    <s v=" 64.7767 "/>
    <x v="1"/>
    <n v="144315"/>
    <m/>
    <m/>
  </r>
  <r>
    <x v="8"/>
    <x v="5"/>
    <s v="F:\Données chgh\2020-CHG-CZA-Test-2\plaque 1/@08 Pro 12/F8_01- exclu.tif"/>
    <m/>
    <m/>
    <x v="0"/>
    <m/>
    <m/>
    <m/>
  </r>
  <r>
    <x v="8"/>
    <x v="5"/>
    <s v="F:\Données chgh\2020-CHG-CZA-Test-2\plaque 1/@08 Pro 12/F8_02.tif "/>
    <s v=" 5515.6231 "/>
    <s v=" 67.2235 "/>
    <x v="1"/>
    <n v="370780"/>
    <m/>
    <m/>
  </r>
  <r>
    <x v="8"/>
    <x v="5"/>
    <s v="F:\Données chgh\2020-CHG-CZA-Test-2\plaque 1/@08 Pro 12/F8_03.tif "/>
    <s v=" 1384.3133 "/>
    <s v=" 64.2188 "/>
    <x v="1"/>
    <n v="88899"/>
    <m/>
    <m/>
  </r>
  <r>
    <x v="8"/>
    <x v="6"/>
    <s v="F:\Données chgh\2020-CHG-CZA-Test-2\plaque 1/@08 Pro 12/G8_01.tif "/>
    <s v=" 4585.5377 "/>
    <s v=" 65.6745 "/>
    <x v="1"/>
    <n v="301153"/>
    <m/>
    <m/>
  </r>
  <r>
    <x v="8"/>
    <x v="6"/>
    <s v="F:\Données chgh\2020-CHG-CZA-Test-2\plaque 1/@08 Pro 12/G8_02.tif "/>
    <s v=" 5753.552 "/>
    <s v=" 66.406 "/>
    <x v="1"/>
    <n v="382070"/>
    <m/>
    <m/>
  </r>
  <r>
    <x v="8"/>
    <x v="6"/>
    <s v="F:\Données chgh\2020-CHG-CZA-Test-2\plaque 1/@08 Pro 12/G8_03.tif "/>
    <s v=" 3677.0821 "/>
    <s v=" 66.0706 "/>
    <x v="1"/>
    <n v="242947"/>
    <m/>
    <m/>
  </r>
  <r>
    <x v="8"/>
    <x v="7"/>
    <s v="F:\Données chgh\2020-CHG-CZA-Test-2\plaque 1/@08 Pro 12/H8_01.tif "/>
    <s v=" 9062.9258 "/>
    <s v=" 71.9212 "/>
    <x v="1"/>
    <n v="651817"/>
    <m/>
    <m/>
  </r>
  <r>
    <x v="8"/>
    <x v="7"/>
    <s v="F:\Données chgh\2020-CHG-CZA-Test-2\plaque 1/@08 Pro 12/H8_02.tif "/>
    <s v=" 692.1566 "/>
    <s v=" 63.0938 "/>
    <x v="1"/>
    <n v="43671"/>
    <m/>
    <m/>
  </r>
  <r>
    <x v="8"/>
    <x v="7"/>
    <s v="F:\Données chgh\2020-CHG-CZA-Test-2\plaque 1/@08 Pro 12/H8_03.tif "/>
    <s v=" 8673.5877 "/>
    <s v=" 69.3292 "/>
    <x v="1"/>
    <n v="601333"/>
    <m/>
    <m/>
  </r>
  <r>
    <x v="1"/>
    <x v="8"/>
    <s v=" "/>
    <m/>
    <m/>
    <x v="0"/>
    <m/>
    <m/>
    <m/>
  </r>
  <r>
    <x v="1"/>
    <x v="8"/>
    <s v="group "/>
    <s v=" "/>
    <s v=" mean of mean fluo "/>
    <x v="2"/>
    <s v=" mean of total fluo "/>
    <s v=" SD total fluo "/>
    <s v=" n fluorescent "/>
  </r>
  <r>
    <x v="8"/>
    <x v="9"/>
    <s v="F:\Données chgh\2020-CHG-CZA-Test-2\plaque 1/@08 Pro 12/ "/>
    <s v=" "/>
    <s v=" 66.5482 "/>
    <x v="10"/>
    <s v=" 295064.208 "/>
    <s v=" 237782.566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9"/>
    <x v="0"/>
    <s v="F:\Données chgh\2020-CHG-CZA-Test-2\plaque 1/@09 Pro 37/A9_01.tif "/>
    <s v=" 302.8185 "/>
    <s v=" 63.2143 "/>
    <x v="1"/>
    <n v="19142"/>
    <m/>
    <m/>
  </r>
  <r>
    <x v="9"/>
    <x v="0"/>
    <s v="F:\Données chgh\2020-CHG-CZA-Test-2\plaque 1/@09 Pro 37/A9_02.tif "/>
    <s v=" 2379.2884 "/>
    <s v=" 63.8636 "/>
    <x v="1"/>
    <n v="151950"/>
    <m/>
    <m/>
  </r>
  <r>
    <x v="9"/>
    <x v="0"/>
    <s v="F:\Données chgh\2020-CHG-CZA-Test-2\plaque 1/@09 Pro 37/A9_03- exclu.tif"/>
    <m/>
    <m/>
    <x v="0"/>
    <m/>
    <m/>
    <m/>
  </r>
  <r>
    <x v="9"/>
    <x v="1"/>
    <s v="F:\Données chgh\2020-CHG-CZA-Test-2\plaque 1/@09 Pro 37/B9_01.tif "/>
    <s v=" 4909.9861 "/>
    <s v=" 67.7225 "/>
    <x v="1"/>
    <n v="332516"/>
    <m/>
    <m/>
  </r>
  <r>
    <x v="9"/>
    <x v="1"/>
    <s v="F:\Données chgh\2020-CHG-CZA-Test-2\plaque 1/@09 Pro 37/B9_02.tif "/>
    <s v=" 2703.7368 "/>
    <s v=" 66.088 "/>
    <x v="1"/>
    <n v="178685"/>
    <m/>
    <m/>
  </r>
  <r>
    <x v="9"/>
    <x v="1"/>
    <s v="F:\Données chgh\2020-CHG-CZA-Test-2\plaque 1/@09 Pro 37/B9_03.tif "/>
    <s v=" 2530.6977 "/>
    <s v=" 66.3846 "/>
    <x v="1"/>
    <n v="167999"/>
    <m/>
    <m/>
  </r>
  <r>
    <x v="9"/>
    <x v="2"/>
    <s v="F:\Données chgh\2020-CHG-CZA-Test-2\plaque 1/@09 Pro 37/C9_01.tif "/>
    <s v=" 4390.8686 "/>
    <s v=" 71.1133 "/>
    <x v="1"/>
    <n v="312249"/>
    <m/>
    <m/>
  </r>
  <r>
    <x v="9"/>
    <x v="2"/>
    <s v="F:\Données chgh\2020-CHG-CZA-Test-2\plaque 1/@09 Pro 37/C9_02.tif "/>
    <s v=" 1276.1638 "/>
    <s v=" 64.7797 "/>
    <x v="1"/>
    <n v="82669"/>
    <m/>
    <m/>
  </r>
  <r>
    <x v="9"/>
    <x v="2"/>
    <s v="F:\Données chgh\2020-CHG-CZA-Test-2\plaque 1/@09 Pro 37/C9_03.tif "/>
    <s v=" 5602.1427 "/>
    <s v=" 75.1699 "/>
    <x v="1"/>
    <n v="421112"/>
    <m/>
    <m/>
  </r>
  <r>
    <x v="9"/>
    <x v="3"/>
    <s v="F:\Données chgh\2020-CHG-CZA-Test-2\plaque 1/@09 Pro 37/D9_01.tif "/>
    <s v=" 1081.4947 "/>
    <s v=" 63.64 "/>
    <x v="1"/>
    <n v="68826"/>
    <m/>
    <m/>
  </r>
  <r>
    <x v="9"/>
    <x v="3"/>
    <s v="F:\Données chgh\2020-CHG-CZA-Test-2\plaque 1/@09 Pro 37/D9_02.tif "/>
    <s v=" 1687.1318 "/>
    <s v=" 64.6154 "/>
    <x v="1"/>
    <n v="109015"/>
    <m/>
    <m/>
  </r>
  <r>
    <x v="9"/>
    <x v="3"/>
    <s v="F:\Données chgh\2020-CHG-CZA-Test-2\plaque 1/@09 Pro 37/D9_03.tif "/>
    <s v=" 519.1175 "/>
    <s v=" 63.7917 "/>
    <x v="1"/>
    <n v="33115"/>
    <m/>
    <m/>
  </r>
  <r>
    <x v="9"/>
    <x v="4"/>
    <s v="F:\Données chgh\2020-CHG-CZA-Test-2\plaque 1/@09 Pro 37/E9_01.tif "/>
    <s v=" 7873.2816 "/>
    <s v=" 70.3379 "/>
    <x v="1"/>
    <n v="553790"/>
    <m/>
    <m/>
  </r>
  <r>
    <x v="9"/>
    <x v="4"/>
    <s v="F:\Données chgh\2020-CHG-CZA-Test-2\plaque 1/@09 Pro 37/E9_02.tif "/>
    <s v=" 6575.488 "/>
    <s v=" 70.1414 "/>
    <x v="1"/>
    <n v="461214"/>
    <m/>
    <m/>
  </r>
  <r>
    <x v="9"/>
    <x v="4"/>
    <s v="F:\Données chgh\2020-CHG-CZA-Test-2\plaque 1/@09 Pro 37/E9_03.tif "/>
    <s v=" 3677.0821 "/>
    <s v=" 64.5941 "/>
    <x v="1"/>
    <n v="237518"/>
    <m/>
    <m/>
  </r>
  <r>
    <x v="9"/>
    <x v="5"/>
    <s v="F:\Données chgh\2020-CHG-CZA-Test-2\plaque 1/@09 Pro 37/F9_01.tif "/>
    <s v=" 4477.3882 "/>
    <s v=" 72.8937 "/>
    <x v="1"/>
    <n v="326373"/>
    <m/>
    <m/>
  </r>
  <r>
    <x v="9"/>
    <x v="5"/>
    <s v="F:\Données chgh\2020-CHG-CZA-Test-2\plaque 1/@09 Pro 37/F9_02.tif "/>
    <s v=" 4520.648 "/>
    <s v=" 68.5933 "/>
    <x v="1"/>
    <n v="310086"/>
    <m/>
    <m/>
  </r>
  <r>
    <x v="9"/>
    <x v="5"/>
    <s v="F:\Données chgh\2020-CHG-CZA-Test-2\plaque 1/@09 Pro 37/F9_03.tif "/>
    <s v=" 3612.1924 "/>
    <s v=" 69.2455 "/>
    <x v="1"/>
    <n v="250128"/>
    <m/>
    <m/>
  </r>
  <r>
    <x v="9"/>
    <x v="6"/>
    <s v="F:\Données chgh\2020-CHG-CZA-Test-2\plaque 1/@09 Pro 37/G9_01.tif "/>
    <s v=" 6402.4488 "/>
    <s v=" 67.5405 "/>
    <x v="1"/>
    <n v="432425"/>
    <m/>
    <m/>
  </r>
  <r>
    <x v="9"/>
    <x v="6"/>
    <s v="F:\Données chgh\2020-CHG-CZA-Test-2\plaque 1/@09 Pro 37/G9_02.tif "/>
    <s v=" 389.3381 "/>
    <s v=" 63.6667 "/>
    <x v="1"/>
    <n v="24788"/>
    <m/>
    <m/>
  </r>
  <r>
    <x v="9"/>
    <x v="6"/>
    <s v="F:\Données chgh\2020-CHG-CZA-Test-2\plaque 1/@09 Pro 37/G9_03.tif "/>
    <s v=" 4066.4202 "/>
    <s v=" 66.4309 "/>
    <x v="1"/>
    <n v="270136"/>
    <m/>
    <m/>
  </r>
  <r>
    <x v="9"/>
    <x v="7"/>
    <s v="F:\Données chgh\2020-CHG-CZA-Test-2\plaque 1/@09 Pro 37/H9_01- exclu.tif"/>
    <m/>
    <m/>
    <x v="0"/>
    <m/>
    <m/>
    <m/>
  </r>
  <r>
    <x v="9"/>
    <x v="7"/>
    <s v="F:\Données chgh\2020-CHG-CZA-Test-2\plaque 1/@09 Pro 37/H9_02.tif "/>
    <s v=" 4758.5768 "/>
    <s v=" 68.8182 "/>
    <x v="1"/>
    <n v="327477"/>
    <m/>
    <m/>
  </r>
  <r>
    <x v="9"/>
    <x v="7"/>
    <s v="F:\Données chgh\2020-CHG-CZA-Test-2\plaque 1/@09 Pro 37/H9_03- exclu.tif"/>
    <m/>
    <m/>
    <x v="0"/>
    <m/>
    <m/>
    <m/>
  </r>
  <r>
    <x v="1"/>
    <x v="8"/>
    <s v=" "/>
    <m/>
    <m/>
    <x v="0"/>
    <m/>
    <m/>
    <m/>
  </r>
  <r>
    <x v="1"/>
    <x v="8"/>
    <s v="group "/>
    <s v=" "/>
    <s v=" mean of mean fluo "/>
    <x v="2"/>
    <s v=" mean of total fluo "/>
    <s v=" SD total fluo "/>
    <s v=" n fluorescent "/>
  </r>
  <r>
    <x v="9"/>
    <x v="9"/>
    <s v="F:\Données chgh\2020-CHG-CZA-Test-2\plaque 1/@09 Pro 37/ "/>
    <s v=" "/>
    <s v=" 66.8542 "/>
    <x v="11"/>
    <s v=" 212847.083 "/>
    <s v=" 163608.337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0"/>
    <x v="0"/>
    <s v="F:\Données chgh\2020-CHG-CZA-Test-2\plaque 1/@10 Pro 111/A10_01.tif "/>
    <s v=" 3157.9646 "/>
    <s v=" 64.8219 "/>
    <x v="1"/>
    <n v="204705"/>
    <m/>
    <m/>
  </r>
  <r>
    <x v="10"/>
    <x v="0"/>
    <s v="F:\Données chgh\2020-CHG-CZA-Test-2\plaque 1/@10 Pro 111/A10_02.tif "/>
    <s v=" 5277.6943 "/>
    <s v=" 68.7869 "/>
    <x v="1"/>
    <n v="363036"/>
    <m/>
    <m/>
  </r>
  <r>
    <x v="10"/>
    <x v="0"/>
    <s v="F:\Données chgh\2020-CHG-CZA-Test-2\plaque 1/@10 Pro 111/A10_03.tif "/>
    <s v=" 6380.8189 "/>
    <s v=" 67.2576 "/>
    <x v="1"/>
    <n v="429159"/>
    <m/>
    <m/>
  </r>
  <r>
    <x v="10"/>
    <x v="1"/>
    <s v="F:\Données chgh\2020-CHG-CZA-Test-2\plaque 1/@10 Pro 111/B10_01.tif "/>
    <s v=" 194.6691 "/>
    <n v="64"/>
    <x v="1"/>
    <n v="12459"/>
    <m/>
    <m/>
  </r>
  <r>
    <x v="10"/>
    <x v="1"/>
    <s v="F:\Données chgh\2020-CHG-CZA-Test-2\plaque 1/@10 Pro 111/B10_02.tif "/>
    <s v=" 1297.7937 "/>
    <s v=" 64.0167 "/>
    <x v="1"/>
    <n v="83080"/>
    <m/>
    <m/>
  </r>
  <r>
    <x v="10"/>
    <x v="1"/>
    <s v="F:\Données chgh\2020-CHG-CZA-Test-2\plaque 1/@10 Pro 111/B10_03.tif "/>
    <s v=" 324.4484 "/>
    <s v=" 63.0667 "/>
    <x v="1"/>
    <n v="20462"/>
    <m/>
    <m/>
  </r>
  <r>
    <x v="10"/>
    <x v="2"/>
    <s v="F:\Données chgh\2020-CHG-CZA-Test-2\plaque 1/@10 Pro 111/C10_01.tif "/>
    <s v=" 4434.1284 "/>
    <s v=" 67.561 "/>
    <x v="1"/>
    <n v="299574"/>
    <m/>
    <m/>
  </r>
  <r>
    <x v="10"/>
    <x v="2"/>
    <s v="F:\Données chgh\2020-CHG-CZA-Test-2\plaque 1/@10 Pro 111/C10_02- exclu.tif"/>
    <m/>
    <m/>
    <x v="0"/>
    <m/>
    <m/>
    <m/>
  </r>
  <r>
    <x v="10"/>
    <x v="2"/>
    <s v="F:\Données chgh\2020-CHG-CZA-Test-2\plaque 1/@10 Pro 111/C10_03.tif "/>
    <s v=" 1168.0143 "/>
    <s v=" 63.2593 "/>
    <x v="1"/>
    <n v="73888"/>
    <m/>
    <m/>
  </r>
  <r>
    <x v="10"/>
    <x v="3"/>
    <s v="F:\Données chgh\2020-CHG-CZA-Test-2\plaque 1/@10 Pro 111/D10_01.tif "/>
    <s v=" 4542.2779 "/>
    <s v=" 71.8048 "/>
    <x v="1"/>
    <n v="326157"/>
    <m/>
    <m/>
  </r>
  <r>
    <x v="10"/>
    <x v="3"/>
    <s v="F:\Données chgh\2020-CHG-CZA-Test-2\plaque 1/@10 Pro 111/D10_02.tif "/>
    <s v=" 5083.0252 "/>
    <s v=" 69.1447 "/>
    <x v="1"/>
    <n v="351464"/>
    <m/>
    <m/>
  </r>
  <r>
    <x v="10"/>
    <x v="3"/>
    <s v="F:\Données chgh\2020-CHG-CZA-Test-2\plaque 1/@10 Pro 111/D10_03.tif "/>
    <s v=" 5147.9149 "/>
    <s v=" 69.6849 "/>
    <x v="1"/>
    <n v="358732"/>
    <m/>
    <m/>
  </r>
  <r>
    <x v="10"/>
    <x v="4"/>
    <s v="F:\Données chgh\2020-CHG-CZA-Test-2\plaque 1/@10 Pro 111/E10_01.tif "/>
    <s v=" 367.7082 "/>
    <s v=" 63.6471 "/>
    <x v="1"/>
    <n v="23404"/>
    <m/>
    <m/>
  </r>
  <r>
    <x v="10"/>
    <x v="4"/>
    <s v="F:\Données chgh\2020-CHG-CZA-Test-2\plaque 1/@10 Pro 111/E10_02.tif "/>
    <s v=" 151.4093 "/>
    <s v=" 64.1429 "/>
    <x v="1"/>
    <n v="9712"/>
    <m/>
    <m/>
  </r>
  <r>
    <x v="10"/>
    <x v="4"/>
    <s v="F:\Données chgh\2020-CHG-CZA-Test-2\plaque 1/@10 Pro 111/E10_03.tif "/>
    <s v=" 302.8185 "/>
    <s v=" 65.7857 "/>
    <x v="1"/>
    <n v="19921"/>
    <m/>
    <m/>
  </r>
  <r>
    <x v="10"/>
    <x v="5"/>
    <s v="F:\Données chgh\2020-CHG-CZA-Test-2\plaque 1/@10 Pro 111/F10_01.tif "/>
    <s v=" 1514.0926 "/>
    <s v=" 64.6857 "/>
    <x v="1"/>
    <n v="97940"/>
    <m/>
    <m/>
  </r>
  <r>
    <x v="10"/>
    <x v="5"/>
    <s v="F:\Données chgh\2020-CHG-CZA-Test-2\plaque 1/@10 Pro 111/F10_02.tif "/>
    <s v=" 2184.6194 "/>
    <s v=" 66.8614 "/>
    <x v="1"/>
    <n v="146067"/>
    <m/>
    <m/>
  </r>
  <r>
    <x v="10"/>
    <x v="5"/>
    <s v="F:\Données chgh\2020-CHG-CZA-Test-2\plaque 1/@10 Pro 111/F10_03.tif "/>
    <s v=" 346.0783 "/>
    <s v=" 62.0625 "/>
    <x v="1"/>
    <n v="21478"/>
    <m/>
    <m/>
  </r>
  <r>
    <x v="10"/>
    <x v="6"/>
    <s v="F:\Données chgh\2020-CHG-CZA-Test-2\plaque 1/@10 Pro 111/G10_01.tif "/>
    <s v=" 3157.9646 "/>
    <s v=" 68.089 "/>
    <x v="1"/>
    <n v="215023"/>
    <m/>
    <m/>
  </r>
  <r>
    <x v="10"/>
    <x v="6"/>
    <s v="F:\Données chgh\2020-CHG-CZA-Test-2\plaque 1/@10 Pro 111/G10_02.tif "/>
    <s v=" 1968.3204 "/>
    <s v=" 65.4725 "/>
    <x v="1"/>
    <n v="128871"/>
    <m/>
    <m/>
  </r>
  <r>
    <x v="10"/>
    <x v="6"/>
    <s v="F:\Données chgh\2020-CHG-CZA-Test-2\plaque 1/@10 Pro 111/G10_03.tif "/>
    <s v=" 432.5979 "/>
    <s v=" 67.6 "/>
    <x v="1"/>
    <n v="29244"/>
    <m/>
    <m/>
  </r>
  <r>
    <x v="10"/>
    <x v="7"/>
    <s v="F:\Données chgh\2020-CHG-CZA-Test-2\plaque 1/@10 Pro 111/H10_01.tif "/>
    <s v=" 2400.9183 "/>
    <s v=" 65.955 "/>
    <x v="1"/>
    <n v="158352"/>
    <m/>
    <m/>
  </r>
  <r>
    <x v="10"/>
    <x v="7"/>
    <s v="F:\Données chgh\2020-CHG-CZA-Test-2\plaque 1/@10 Pro 111/H10_02- exclu.tif"/>
    <m/>
    <m/>
    <x v="0"/>
    <m/>
    <m/>
    <m/>
  </r>
  <r>
    <x v="10"/>
    <x v="7"/>
    <s v="F:\Données chgh\2020-CHG-CZA-Test-2\plaque 1/@10 Pro 111/H10_03.tif "/>
    <s v=" 1254.5339 "/>
    <s v=" 64.3276 "/>
    <x v="1"/>
    <n v="80701"/>
    <m/>
    <m/>
  </r>
  <r>
    <x v="1"/>
    <x v="8"/>
    <s v=" "/>
    <m/>
    <m/>
    <x v="0"/>
    <m/>
    <m/>
    <m/>
  </r>
  <r>
    <x v="1"/>
    <x v="8"/>
    <s v="group "/>
    <s v=" "/>
    <s v=" mean of mean fluo "/>
    <x v="2"/>
    <s v=" mean of total fluo "/>
    <s v=" SD total fluo "/>
    <s v=" n fluorescent "/>
  </r>
  <r>
    <x v="10"/>
    <x v="9"/>
    <s v="F:\Données chgh\2020-CHG-CZA-Test-2\plaque 1/@10 Pro 111/ "/>
    <s v=" "/>
    <s v=" 65.917 "/>
    <x v="12"/>
    <s v=" 156608.542 "/>
    <s v=" 137797.978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1"/>
    <x v="0"/>
    <s v="F:\Données chgh\2020-CHG-CZA-Test-2\plaque 1/@11 Pro 333/A11_01.tif "/>
    <s v=" 4823.4665 "/>
    <s v=" 70.6637 "/>
    <x v="1"/>
    <n v="340844"/>
    <m/>
    <m/>
  </r>
  <r>
    <x v="11"/>
    <x v="0"/>
    <s v="F:\Données chgh\2020-CHG-CZA-Test-2\plaque 1/@11 Pro 333/A11_02.tif "/>
    <s v=" 5818.4417 "/>
    <s v=" 66.9219 "/>
    <x v="1"/>
    <n v="389381"/>
    <m/>
    <m/>
  </r>
  <r>
    <x v="11"/>
    <x v="0"/>
    <s v="F:\Données chgh\2020-CHG-CZA-Test-2\plaque 1/@11 Pro 333/A11_03.tif "/>
    <s v=" 5688.6623 "/>
    <s v=" 66.8935 "/>
    <x v="1"/>
    <n v="380535"/>
    <m/>
    <m/>
  </r>
  <r>
    <x v="11"/>
    <x v="1"/>
    <s v="F:\Données chgh\2020-CHG-CZA-Test-2\plaque 1/@11 Pro 333/B11_01.tif "/>
    <s v=" 3871.7511 "/>
    <s v=" 68.9777 "/>
    <x v="1"/>
    <n v="267064"/>
    <m/>
    <m/>
  </r>
  <r>
    <x v="11"/>
    <x v="1"/>
    <s v="F:\Données chgh\2020-CHG-CZA-Test-2\plaque 1/@11 Pro 333/B11_02.tif "/>
    <s v=" 800.3061 "/>
    <s v=" 64.0541 "/>
    <x v="1"/>
    <n v="51263"/>
    <m/>
    <m/>
  </r>
  <r>
    <x v="11"/>
    <x v="1"/>
    <s v="F:\Données chgh\2020-CHG-CZA-Test-2\plaque 1/@11 Pro 333/B11_03.tif "/>
    <s v=" 302.8185 "/>
    <s v=" 63.2857 "/>
    <x v="1"/>
    <n v="19164"/>
    <m/>
    <m/>
  </r>
  <r>
    <x v="11"/>
    <x v="2"/>
    <s v="F:\Données chgh\2020-CHG-CZA-Test-2\plaque 1/@11 Pro 333/C11_01.tif "/>
    <s v=" 7873.2816 "/>
    <s v=" 71.7473 "/>
    <x v="1"/>
    <n v="564886"/>
    <m/>
    <m/>
  </r>
  <r>
    <x v="11"/>
    <x v="2"/>
    <s v="F:\Données chgh\2020-CHG-CZA-Test-2\plaque 1/@11 Pro 333/C11_02.tif "/>
    <s v=" 6856.6766 "/>
    <s v=" 70.1861 "/>
    <x v="1"/>
    <n v="481244"/>
    <m/>
    <m/>
  </r>
  <r>
    <x v="11"/>
    <x v="2"/>
    <s v="F:\Données chgh\2020-CHG-CZA-Test-2\plaque 1/@11 Pro 333/C11_03.tif "/>
    <s v=" 3244.4842 "/>
    <s v=" 65.4733 "/>
    <x v="1"/>
    <n v="212427"/>
    <m/>
    <m/>
  </r>
  <r>
    <x v="11"/>
    <x v="3"/>
    <s v="F:\Données chgh\2020-CHG-CZA-Test-2\plaque 1/@11 Pro 333/D11_01.tif "/>
    <s v=" 3633.8223 "/>
    <n v="65"/>
    <x v="1"/>
    <n v="236198"/>
    <m/>
    <m/>
  </r>
  <r>
    <x v="11"/>
    <x v="3"/>
    <s v="F:\Données chgh\2020-CHG-CZA-Test-2\plaque 1/@11 Pro 333/D11_02.tif "/>
    <s v=" 4585.5377 "/>
    <n v="65"/>
    <x v="1"/>
    <n v="298060"/>
    <m/>
    <m/>
  </r>
  <r>
    <x v="11"/>
    <x v="3"/>
    <s v="F:\Données chgh\2020-CHG-CZA-Test-2\plaque 1/@11 Pro 333/D11_03.tif "/>
    <s v=" 1124.7545 "/>
    <s v=" 64.6731 "/>
    <x v="1"/>
    <n v="72741"/>
    <m/>
    <m/>
  </r>
  <r>
    <x v="11"/>
    <x v="4"/>
    <s v="F:\Données chgh\2020-CHG-CZA-Test-2\plaque 1/@11 Pro 333/E11_01.tif "/>
    <s v=" 3331.0038 "/>
    <s v=" 67.1169 "/>
    <x v="1"/>
    <n v="223567"/>
    <m/>
    <m/>
  </r>
  <r>
    <x v="11"/>
    <x v="4"/>
    <s v="F:\Données chgh\2020-CHG-CZA-Test-2\plaque 1/@11 Pro 333/E11_02.tif "/>
    <s v=" 4434.1284 "/>
    <s v=" 65.3366 "/>
    <x v="1"/>
    <n v="289711"/>
    <m/>
    <m/>
  </r>
  <r>
    <x v="11"/>
    <x v="4"/>
    <s v="F:\Données chgh\2020-CHG-CZA-Test-2\plaque 1/@11 Pro 333/E11_03- exclu.tif"/>
    <m/>
    <m/>
    <x v="0"/>
    <m/>
    <m/>
    <m/>
  </r>
  <r>
    <x v="11"/>
    <x v="5"/>
    <s v="F:\Données chgh\2020-CHG-CZA-Test-2\plaque 1/@11 Pro 333/F11_01.tif "/>
    <s v=" 7570.4631 "/>
    <s v=" 68.8229 "/>
    <x v="1"/>
    <n v="521021"/>
    <m/>
    <m/>
  </r>
  <r>
    <x v="11"/>
    <x v="5"/>
    <s v="F:\Données chgh\2020-CHG-CZA-Test-2\plaque 1/@11 Pro 333/F11_02.tif "/>
    <s v=" 7548.8332 "/>
    <s v=" 69.1519 "/>
    <x v="1"/>
    <n v="522016"/>
    <m/>
    <m/>
  </r>
  <r>
    <x v="11"/>
    <x v="5"/>
    <s v="F:\Données chgh\2020-CHG-CZA-Test-2\plaque 1/@11 Pro 333/F11_03.tif "/>
    <s v=" 5342.584 "/>
    <s v=" 71.8785 "/>
    <x v="1"/>
    <n v="384017"/>
    <m/>
    <m/>
  </r>
  <r>
    <x v="11"/>
    <x v="6"/>
    <s v="F:\Données chgh\2020-CHG-CZA-Test-2\plaque 1/@11 Pro 333/G11_01.tif "/>
    <s v=" 1103.1246 "/>
    <s v=" 63.5294 "/>
    <x v="1"/>
    <n v="70081"/>
    <m/>
    <m/>
  </r>
  <r>
    <x v="11"/>
    <x v="6"/>
    <s v="F:\Données chgh\2020-CHG-CZA-Test-2\plaque 1/@11 Pro 333/G11_02- exclu.tif"/>
    <m/>
    <m/>
    <x v="0"/>
    <m/>
    <m/>
    <m/>
  </r>
  <r>
    <x v="11"/>
    <x v="6"/>
    <s v="F:\Données chgh\2020-CHG-CZA-Test-2\plaque 1/@11 Pro 333/G11_03.tif "/>
    <s v=" 367.7082 "/>
    <s v=" 62.4118 "/>
    <x v="1"/>
    <n v="22949"/>
    <m/>
    <m/>
  </r>
  <r>
    <x v="11"/>
    <x v="7"/>
    <s v="F:\Données chgh\2020-CHG-CZA-Test-2\plaque 1/@11 Pro 333/H11_01.tif "/>
    <s v=" 4434.1284 "/>
    <s v=" 71.3366 "/>
    <x v="1"/>
    <n v="316316"/>
    <m/>
    <m/>
  </r>
  <r>
    <x v="11"/>
    <x v="7"/>
    <s v="F:\Données chgh\2020-CHG-CZA-Test-2\plaque 1/@11 Pro 333/H11_02.tif "/>
    <s v=" 735.4164 "/>
    <s v=" 65.7941 "/>
    <x v="1"/>
    <n v="48386"/>
    <m/>
    <m/>
  </r>
  <r>
    <x v="11"/>
    <x v="7"/>
    <s v="F:\Données chgh\2020-CHG-CZA-Test-2\plaque 1/@11 Pro 333/H11_03.tif "/>
    <s v=" 3136.3347 "/>
    <s v=" 69.6414 "/>
    <x v="1"/>
    <n v="218419"/>
    <m/>
    <m/>
  </r>
  <r>
    <x v="1"/>
    <x v="8"/>
    <s v=" "/>
    <m/>
    <m/>
    <x v="0"/>
    <m/>
    <m/>
    <m/>
  </r>
  <r>
    <x v="1"/>
    <x v="8"/>
    <s v="group "/>
    <s v=" "/>
    <s v=" mean of mean fluo "/>
    <x v="2"/>
    <s v=" mean of total fluo "/>
    <s v=" SD total fluo "/>
    <s v=" n fluorescent "/>
  </r>
  <r>
    <x v="11"/>
    <x v="9"/>
    <s v="F:\Données chgh\2020-CHG-CZA-Test-2\plaque 1/@11 Pro 333/ "/>
    <s v=" "/>
    <s v=" 66.7387 "/>
    <x v="13"/>
    <s v=" 248211.125 "/>
    <s v=" 178801.163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2"/>
    <x v="0"/>
    <s v="F:\Données chgh\2020-CHG-CZA-Test-2\plaque 1/@12 Pro 1000/A12_01.tif "/>
    <s v=" 7029.7158 "/>
    <s v=" 71.8062 "/>
    <x v="1"/>
    <n v="504777"/>
    <m/>
    <m/>
  </r>
  <r>
    <x v="12"/>
    <x v="0"/>
    <s v="F:\Données chgh\2020-CHG-CZA-Test-2\plaque 1/@12 Pro 1000/A12_02.tif "/>
    <s v=" 9214.3351 "/>
    <s v=" 68.662 "/>
    <x v="1"/>
    <n v="632674"/>
    <m/>
    <m/>
  </r>
  <r>
    <x v="12"/>
    <x v="0"/>
    <s v="F:\Données chgh\2020-CHG-CZA-Test-2\plaque 1/@12 Pro 1000/A12_03.tif "/>
    <s v=" 7635.3528 "/>
    <s v=" 67.9207 "/>
    <x v="1"/>
    <n v="518598"/>
    <m/>
    <m/>
  </r>
  <r>
    <x v="12"/>
    <x v="1"/>
    <s v="F:\Données chgh\2020-CHG-CZA-Test-2\plaque 1/@12 Pro 1000/B12_01.tif "/>
    <s v=" 6618.7478 "/>
    <s v=" 76.2026 "/>
    <x v="1"/>
    <n v="504366"/>
    <m/>
    <m/>
  </r>
  <r>
    <x v="12"/>
    <x v="1"/>
    <s v="F:\Données chgh\2020-CHG-CZA-Test-2\plaque 1/@12 Pro 1000/B12_02.tif "/>
    <s v=" 4196.1996 "/>
    <s v=" 67.4175 "/>
    <x v="1"/>
    <n v="282897"/>
    <m/>
    <m/>
  </r>
  <r>
    <x v="12"/>
    <x v="1"/>
    <s v="F:\Données chgh\2020-CHG-CZA-Test-2\plaque 1/@12 Pro 1000/B12_03.tif "/>
    <s v=" 2054.84 "/>
    <s v=" 66.0211 "/>
    <x v="1"/>
    <n v="135663"/>
    <m/>
    <m/>
  </r>
  <r>
    <x v="12"/>
    <x v="2"/>
    <s v="F:\Données chgh\2020-CHG-CZA-Test-2\plaque 1/@12 Pro 1000/C12_01.tif "/>
    <s v=" 8089.5806 "/>
    <s v=" 68.6952 "/>
    <x v="1"/>
    <n v="555715"/>
    <m/>
    <m/>
  </r>
  <r>
    <x v="12"/>
    <x v="2"/>
    <s v="F:\Données chgh\2020-CHG-CZA-Test-2\plaque 1/@12 Pro 1000/C12_02.tif "/>
    <s v=" 10512.1288 "/>
    <s v=" 75.644 "/>
    <x v="1"/>
    <n v="795180"/>
    <m/>
    <m/>
  </r>
  <r>
    <x v="12"/>
    <x v="2"/>
    <s v="F:\Données chgh\2020-CHG-CZA-Test-2\plaque 1/@12 Pro 1000/C12_03.tif "/>
    <s v=" 6618.7478 "/>
    <s v=" 66.1503 "/>
    <x v="1"/>
    <n v="437832"/>
    <m/>
    <m/>
  </r>
  <r>
    <x v="12"/>
    <x v="3"/>
    <s v="F:\Données chgh\2020-CHG-CZA-Test-2\plaque 1/@12 Pro 1000/D12_01.tif "/>
    <s v=" 821.936 "/>
    <s v=" 64.1053 "/>
    <x v="1"/>
    <n v="52690"/>
    <m/>
    <m/>
  </r>
  <r>
    <x v="12"/>
    <x v="3"/>
    <s v="F:\Données chgh\2020-CHG-CZA-Test-2\plaque 1/@12 Pro 1000/D12_02- exclu.tif"/>
    <m/>
    <m/>
    <x v="0"/>
    <m/>
    <m/>
    <m/>
  </r>
  <r>
    <x v="12"/>
    <x v="3"/>
    <s v="F:\Données chgh\2020-CHG-CZA-Test-2\plaque 1/@12 Pro 1000/D12_03.tif "/>
    <s v=" 735.4164 "/>
    <s v=" 63.4412 "/>
    <x v="1"/>
    <n v="46656"/>
    <m/>
    <m/>
  </r>
  <r>
    <x v="12"/>
    <x v="4"/>
    <s v="F:\Données chgh\2020-CHG-CZA-Test-2\plaque 1/@12 Pro 1000/E12_01.tif "/>
    <s v=" 10230.9402 "/>
    <s v=" 72.2326 "/>
    <x v="1"/>
    <n v="739007"/>
    <m/>
    <m/>
  </r>
  <r>
    <x v="12"/>
    <x v="4"/>
    <s v="F:\Données chgh\2020-CHG-CZA-Test-2\plaque 1/@12 Pro 1000/E12_02.tif "/>
    <s v=" 8716.8475 "/>
    <s v=" 72.1886 "/>
    <x v="1"/>
    <n v="629257"/>
    <m/>
    <m/>
  </r>
  <r>
    <x v="12"/>
    <x v="4"/>
    <s v="F:\Données chgh\2020-CHG-CZA-Test-2\plaque 1/@12 Pro 1000/E12_03.tif "/>
    <s v=" 4801.8366 "/>
    <s v=" 69.464 "/>
    <x v="1"/>
    <n v="333555"/>
    <m/>
    <m/>
  </r>
  <r>
    <x v="12"/>
    <x v="5"/>
    <s v="F:\Données chgh\2020-CHG-CZA-Test-2\plaque 1/@12 Pro 1000/F12_01.tif "/>
    <s v=" 1297.7937 "/>
    <s v=" 65.1333 "/>
    <x v="1"/>
    <n v="84530"/>
    <m/>
    <m/>
  </r>
  <r>
    <x v="12"/>
    <x v="5"/>
    <s v="F:\Données chgh\2020-CHG-CZA-Test-2\plaque 1/@12 Pro 1000/F12_02.tif "/>
    <s v=" 1405.9432 "/>
    <s v=" 65.4 "/>
    <x v="1"/>
    <n v="91949"/>
    <m/>
    <m/>
  </r>
  <r>
    <x v="12"/>
    <x v="5"/>
    <s v="F:\Données chgh\2020-CHG-CZA-Test-2\plaque 1/@12 Pro 1000/F12_03.tif "/>
    <s v=" 1341.0535 "/>
    <s v=" 63.8226 "/>
    <x v="1"/>
    <n v="85589"/>
    <m/>
    <m/>
  </r>
  <r>
    <x v="12"/>
    <x v="6"/>
    <s v="F:\Données chgh\2020-CHG-CZA-Test-2\plaque 1/@12 Pro 1000/G12_01.tif "/>
    <s v=" 6294.2993 "/>
    <s v=" 68.4536 "/>
    <x v="1"/>
    <n v="430868"/>
    <m/>
    <m/>
  </r>
  <r>
    <x v="12"/>
    <x v="6"/>
    <s v="F:\Données chgh\2020-CHG-CZA-Test-2\plaque 1/@12 Pro 1000/G12_02.tif "/>
    <s v=" 7029.7158 "/>
    <s v=" 72.0308 "/>
    <x v="1"/>
    <n v="506356"/>
    <m/>
    <m/>
  </r>
  <r>
    <x v="12"/>
    <x v="6"/>
    <s v="F:\Données chgh\2020-CHG-CZA-Test-2\plaque 1/@12 Pro 1000/G12_03.tif "/>
    <s v=" 1189.6442 "/>
    <s v=" 63.5273 "/>
    <x v="1"/>
    <n v="75575"/>
    <m/>
    <m/>
  </r>
  <r>
    <x v="12"/>
    <x v="7"/>
    <s v="F:\Données chgh\2020-CHG-CZA-Test-2\plaque 1/@12 Pro 1000/H12_01- exclu.tif"/>
    <m/>
    <m/>
    <x v="0"/>
    <m/>
    <m/>
    <m/>
  </r>
  <r>
    <x v="12"/>
    <x v="7"/>
    <s v="F:\Données chgh\2020-CHG-CZA-Test-2\plaque 1/@12 Pro 1000/H12_02.tif "/>
    <s v=" 5558.8829 "/>
    <s v=" 70.9572 "/>
    <x v="1"/>
    <n v="394443"/>
    <m/>
    <m/>
  </r>
  <r>
    <x v="12"/>
    <x v="7"/>
    <s v="F:\Données chgh\2020-CHG-CZA-Test-2\plaque 1/@12 Pro 1000/H12_03.tif "/>
    <s v=" 3741.9718 "/>
    <s v=" 68.0462 "/>
    <x v="1"/>
    <n v="254627"/>
    <m/>
    <m/>
  </r>
  <r>
    <x v="1"/>
    <x v="8"/>
    <s v=" "/>
    <m/>
    <m/>
    <x v="0"/>
    <m/>
    <m/>
    <m/>
  </r>
  <r>
    <x v="1"/>
    <x v="8"/>
    <s v="group "/>
    <s v=" "/>
    <s v=" mean of mean fluo "/>
    <x v="2"/>
    <s v=" mean of total fluo "/>
    <s v=" SD total fluo "/>
    <s v=" n fluorescent "/>
  </r>
  <r>
    <x v="12"/>
    <x v="9"/>
    <s v="F:\Données chgh\2020-CHG-CZA-Test-2\plaque 1/@12 Pro 1000/ "/>
    <s v=" "/>
    <s v=" 68.5699 "/>
    <x v="14"/>
    <s v=" 358886.833 "/>
    <s v=" 239510.377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3"/>
    <x v="0"/>
    <s v="F:\Données chgh\2020-CHG-CZA-Test-2\plaque 2/@13 Testo 30/A1_01.tif "/>
    <s v=" 40383.0133 "/>
    <s v=" 78.7033 "/>
    <x v="1"/>
    <n v="3178275"/>
    <m/>
    <m/>
  </r>
  <r>
    <x v="13"/>
    <x v="0"/>
    <s v="F:\Données chgh\2020-CHG-CZA-Test-2\plaque 2/@13 Testo 30/A1_02.tif "/>
    <s v=" 40945.3905 "/>
    <s v=" 73.4601 "/>
    <x v="1"/>
    <n v="3007853"/>
    <m/>
    <m/>
  </r>
  <r>
    <x v="13"/>
    <x v="0"/>
    <s v="F:\Données chgh\2020-CHG-CZA-Test-2\plaque 2/@13 Testo 30/A1_03.tif "/>
    <s v=" 46871.9817 "/>
    <s v=" 72.2529 "/>
    <x v="1"/>
    <n v="3386636"/>
    <m/>
    <m/>
  </r>
  <r>
    <x v="13"/>
    <x v="1"/>
    <s v="F:\Données chgh\2020-CHG-CZA-Test-2\plaque 2/@13 Testo 30/B1_01.tif "/>
    <s v=" 50657.2132 "/>
    <s v=" 78.1836 "/>
    <x v="1"/>
    <n v="3960563"/>
    <m/>
    <m/>
  </r>
  <r>
    <x v="13"/>
    <x v="1"/>
    <s v="F:\Données chgh\2020-CHG-CZA-Test-2\plaque 2/@13 Testo 30/B1_02.tif "/>
    <s v=" 45617.4478 "/>
    <s v=" 78.0569 "/>
    <x v="1"/>
    <n v="3560757"/>
    <m/>
    <m/>
  </r>
  <r>
    <x v="13"/>
    <x v="1"/>
    <s v="F:\Données chgh\2020-CHG-CZA-Test-2\plaque 2/@13 Testo 30/B1_03- exclu.tif"/>
    <m/>
    <m/>
    <x v="0"/>
    <m/>
    <m/>
    <m/>
  </r>
  <r>
    <x v="13"/>
    <x v="2"/>
    <s v="F:\Données chgh\2020-CHG-CZA-Test-2\plaque 2/@13 Testo 30/C1_01.tif "/>
    <s v=" 16460.3498 "/>
    <s v=" 66.4967 "/>
    <x v="1"/>
    <n v="1094559"/>
    <m/>
    <m/>
  </r>
  <r>
    <x v="13"/>
    <x v="2"/>
    <s v="F:\Données chgh\2020-CHG-CZA-Test-2\plaque 2/@13 Testo 30/C1_02.tif "/>
    <s v=" 9755.0825 "/>
    <s v=" 65.1086 "/>
    <x v="1"/>
    <n v="635140"/>
    <m/>
    <m/>
  </r>
  <r>
    <x v="13"/>
    <x v="2"/>
    <s v="F:\Données chgh\2020-CHG-CZA-Test-2\plaque 2/@13 Testo 30/C1_03.tif "/>
    <s v=" 11507.1039 "/>
    <s v=" 66.1805 "/>
    <x v="1"/>
    <n v="761545"/>
    <m/>
    <m/>
  </r>
  <r>
    <x v="13"/>
    <x v="3"/>
    <s v="F:\Données chgh\2020-CHG-CZA-Test-2\plaque 2/@13 Testo 30/D1_01.tif "/>
    <s v=" 29113.8382 "/>
    <s v=" 71.399 "/>
    <x v="1"/>
    <n v="2078698"/>
    <m/>
    <m/>
  </r>
  <r>
    <x v="13"/>
    <x v="3"/>
    <s v="F:\Données chgh\2020-CHG-CZA-Test-2\plaque 2/@13 Testo 30/D1_02.tif "/>
    <s v=" 30022.2937 "/>
    <s v=" 69.9438 "/>
    <x v="1"/>
    <n v="2099873"/>
    <m/>
    <m/>
  </r>
  <r>
    <x v="13"/>
    <x v="3"/>
    <s v="F:\Données chgh\2020-CHG-CZA-Test-2\plaque 2/@13 Testo 30/D1_03.tif "/>
    <s v=" 31147.0483 "/>
    <s v=" 69.8965 "/>
    <x v="1"/>
    <n v="2177071"/>
    <m/>
    <m/>
  </r>
  <r>
    <x v="13"/>
    <x v="4"/>
    <s v="F:\Données chgh\2020-CHG-CZA-Test-2\plaque 2/@13 Testo 30/E1_01- exclu.tif"/>
    <m/>
    <m/>
    <x v="0"/>
    <m/>
    <m/>
    <m/>
  </r>
  <r>
    <x v="13"/>
    <x v="4"/>
    <s v="F:\Données chgh\2020-CHG-CZA-Test-2\plaque 2/@13 Testo 30/E1_02.tif "/>
    <s v=" 26258.6921 "/>
    <s v=" 71.1474 "/>
    <x v="1"/>
    <n v="1868239"/>
    <m/>
    <m/>
  </r>
  <r>
    <x v="13"/>
    <x v="4"/>
    <s v="F:\Données chgh\2020-CHG-CZA-Test-2\plaque 2/@13 Testo 30/E1_03.tif "/>
    <s v=" 30844.2297 "/>
    <s v=" 71.4586 "/>
    <x v="1"/>
    <n v="2204086"/>
    <m/>
    <m/>
  </r>
  <r>
    <x v="13"/>
    <x v="5"/>
    <s v="F:\Données chgh\2020-CHG-CZA-Test-2\plaque 2/@13 Testo 30/F1_01.tif "/>
    <s v=" 12112.741 "/>
    <s v=" 66.8304 "/>
    <x v="1"/>
    <n v="809499"/>
    <m/>
    <m/>
  </r>
  <r>
    <x v="13"/>
    <x v="5"/>
    <s v="F:\Données chgh\2020-CHG-CZA-Test-2\plaque 2/@13 Testo 30/F1_02.tif "/>
    <s v=" 16135.9014 "/>
    <s v=" 67.4946 "/>
    <x v="1"/>
    <n v="1089087"/>
    <m/>
    <m/>
  </r>
  <r>
    <x v="13"/>
    <x v="5"/>
    <s v="F:\Données chgh\2020-CHG-CZA-Test-2\plaque 2/@13 Testo 30/F1_03.tif "/>
    <s v=" 14556.9191 "/>
    <s v=" 68.3507 "/>
    <x v="1"/>
    <n v="994975"/>
    <m/>
    <m/>
  </r>
  <r>
    <x v="13"/>
    <x v="6"/>
    <s v="F:\Données chgh\2020-CHG-CZA-Test-2\plaque 2/@13 Testo 30/G1_01.tif "/>
    <s v=" 7808.392 "/>
    <s v=" 65.8809 "/>
    <x v="1"/>
    <n v="514424"/>
    <m/>
    <m/>
  </r>
  <r>
    <x v="13"/>
    <x v="6"/>
    <s v="F:\Données chgh\2020-CHG-CZA-Test-2\plaque 2/@13 Testo 30/G1_02- exclu.tif"/>
    <m/>
    <m/>
    <x v="0"/>
    <m/>
    <m/>
    <m/>
  </r>
  <r>
    <x v="13"/>
    <x v="6"/>
    <s v="F:\Données chgh\2020-CHG-CZA-Test-2\plaque 2/@13 Testo 30/G1_03.tif "/>
    <s v=" 7830.0219 "/>
    <s v=" 66.4227 "/>
    <x v="1"/>
    <n v="520091"/>
    <m/>
    <m/>
  </r>
  <r>
    <x v="13"/>
    <x v="7"/>
    <s v="F:\Données chgh\2020-CHG-CZA-Test-2\plaque 2/@13 Testo 30/H1_01.tif "/>
    <s v=" 46158.1951 "/>
    <s v=" 76.9714 "/>
    <x v="1"/>
    <n v="3552862"/>
    <m/>
    <m/>
  </r>
  <r>
    <x v="13"/>
    <x v="7"/>
    <s v="F:\Données chgh\2020-CHG-CZA-Test-2\plaque 2/@13 Testo 30/H1_02- exclu.tif"/>
    <m/>
    <m/>
    <x v="0"/>
    <m/>
    <m/>
    <m/>
  </r>
  <r>
    <x v="13"/>
    <x v="7"/>
    <s v="F:\Données chgh\2020-CHG-CZA-Test-2\plaque 2/@13 Testo 30/H1_03.tif "/>
    <s v=" 46936.8713 "/>
    <s v=" 80.6525 "/>
    <x v="1"/>
    <n v="3785578"/>
    <m/>
    <m/>
  </r>
  <r>
    <x v="1"/>
    <x v="8"/>
    <s v=" "/>
    <m/>
    <m/>
    <x v="0"/>
    <m/>
    <m/>
    <m/>
  </r>
  <r>
    <x v="1"/>
    <x v="8"/>
    <s v="group "/>
    <s v=" "/>
    <s v=" mean of mean fluo "/>
    <x v="2"/>
    <s v=" mean of total fluo "/>
    <s v=" SD total fluo "/>
    <s v=" n fluorescent "/>
  </r>
  <r>
    <x v="13"/>
    <x v="9"/>
    <s v="F:\Données chgh\2020-CHG-CZA-Test-2\plaque 2/@13 Testo 30/ "/>
    <s v=" "/>
    <s v=" 70.8588 "/>
    <x v="15"/>
    <s v=" 2004058.46 "/>
    <s v=" 1155461.72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4"/>
    <x v="0"/>
    <s v="F:\Données chgh\2020-CHG-CZA-Test-2\plaque 2/@14 Testo 30/A2_01.tif "/>
    <s v=" 60758.374 "/>
    <s v=" 75.058 "/>
    <x v="1"/>
    <n v="4560404"/>
    <m/>
    <m/>
  </r>
  <r>
    <x v="14"/>
    <x v="0"/>
    <s v="F:\Données chgh\2020-CHG-CZA-Test-2\plaque 2/@14 Testo 30/A2_02.tif "/>
    <s v=" 57384.1105 "/>
    <s v=" 74.0245 "/>
    <x v="1"/>
    <n v="4247830"/>
    <m/>
    <m/>
  </r>
  <r>
    <x v="14"/>
    <x v="0"/>
    <s v="F:\Données chgh\2020-CHG-CZA-Test-2\plaque 2/@14 Testo 30/A2_03.tif "/>
    <s v=" 55913.2776 "/>
    <s v=" 75.3544 "/>
    <x v="1"/>
    <n v="4213309"/>
    <m/>
    <m/>
  </r>
  <r>
    <x v="14"/>
    <x v="1"/>
    <s v="F:\Données chgh\2020-CHG-CZA-Test-2\plaque 2/@14 Testo 30/B2_01.tif "/>
    <s v=" 6856.6766 "/>
    <s v=" 68.4069 "/>
    <x v="1"/>
    <n v="469044"/>
    <m/>
    <m/>
  </r>
  <r>
    <x v="14"/>
    <x v="1"/>
    <s v="F:\Données chgh\2020-CHG-CZA-Test-2\plaque 2/@14 Testo 30/B2_02- exclu.tif"/>
    <m/>
    <m/>
    <x v="0"/>
    <m/>
    <m/>
    <m/>
  </r>
  <r>
    <x v="14"/>
    <x v="1"/>
    <s v="F:\Données chgh\2020-CHG-CZA-Test-2\plaque 2/@14 Testo 30/B2_03.tif "/>
    <s v=" 9235.965 "/>
    <s v=" 70.8876 "/>
    <x v="1"/>
    <n v="654715"/>
    <m/>
    <m/>
  </r>
  <r>
    <x v="14"/>
    <x v="2"/>
    <s v="F:\Données chgh\2020-CHG-CZA-Test-2\plaque 2/@14 Testo 30/C2_01.tif "/>
    <s v=" 44492.6933 "/>
    <s v=" 77.8119 "/>
    <x v="1"/>
    <n v="3462059"/>
    <m/>
    <m/>
  </r>
  <r>
    <x v="14"/>
    <x v="2"/>
    <s v="F:\Données chgh\2020-CHG-CZA-Test-2\plaque 2/@14 Testo 30/C2_02.tif "/>
    <s v=" 42913.7109 "/>
    <s v=" 76.7535 "/>
    <x v="1"/>
    <n v="3293779"/>
    <m/>
    <m/>
  </r>
  <r>
    <x v="14"/>
    <x v="2"/>
    <s v="F:\Données chgh\2020-CHG-CZA-Test-2\plaque 2/@14 Testo 30/C2_03.tif "/>
    <s v=" 42221.5543 "/>
    <s v=" 76.5717 "/>
    <x v="1"/>
    <n v="3232977"/>
    <m/>
    <m/>
  </r>
  <r>
    <x v="14"/>
    <x v="3"/>
    <s v="F:\Données chgh\2020-CHG-CZA-Test-2\plaque 2/@14 Testo 30/D2_01.tif "/>
    <s v=" 61255.8616 "/>
    <s v=" 79.5346 "/>
    <x v="1"/>
    <n v="4871961"/>
    <m/>
    <m/>
  </r>
  <r>
    <x v="14"/>
    <x v="3"/>
    <s v="F:\Données chgh\2020-CHG-CZA-Test-2\plaque 2/@14 Testo 30/D2_02.tif "/>
    <s v=" 53642.1387 "/>
    <s v=" 81.7129 "/>
    <x v="1"/>
    <n v="4383255"/>
    <m/>
    <m/>
  </r>
  <r>
    <x v="14"/>
    <x v="3"/>
    <s v="F:\Données chgh\2020-CHG-CZA-Test-2\plaque 2/@14 Testo 30/D2_03.tif "/>
    <s v=" 58184.4166 "/>
    <s v=" 76.5167 "/>
    <x v="1"/>
    <n v="4452081"/>
    <m/>
    <m/>
  </r>
  <r>
    <x v="14"/>
    <x v="4"/>
    <s v="F:\Données chgh\2020-CHG-CZA-Test-2\plaque 2/@14 Testo 30/E2_01.tif "/>
    <s v=" 62942.9934 "/>
    <s v=" 73.9667 "/>
    <x v="1"/>
    <n v="4655683"/>
    <m/>
    <m/>
  </r>
  <r>
    <x v="14"/>
    <x v="4"/>
    <s v="F:\Données chgh\2020-CHG-CZA-Test-2\plaque 2/@14 Testo 30/E2_02.tif "/>
    <s v=" 58314.1959 "/>
    <s v=" 73.7077 "/>
    <x v="1"/>
    <n v="4298206"/>
    <m/>
    <m/>
  </r>
  <r>
    <x v="14"/>
    <x v="4"/>
    <s v="F:\Données chgh\2020-CHG-CZA-Test-2\plaque 2/@14 Testo 30/E2_03.tif "/>
    <s v=" 59979.6978 "/>
    <s v=" 73.493 "/>
    <x v="1"/>
    <n v="4408086"/>
    <m/>
    <m/>
  </r>
  <r>
    <x v="14"/>
    <x v="5"/>
    <s v="F:\Données chgh\2020-CHG-CZA-Test-2\plaque 2/@14 Testo 30/F2_01.tif "/>
    <s v=" 34997.1695 "/>
    <s v=" 71.6323 "/>
    <x v="1"/>
    <n v="2506926"/>
    <m/>
    <m/>
  </r>
  <r>
    <x v="14"/>
    <x v="5"/>
    <s v="F:\Données chgh\2020-CHG-CZA-Test-2\plaque 2/@14 Testo 30/F2_02- exclu.tif"/>
    <m/>
    <m/>
    <x v="0"/>
    <m/>
    <m/>
    <m/>
  </r>
  <r>
    <x v="14"/>
    <x v="5"/>
    <s v="F:\Données chgh\2020-CHG-CZA-Test-2\plaque 2/@14 Testo 30/F2_03.tif "/>
    <s v=" 30281.8525 "/>
    <s v=" 68.0371 "/>
    <x v="1"/>
    <n v="2060291"/>
    <m/>
    <m/>
  </r>
  <r>
    <x v="14"/>
    <x v="6"/>
    <s v="F:\Données chgh\2020-CHG-CZA-Test-2\plaque 2/@14 Testo 30/G2_01.tif "/>
    <s v=" 7981.4311 "/>
    <s v=" 65.7778 "/>
    <x v="1"/>
    <n v="525001"/>
    <m/>
    <m/>
  </r>
  <r>
    <x v="14"/>
    <x v="6"/>
    <s v="F:\Données chgh\2020-CHG-CZA-Test-2\plaque 2/@14 Testo 30/G2_02.tif "/>
    <s v=" 10317.4597 "/>
    <s v=" 66.9518 "/>
    <x v="1"/>
    <n v="690772"/>
    <m/>
    <m/>
  </r>
  <r>
    <x v="14"/>
    <x v="6"/>
    <s v="F:\Données chgh\2020-CHG-CZA-Test-2\plaque 2/@14 Testo 30/G2_03.tif "/>
    <s v=" 10620.2783 "/>
    <s v=" 67.0326 "/>
    <x v="1"/>
    <n v="711905"/>
    <m/>
    <m/>
  </r>
  <r>
    <x v="14"/>
    <x v="7"/>
    <s v="F:\Données chgh\2020-CHG-CZA-Test-2\plaque 2/@14 Testo 30/H2_01- exclu.tif"/>
    <m/>
    <m/>
    <x v="0"/>
    <m/>
    <m/>
    <m/>
  </r>
  <r>
    <x v="14"/>
    <x v="7"/>
    <s v="F:\Données chgh\2020-CHG-CZA-Test-2\plaque 2/@14 Testo 30/H2_02.tif "/>
    <s v=" 77737.8413 "/>
    <s v=" 80.6199 "/>
    <x v="1"/>
    <n v="6267219"/>
    <m/>
    <m/>
  </r>
  <r>
    <x v="14"/>
    <x v="7"/>
    <s v="F:\Données chgh\2020-CHG-CZA-Test-2\plaque 2/@14 Testo 30/H2_03.tif "/>
    <s v=" 74428.4674 "/>
    <s v=" 78.4095 "/>
    <x v="1"/>
    <n v="5835897"/>
    <m/>
    <m/>
  </r>
  <r>
    <x v="1"/>
    <x v="8"/>
    <s v=" "/>
    <m/>
    <m/>
    <x v="0"/>
    <m/>
    <m/>
    <m/>
  </r>
  <r>
    <x v="1"/>
    <x v="8"/>
    <s v="group "/>
    <s v=" "/>
    <s v=" mean of mean fluo "/>
    <x v="2"/>
    <s v=" mean of total fluo "/>
    <s v=" SD total fluo "/>
    <s v=" n fluorescent "/>
  </r>
  <r>
    <x v="14"/>
    <x v="9"/>
    <s v="F:\Données chgh\2020-CHG-CZA-Test-2\plaque 2/@14 Testo 30/ "/>
    <s v=" "/>
    <s v=" 73.3041 "/>
    <x v="16"/>
    <s v=" 3189343.29 "/>
    <s v=" 1892391.42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5"/>
    <x v="0"/>
    <s v="F:\Données chgh\2020-CHG-CZA-Test-2\plaque 2/@15 Testo + EE2/A3_01.tif "/>
    <s v=" 77672.9516 "/>
    <s v=" 84.5464 "/>
    <x v="1"/>
    <n v="6566966"/>
    <m/>
    <m/>
  </r>
  <r>
    <x v="15"/>
    <x v="0"/>
    <s v="F:\Données chgh\2020-CHG-CZA-Test-2\plaque 2/@15 Testo + EE2/A3_02.tif "/>
    <s v=" 81717.7419 "/>
    <s v=" 85.0889 "/>
    <x v="1"/>
    <n v="6953276"/>
    <m/>
    <m/>
  </r>
  <r>
    <x v="15"/>
    <x v="0"/>
    <s v="F:\Données chgh\2020-CHG-CZA-Test-2\plaque 2/@15 Testo + EE2/A3_03.tif "/>
    <s v=" 76288.6384 "/>
    <s v=" 85.8509 "/>
    <x v="1"/>
    <n v="6549446"/>
    <m/>
    <m/>
  </r>
  <r>
    <x v="15"/>
    <x v="1"/>
    <s v="F:\Données chgh\2020-CHG-CZA-Test-2\plaque 2/@15 Testo + EE2/B3_01.tif "/>
    <s v=" 57470.63 "/>
    <s v=" 78.5322 "/>
    <x v="1"/>
    <n v="4513294"/>
    <m/>
    <m/>
  </r>
  <r>
    <x v="15"/>
    <x v="1"/>
    <s v="F:\Données chgh\2020-CHG-CZA-Test-2\plaque 2/@15 Testo + EE2/B3_02.tif "/>
    <s v=" 55913.2776 "/>
    <s v=" 81.2108 "/>
    <x v="1"/>
    <n v="4540764"/>
    <m/>
    <m/>
  </r>
  <r>
    <x v="15"/>
    <x v="1"/>
    <s v="F:\Données chgh\2020-CHG-CZA-Test-2\plaque 2/@15 Testo + EE2/B3_03.tif "/>
    <s v=" 57405.7403 "/>
    <s v=" 76.3832 "/>
    <x v="1"/>
    <n v="4384834"/>
    <m/>
    <m/>
  </r>
  <r>
    <x v="15"/>
    <x v="2"/>
    <s v="F:\Données chgh\2020-CHG-CZA-Test-2\plaque 2/@15 Testo + EE2/C3_01.tif "/>
    <s v=" 54442.4448 "/>
    <s v=" 82.2503 "/>
    <x v="1"/>
    <n v="4477907"/>
    <m/>
    <m/>
  </r>
  <r>
    <x v="15"/>
    <x v="2"/>
    <s v="F:\Données chgh\2020-CHG-CZA-Test-2\plaque 2/@15 Testo + EE2/C3_02- exclu.tif"/>
    <m/>
    <m/>
    <x v="0"/>
    <m/>
    <m/>
    <m/>
  </r>
  <r>
    <x v="15"/>
    <x v="2"/>
    <s v="F:\Données chgh\2020-CHG-CZA-Test-2\plaque 2/@15 Testo + EE2/C3_03.tif "/>
    <s v=" 53880.0675 "/>
    <s v=" 82.6214 "/>
    <x v="1"/>
    <n v="4451649"/>
    <m/>
    <m/>
  </r>
  <r>
    <x v="15"/>
    <x v="3"/>
    <s v="F:\Données chgh\2020-CHG-CZA-Test-2\plaque 2/@15 Testo + EE2/D3_01.tif "/>
    <s v=" 63678.4098 "/>
    <s v=" 80.1583 "/>
    <x v="1"/>
    <n v="5104352"/>
    <m/>
    <m/>
  </r>
  <r>
    <x v="15"/>
    <x v="3"/>
    <s v="F:\Données chgh\2020-CHG-CZA-Test-2\plaque 2/@15 Testo + EE2/D3_02.tif "/>
    <s v=" 60239.2565 "/>
    <s v=" 79.6657 "/>
    <x v="1"/>
    <n v="4799003"/>
    <m/>
    <m/>
  </r>
  <r>
    <x v="15"/>
    <x v="3"/>
    <s v="F:\Données chgh\2020-CHG-CZA-Test-2\plaque 2/@15 Testo + EE2/D3_03.tif "/>
    <s v=" 58595.3845 "/>
    <s v=" 78.6907 "/>
    <x v="1"/>
    <n v="4610910"/>
    <m/>
    <m/>
  </r>
  <r>
    <x v="15"/>
    <x v="4"/>
    <s v="F:\Données chgh\2020-CHG-CZA-Test-2\plaque 2/@15 Testo + EE2/E3_01.tif "/>
    <s v=" 58487.2351 "/>
    <s v=" 76.9919 "/>
    <x v="1"/>
    <n v="4503041"/>
    <m/>
    <m/>
  </r>
  <r>
    <x v="15"/>
    <x v="4"/>
    <s v="F:\Données chgh\2020-CHG-CZA-Test-2\plaque 2/@15 Testo + EE2/E3_02.tif "/>
    <s v=" 51262.8503 "/>
    <s v=" 76.4869 "/>
    <x v="1"/>
    <n v="3920938"/>
    <m/>
    <m/>
  </r>
  <r>
    <x v="15"/>
    <x v="4"/>
    <s v="F:\Données chgh\2020-CHG-CZA-Test-2\plaque 2/@15 Testo + EE2/E3_03.tif "/>
    <s v=" 45466.0385 "/>
    <s v=" 73.8297 "/>
    <x v="1"/>
    <n v="3356743"/>
    <m/>
    <m/>
  </r>
  <r>
    <x v="15"/>
    <x v="5"/>
    <s v="F:\Données chgh\2020-CHG-CZA-Test-2\plaque 2/@15 Testo + EE2/F3_01.tif "/>
    <s v=" 44298.0242 "/>
    <s v=" 79.0625 "/>
    <x v="1"/>
    <n v="3502313"/>
    <m/>
    <m/>
  </r>
  <r>
    <x v="15"/>
    <x v="5"/>
    <s v="F:\Données chgh\2020-CHG-CZA-Test-2\plaque 2/@15 Testo + EE2/F3_02.tif "/>
    <s v=" 47045.0208 "/>
    <s v=" 78.7205 "/>
    <x v="1"/>
    <n v="3703406"/>
    <m/>
    <m/>
  </r>
  <r>
    <x v="15"/>
    <x v="5"/>
    <s v="F:\Données chgh\2020-CHG-CZA-Test-2\plaque 2/@15 Testo + EE2/F3_03.tif "/>
    <s v=" 49056.601 "/>
    <s v=" 77.6393 "/>
    <x v="1"/>
    <n v="3808722"/>
    <m/>
    <m/>
  </r>
  <r>
    <x v="15"/>
    <x v="6"/>
    <s v="F:\Données chgh\2020-CHG-CZA-Test-2\plaque 2/@15 Testo + EE2/G3_01.tif "/>
    <s v=" 72871.115 "/>
    <s v=" 79.2686 "/>
    <x v="1"/>
    <n v="5776393"/>
    <m/>
    <m/>
  </r>
  <r>
    <x v="15"/>
    <x v="6"/>
    <s v="F:\Données chgh\2020-CHG-CZA-Test-2\plaque 2/@15 Testo + EE2/G3_02.tif "/>
    <s v=" 61558.6801 "/>
    <s v=" 77.1237 "/>
    <x v="1"/>
    <n v="4747632"/>
    <m/>
    <m/>
  </r>
  <r>
    <x v="15"/>
    <x v="6"/>
    <s v="F:\Données chgh\2020-CHG-CZA-Test-2\plaque 2/@15 Testo + EE2/G3_03.tif "/>
    <s v=" 62532.0254 "/>
    <s v=" 77.7676 "/>
    <x v="1"/>
    <n v="4862963"/>
    <m/>
    <m/>
  </r>
  <r>
    <x v="15"/>
    <x v="7"/>
    <s v="F:\Données chgh\2020-CHG-CZA-Test-2\plaque 2/@15 Testo + EE2/H3_01.tif "/>
    <s v=" 35537.9169 "/>
    <s v=" 83.1083 "/>
    <x v="1"/>
    <n v="2953497"/>
    <m/>
    <m/>
  </r>
  <r>
    <x v="15"/>
    <x v="7"/>
    <s v="F:\Données chgh\2020-CHG-CZA-Test-2\plaque 2/@15 Testo + EE2/H3_02.tif "/>
    <s v=" 41118.4297 "/>
    <s v=" 76.7428 "/>
    <x v="1"/>
    <n v="3155542"/>
    <m/>
    <m/>
  </r>
  <r>
    <x v="15"/>
    <x v="7"/>
    <s v="F:\Données chgh\2020-CHG-CZA-Test-2\plaque 2/@15 Testo + EE2/H3_03.tif "/>
    <s v=" 36013.7746 "/>
    <s v=" 76.6937 "/>
    <x v="1"/>
    <n v="2762029"/>
    <m/>
    <m/>
  </r>
  <r>
    <x v="1"/>
    <x v="8"/>
    <s v=" "/>
    <m/>
    <m/>
    <x v="0"/>
    <m/>
    <m/>
    <m/>
  </r>
  <r>
    <x v="1"/>
    <x v="8"/>
    <s v="group "/>
    <s v=" "/>
    <s v=" mean of mean fluo "/>
    <x v="2"/>
    <s v=" mean of total fluo "/>
    <s v=" SD total fluo "/>
    <s v=" n fluorescent "/>
  </r>
  <r>
    <x v="15"/>
    <x v="9"/>
    <s v="F:\Données chgh\2020-CHG-CZA-Test-2\plaque 2/@15 Testo + EE2/ "/>
    <s v=" "/>
    <s v=" 79.3409 "/>
    <x v="17"/>
    <s v=" 4495635.79 "/>
    <s v=" 1106115.15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6"/>
    <x v="0"/>
    <s v="F:\Données chgh\2020-CHG-CZA-Test-2\plaque 2/@16 Testo + FAD/A4_01.tif "/>
    <s v=" 4304.349 "/>
    <s v=" 69.2312 "/>
    <x v="1"/>
    <n v="297995"/>
    <m/>
    <m/>
  </r>
  <r>
    <x v="16"/>
    <x v="0"/>
    <s v="F:\Données chgh\2020-CHG-CZA-Test-2\plaque 2/@16 Testo + FAD/A4_02.tif "/>
    <s v=" 3568.9326 "/>
    <s v=" 69.3091 "/>
    <x v="1"/>
    <n v="247359"/>
    <m/>
    <m/>
  </r>
  <r>
    <x v="16"/>
    <x v="0"/>
    <s v="F:\Données chgh\2020-CHG-CZA-Test-2\plaque 2/@16 Testo + FAD/A4_03- exclu.tif"/>
    <m/>
    <m/>
    <x v="0"/>
    <m/>
    <m/>
    <m/>
  </r>
  <r>
    <x v="16"/>
    <x v="1"/>
    <s v="F:\Données chgh\2020-CHG-CZA-Test-2\plaque 2/@16 Testo + FAD/B4_01.tif "/>
    <s v=" 14297.3603 "/>
    <s v=" 74.8608 "/>
    <x v="1"/>
    <n v="1070312"/>
    <m/>
    <m/>
  </r>
  <r>
    <x v="16"/>
    <x v="1"/>
    <s v="F:\Données chgh\2020-CHG-CZA-Test-2\plaque 2/@16 Testo + FAD/B4_02.tif "/>
    <s v=" 5429.1036 "/>
    <s v=" 68.6375 "/>
    <x v="1"/>
    <n v="372640"/>
    <m/>
    <m/>
  </r>
  <r>
    <x v="16"/>
    <x v="1"/>
    <s v="F:\Données chgh\2020-CHG-CZA-Test-2\plaque 2/@16 Testo + FAD/B4_03.tif "/>
    <s v=" 1081.4947 "/>
    <s v=" 64.94 "/>
    <x v="1"/>
    <n v="70232"/>
    <m/>
    <m/>
  </r>
  <r>
    <x v="16"/>
    <x v="2"/>
    <s v="F:\Données chgh\2020-CHG-CZA-Test-2\plaque 2/@16 Testo + FAD/C4_01.tif "/>
    <s v=" 6013.1107 "/>
    <s v=" 69.9137 "/>
    <x v="1"/>
    <n v="420399"/>
    <m/>
    <m/>
  </r>
  <r>
    <x v="16"/>
    <x v="2"/>
    <s v="F:\Données chgh\2020-CHG-CZA-Test-2\plaque 2/@16 Testo + FAD/C4_02.tif "/>
    <s v=" 4520.648 "/>
    <s v=" 67.8612 "/>
    <x v="1"/>
    <n v="306777"/>
    <m/>
    <m/>
  </r>
  <r>
    <x v="16"/>
    <x v="2"/>
    <s v="F:\Données chgh\2020-CHG-CZA-Test-2\plaque 2/@16 Testo + FAD/C4_03.tif "/>
    <s v=" 2292.7688 "/>
    <s v=" 66.0943 "/>
    <x v="1"/>
    <n v="151539"/>
    <m/>
    <m/>
  </r>
  <r>
    <x v="16"/>
    <x v="3"/>
    <s v="F:\Données chgh\2020-CHG-CZA-Test-2\plaque 2/@16 Testo + FAD/D4_01.tif "/>
    <s v=" 540.7474 "/>
    <s v=" 64.76 "/>
    <x v="1"/>
    <n v="35019"/>
    <m/>
    <m/>
  </r>
  <r>
    <x v="16"/>
    <x v="3"/>
    <s v="F:\Données chgh\2020-CHG-CZA-Test-2\plaque 2/@16 Testo + FAD/D4_02.tif "/>
    <s v=" 2725.3667 "/>
    <s v=" 64.8492 "/>
    <x v="1"/>
    <n v="176738"/>
    <m/>
    <m/>
  </r>
  <r>
    <x v="16"/>
    <x v="3"/>
    <s v="F:\Données chgh\2020-CHG-CZA-Test-2\plaque 2/@16 Testo + FAD/D4_03.tif "/>
    <s v=" 2271.1389 "/>
    <s v=" 65.4571 "/>
    <x v="1"/>
    <n v="148662"/>
    <m/>
    <m/>
  </r>
  <r>
    <x v="16"/>
    <x v="4"/>
    <s v="F:\Données chgh\2020-CHG-CZA-Test-2\plaque 2/@16 Testo + FAD/E4_01.tif "/>
    <s v=" 4650.4273 "/>
    <s v=" 68.4512 "/>
    <x v="1"/>
    <n v="318327"/>
    <m/>
    <m/>
  </r>
  <r>
    <x v="16"/>
    <x v="4"/>
    <s v="F:\Données chgh\2020-CHG-CZA-Test-2\plaque 2/@16 Testo + FAD/E4_02- exclu.tif"/>
    <m/>
    <m/>
    <x v="0"/>
    <m/>
    <m/>
    <m/>
  </r>
  <r>
    <x v="16"/>
    <x v="4"/>
    <s v="F:\Données chgh\2020-CHG-CZA-Test-2\plaque 2/@16 Testo + FAD/E4_03.tif "/>
    <s v=" 4001.5305 "/>
    <s v=" 66.6432 "/>
    <x v="1"/>
    <n v="266675"/>
    <m/>
    <m/>
  </r>
  <r>
    <x v="16"/>
    <x v="5"/>
    <s v="F:\Données chgh\2020-CHG-CZA-Test-2\plaque 2/@16 Testo + FAD/F4_01- exclu.tif"/>
    <m/>
    <m/>
    <x v="0"/>
    <m/>
    <m/>
    <m/>
  </r>
  <r>
    <x v="16"/>
    <x v="5"/>
    <s v="F:\Données chgh\2020-CHG-CZA-Test-2\plaque 2/@16 Testo + FAD/F4_02.tif "/>
    <s v=" 389.3381 "/>
    <s v=" 62.3333 "/>
    <x v="1"/>
    <n v="24269"/>
    <m/>
    <m/>
  </r>
  <r>
    <x v="16"/>
    <x v="5"/>
    <s v="F:\Données chgh\2020-CHG-CZA-Test-2\plaque 2/@16 Testo + FAD/F4_03.tif "/>
    <s v=" 1276.1638 "/>
    <s v=" 63.6271 "/>
    <x v="1"/>
    <n v="81199"/>
    <m/>
    <m/>
  </r>
  <r>
    <x v="16"/>
    <x v="6"/>
    <s v="F:\Données chgh\2020-CHG-CZA-Test-2\plaque 2/@16 Testo + FAD/G4_01- exclu.tif"/>
    <m/>
    <m/>
    <x v="0"/>
    <m/>
    <m/>
    <m/>
  </r>
  <r>
    <x v="16"/>
    <x v="6"/>
    <s v="F:\Données chgh\2020-CHG-CZA-Test-2\plaque 2/@16 Testo + FAD/G4_02.tif "/>
    <s v=" 302.8185 "/>
    <s v=" 62.3571 "/>
    <x v="1"/>
    <n v="18883"/>
    <m/>
    <m/>
  </r>
  <r>
    <x v="16"/>
    <x v="6"/>
    <s v="F:\Données chgh\2020-CHG-CZA-Test-2\plaque 2/@16 Testo + FAD/G4_03.tif "/>
    <s v=" 519.1175 "/>
    <s v=" 63.25 "/>
    <x v="1"/>
    <n v="32834"/>
    <m/>
    <m/>
  </r>
  <r>
    <x v="16"/>
    <x v="7"/>
    <s v="F:\Données chgh\2020-CHG-CZA-Test-2\plaque 2/@16 Testo + FAD/H4_01.tif "/>
    <s v=" 3871.7511 "/>
    <s v=" 68.8547 "/>
    <x v="1"/>
    <n v="266588"/>
    <m/>
    <m/>
  </r>
  <r>
    <x v="16"/>
    <x v="7"/>
    <s v="F:\Données chgh\2020-CHG-CZA-Test-2\plaque 2/@16 Testo + FAD/H4_02.tif "/>
    <s v=" 2984.9255 "/>
    <s v=" 67.9565 "/>
    <x v="1"/>
    <n v="202845"/>
    <m/>
    <m/>
  </r>
  <r>
    <x v="16"/>
    <x v="7"/>
    <s v="F:\Données chgh\2020-CHG-CZA-Test-2\plaque 2/@16 Testo + FAD/H4_03- exclu.tif"/>
    <m/>
    <m/>
    <x v="0"/>
    <m/>
    <m/>
    <m/>
  </r>
  <r>
    <x v="1"/>
    <x v="8"/>
    <s v=" "/>
    <m/>
    <m/>
    <x v="0"/>
    <m/>
    <m/>
    <m/>
  </r>
  <r>
    <x v="1"/>
    <x v="8"/>
    <s v="group "/>
    <s v=" "/>
    <s v=" mean of mean fluo "/>
    <x v="2"/>
    <s v=" mean of total fluo "/>
    <s v=" SD total fluo "/>
    <s v=" n fluorescent "/>
  </r>
  <r>
    <x v="16"/>
    <x v="9"/>
    <s v="F:\Données chgh\2020-CHG-CZA-Test-2\plaque 2/@16 Testo + FAD/ "/>
    <s v=" "/>
    <s v=" 66.1435 "/>
    <x v="18"/>
    <s v=" 193191.875 "/>
    <s v=" 227394.733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7"/>
    <x v="0"/>
    <s v="F:\Données chgh\2020-CHG-CZA-Test-2\plaque 2/@17 Testo + Pro 12/A5_01.tif "/>
    <s v=" 8608.6981 "/>
    <s v=" 64.6784 "/>
    <x v="1"/>
    <n v="556797"/>
    <m/>
    <m/>
  </r>
  <r>
    <x v="17"/>
    <x v="0"/>
    <s v="F:\Données chgh\2020-CHG-CZA-Test-2\plaque 2/@17 Testo + Pro 12/A5_02.tif "/>
    <s v=" 9084.5557 "/>
    <s v=" 65.45 "/>
    <x v="1"/>
    <n v="594584"/>
    <m/>
    <m/>
  </r>
  <r>
    <x v="17"/>
    <x v="0"/>
    <s v="F:\Données chgh\2020-CHG-CZA-Test-2\plaque 2/@17 Testo + Pro 12/A5_03.tif "/>
    <s v=" 8673.5877 "/>
    <s v=" 64.7581 "/>
    <x v="1"/>
    <n v="561685"/>
    <m/>
    <m/>
  </r>
  <r>
    <x v="17"/>
    <x v="1"/>
    <s v="F:\Données chgh\2020-CHG-CZA-Test-2\plaque 2/@17 Testo + Pro 12/B5_01- exclu.tif"/>
    <m/>
    <m/>
    <x v="0"/>
    <m/>
    <m/>
    <m/>
  </r>
  <r>
    <x v="17"/>
    <x v="1"/>
    <s v="F:\Données chgh\2020-CHG-CZA-Test-2\plaque 2/@17 Testo + Pro 12/B5_02- exclu.tif"/>
    <m/>
    <m/>
    <x v="0"/>
    <m/>
    <m/>
    <m/>
  </r>
  <r>
    <x v="17"/>
    <x v="1"/>
    <s v="F:\Données chgh\2020-CHG-CZA-Test-2\plaque 2/@17 Testo + Pro 12/B5_03- exclu.tif"/>
    <m/>
    <m/>
    <x v="0"/>
    <m/>
    <m/>
    <m/>
  </r>
  <r>
    <x v="17"/>
    <x v="2"/>
    <s v="F:\Données chgh\2020-CHG-CZA-Test-2\plaque 2/@17 Testo + Pro 12/C5_01.tif "/>
    <s v=" 8219.36 "/>
    <s v=" 65.8474 "/>
    <x v="1"/>
    <n v="541223"/>
    <m/>
    <m/>
  </r>
  <r>
    <x v="17"/>
    <x v="2"/>
    <s v="F:\Données chgh\2020-CHG-CZA-Test-2\plaque 2/@17 Testo + Pro 12/C5_02.tif "/>
    <s v=" 11658.5132 "/>
    <s v=" 66.1967 "/>
    <x v="1"/>
    <n v="771755"/>
    <m/>
    <m/>
  </r>
  <r>
    <x v="17"/>
    <x v="2"/>
    <s v="F:\Données chgh\2020-CHG-CZA-Test-2\plaque 2/@17 Testo + Pro 12/C5_03.tif "/>
    <s v=" 3093.0749 "/>
    <s v=" 64.3846 "/>
    <x v="1"/>
    <n v="199146"/>
    <m/>
    <m/>
  </r>
  <r>
    <x v="17"/>
    <x v="3"/>
    <s v="F:\Données chgh\2020-CHG-CZA-Test-2\plaque 2/@17 Testo + Pro 12/D5_01.tif "/>
    <s v=" 36424.7426 "/>
    <s v=" 71.2257 "/>
    <x v="1"/>
    <n v="2594376"/>
    <m/>
    <m/>
  </r>
  <r>
    <x v="17"/>
    <x v="3"/>
    <s v="F:\Données chgh\2020-CHG-CZA-Test-2\plaque 2/@17 Testo + Pro 12/D5_02.tif "/>
    <s v=" 27102.258 "/>
    <s v=" 68.8611 "/>
    <x v="1"/>
    <n v="1866292"/>
    <m/>
    <m/>
  </r>
  <r>
    <x v="17"/>
    <x v="3"/>
    <s v="F:\Données chgh\2020-CHG-CZA-Test-2\plaque 2/@17 Testo + Pro 12/D5_03.tif "/>
    <s v=" 30779.3401 "/>
    <s v=" 73.3324 "/>
    <x v="1"/>
    <n v="2257123"/>
    <m/>
    <m/>
  </r>
  <r>
    <x v="17"/>
    <x v="4"/>
    <s v="F:\Données chgh\2020-CHG-CZA-Test-2\plaque 2/@17 Testo + Pro 12/E5_01.tif "/>
    <s v=" 17628.3641 "/>
    <s v=" 65.9706 "/>
    <x v="1"/>
    <n v="1162953"/>
    <m/>
    <m/>
  </r>
  <r>
    <x v="17"/>
    <x v="4"/>
    <s v="F:\Données chgh\2020-CHG-CZA-Test-2\plaque 2/@17 Testo + Pro 12/E5_02.tif "/>
    <s v=" 18991.0475 "/>
    <s v=" 66.9544 "/>
    <x v="1"/>
    <n v="1271535"/>
    <m/>
    <m/>
  </r>
  <r>
    <x v="17"/>
    <x v="4"/>
    <s v="F:\Données chgh\2020-CHG-CZA-Test-2\plaque 2/@17 Testo + Pro 12/E5_03- exclu.tif"/>
    <m/>
    <m/>
    <x v="0"/>
    <m/>
    <m/>
    <m/>
  </r>
  <r>
    <x v="17"/>
    <x v="5"/>
    <s v="F:\Données chgh\2020-CHG-CZA-Test-2\plaque 2/@17 Testo + Pro 12/F5_01.tif "/>
    <s v=" 23252.1367 "/>
    <s v=" 70.0326 "/>
    <x v="1"/>
    <n v="1628407"/>
    <m/>
    <m/>
  </r>
  <r>
    <x v="17"/>
    <x v="5"/>
    <s v="F:\Données chgh\2020-CHG-CZA-Test-2\plaque 2/@17 Testo + Pro 12/F5_02.tif "/>
    <s v=" 16027.7519 "/>
    <s v=" 67.9096 "/>
    <x v="1"/>
    <n v="1088438"/>
    <m/>
    <m/>
  </r>
  <r>
    <x v="17"/>
    <x v="5"/>
    <s v="F:\Données chgh\2020-CHG-CZA-Test-2\plaque 2/@17 Testo + Pro 12/F5_03.tif "/>
    <s v=" 21629.8946 "/>
    <s v=" 70.086 "/>
    <x v="1"/>
    <n v="1515953"/>
    <m/>
    <m/>
  </r>
  <r>
    <x v="17"/>
    <x v="6"/>
    <s v="F:\Données chgh\2020-CHG-CZA-Test-2\plaque 2/@17 Testo + Pro 12/G5_01.tif "/>
    <s v=" 37636.0167 "/>
    <s v=" 69.9069 "/>
    <x v="1"/>
    <n v="2631017"/>
    <m/>
    <m/>
  </r>
  <r>
    <x v="17"/>
    <x v="6"/>
    <s v="F:\Données chgh\2020-CHG-CZA-Test-2\plaque 2/@17 Testo + Pro 12/G5_02.tif "/>
    <s v=" 35299.988 "/>
    <s v=" 70.1979 "/>
    <x v="1"/>
    <n v="2477986"/>
    <m/>
    <m/>
  </r>
  <r>
    <x v="17"/>
    <x v="6"/>
    <s v="F:\Données chgh\2020-CHG-CZA-Test-2\plaque 2/@17 Testo + Pro 12/G5_03.tif "/>
    <s v=" 23338.6563 "/>
    <s v=" 71.3475 "/>
    <x v="1"/>
    <n v="1665156"/>
    <m/>
    <m/>
  </r>
  <r>
    <x v="17"/>
    <x v="7"/>
    <s v="F:\Données chgh\2020-CHG-CZA-Test-2\plaque 2/@17 Testo + Pro 12/H5_01.tif "/>
    <s v=" 34434.7922 "/>
    <s v=" 72.2902 "/>
    <x v="1"/>
    <n v="2489298"/>
    <m/>
    <m/>
  </r>
  <r>
    <x v="17"/>
    <x v="7"/>
    <s v="F:\Données chgh\2020-CHG-CZA-Test-2\plaque 2/@17 Testo + Pro 12/H5_02.tif "/>
    <s v=" 28378.4218 "/>
    <s v=" 69.1593 "/>
    <x v="1"/>
    <n v="1962632"/>
    <m/>
    <m/>
  </r>
  <r>
    <x v="17"/>
    <x v="7"/>
    <s v="F:\Données chgh\2020-CHG-CZA-Test-2\plaque 2/@17 Testo + Pro 12/H5_03.tif "/>
    <s v=" 29481.5464 "/>
    <s v=" 68.8877 "/>
    <x v="1"/>
    <n v="2030917"/>
    <m/>
    <m/>
  </r>
  <r>
    <x v="1"/>
    <x v="8"/>
    <s v=" "/>
    <m/>
    <m/>
    <x v="0"/>
    <m/>
    <m/>
    <m/>
  </r>
  <r>
    <x v="1"/>
    <x v="8"/>
    <s v="group "/>
    <s v=" "/>
    <s v=" mean of mean fluo "/>
    <x v="2"/>
    <s v=" mean of total fluo "/>
    <s v=" SD total fluo "/>
    <s v=" n fluorescent "/>
  </r>
  <r>
    <x v="17"/>
    <x v="9"/>
    <s v="F:\Données chgh\2020-CHG-CZA-Test-2\plaque 2/@17 Testo + Pro 12/ "/>
    <s v=" "/>
    <s v=" 67.9206 "/>
    <x v="19"/>
    <s v=" 1286041.42 "/>
    <s v=" 869822.968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8"/>
    <x v="0"/>
    <s v="F:\Données chgh\2020-CHG-CZA-Test-2\plaque 2/@18  Testo + Pro 37/A6_01.tif "/>
    <s v=" 34218.4933 "/>
    <s v=" 70.6201 "/>
    <x v="1"/>
    <n v="2416513"/>
    <m/>
    <m/>
  </r>
  <r>
    <x v="18"/>
    <x v="0"/>
    <s v="F:\Données chgh\2020-CHG-CZA-Test-2\plaque 2/@18  Testo + Pro 37/A6_02.tif "/>
    <s v=" 37116.8992 "/>
    <s v=" 70.7943 "/>
    <x v="1"/>
    <n v="2627664"/>
    <m/>
    <m/>
  </r>
  <r>
    <x v="18"/>
    <x v="0"/>
    <s v="F:\Données chgh\2020-CHG-CZA-Test-2\plaque 2/@18  Testo + Pro 37/A6_03.tif "/>
    <s v=" 36749.191 "/>
    <s v=" 70.1995 "/>
    <x v="1"/>
    <n v="2579776"/>
    <m/>
    <m/>
  </r>
  <r>
    <x v="18"/>
    <x v="1"/>
    <s v="F:\Données chgh\2020-CHG-CZA-Test-2\plaque 2/@18  Testo + Pro 37/B6_01.tif "/>
    <s v=" 22668.1296 "/>
    <s v=" 67.0296 "/>
    <x v="1"/>
    <n v="1519435"/>
    <m/>
    <m/>
  </r>
  <r>
    <x v="18"/>
    <x v="1"/>
    <s v="F:\Données chgh\2020-CHG-CZA-Test-2\plaque 2/@18  Testo + Pro 37/B6_02.tif "/>
    <s v=" 19683.2041 "/>
    <s v=" 66.4396 "/>
    <x v="1"/>
    <n v="1307743"/>
    <m/>
    <m/>
  </r>
  <r>
    <x v="18"/>
    <x v="1"/>
    <s v="F:\Données chgh\2020-CHG-CZA-Test-2\plaque 2/@18  Testo + Pro 37/B6_03.tif "/>
    <s v=" 23598.215 "/>
    <s v=" 66.2136 "/>
    <x v="1"/>
    <n v="1562522"/>
    <m/>
    <m/>
  </r>
  <r>
    <x v="18"/>
    <x v="2"/>
    <s v="F:\Données chgh\2020-CHG-CZA-Test-2\plaque 2/@18  Testo + Pro 37/C6_01.tif "/>
    <s v=" 50289.505 "/>
    <s v=" 76.092 "/>
    <x v="1"/>
    <n v="3826631"/>
    <m/>
    <m/>
  </r>
  <r>
    <x v="18"/>
    <x v="2"/>
    <s v="F:\Données chgh\2020-CHG-CZA-Test-2\plaque 2/@18  Testo + Pro 37/C6_02.tif "/>
    <s v=" 44168.2448 "/>
    <s v=" 76.454 "/>
    <x v="1"/>
    <n v="3376838"/>
    <m/>
    <m/>
  </r>
  <r>
    <x v="18"/>
    <x v="2"/>
    <s v="F:\Données chgh\2020-CHG-CZA-Test-2\plaque 2/@18  Testo + Pro 37/C6_03.tif "/>
    <s v=" 45617.4478 "/>
    <s v=" 72.5453 "/>
    <x v="1"/>
    <n v="3309331"/>
    <m/>
    <m/>
  </r>
  <r>
    <x v="18"/>
    <x v="3"/>
    <s v="F:\Données chgh\2020-CHG-CZA-Test-2\plaque 2/@18  Testo + Pro 37/D6_01.tif "/>
    <s v=" 37073.6394 "/>
    <s v=" 71.6779 "/>
    <x v="1"/>
    <n v="2657362"/>
    <m/>
    <m/>
  </r>
  <r>
    <x v="18"/>
    <x v="3"/>
    <s v="F:\Données chgh\2020-CHG-CZA-Test-2\plaque 2/@18  Testo + Pro 37/D6_02.tif "/>
    <s v=" 34694.351 "/>
    <s v=" 70.866 "/>
    <x v="1"/>
    <n v="2458648"/>
    <m/>
    <m/>
  </r>
  <r>
    <x v="18"/>
    <x v="3"/>
    <s v="F:\Données chgh\2020-CHG-CZA-Test-2\plaque 2/@18  Testo + Pro 37/D6_03.tif "/>
    <s v=" 39041.9598 "/>
    <s v=" 72.0321 "/>
    <x v="1"/>
    <n v="2812276"/>
    <m/>
    <m/>
  </r>
  <r>
    <x v="18"/>
    <x v="4"/>
    <s v="F:\Données chgh\2020-CHG-CZA-Test-2\plaque 2/@18  Testo + Pro 37/E6_01.tif "/>
    <s v=" 55848.3879 "/>
    <s v=" 71.2587 "/>
    <x v="1"/>
    <n v="3979684"/>
    <m/>
    <m/>
  </r>
  <r>
    <x v="18"/>
    <x v="4"/>
    <s v="F:\Données chgh\2020-CHG-CZA-Test-2\plaque 2/@18  Testo + Pro 37/E6_02- exclu.tif"/>
    <m/>
    <m/>
    <x v="0"/>
    <m/>
    <m/>
    <m/>
  </r>
  <r>
    <x v="18"/>
    <x v="4"/>
    <s v="F:\Données chgh\2020-CHG-CZA-Test-2\plaque 2/@18  Testo + Pro 37/E6_03.tif "/>
    <s v=" 44990.1808 "/>
    <s v=" 73.4548 "/>
    <x v="1"/>
    <n v="3304745"/>
    <m/>
    <m/>
  </r>
  <r>
    <x v="18"/>
    <x v="5"/>
    <s v="F:\Données chgh\2020-CHG-CZA-Test-2\plaque 2/@18  Testo + Pro 37/F6_01.tif "/>
    <s v=" 65235.7622 "/>
    <s v=" 80.8833 "/>
    <x v="1"/>
    <n v="5276483"/>
    <m/>
    <m/>
  </r>
  <r>
    <x v="18"/>
    <x v="5"/>
    <s v="F:\Données chgh\2020-CHG-CZA-Test-2\plaque 2/@18  Testo + Pro 37/F6_02.tif "/>
    <s v=" 61147.7121 "/>
    <s v=" 79.237 "/>
    <x v="1"/>
    <n v="4845161"/>
    <m/>
    <m/>
  </r>
  <r>
    <x v="18"/>
    <x v="5"/>
    <s v="F:\Données chgh\2020-CHG-CZA-Test-2\plaque 2/@18  Testo + Pro 37/F6_03.tif "/>
    <s v=" 61299.1214 "/>
    <s v=" 76.7167 "/>
    <x v="1"/>
    <n v="4702664"/>
    <m/>
    <m/>
  </r>
  <r>
    <x v="18"/>
    <x v="6"/>
    <s v="F:\Données chgh\2020-CHG-CZA-Test-2\plaque 2/@18  Testo + Pro 37/G6_01.tif "/>
    <s v=" 30195.3329 "/>
    <s v=" 72.4448 "/>
    <x v="1"/>
    <n v="2187496"/>
    <m/>
    <m/>
  </r>
  <r>
    <x v="18"/>
    <x v="6"/>
    <s v="F:\Données chgh\2020-CHG-CZA-Test-2\plaque 2/@18  Testo + Pro 37/G6_02.tif "/>
    <s v=" 31233.5678 "/>
    <s v=" 72.7375 "/>
    <x v="1"/>
    <n v="2271853"/>
    <m/>
    <m/>
  </r>
  <r>
    <x v="18"/>
    <x v="6"/>
    <s v="F:\Données chgh\2020-CHG-CZA-Test-2\plaque 2/@18  Testo + Pro 37/G6_03.tif "/>
    <s v=" 24982.5283 "/>
    <s v=" 72.045 "/>
    <x v="1"/>
    <n v="1799867"/>
    <m/>
    <m/>
  </r>
  <r>
    <x v="18"/>
    <x v="7"/>
    <s v="F:\Données chgh\2020-CHG-CZA-Test-2\plaque 2/@18  Testo + Pro 37/H6_01.tif "/>
    <s v=" 1795.2813 "/>
    <s v=" 64.6506 "/>
    <x v="1"/>
    <n v="116066"/>
    <m/>
    <m/>
  </r>
  <r>
    <x v="18"/>
    <x v="7"/>
    <s v="F:\Données chgh\2020-CHG-CZA-Test-2\plaque 2/@18  Testo + Pro 37/H6_02.tif "/>
    <s v=" 3071.445 "/>
    <s v=" 65.7324 "/>
    <x v="1"/>
    <n v="201893"/>
    <m/>
    <m/>
  </r>
  <r>
    <x v="18"/>
    <x v="7"/>
    <s v="F:\Données chgh\2020-CHG-CZA-Test-2\plaque 2/@18  Testo + Pro 37/H6_03.tif "/>
    <s v=" 2292.7688 "/>
    <s v=" 64.1604 "/>
    <x v="1"/>
    <n v="147105"/>
    <m/>
    <m/>
  </r>
  <r>
    <x v="1"/>
    <x v="8"/>
    <s v=" "/>
    <m/>
    <m/>
    <x v="0"/>
    <m/>
    <m/>
    <m/>
  </r>
  <r>
    <x v="1"/>
    <x v="8"/>
    <s v="group "/>
    <s v=" "/>
    <s v=" mean of mean fluo "/>
    <x v="2"/>
    <s v=" mean of total fluo "/>
    <s v=" SD total fluo "/>
    <s v=" n fluorescent "/>
  </r>
  <r>
    <x v="18"/>
    <x v="9"/>
    <s v="F:\Données chgh\2020-CHG-CZA-Test-2\plaque 2/@18  Testo + Pro 37/ "/>
    <s v=" "/>
    <s v=" 71.3375 "/>
    <x v="20"/>
    <s v=" 2572511.79 "/>
    <s v=" 1391171.52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9"/>
    <x v="0"/>
    <s v="F:\Données chgh\2020-CHG-CZA-Test-2\plaque 2/@19 Testo + Pro 111/A7_01.tif "/>
    <s v=" 32228.543 "/>
    <s v=" 69.5597 "/>
    <x v="1"/>
    <n v="2241809"/>
    <m/>
    <m/>
  </r>
  <r>
    <x v="19"/>
    <x v="0"/>
    <s v="F:\Données chgh\2020-CHG-CZA-Test-2\plaque 2/@19 Testo + Pro 111/A7_02.tif "/>
    <s v=" 21673.1544 "/>
    <s v=" 67.7026 "/>
    <x v="1"/>
    <n v="1467329"/>
    <m/>
    <m/>
  </r>
  <r>
    <x v="19"/>
    <x v="0"/>
    <s v="F:\Données chgh\2020-CHG-CZA-Test-2\plaque 2/@19 Testo + Pro 111/A7_03- exclu.tif"/>
    <m/>
    <m/>
    <x v="0"/>
    <m/>
    <m/>
    <m/>
  </r>
  <r>
    <x v="19"/>
    <x v="1"/>
    <s v="F:\Données chgh\2020-CHG-CZA-Test-2\plaque 2/@19 Testo + Pro 111/B7_01.tif "/>
    <s v=" 27664.6352 "/>
    <s v=" 69.5246 "/>
    <x v="1"/>
    <n v="1923373"/>
    <m/>
    <m/>
  </r>
  <r>
    <x v="19"/>
    <x v="1"/>
    <s v="F:\Données chgh\2020-CHG-CZA-Test-2\plaque 2/@19 Testo + Pro 111/B7_02.tif "/>
    <s v=" 23814.514 "/>
    <s v=" 69.5322 "/>
    <x v="1"/>
    <n v="1655877"/>
    <m/>
    <m/>
  </r>
  <r>
    <x v="19"/>
    <x v="1"/>
    <s v="F:\Données chgh\2020-CHG-CZA-Test-2\plaque 2/@19 Testo + Pro 111/B7_03.tif "/>
    <s v=" 24182.2222 "/>
    <s v=" 69.4401 "/>
    <x v="1"/>
    <n v="1679215"/>
    <m/>
    <m/>
  </r>
  <r>
    <x v="19"/>
    <x v="2"/>
    <s v="F:\Données chgh\2020-CHG-CZA-Test-2\plaque 2/@19 Testo + Pro 111/C7_01.tif "/>
    <s v=" 13843.1326 "/>
    <s v=" 67.0391 "/>
    <x v="1"/>
    <n v="928031"/>
    <m/>
    <m/>
  </r>
  <r>
    <x v="19"/>
    <x v="2"/>
    <s v="F:\Données chgh\2020-CHG-CZA-Test-2\plaque 2/@19 Testo + Pro 111/C7_02.tif "/>
    <s v=" 14816.4778 "/>
    <s v=" 66.5547 "/>
    <x v="1"/>
    <n v="986107"/>
    <m/>
    <m/>
  </r>
  <r>
    <x v="19"/>
    <x v="2"/>
    <s v="F:\Données chgh\2020-CHG-CZA-Test-2\plaque 2/@19 Testo + Pro 111/C7_03.tif "/>
    <s v=" 15660.0437 "/>
    <s v=" 67.4213 "/>
    <x v="1"/>
    <n v="1055820"/>
    <m/>
    <m/>
  </r>
  <r>
    <x v="19"/>
    <x v="3"/>
    <s v="F:\Données chgh\2020-CHG-CZA-Test-2\plaque 2/@19 Testo + Pro 111/D7_01.tif "/>
    <s v=" 54074.7366 "/>
    <s v=" 73.9772 "/>
    <x v="1"/>
    <n v="4000298"/>
    <m/>
    <m/>
  </r>
  <r>
    <x v="19"/>
    <x v="3"/>
    <s v="F:\Données chgh\2020-CHG-CZA-Test-2\plaque 2/@19 Testo + Pro 111/D7_02.tif "/>
    <s v=" 57816.7083 "/>
    <s v=" 74.844 "/>
    <x v="1"/>
    <n v="4327233"/>
    <m/>
    <m/>
  </r>
  <r>
    <x v="19"/>
    <x v="3"/>
    <s v="F:\Données chgh\2020-CHG-CZA-Test-2\plaque 2/@19 Testo + Pro 111/D7_03.tif "/>
    <s v=" 49467.569 "/>
    <s v=" 71.8408 "/>
    <x v="1"/>
    <n v="3553792"/>
    <m/>
    <m/>
  </r>
  <r>
    <x v="19"/>
    <x v="4"/>
    <s v="F:\Données chgh\2020-CHG-CZA-Test-2\plaque 2/@19 Testo + Pro 111/E7_01.tif "/>
    <s v=" 30281.8525 "/>
    <s v=" 69.1536 "/>
    <x v="1"/>
    <n v="2094098"/>
    <m/>
    <m/>
  </r>
  <r>
    <x v="19"/>
    <x v="4"/>
    <s v="F:\Données chgh\2020-CHG-CZA-Test-2\plaque 2/@19 Testo + Pro 111/E7_02.tif "/>
    <s v=" 23987.5531 "/>
    <s v=" 68.1208 "/>
    <x v="1"/>
    <n v="1634052"/>
    <m/>
    <m/>
  </r>
  <r>
    <x v="19"/>
    <x v="4"/>
    <s v="F:\Données chgh\2020-CHG-CZA-Test-2\plaque 2/@19 Testo + Pro 111/E7_03.tif "/>
    <s v=" 24787.8592 "/>
    <s v=" 69.3717 "/>
    <x v="1"/>
    <n v="1719577"/>
    <m/>
    <m/>
  </r>
  <r>
    <x v="19"/>
    <x v="5"/>
    <s v="F:\Données chgh\2020-CHG-CZA-Test-2\plaque 2/@19 Testo + Pro 111/F7_01.tif "/>
    <s v=" 2098.0998 "/>
    <s v=" 65.0825 "/>
    <x v="1"/>
    <n v="136550"/>
    <m/>
    <m/>
  </r>
  <r>
    <x v="19"/>
    <x v="5"/>
    <s v="F:\Données chgh\2020-CHG-CZA-Test-2\plaque 2/@19 Testo + Pro 111/F7_02.tif "/>
    <s v=" 3049.8151 "/>
    <s v=" 66.3404 "/>
    <x v="1"/>
    <n v="202326"/>
    <m/>
    <m/>
  </r>
  <r>
    <x v="19"/>
    <x v="5"/>
    <s v="F:\Données chgh\2020-CHG-CZA-Test-2\plaque 2/@19 Testo + Pro 111/F7_03.tif "/>
    <s v=" 1989.9503 "/>
    <s v=" 63.9891 "/>
    <x v="1"/>
    <n v="127335"/>
    <m/>
    <m/>
  </r>
  <r>
    <x v="19"/>
    <x v="6"/>
    <s v="F:\Données chgh\2020-CHG-CZA-Test-2\plaque 2/@19 Testo + Pro 111/G7_01.tif "/>
    <s v=" 5429.1036 "/>
    <s v=" 72.6175 "/>
    <x v="1"/>
    <n v="394248"/>
    <m/>
    <m/>
  </r>
  <r>
    <x v="19"/>
    <x v="6"/>
    <s v="F:\Données chgh\2020-CHG-CZA-Test-2\plaque 2/@19 Testo + Pro 111/G7_02.tif "/>
    <s v=" 6380.8189 "/>
    <s v=" 68.4746 "/>
    <x v="1"/>
    <n v="436924"/>
    <m/>
    <m/>
  </r>
  <r>
    <x v="19"/>
    <x v="6"/>
    <s v="F:\Données chgh\2020-CHG-CZA-Test-2\plaque 2/@19 Testo + Pro 111/G7_03.tif "/>
    <s v=" 5277.6943 "/>
    <s v=" 70.0738 "/>
    <x v="1"/>
    <n v="369828"/>
    <m/>
    <m/>
  </r>
  <r>
    <x v="19"/>
    <x v="7"/>
    <s v="F:\Données chgh\2020-CHG-CZA-Test-2\plaque 2/@19 Testo + Pro 111/H7_01.tif "/>
    <s v=" 4801.8366 "/>
    <s v=" 63.5901 "/>
    <x v="1"/>
    <n v="305349"/>
    <m/>
    <m/>
  </r>
  <r>
    <x v="19"/>
    <x v="7"/>
    <s v="F:\Données chgh\2020-CHG-CZA-Test-2\plaque 2/@19 Testo + Pro 111/H7_02.tif "/>
    <s v=" 1795.2813 "/>
    <s v=" 63.759 "/>
    <x v="1"/>
    <n v="114465"/>
    <m/>
    <m/>
  </r>
  <r>
    <x v="19"/>
    <x v="7"/>
    <s v="F:\Données chgh\2020-CHG-CZA-Test-2\plaque 2/@19 Testo + Pro 111/H7_03.tif "/>
    <s v=" 4196.1996 "/>
    <s v=" 64.1649 "/>
    <x v="1"/>
    <n v="269249"/>
    <m/>
    <m/>
  </r>
  <r>
    <x v="1"/>
    <x v="8"/>
    <s v=" "/>
    <m/>
    <m/>
    <x v="0"/>
    <m/>
    <m/>
    <m/>
  </r>
  <r>
    <x v="1"/>
    <x v="8"/>
    <s v="group "/>
    <s v=" "/>
    <s v=" mean of mean fluo "/>
    <x v="2"/>
    <s v=" mean of total fluo "/>
    <s v=" SD total fluo "/>
    <s v=" n fluorescent "/>
  </r>
  <r>
    <x v="19"/>
    <x v="9"/>
    <s v="F:\Données chgh\2020-CHG-CZA-Test-2\plaque 2/@19 Testo + Pro 111/ "/>
    <s v=" "/>
    <s v=" 68.2344 "/>
    <x v="21"/>
    <s v=" 1376077.71 "/>
    <s v=" 1216145.74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20"/>
    <x v="0"/>
    <s v="F:\Données chgh\2020-CHG-CZA-Test-2\plaque 2/@20 Testo + Pro 333/A8_01.tif "/>
    <s v=" 3287.744 "/>
    <s v=" 64.2829 "/>
    <x v="1"/>
    <n v="211346"/>
    <m/>
    <m/>
  </r>
  <r>
    <x v="20"/>
    <x v="0"/>
    <s v="F:\Données chgh\2020-CHG-CZA-Test-2\plaque 2/@20 Testo + Pro 333/A8_02.tif "/>
    <s v=" 1038.2349 "/>
    <s v=" 63.5625 "/>
    <x v="1"/>
    <n v="65993"/>
    <m/>
    <m/>
  </r>
  <r>
    <x v="20"/>
    <x v="0"/>
    <s v="F:\Données chgh\2020-CHG-CZA-Test-2\plaque 2/@20 Testo + Pro 333/A8_03.tif "/>
    <s v=" 11355.6947 "/>
    <s v=" 68.9867 "/>
    <x v="1"/>
    <n v="783392"/>
    <m/>
    <m/>
  </r>
  <r>
    <x v="20"/>
    <x v="1"/>
    <s v="F:\Données chgh\2020-CHG-CZA-Test-2\plaque 2/@20 Testo + Pro 333/B8_01.tif "/>
    <s v=" 30606.3009 "/>
    <s v=" 67.1958 "/>
    <x v="1"/>
    <n v="2056614"/>
    <m/>
    <m/>
  </r>
  <r>
    <x v="20"/>
    <x v="1"/>
    <s v="F:\Données chgh\2020-CHG-CZA-Test-2\plaque 2/@20 Testo + Pro 333/B8_02.tif "/>
    <s v=" 23836.1439 "/>
    <s v=" 66.2423 "/>
    <x v="1"/>
    <n v="1578961"/>
    <m/>
    <m/>
  </r>
  <r>
    <x v="20"/>
    <x v="1"/>
    <s v="F:\Données chgh\2020-CHG-CZA-Test-2\plaque 2/@20 Testo + Pro 333/B8_03.tif "/>
    <s v=" 23619.8449 "/>
    <s v=" 65.9002 "/>
    <x v="1"/>
    <n v="1556552"/>
    <m/>
    <m/>
  </r>
  <r>
    <x v="20"/>
    <x v="2"/>
    <s v="F:\Données chgh\2020-CHG-CZA-Test-2\plaque 2/@20 Testo + Pro 333/C8_01- exclu.tif"/>
    <m/>
    <m/>
    <x v="0"/>
    <m/>
    <m/>
    <m/>
  </r>
  <r>
    <x v="20"/>
    <x v="2"/>
    <s v="F:\Données chgh\2020-CHG-CZA-Test-2\plaque 2/@20 Testo + Pro 333/C8_02.tif "/>
    <s v=" 12134.3709 "/>
    <s v=" 68.4777 "/>
    <x v="1"/>
    <n v="830934"/>
    <m/>
    <m/>
  </r>
  <r>
    <x v="20"/>
    <x v="2"/>
    <s v="F:\Données chgh\2020-CHG-CZA-Test-2\plaque 2/@20 Testo + Pro 333/C8_03.tif "/>
    <s v=" 14167.581 "/>
    <s v=" 70.316 "/>
    <x v="1"/>
    <n v="996208"/>
    <m/>
    <m/>
  </r>
  <r>
    <x v="20"/>
    <x v="3"/>
    <s v="F:\Données chgh\2020-CHG-CZA-Test-2\plaque 2/@20 Testo + Pro 333/D8_01.tif "/>
    <s v=" 28573.0908 "/>
    <s v=" 69.134 "/>
    <x v="1"/>
    <n v="1975372"/>
    <m/>
    <m/>
  </r>
  <r>
    <x v="20"/>
    <x v="3"/>
    <s v="F:\Données chgh\2020-CHG-CZA-Test-2\plaque 2/@20 Testo + Pro 333/D8_02.tif "/>
    <s v=" 22559.9801 "/>
    <s v=" 68.6117 "/>
    <x v="1"/>
    <n v="1547879"/>
    <m/>
    <m/>
  </r>
  <r>
    <x v="20"/>
    <x v="3"/>
    <s v="F:\Données chgh\2020-CHG-CZA-Test-2\plaque 2/@20 Testo + Pro 333/D8_03.tif "/>
    <s v=" 23901.0336 "/>
    <s v=" 68.1466 "/>
    <x v="1"/>
    <n v="1628774"/>
    <m/>
    <m/>
  </r>
  <r>
    <x v="20"/>
    <x v="4"/>
    <s v="F:\Données chgh\2020-CHG-CZA-Test-2\plaque 2/@20 Testo + Pro 333/E8_01.tif "/>
    <s v=" 41161.6895 "/>
    <s v=" 69.1618 "/>
    <x v="1"/>
    <n v="2846819"/>
    <m/>
    <m/>
  </r>
  <r>
    <x v="20"/>
    <x v="4"/>
    <s v="F:\Données chgh\2020-CHG-CZA-Test-2\plaque 2/@20 Testo + Pro 333/E8_02.tif "/>
    <s v=" 30909.1194 "/>
    <s v=" 67.3814 "/>
    <x v="1"/>
    <n v="2082699"/>
    <m/>
    <m/>
  </r>
  <r>
    <x v="20"/>
    <x v="4"/>
    <s v="F:\Données chgh\2020-CHG-CZA-Test-2\plaque 2/@20 Testo + Pro 333/E8_03.tif "/>
    <s v=" 38155.1341 "/>
    <s v=" 69.3095 "/>
    <x v="1"/>
    <n v="2644514"/>
    <m/>
    <m/>
  </r>
  <r>
    <x v="20"/>
    <x v="5"/>
    <s v="F:\Données chgh\2020-CHG-CZA-Test-2\plaque 2/@20 Testo + Pro 333/F8_01.tif "/>
    <s v=" 2811.8863 "/>
    <s v=" 66.5769 "/>
    <x v="1"/>
    <n v="187207"/>
    <m/>
    <m/>
  </r>
  <r>
    <x v="20"/>
    <x v="5"/>
    <s v="F:\Données chgh\2020-CHG-CZA-Test-2\plaque 2/@20 Testo + Pro 333/F8_02.tif "/>
    <s v=" 1622.2421 "/>
    <s v=" 66.5067 "/>
    <x v="1"/>
    <n v="107890"/>
    <m/>
    <m/>
  </r>
  <r>
    <x v="20"/>
    <x v="5"/>
    <s v="F:\Données chgh\2020-CHG-CZA-Test-2\plaque 2/@20 Testo + Pro 333/F8_03- exclu.tif"/>
    <m/>
    <m/>
    <x v="0"/>
    <m/>
    <m/>
    <m/>
  </r>
  <r>
    <x v="20"/>
    <x v="6"/>
    <s v="F:\Données chgh\2020-CHG-CZA-Test-2\plaque 2/@20 Testo + Pro 333/G8_01- exclu.tif"/>
    <m/>
    <m/>
    <x v="0"/>
    <m/>
    <m/>
    <m/>
  </r>
  <r>
    <x v="20"/>
    <x v="6"/>
    <s v="F:\Données chgh\2020-CHG-CZA-Test-2\plaque 2/@20 Testo + Pro 333/G8_02.tif "/>
    <s v=" 5083.0252 "/>
    <s v=" 68.8043 "/>
    <x v="1"/>
    <n v="349734"/>
    <m/>
    <m/>
  </r>
  <r>
    <x v="20"/>
    <x v="6"/>
    <s v="F:\Données chgh\2020-CHG-CZA-Test-2\plaque 2/@20 Testo + Pro 333/G8_03.tif "/>
    <s v=" 2054.84 "/>
    <s v=" 64.5474 "/>
    <x v="1"/>
    <n v="132635"/>
    <m/>
    <m/>
  </r>
  <r>
    <x v="20"/>
    <x v="7"/>
    <s v="F:\Données chgh\2020-CHG-CZA-Test-2\plaque 2/@20 Testo + Pro 333/H8_01.tif "/>
    <s v=" 8716.8475 "/>
    <s v=" 68.2581 "/>
    <x v="1"/>
    <n v="594995"/>
    <m/>
    <m/>
  </r>
  <r>
    <x v="20"/>
    <x v="7"/>
    <s v="F:\Données chgh\2020-CHG-CZA-Test-2\plaque 2/@20 Testo + Pro 333/H8_02.tif "/>
    <s v=" 9452.264 "/>
    <s v=" 67.4348 "/>
    <x v="1"/>
    <n v="637411"/>
    <m/>
    <m/>
  </r>
  <r>
    <x v="20"/>
    <x v="7"/>
    <s v="F:\Données chgh\2020-CHG-CZA-Test-2\plaque 2/@20 Testo + Pro 333/H8_03.tif "/>
    <s v=" 11204.2854 "/>
    <s v=" 66.5154 "/>
    <x v="1"/>
    <n v="745258"/>
    <m/>
    <m/>
  </r>
  <r>
    <x v="1"/>
    <x v="8"/>
    <s v=" "/>
    <m/>
    <m/>
    <x v="0"/>
    <m/>
    <m/>
    <m/>
  </r>
  <r>
    <x v="1"/>
    <x v="8"/>
    <s v="group "/>
    <s v=" "/>
    <s v=" mean of mean fluo "/>
    <x v="2"/>
    <s v=" mean of total fluo "/>
    <s v=" SD total fluo "/>
    <s v=" n fluorescent "/>
  </r>
  <r>
    <x v="20"/>
    <x v="9"/>
    <s v="F:\Données chgh\2020-CHG-CZA-Test-2\plaque 2/@20 Testo + Pro 333/ "/>
    <s v=" "/>
    <s v=" 67.7125 "/>
    <x v="22"/>
    <s v=" 1052383.67 "/>
    <s v=" 844910.105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21"/>
    <x v="0"/>
    <s v="F:\Données chgh\2020-CHG-CZA-Test-2\plaque 2/@21 Testo +  Pro 1000/A9_01- exclu.tif"/>
    <m/>
    <m/>
    <x v="0"/>
    <m/>
    <m/>
    <m/>
  </r>
  <r>
    <x v="21"/>
    <x v="0"/>
    <s v="F:\Données chgh\2020-CHG-CZA-Test-2\plaque 2/@21 Testo +  Pro 1000/A9_02.tif "/>
    <s v=" 432.5979 "/>
    <s v=" 66.1 "/>
    <x v="1"/>
    <n v="28595"/>
    <m/>
    <m/>
  </r>
  <r>
    <x v="21"/>
    <x v="0"/>
    <s v="F:\Données chgh\2020-CHG-CZA-Test-2\plaque 2/@21 Testo +  Pro 1000/A9_03.tif "/>
    <s v=" 2833.5162 "/>
    <s v=" 67.7863 "/>
    <x v="1"/>
    <n v="192073"/>
    <m/>
    <m/>
  </r>
  <r>
    <x v="21"/>
    <x v="1"/>
    <s v="F:\Données chgh\2020-CHG-CZA-Test-2\plaque 2/@21 Testo +  Pro 1000/B9_01.tif "/>
    <s v=" 627.2669 "/>
    <s v=" 63.931 "/>
    <x v="1"/>
    <n v="40102"/>
    <m/>
    <m/>
  </r>
  <r>
    <x v="21"/>
    <x v="1"/>
    <s v="F:\Données chgh\2020-CHG-CZA-Test-2\plaque 2/@21 Testo +  Pro 1000/B9_02.tif "/>
    <s v=" 432.5979 "/>
    <s v=" 63.6 "/>
    <x v="1"/>
    <n v="27513"/>
    <m/>
    <m/>
  </r>
  <r>
    <x v="21"/>
    <x v="1"/>
    <s v="F:\Données chgh\2020-CHG-CZA-Test-2\plaque 2/@21 Testo +  Pro 1000/B9_03.tif "/>
    <s v=" 367.7082 "/>
    <s v=" 68.7647 "/>
    <x v="1"/>
    <n v="25285"/>
    <m/>
    <m/>
  </r>
  <r>
    <x v="21"/>
    <x v="2"/>
    <s v="F:\Données chgh\2020-CHG-CZA-Test-2\plaque 2/@21 Testo +  Pro 1000/C9_01.tif "/>
    <s v=" 2573.9575 "/>
    <s v=" 64.0252 "/>
    <x v="1"/>
    <n v="164798"/>
    <m/>
    <m/>
  </r>
  <r>
    <x v="21"/>
    <x v="2"/>
    <s v="F:\Données chgh\2020-CHG-CZA-Test-2\plaque 2/@21 Testo +  Pro 1000/C9_02.tif "/>
    <s v=" 3698.712 "/>
    <s v=" 66.462 "/>
    <x v="1"/>
    <n v="245824"/>
    <m/>
    <m/>
  </r>
  <r>
    <x v="21"/>
    <x v="2"/>
    <s v="F:\Données chgh\2020-CHG-CZA-Test-2\plaque 2/@21 Testo +  Pro 1000/C9_03.tif "/>
    <s v=" 2227.8791 "/>
    <s v=" 66.3786 "/>
    <x v="1"/>
    <n v="147884"/>
    <m/>
    <m/>
  </r>
  <r>
    <x v="21"/>
    <x v="3"/>
    <s v="F:\Données chgh\2020-CHG-CZA-Test-2\plaque 2/@21 Testo +  Pro 1000/D9_01.tif "/>
    <s v=" 4736.9469 "/>
    <s v=" 64.7215 "/>
    <x v="1"/>
    <n v="306582"/>
    <m/>
    <m/>
  </r>
  <r>
    <x v="21"/>
    <x v="3"/>
    <s v="F:\Données chgh\2020-CHG-CZA-Test-2\plaque 2/@21 Testo +  Pro 1000/D9_02.tif "/>
    <s v=" 5472.3633 "/>
    <s v=" 65.4427 "/>
    <x v="1"/>
    <n v="358126"/>
    <m/>
    <m/>
  </r>
  <r>
    <x v="21"/>
    <x v="3"/>
    <s v="F:\Données chgh\2020-CHG-CZA-Test-2\plaque 2/@21 Testo +  Pro 1000/D9_03.tif "/>
    <s v=" 5299.3242 "/>
    <s v=" 64.6939 "/>
    <x v="1"/>
    <n v="342834"/>
    <m/>
    <m/>
  </r>
  <r>
    <x v="21"/>
    <x v="4"/>
    <s v="F:\Données chgh\2020-CHG-CZA-Test-2\plaque 2/@21 Testo +  Pro 1000/E9_01.tif "/>
    <s v=" 3006.5554 "/>
    <s v=" 66.7986 "/>
    <x v="1"/>
    <n v="200834"/>
    <m/>
    <m/>
  </r>
  <r>
    <x v="21"/>
    <x v="4"/>
    <s v="F:\Données chgh\2020-CHG-CZA-Test-2\plaque 2/@21 Testo +  Pro 1000/E9_02.tif "/>
    <s v=" 1752.0215 "/>
    <s v=" 64.9877 "/>
    <x v="1"/>
    <n v="113860"/>
    <m/>
    <m/>
  </r>
  <r>
    <x v="21"/>
    <x v="4"/>
    <s v="F:\Données chgh\2020-CHG-CZA-Test-2\plaque 2/@21 Testo +  Pro 1000/E9_03.tif "/>
    <s v=" 1816.9111 "/>
    <s v=" 63.5595 "/>
    <x v="1"/>
    <n v="115482"/>
    <m/>
    <m/>
  </r>
  <r>
    <x v="21"/>
    <x v="5"/>
    <s v="F:\Données chgh\2020-CHG-CZA-Test-2\plaque 2/@21 Testo +  Pro 1000/F9_01.tif "/>
    <s v=" 2941.6657 "/>
    <s v=" 65.0294 "/>
    <x v="1"/>
    <n v="191295"/>
    <m/>
    <m/>
  </r>
  <r>
    <x v="21"/>
    <x v="5"/>
    <s v="F:\Données chgh\2020-CHG-CZA-Test-2\plaque 2/@21 Testo +  Pro 1000/F9_02.tif "/>
    <s v=" 1600.6122 "/>
    <s v=" 64.3243 "/>
    <x v="1"/>
    <n v="102958"/>
    <m/>
    <m/>
  </r>
  <r>
    <x v="21"/>
    <x v="5"/>
    <s v="F:\Données chgh\2020-CHG-CZA-Test-2\plaque 2/@21 Testo +  Pro 1000/F9_03.tif "/>
    <s v=" 2768.6265 "/>
    <s v=" 65.0312 "/>
    <x v="1"/>
    <n v="180047"/>
    <m/>
    <m/>
  </r>
  <r>
    <x v="21"/>
    <x v="6"/>
    <s v="F:\Données chgh\2020-CHG-CZA-Test-2\plaque 2/@21 Testo +  Pro 1000/G9_01.tif "/>
    <s v=" 2811.8863 "/>
    <s v=" 68.8462 "/>
    <x v="1"/>
    <n v="193588"/>
    <m/>
    <m/>
  </r>
  <r>
    <x v="21"/>
    <x v="6"/>
    <s v="F:\Données chgh\2020-CHG-CZA-Test-2\plaque 2/@21 Testo +  Pro 1000/G9_02.tif "/>
    <s v=" 3482.413 "/>
    <s v=" 66.9814 "/>
    <x v="1"/>
    <n v="233257"/>
    <m/>
    <m/>
  </r>
  <r>
    <x v="21"/>
    <x v="6"/>
    <s v="F:\Données chgh\2020-CHG-CZA-Test-2\plaque 2/@21 Testo +  Pro 1000/G9_03.tif "/>
    <s v=" 2530.6977 "/>
    <s v=" 64.6239 "/>
    <x v="1"/>
    <n v="163544"/>
    <m/>
    <m/>
  </r>
  <r>
    <x v="21"/>
    <x v="7"/>
    <s v="F:\Données chgh\2020-CHG-CZA-Test-2\plaque 2/@21 Testo +  Pro 1000/H9_01.tif "/>
    <s v=" 4499.0181 "/>
    <s v=" 65.9904 "/>
    <x v="1"/>
    <n v="296892"/>
    <m/>
    <m/>
  </r>
  <r>
    <x v="21"/>
    <x v="7"/>
    <s v="F:\Données chgh\2020-CHG-CZA-Test-2\plaque 2/@21 Testo +  Pro 1000/H9_02- exclu.tif"/>
    <m/>
    <m/>
    <x v="0"/>
    <m/>
    <m/>
    <m/>
  </r>
  <r>
    <x v="21"/>
    <x v="7"/>
    <s v="F:\Données chgh\2020-CHG-CZA-Test-2\plaque 2/@21 Testo +  Pro 1000/H9_03- exclu.tif"/>
    <m/>
    <m/>
    <x v="0"/>
    <m/>
    <m/>
    <m/>
  </r>
  <r>
    <x v="1"/>
    <x v="8"/>
    <s v=" "/>
    <m/>
    <m/>
    <x v="0"/>
    <m/>
    <m/>
    <m/>
  </r>
  <r>
    <x v="1"/>
    <x v="8"/>
    <s v="group "/>
    <s v=" "/>
    <s v=" mean of mean fluo "/>
    <x v="2"/>
    <s v=" mean of total fluo "/>
    <s v=" SD total fluo "/>
    <s v=" n fluorescent "/>
  </r>
  <r>
    <x v="21"/>
    <x v="9"/>
    <s v="F:\Données chgh\2020-CHG-CZA-Test-2\plaque 2/@21 Testo +  Pro 1000/ "/>
    <s v=" "/>
    <s v=" 65.4746 "/>
    <x v="23"/>
    <s v=" 161262.583 "/>
    <s v=" 102794.811 "/>
    <n v="24"/>
  </r>
  <r>
    <x v="1"/>
    <x v="8"/>
    <s v=" "/>
    <m/>
    <m/>
    <x v="0"/>
    <m/>
    <m/>
    <m/>
  </r>
  <r>
    <x v="1"/>
    <x v="8"/>
    <s v=" "/>
    <m/>
    <m/>
    <x v="0"/>
    <m/>
    <m/>
    <m/>
  </r>
  <r>
    <x v="1"/>
    <x v="8"/>
    <s v=" "/>
    <m/>
    <m/>
    <x v="0"/>
    <m/>
    <m/>
    <m/>
  </r>
  <r>
    <x v="1"/>
    <x v="8"/>
    <s v=" "/>
    <m/>
    <m/>
    <x v="0"/>
    <m/>
    <m/>
    <m/>
  </r>
  <r>
    <x v="1"/>
    <x v="8"/>
    <s v=" "/>
    <m/>
    <m/>
    <x v="0"/>
    <m/>
    <m/>
    <m/>
  </r>
  <r>
    <x v="1"/>
    <x v="8"/>
    <s v=" "/>
    <m/>
    <m/>
    <x v="0"/>
    <m/>
    <m/>
    <m/>
  </r>
  <r>
    <x v="1"/>
    <x v="8"/>
    <m/>
    <s v=" n total analysed"/>
    <m/>
    <x v="0"/>
    <m/>
    <m/>
    <m/>
  </r>
  <r>
    <x v="1"/>
    <x v="8"/>
    <m/>
    <n v="504"/>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Données chgh\2020-CHG-CZA-Test-3\plaque 1/@01 TS/A1_01.tif "/>
    <s v=" 908.4556 "/>
    <s v=" 64.4762 "/>
    <x v="0"/>
    <n v="58574"/>
    <m/>
    <m/>
  </r>
  <r>
    <x v="0"/>
    <x v="0"/>
    <s v="F:\Données chgh\2020-CHG-CZA-Test-3\plaque 1/@01 TS/A1_02.tif "/>
    <s v=" 8349.1393 "/>
    <s v=" 68.9611 "/>
    <x v="0"/>
    <n v="575766"/>
    <m/>
    <m/>
  </r>
  <r>
    <x v="0"/>
    <x v="0"/>
    <s v="F:\Données chgh\2020-CHG-CZA-Test-3\plaque 1/@01 TS/A1_03.tif "/>
    <s v=" 7743.5023 "/>
    <s v=" 69.8687 "/>
    <x v="0"/>
    <n v="541029"/>
    <m/>
    <m/>
  </r>
  <r>
    <x v="0"/>
    <x v="1"/>
    <s v="F:\Données chgh\2020-CHG-CZA-Test-3\plaque 1/@01 TS/B1_01.tif "/>
    <s v=" 519.1175 "/>
    <s v=" 65.5833 "/>
    <x v="0"/>
    <n v="34045"/>
    <m/>
    <m/>
  </r>
  <r>
    <x v="0"/>
    <x v="1"/>
    <s v="F:\Données chgh\2020-CHG-CZA-Test-3\plaque 1/@01 TS/B1_02.tif "/>
    <s v=" 108.1495 "/>
    <s v=" 64.6 "/>
    <x v="0"/>
    <n v="6986"/>
    <m/>
    <m/>
  </r>
  <r>
    <x v="0"/>
    <x v="1"/>
    <s v="F:\Données chgh\2020-CHG-CZA-Test-3\plaque 1/@01 TS/B1_03.tif "/>
    <s v=" 129.7794 "/>
    <s v=" 65.1667 "/>
    <x v="0"/>
    <n v="8457"/>
    <m/>
    <m/>
  </r>
  <r>
    <x v="0"/>
    <x v="2"/>
    <s v="F:\Données chgh\2020-CHG-CZA-Test-3\plaque 1/@01 TS/C1_01.tif "/>
    <s v=" 2833.5162 "/>
    <s v=" 67.9542 "/>
    <x v="0"/>
    <n v="192549"/>
    <m/>
    <m/>
  </r>
  <r>
    <x v="0"/>
    <x v="2"/>
    <s v="F:\Données chgh\2020-CHG-CZA-Test-3\plaque 1/@01 TS/C1_02.tif "/>
    <s v=" 3806.8615 "/>
    <s v=" 72.3011 "/>
    <x v="0"/>
    <n v="275240"/>
    <m/>
    <m/>
  </r>
  <r>
    <x v="0"/>
    <x v="2"/>
    <s v="F:\Données chgh\2020-CHG-CZA-Test-3\plaque 1/@01 TS/C1_03.tif "/>
    <s v=" 4304.349 "/>
    <n v="72"/>
    <x v="0"/>
    <n v="309913"/>
    <m/>
    <m/>
  </r>
  <r>
    <x v="0"/>
    <x v="3"/>
    <s v="F:\Données chgh\2020-CHG-CZA-Test-3\plaque 1/@01 TS/D1_01- exclu.tif"/>
    <m/>
    <m/>
    <x v="1"/>
    <m/>
    <m/>
    <m/>
  </r>
  <r>
    <x v="0"/>
    <x v="3"/>
    <s v="F:\Données chgh\2020-CHG-CZA-Test-3\plaque 1/@01 TS/D1_02.tif "/>
    <s v=" 4736.9469 "/>
    <s v=" 69.3242 "/>
    <x v="0"/>
    <n v="328385"/>
    <m/>
    <m/>
  </r>
  <r>
    <x v="0"/>
    <x v="3"/>
    <s v="F:\Données chgh\2020-CHG-CZA-Test-3\plaque 1/@01 TS/D1_03- exclu.tif"/>
    <m/>
    <m/>
    <x v="1"/>
    <m/>
    <m/>
    <m/>
  </r>
  <r>
    <x v="0"/>
    <x v="4"/>
    <s v="F:\Données chgh\2020-CHG-CZA-Test-3\plaque 1/@01 TS/E1_01.tif "/>
    <s v=" 6164.52 "/>
    <s v=" 74.5404 "/>
    <x v="0"/>
    <n v="459505"/>
    <m/>
    <m/>
  </r>
  <r>
    <x v="0"/>
    <x v="4"/>
    <s v="F:\Données chgh\2020-CHG-CZA-Test-3\plaque 1/@01 TS/E1_02.tif "/>
    <s v=" 8349.1393 "/>
    <s v=" 71.7383 "/>
    <x v="0"/>
    <n v="598953"/>
    <m/>
    <m/>
  </r>
  <r>
    <x v="0"/>
    <x v="4"/>
    <s v="F:\Données chgh\2020-CHG-CZA-Test-3\plaque 1/@01 TS/E1_03.tif "/>
    <s v=" 5385.8438 "/>
    <s v=" 75.6787 "/>
    <x v="0"/>
    <n v="407594"/>
    <m/>
    <m/>
  </r>
  <r>
    <x v="0"/>
    <x v="5"/>
    <s v="F:\Données chgh\2020-CHG-CZA-Test-3\plaque 1/@01 TS/F1_01.tif "/>
    <s v=" 10814.9473 "/>
    <s v=" 78.104 "/>
    <x v="0"/>
    <n v="844691"/>
    <m/>
    <m/>
  </r>
  <r>
    <x v="0"/>
    <x v="5"/>
    <s v="F:\Données chgh\2020-CHG-CZA-Test-3\plaque 1/@01 TS/F1_02- exclu.tif"/>
    <m/>
    <m/>
    <x v="1"/>
    <m/>
    <m/>
    <m/>
  </r>
  <r>
    <x v="0"/>
    <x v="5"/>
    <s v="F:\Données chgh\2020-CHG-CZA-Test-3\plaque 1/@01 TS/F1_03.tif "/>
    <s v=" 13778.2429 "/>
    <s v=" 72.6452 "/>
    <x v="0"/>
    <n v="1000923"/>
    <m/>
    <m/>
  </r>
  <r>
    <x v="0"/>
    <x v="6"/>
    <s v="F:\Données chgh\2020-CHG-CZA-Test-3\plaque 1/@01 TS/G1_01.tif "/>
    <s v=" 5602.1427 "/>
    <s v=" 69.1853 "/>
    <x v="0"/>
    <n v="387586"/>
    <m/>
    <m/>
  </r>
  <r>
    <x v="0"/>
    <x v="6"/>
    <s v="F:\Données chgh\2020-CHG-CZA-Test-3\plaque 1/@01 TS/G1_02.tif "/>
    <s v=" 5623.7726 "/>
    <s v=" 69.5692 "/>
    <x v="0"/>
    <n v="391242"/>
    <m/>
    <m/>
  </r>
  <r>
    <x v="0"/>
    <x v="6"/>
    <s v="F:\Données chgh\2020-CHG-CZA-Test-3\plaque 1/@01 TS/G1_03- exclu.tif"/>
    <m/>
    <m/>
    <x v="1"/>
    <m/>
    <m/>
    <m/>
  </r>
  <r>
    <x v="0"/>
    <x v="7"/>
    <s v="F:\Données chgh\2020-CHG-CZA-Test-3\plaque 1/@01 TS/H1_01.tif "/>
    <s v=" 1514.0926 "/>
    <s v=" 65.5714 "/>
    <x v="0"/>
    <n v="99281"/>
    <m/>
    <m/>
  </r>
  <r>
    <x v="0"/>
    <x v="7"/>
    <s v="F:\Données chgh\2020-CHG-CZA-Test-3\plaque 1/@01 TS/H1_02.tif "/>
    <s v=" 324.4484 "/>
    <s v=" 64.2 "/>
    <x v="0"/>
    <n v="20830"/>
    <m/>
    <m/>
  </r>
  <r>
    <x v="0"/>
    <x v="7"/>
    <s v="F:\Données chgh\2020-CHG-CZA-Test-3\plaque 1/@01 TS/H1_03.tif "/>
    <s v=" 4434.1284 "/>
    <s v=" 67.122 "/>
    <x v="0"/>
    <n v="297627"/>
    <m/>
    <m/>
  </r>
  <r>
    <x v="1"/>
    <x v="8"/>
    <s v=" "/>
    <m/>
    <m/>
    <x v="1"/>
    <m/>
    <m/>
    <m/>
  </r>
  <r>
    <x v="1"/>
    <x v="8"/>
    <s v="group "/>
    <s v=" "/>
    <s v=" mean of mean fluo "/>
    <x v="2"/>
    <s v=" mean of total fluo "/>
    <s v=" SD total fluo "/>
    <s v=" n fluorescent "/>
  </r>
  <r>
    <x v="0"/>
    <x v="9"/>
    <s v="F:\Données chgh\2020-CHG-CZA-Test-3\plaque 1/@01 TS/ "/>
    <s v=" "/>
    <s v=" 69.0017 "/>
    <x v="3"/>
    <s v=" 336906.25 "/>
    <s v=" 331610.90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
    <x v="0"/>
    <s v="F:\Données chgh\2020-CHG-CZA-Test-3\plaque 1/@02 EE2 34/A2_01.tif "/>
    <s v=" 2314.3987 "/>
    <s v=" 65.7196 "/>
    <x v="0"/>
    <n v="152101"/>
    <m/>
    <m/>
  </r>
  <r>
    <x v="2"/>
    <x v="0"/>
    <s v="F:\Données chgh\2020-CHG-CZA-Test-3\plaque 1/@02 EE2 34/A2_02.tif "/>
    <s v=" 670.5267 "/>
    <n v="63"/>
    <x v="0"/>
    <n v="42243"/>
    <m/>
    <m/>
  </r>
  <r>
    <x v="2"/>
    <x v="0"/>
    <s v="F:\Données chgh\2020-CHG-CZA-Test-3\plaque 1/@02 EE2 34/A2_03.tif "/>
    <s v=" 1838.541 "/>
    <s v=" 63.7529 "/>
    <x v="0"/>
    <n v="117212"/>
    <m/>
    <m/>
  </r>
  <r>
    <x v="2"/>
    <x v="1"/>
    <s v="F:\Données chgh\2020-CHG-CZA-Test-3\plaque 1/@02 EE2 34/B2_01.tif "/>
    <s v=" 4563.9078 "/>
    <s v=" 67.9953 "/>
    <x v="0"/>
    <n v="310324"/>
    <m/>
    <m/>
  </r>
  <r>
    <x v="2"/>
    <x v="1"/>
    <s v="F:\Données chgh\2020-CHG-CZA-Test-3\plaque 1/@02 EE2 34/B2_02.tif "/>
    <s v=" 4412.4985 "/>
    <s v=" 65.951 "/>
    <x v="0"/>
    <n v="291009"/>
    <m/>
    <m/>
  </r>
  <r>
    <x v="2"/>
    <x v="1"/>
    <s v="F:\Données chgh\2020-CHG-CZA-Test-3\plaque 1/@02 EE2 34/B2_03.tif "/>
    <s v=" 5667.0324 "/>
    <s v=" 67.1527 "/>
    <x v="0"/>
    <n v="380556"/>
    <m/>
    <m/>
  </r>
  <r>
    <x v="2"/>
    <x v="2"/>
    <s v="F:\Données chgh\2020-CHG-CZA-Test-3\plaque 1/@02 EE2 34/C2_01.tif "/>
    <s v=" 1665.5019 "/>
    <s v=" 64.7922 "/>
    <x v="0"/>
    <n v="107912"/>
    <m/>
    <m/>
  </r>
  <r>
    <x v="2"/>
    <x v="2"/>
    <s v="F:\Données chgh\2020-CHG-CZA-Test-3\plaque 1/@02 EE2 34/C2_02.tif "/>
    <s v=" 2984.9255 "/>
    <s v=" 64.5072 "/>
    <x v="0"/>
    <n v="192549"/>
    <m/>
    <m/>
  </r>
  <r>
    <x v="2"/>
    <x v="2"/>
    <s v="F:\Données chgh\2020-CHG-CZA-Test-3\plaque 1/@02 EE2 34/C2_03.tif "/>
    <s v=" 800.3061 "/>
    <s v=" 64.027 "/>
    <x v="0"/>
    <n v="51241"/>
    <m/>
    <m/>
  </r>
  <r>
    <x v="2"/>
    <x v="3"/>
    <s v="F:\Données chgh\2020-CHG-CZA-Test-3\plaque 1/@02 EE2 34/D2_01.tif "/>
    <s v=" 36424.7426 "/>
    <s v=" 68.1324 "/>
    <x v="0"/>
    <n v="2481706"/>
    <m/>
    <m/>
  </r>
  <r>
    <x v="2"/>
    <x v="3"/>
    <s v="F:\Données chgh\2020-CHG-CZA-Test-3\plaque 1/@02 EE2 34/D2_02.tif "/>
    <s v=" 30216.9628 "/>
    <s v=" 66.8597 "/>
    <x v="0"/>
    <n v="2020297"/>
    <m/>
    <m/>
  </r>
  <r>
    <x v="2"/>
    <x v="3"/>
    <s v="F:\Données chgh\2020-CHG-CZA-Test-3\plaque 1/@02 EE2 34/D2_03.tif "/>
    <s v=" 28378.4218 "/>
    <s v=" 67.282 "/>
    <x v="0"/>
    <n v="1909357"/>
    <m/>
    <m/>
  </r>
  <r>
    <x v="2"/>
    <x v="4"/>
    <s v="F:\Données chgh\2020-CHG-CZA-Test-3\plaque 1/@02 EE2 34/E2_01.tif "/>
    <s v=" 2487.4379 "/>
    <s v=" 68.113 "/>
    <x v="0"/>
    <n v="169427"/>
    <m/>
    <m/>
  </r>
  <r>
    <x v="2"/>
    <x v="4"/>
    <s v="F:\Données chgh\2020-CHG-CZA-Test-3\plaque 1/@02 EE2 34/E2_02.tif "/>
    <s v=" 800.3061 "/>
    <s v=" 63.5405 "/>
    <x v="0"/>
    <n v="50852"/>
    <m/>
    <m/>
  </r>
  <r>
    <x v="2"/>
    <x v="4"/>
    <s v="F:\Données chgh\2020-CHG-CZA-Test-3\plaque 1/@02 EE2 34/E2_03- exclu.tif"/>
    <m/>
    <m/>
    <x v="1"/>
    <m/>
    <m/>
    <m/>
  </r>
  <r>
    <x v="2"/>
    <x v="5"/>
    <s v="F:\Données chgh\2020-CHG-CZA-Test-3\plaque 1/@02 EE2 34/F2_01.tif "/>
    <s v=" 7656.9827 "/>
    <s v=" 71.1045 "/>
    <x v="0"/>
    <n v="544446"/>
    <m/>
    <m/>
  </r>
  <r>
    <x v="2"/>
    <x v="5"/>
    <s v="F:\Données chgh\2020-CHG-CZA-Test-3\plaque 1/@02 EE2 34/F2_02.tif "/>
    <s v=" 7548.8332 "/>
    <s v=" 69.4556 "/>
    <x v="0"/>
    <n v="524309"/>
    <m/>
    <m/>
  </r>
  <r>
    <x v="2"/>
    <x v="5"/>
    <s v="F:\Données chgh\2020-CHG-CZA-Test-3\plaque 1/@02 EE2 34/F2_03- exclu.tif"/>
    <m/>
    <m/>
    <x v="1"/>
    <m/>
    <m/>
    <m/>
  </r>
  <r>
    <x v="2"/>
    <x v="6"/>
    <s v="F:\Données chgh\2020-CHG-CZA-Test-3\plaque 1/@02 EE2 34/G2_01.tif "/>
    <s v=" 6402.4488 "/>
    <s v=" 77.8378 "/>
    <x v="0"/>
    <n v="498353"/>
    <m/>
    <m/>
  </r>
  <r>
    <x v="2"/>
    <x v="6"/>
    <s v="F:\Données chgh\2020-CHG-CZA-Test-3\plaque 1/@02 EE2 34/G2_02.tif "/>
    <s v=" 6488.9684 "/>
    <s v=" 77.57 "/>
    <x v="0"/>
    <n v="503349"/>
    <m/>
    <m/>
  </r>
  <r>
    <x v="2"/>
    <x v="6"/>
    <s v="F:\Données chgh\2020-CHG-CZA-Test-3\plaque 1/@02 EE2 34/G2_03.tif "/>
    <s v=" 778.6762 "/>
    <s v=" 64.25 "/>
    <x v="0"/>
    <n v="50030"/>
    <m/>
    <m/>
  </r>
  <r>
    <x v="2"/>
    <x v="7"/>
    <s v="F:\Données chgh\2020-CHG-CZA-Test-3\plaque 1/@02 EE2 34/H2_01.tif "/>
    <s v=" 6337.5591 "/>
    <s v=" 67.0034 "/>
    <x v="0"/>
    <n v="424638"/>
    <m/>
    <m/>
  </r>
  <r>
    <x v="2"/>
    <x v="7"/>
    <s v="F:\Données chgh\2020-CHG-CZA-Test-3\plaque 1/@02 EE2 34/H2_02.tif "/>
    <s v=" 670.5267 "/>
    <s v=" 63.8387 "/>
    <x v="0"/>
    <n v="42806"/>
    <m/>
    <m/>
  </r>
  <r>
    <x v="2"/>
    <x v="7"/>
    <s v="F:\Données chgh\2020-CHG-CZA-Test-3\plaque 1/@02 EE2 34/H2_03.tif "/>
    <s v=" 281.1886 "/>
    <s v=" 61.0769 "/>
    <x v="0"/>
    <n v="17174"/>
    <m/>
    <m/>
  </r>
  <r>
    <x v="1"/>
    <x v="8"/>
    <s v=" "/>
    <m/>
    <m/>
    <x v="1"/>
    <m/>
    <m/>
    <m/>
  </r>
  <r>
    <x v="1"/>
    <x v="8"/>
    <s v="group "/>
    <s v=" "/>
    <s v=" mean of mean fluo "/>
    <x v="2"/>
    <s v=" mean of total fluo "/>
    <s v=" SD total fluo "/>
    <s v=" n fluorescent "/>
  </r>
  <r>
    <x v="2"/>
    <x v="9"/>
    <s v="F:\Données chgh\2020-CHG-CZA-Test-3\plaque 1/@02 EE2 34/ "/>
    <s v=" "/>
    <s v=" 66.6403 "/>
    <x v="4"/>
    <s v=" 455060.5 "/>
    <s v=" 679583.30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3"/>
    <x v="0"/>
    <s v="F:\Données chgh\2020-CHG-CZA-Test-3\plaque 1/@03 EE2 51/A3_01- exclu.tif"/>
    <m/>
    <m/>
    <x v="1"/>
    <m/>
    <m/>
    <m/>
  </r>
  <r>
    <x v="3"/>
    <x v="0"/>
    <s v="F:\Données chgh\2020-CHG-CZA-Test-3\plaque 1/@03 EE2 51/A3_02.tif "/>
    <s v=" 2833.5162 "/>
    <s v=" 64.2824 "/>
    <x v="0"/>
    <n v="182145"/>
    <m/>
    <m/>
  </r>
  <r>
    <x v="3"/>
    <x v="0"/>
    <s v="F:\Données chgh\2020-CHG-CZA-Test-3\plaque 1/@03 EE2 51/A3_03.tif "/>
    <s v=" 1816.9111 "/>
    <s v=" 62.7024 "/>
    <x v="0"/>
    <n v="113925"/>
    <m/>
    <m/>
  </r>
  <r>
    <x v="3"/>
    <x v="1"/>
    <s v="F:\Données chgh\2020-CHG-CZA-Test-3\plaque 1/@03 EE2 51/B3_01.tif "/>
    <s v=" 4801.8366 "/>
    <s v=" 67.1351 "/>
    <x v="0"/>
    <n v="322372"/>
    <m/>
    <m/>
  </r>
  <r>
    <x v="3"/>
    <x v="1"/>
    <s v="F:\Données chgh\2020-CHG-CZA-Test-3\plaque 1/@03 EE2 51/B3_02.tif "/>
    <s v=" 3309.3739 "/>
    <s v=" 63.9608 "/>
    <x v="0"/>
    <n v="211670"/>
    <m/>
    <m/>
  </r>
  <r>
    <x v="3"/>
    <x v="1"/>
    <s v="F:\Données chgh\2020-CHG-CZA-Test-3\plaque 1/@03 EE2 51/B3_03.tif "/>
    <s v=" 757.0463 "/>
    <s v=" 63.1714 "/>
    <x v="0"/>
    <n v="47824"/>
    <m/>
    <m/>
  </r>
  <r>
    <x v="3"/>
    <x v="2"/>
    <s v="F:\Données chgh\2020-CHG-CZA-Test-3\plaque 1/@03 EE2 51/C3_01.tif "/>
    <s v=" 6142.8901 "/>
    <s v=" 68.7077 "/>
    <x v="0"/>
    <n v="422064"/>
    <m/>
    <m/>
  </r>
  <r>
    <x v="3"/>
    <x v="2"/>
    <s v="F:\Données chgh\2020-CHG-CZA-Test-3\plaque 1/@03 EE2 51/C3_02.tif "/>
    <s v=" 4282.7191 "/>
    <s v=" 65.904 "/>
    <x v="0"/>
    <n v="282248"/>
    <m/>
    <m/>
  </r>
  <r>
    <x v="3"/>
    <x v="2"/>
    <s v="F:\Données chgh\2020-CHG-CZA-Test-3\plaque 1/@03 EE2 51/C3_03.tif "/>
    <s v=" 6899.9364 "/>
    <s v=" 67.7649 "/>
    <x v="0"/>
    <n v="467573"/>
    <m/>
    <m/>
  </r>
  <r>
    <x v="3"/>
    <x v="3"/>
    <s v="F:\Données chgh\2020-CHG-CZA-Test-3\plaque 1/@03 EE2 51/D3_01.tif "/>
    <s v=" 4736.9469 "/>
    <s v=" 69.9817 "/>
    <x v="0"/>
    <n v="331500"/>
    <m/>
    <m/>
  </r>
  <r>
    <x v="3"/>
    <x v="3"/>
    <s v="F:\Données chgh\2020-CHG-CZA-Test-3\plaque 1/@03 EE2 51/D3_02.tif "/>
    <s v=" 4455.7583 "/>
    <s v=" 67.9369 "/>
    <x v="0"/>
    <n v="302710"/>
    <m/>
    <m/>
  </r>
  <r>
    <x v="3"/>
    <x v="3"/>
    <s v="F:\Données chgh\2020-CHG-CZA-Test-3\plaque 1/@03 EE2 51/D3_03.tif "/>
    <s v=" 2487.4379 "/>
    <s v=" 66.313 "/>
    <x v="0"/>
    <n v="164950"/>
    <m/>
    <m/>
  </r>
  <r>
    <x v="3"/>
    <x v="4"/>
    <s v="F:\Données chgh\2020-CHG-CZA-Test-3\plaque 1/@03 EE2 51/E3_01.tif "/>
    <s v=" 6402.4488 "/>
    <s v=" 67.3412 "/>
    <x v="0"/>
    <n v="431149"/>
    <m/>
    <m/>
  </r>
  <r>
    <x v="3"/>
    <x v="4"/>
    <s v="F:\Données chgh\2020-CHG-CZA-Test-3\plaque 1/@03 EE2 51/E3_02.tif "/>
    <s v=" 8305.8795 "/>
    <s v=" 67.6432 "/>
    <x v="0"/>
    <n v="561837"/>
    <m/>
    <m/>
  </r>
  <r>
    <x v="3"/>
    <x v="4"/>
    <s v="F:\Données chgh\2020-CHG-CZA-Test-3\plaque 1/@03 EE2 51/E3_03.tif "/>
    <s v=" 2249.509 "/>
    <s v=" 63.6346 "/>
    <x v="0"/>
    <n v="143147"/>
    <m/>
    <m/>
  </r>
  <r>
    <x v="3"/>
    <x v="5"/>
    <s v="F:\Données chgh\2020-CHG-CZA-Test-3\plaque 1/@03 EE2 51/F3_01.tif "/>
    <s v=" 3850.1212 "/>
    <s v=" 66.5674 "/>
    <x v="0"/>
    <n v="256293"/>
    <m/>
    <m/>
  </r>
  <r>
    <x v="3"/>
    <x v="5"/>
    <s v="F:\Données chgh\2020-CHG-CZA-Test-3\plaque 1/@03 EE2 51/F3_02.tif "/>
    <s v=" 4390.8686 "/>
    <s v=" 68.0443 "/>
    <x v="0"/>
    <n v="298774"/>
    <m/>
    <m/>
  </r>
  <r>
    <x v="3"/>
    <x v="5"/>
    <s v="F:\Données chgh\2020-CHG-CZA-Test-3\plaque 1/@03 EE2 51/F3_03.tif "/>
    <s v=" 4304.349 "/>
    <s v=" 68.9849 "/>
    <x v="0"/>
    <n v="296935"/>
    <m/>
    <m/>
  </r>
  <r>
    <x v="3"/>
    <x v="6"/>
    <s v="F:\Données chgh\2020-CHG-CZA-Test-3\plaque 1/@03 EE2 51/G3_01.tif "/>
    <s v=" 8046.3208 "/>
    <s v=" 77.1747 "/>
    <x v="0"/>
    <n v="620973"/>
    <m/>
    <m/>
  </r>
  <r>
    <x v="3"/>
    <x v="6"/>
    <s v="F:\Données chgh\2020-CHG-CZA-Test-3\plaque 1/@03 EE2 51/G3_02.tif "/>
    <s v=" 367.7082 "/>
    <s v=" 65.9412 "/>
    <x v="0"/>
    <n v="24247"/>
    <m/>
    <m/>
  </r>
  <r>
    <x v="3"/>
    <x v="6"/>
    <s v="F:\Données chgh\2020-CHG-CZA-Test-3\plaque 1/@03 EE2 51/G3_03.tif "/>
    <s v=" 2141.3596 "/>
    <s v=" 64.3737 "/>
    <x v="0"/>
    <n v="137847"/>
    <m/>
    <m/>
  </r>
  <r>
    <x v="3"/>
    <x v="7"/>
    <s v="F:\Données chgh\2020-CHG-CZA-Test-3\plaque 1/@03 EE2 51/H3_01.tif "/>
    <s v=" 605.637 "/>
    <s v=" 66.1071 "/>
    <x v="0"/>
    <n v="40037"/>
    <m/>
    <m/>
  </r>
  <r>
    <x v="3"/>
    <x v="7"/>
    <s v="F:\Données chgh\2020-CHG-CZA-Test-3\plaque 1/@03 EE2 51/H3_02.tif "/>
    <s v=" 2249.509 "/>
    <s v=" 67.6154 "/>
    <x v="0"/>
    <n v="152101"/>
    <m/>
    <m/>
  </r>
  <r>
    <x v="3"/>
    <x v="7"/>
    <s v="F:\Données chgh\2020-CHG-CZA-Test-3\plaque 1/@03 EE2 51/H3_03.tif "/>
    <s v=" 1232.904 "/>
    <s v=" 65.6491 "/>
    <x v="0"/>
    <n v="80939"/>
    <m/>
    <m/>
  </r>
  <r>
    <x v="1"/>
    <x v="8"/>
    <s v=" "/>
    <m/>
    <m/>
    <x v="1"/>
    <m/>
    <m/>
    <m/>
  </r>
  <r>
    <x v="1"/>
    <x v="8"/>
    <s v="group "/>
    <s v=" "/>
    <s v=" mean of mean fluo "/>
    <x v="2"/>
    <s v=" mean of total fluo "/>
    <s v=" SD total fluo "/>
    <s v=" n fluorescent "/>
  </r>
  <r>
    <x v="3"/>
    <x v="9"/>
    <s v="F:\Données chgh\2020-CHG-CZA-Test-3\plaque 1/@03 EE2 51/ "/>
    <s v=" "/>
    <s v=" 66.7051 "/>
    <x v="5"/>
    <s v=" 249473.833 "/>
    <s v=" 164071.22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4"/>
    <x v="0"/>
    <s v="F:\Données chgh\2020-CHG-CZA-Test-3\plaque 1/@04 EE2 76/A4_01.tif "/>
    <s v=" 15422.1149 "/>
    <s v=" 64.5975 "/>
    <x v="0"/>
    <n v="996230"/>
    <m/>
    <m/>
  </r>
  <r>
    <x v="4"/>
    <x v="0"/>
    <s v="F:\Données chgh\2020-CHG-CZA-Test-3\plaque 1/@04 EE2 76/A4_02.tif "/>
    <s v=" 13821.5027 "/>
    <s v=" 65.2723 "/>
    <x v="0"/>
    <n v="902161"/>
    <m/>
    <m/>
  </r>
  <r>
    <x v="4"/>
    <x v="0"/>
    <s v="F:\Données chgh\2020-CHG-CZA-Test-3\plaque 1/@04 EE2 76/A4_03.tif "/>
    <s v=" 18818.0083 "/>
    <s v=" 66.1839 "/>
    <x v="0"/>
    <n v="1245449"/>
    <m/>
    <m/>
  </r>
  <r>
    <x v="4"/>
    <x v="1"/>
    <s v="F:\Données chgh\2020-CHG-CZA-Test-3\plaque 1/@04 EE2 76/B4_01.tif "/>
    <s v=" 29351.767 "/>
    <s v=" 67.0464 "/>
    <x v="0"/>
    <n v="1967931"/>
    <m/>
    <m/>
  </r>
  <r>
    <x v="4"/>
    <x v="1"/>
    <s v="F:\Données chgh\2020-CHG-CZA-Test-3\plaque 1/@04 EE2 76/B4_02.tif "/>
    <s v=" 26107.2828 "/>
    <s v=" 66.5576 "/>
    <x v="0"/>
    <n v="1737638"/>
    <m/>
    <m/>
  </r>
  <r>
    <x v="4"/>
    <x v="1"/>
    <s v="F:\Données chgh\2020-CHG-CZA-Test-3\plaque 1/@04 EE2 76/B4_03.tif "/>
    <s v=" 20223.9515 "/>
    <s v=" 65.4364 "/>
    <x v="0"/>
    <n v="1323382"/>
    <m/>
    <m/>
  </r>
  <r>
    <x v="4"/>
    <x v="2"/>
    <s v="F:\Données chgh\2020-CHG-CZA-Test-3\plaque 1/@04 EE2 76/C4_01.tif "/>
    <s v=" 8630.328 "/>
    <s v=" 65.2481 "/>
    <x v="0"/>
    <n v="563113"/>
    <m/>
    <m/>
  </r>
  <r>
    <x v="4"/>
    <x v="2"/>
    <s v="F:\Données chgh\2020-CHG-CZA-Test-3\plaque 1/@04 EE2 76/C4_02.tif "/>
    <s v=" 22841.1687 "/>
    <s v=" 69.4413 "/>
    <x v="0"/>
    <n v="1586120"/>
    <m/>
    <m/>
  </r>
  <r>
    <x v="4"/>
    <x v="2"/>
    <s v="F:\Données chgh\2020-CHG-CZA-Test-3\plaque 1/@04 EE2 76/C4_03.tif "/>
    <s v=" 7202.7549 "/>
    <s v=" 63.7958 "/>
    <x v="0"/>
    <n v="459505"/>
    <m/>
    <m/>
  </r>
  <r>
    <x v="4"/>
    <x v="3"/>
    <s v="F:\Données chgh\2020-CHG-CZA-Test-3\plaque 1/@04 EE2 76/D4_01.tif "/>
    <s v=" 3331.0038 "/>
    <s v=" 64.461 "/>
    <x v="0"/>
    <n v="214720"/>
    <m/>
    <m/>
  </r>
  <r>
    <x v="4"/>
    <x v="3"/>
    <s v="F:\Données chgh\2020-CHG-CZA-Test-3\plaque 1/@04 EE2 76/D4_02.tif "/>
    <s v=" 3655.4522 "/>
    <s v=" 65.2899 "/>
    <x v="0"/>
    <n v="238664"/>
    <m/>
    <m/>
  </r>
  <r>
    <x v="4"/>
    <x v="3"/>
    <s v="F:\Données chgh\2020-CHG-CZA-Test-3\plaque 1/@04 EE2 76/D4_03.tif "/>
    <s v=" 3266.1141 "/>
    <s v=" 64.5695 "/>
    <x v="0"/>
    <n v="210891"/>
    <m/>
    <m/>
  </r>
  <r>
    <x v="4"/>
    <x v="4"/>
    <s v="F:\Données chgh\2020-CHG-CZA-Test-3\plaque 1/@04 EE2 76/E4_01.tif "/>
    <s v=" 23727.9944 "/>
    <s v=" 65.4886 "/>
    <x v="0"/>
    <n v="1553913"/>
    <m/>
    <m/>
  </r>
  <r>
    <x v="4"/>
    <x v="4"/>
    <s v="F:\Données chgh\2020-CHG-CZA-Test-3\plaque 1/@04 EE2 76/E4_02.tif "/>
    <s v=" 19012.6774 "/>
    <s v=" 65.2787 "/>
    <x v="0"/>
    <n v="1241123"/>
    <m/>
    <m/>
  </r>
  <r>
    <x v="4"/>
    <x v="4"/>
    <s v="F:\Données chgh\2020-CHG-CZA-Test-3\plaque 1/@04 EE2 76/E4_03.tif "/>
    <s v=" 19293.866 "/>
    <s v=" 65.1424 "/>
    <x v="0"/>
    <n v="1256848"/>
    <m/>
    <m/>
  </r>
  <r>
    <x v="4"/>
    <x v="5"/>
    <s v="F:\Données chgh\2020-CHG-CZA-Test-3\plaque 1/@04 EE2 76/F4_01.tif "/>
    <s v=" 20029.2824 "/>
    <s v=" 75.3272 "/>
    <x v="0"/>
    <n v="1508750"/>
    <m/>
    <m/>
  </r>
  <r>
    <x v="4"/>
    <x v="5"/>
    <s v="F:\Données chgh\2020-CHG-CZA-Test-3\plaque 1/@04 EE2 76/F4_02.tif "/>
    <s v=" 16590.1292 "/>
    <s v=" 65.9205 "/>
    <x v="0"/>
    <n v="1093629"/>
    <m/>
    <m/>
  </r>
  <r>
    <x v="4"/>
    <x v="5"/>
    <s v="F:\Données chgh\2020-CHG-CZA-Test-3\plaque 1/@04 EE2 76/F4_03.tif "/>
    <s v=" 18385.4104 "/>
    <s v=" 70.1353 "/>
    <x v="0"/>
    <n v="1289466"/>
    <m/>
    <m/>
  </r>
  <r>
    <x v="4"/>
    <x v="6"/>
    <s v="F:\Données chgh\2020-CHG-CZA-Test-3\plaque 1/@04 EE2 76/G4_01.tif "/>
    <s v=" 37030.3796 "/>
    <s v=" 67.7845 "/>
    <x v="0"/>
    <n v="2510084"/>
    <m/>
    <m/>
  </r>
  <r>
    <x v="4"/>
    <x v="6"/>
    <s v="F:\Données chgh\2020-CHG-CZA-Test-3\plaque 1/@04 EE2 76/G4_02.tif "/>
    <s v=" 35948.8849 "/>
    <s v=" 67.1468 "/>
    <x v="0"/>
    <n v="2413853"/>
    <m/>
    <m/>
  </r>
  <r>
    <x v="4"/>
    <x v="6"/>
    <s v="F:\Données chgh\2020-CHG-CZA-Test-3\plaque 1/@04 EE2 76/G4_03.tif "/>
    <s v=" 38544.4722 "/>
    <s v=" 69.7924 "/>
    <x v="0"/>
    <n v="2690110"/>
    <m/>
    <m/>
  </r>
  <r>
    <x v="4"/>
    <x v="7"/>
    <s v="F:\Données chgh\2020-CHG-CZA-Test-3\plaque 1/@04 EE2 76/H4_01.tif "/>
    <s v=" 15508.6344 "/>
    <s v=" 69.2859 "/>
    <x v="0"/>
    <n v="1074530"/>
    <m/>
    <m/>
  </r>
  <r>
    <x v="4"/>
    <x v="7"/>
    <s v="F:\Données chgh\2020-CHG-CZA-Test-3\plaque 1/@04 EE2 76/H4_02.tif "/>
    <s v=" 11398.9545 "/>
    <s v=" 70.1784 "/>
    <x v="0"/>
    <n v="799960"/>
    <m/>
    <m/>
  </r>
  <r>
    <x v="4"/>
    <x v="7"/>
    <s v="F:\Données chgh\2020-CHG-CZA-Test-3\plaque 1/@04 EE2 76/H4_03.tif "/>
    <s v=" 9192.7052 "/>
    <s v=" 67.3106 "/>
    <x v="0"/>
    <n v="618766"/>
    <m/>
    <m/>
  </r>
  <r>
    <x v="1"/>
    <x v="8"/>
    <s v=" "/>
    <m/>
    <m/>
    <x v="1"/>
    <m/>
    <m/>
    <m/>
  </r>
  <r>
    <x v="1"/>
    <x v="8"/>
    <s v="group "/>
    <s v=" "/>
    <s v=" mean of mean fluo "/>
    <x v="2"/>
    <s v=" mean of total fluo "/>
    <s v=" SD total fluo "/>
    <s v=" n fluorescent "/>
  </r>
  <r>
    <x v="4"/>
    <x v="9"/>
    <s v="F:\Données chgh\2020-CHG-CZA-Test-3\plaque 1/@04 EE2 76/ "/>
    <s v=" "/>
    <s v=" 66.9455 "/>
    <x v="6"/>
    <s v=" 1229034.83 "/>
    <s v=" 696294.64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5"/>
    <x v="0"/>
    <s v="F:\Données chgh\2020-CHG-CZA-Test-3\plaque 1/@05 EE2 114/A5_01.tif "/>
    <s v=" 33656.116 "/>
    <s v=" 68.8978 "/>
    <x v="0"/>
    <n v="2318833"/>
    <m/>
    <m/>
  </r>
  <r>
    <x v="5"/>
    <x v="0"/>
    <s v="F:\Données chgh\2020-CHG-CZA-Test-3\plaque 1/@05 EE2 114/A5_02.tif "/>
    <s v=" 27513.226 "/>
    <s v=" 69.6887 "/>
    <x v="0"/>
    <n v="1917360"/>
    <m/>
    <m/>
  </r>
  <r>
    <x v="5"/>
    <x v="0"/>
    <s v="F:\Données chgh\2020-CHG-CZA-Test-3\plaque 1/@05 EE2 114/A5_03.tif "/>
    <s v=" 26734.5498 "/>
    <s v=" 69.8382 "/>
    <x v="0"/>
    <n v="1867093"/>
    <m/>
    <m/>
  </r>
  <r>
    <x v="5"/>
    <x v="1"/>
    <s v="F:\Données chgh\2020-CHG-CZA-Test-3\plaque 1/@05 EE2 114/B5_01.tif "/>
    <s v=" 62077.7976 "/>
    <s v=" 69.5213 "/>
    <x v="0"/>
    <n v="4315726"/>
    <m/>
    <m/>
  </r>
  <r>
    <x v="5"/>
    <x v="1"/>
    <s v="F:\Données chgh\2020-CHG-CZA-Test-3\plaque 1/@05 EE2 114/B5_02.tif "/>
    <s v=" 57989.7475 "/>
    <s v=" 68.9653 "/>
    <x v="0"/>
    <n v="3999281"/>
    <m/>
    <m/>
  </r>
  <r>
    <x v="5"/>
    <x v="1"/>
    <s v="F:\Données chgh\2020-CHG-CZA-Test-3\plaque 1/@05 EE2 114/B5_03.tif "/>
    <s v=" 43281.4192 "/>
    <s v=" 68.0185 "/>
    <x v="0"/>
    <n v="2943937"/>
    <m/>
    <m/>
  </r>
  <r>
    <x v="5"/>
    <x v="2"/>
    <s v="F:\Données chgh\2020-CHG-CZA-Test-3\plaque 1/@05 EE2 114/C5_01.tif "/>
    <s v=" 28032.3434 "/>
    <s v=" 68.0602 "/>
    <x v="0"/>
    <n v="1907886"/>
    <m/>
    <m/>
  </r>
  <r>
    <x v="5"/>
    <x v="2"/>
    <s v="F:\Données chgh\2020-CHG-CZA-Test-3\plaque 1/@05 EE2 114/C5_02.tif "/>
    <s v=" 29048.9485 "/>
    <s v=" 67.624 "/>
    <x v="0"/>
    <n v="1964405"/>
    <m/>
    <m/>
  </r>
  <r>
    <x v="5"/>
    <x v="2"/>
    <s v="F:\Données chgh\2020-CHG-CZA-Test-3\plaque 1/@05 EE2 114/C5_03.tif "/>
    <s v=" 24636.45 "/>
    <s v=" 68.5628 "/>
    <x v="0"/>
    <n v="1689143"/>
    <m/>
    <m/>
  </r>
  <r>
    <x v="5"/>
    <x v="3"/>
    <s v="F:\Données chgh\2020-CHG-CZA-Test-3\plaque 1/@05 EE2 114/D5_01.tif "/>
    <s v=" 46828.7219 "/>
    <s v=" 71.5654 "/>
    <x v="0"/>
    <n v="3351314"/>
    <m/>
    <m/>
  </r>
  <r>
    <x v="5"/>
    <x v="3"/>
    <s v="F:\Données chgh\2020-CHG-CZA-Test-3\plaque 1/@05 EE2 114/D5_02.tif "/>
    <s v=" 52495.7543 "/>
    <s v=" 72.2254 "/>
    <x v="0"/>
    <n v="3791526"/>
    <m/>
    <m/>
  </r>
  <r>
    <x v="5"/>
    <x v="3"/>
    <s v="F:\Données chgh\2020-CHG-CZA-Test-3\plaque 1/@05 EE2 114/D5_03.tif "/>
    <s v=" 40426.2731 "/>
    <s v=" 70.9337 "/>
    <x v="0"/>
    <n v="2867583"/>
    <m/>
    <m/>
  </r>
  <r>
    <x v="5"/>
    <x v="4"/>
    <s v="F:\Données chgh\2020-CHG-CZA-Test-3\plaque 1/@05 EE2 114/E5_01.tif "/>
    <s v=" 45790.4869 "/>
    <s v=" 70.2145 "/>
    <x v="0"/>
    <n v="3215154"/>
    <m/>
    <m/>
  </r>
  <r>
    <x v="5"/>
    <x v="4"/>
    <s v="F:\Données chgh\2020-CHG-CZA-Test-3\plaque 1/@05 EE2 114/E5_02.tif "/>
    <s v=" 42221.5543 "/>
    <s v=" 69.21 "/>
    <x v="0"/>
    <n v="2922156"/>
    <m/>
    <m/>
  </r>
  <r>
    <x v="5"/>
    <x v="4"/>
    <s v="F:\Données chgh\2020-CHG-CZA-Test-3\plaque 1/@05 EE2 114/E5_03.tif "/>
    <s v=" 31103.7885 "/>
    <s v=" 69.2476 "/>
    <x v="0"/>
    <n v="2153862"/>
    <m/>
    <m/>
  </r>
  <r>
    <x v="5"/>
    <x v="5"/>
    <s v="F:\Données chgh\2020-CHG-CZA-Test-3\plaque 1/@05 EE2 114/F5_01.tif "/>
    <s v=" 39928.7855 "/>
    <s v=" 68.3998 "/>
    <x v="0"/>
    <n v="2731120"/>
    <m/>
    <m/>
  </r>
  <r>
    <x v="5"/>
    <x v="5"/>
    <s v="F:\Données chgh\2020-CHG-CZA-Test-3\plaque 1/@05 EE2 114/F5_02.tif "/>
    <s v=" 38717.5114 "/>
    <s v=" 68.2721 "/>
    <x v="0"/>
    <n v="2643325"/>
    <m/>
    <m/>
  </r>
  <r>
    <x v="5"/>
    <x v="5"/>
    <s v="F:\Données chgh\2020-CHG-CZA-Test-3\plaque 1/@05 EE2 114/F5_03.tif "/>
    <s v=" 42113.4048 "/>
    <s v=" 68.36 "/>
    <x v="0"/>
    <n v="2878874"/>
    <m/>
    <m/>
  </r>
  <r>
    <x v="5"/>
    <x v="6"/>
    <s v="F:\Données chgh\2020-CHG-CZA-Test-3\plaque 1/@05 EE2 114/G5_01.tif "/>
    <s v=" 26431.7312 "/>
    <s v=" 66.1399 "/>
    <x v="0"/>
    <n v="1748193"/>
    <m/>
    <m/>
  </r>
  <r>
    <x v="5"/>
    <x v="6"/>
    <s v="F:\Données chgh\2020-CHG-CZA-Test-3\plaque 1/@05 EE2 114/G5_02.tif "/>
    <s v=" 22624.8698 "/>
    <s v=" 66.0344 "/>
    <x v="0"/>
    <n v="1494020"/>
    <m/>
    <m/>
  </r>
  <r>
    <x v="5"/>
    <x v="6"/>
    <s v="F:\Données chgh\2020-CHG-CZA-Test-3\plaque 1/@05 EE2 114/G5_03.tif "/>
    <s v=" 23252.1367 "/>
    <s v=" 65.9386 "/>
    <x v="0"/>
    <n v="1533213"/>
    <m/>
    <m/>
  </r>
  <r>
    <x v="5"/>
    <x v="7"/>
    <s v="F:\Données chgh\2020-CHG-CZA-Test-3\plaque 1/@05 EE2 114/H5_01.tif "/>
    <s v=" 42437.8533 "/>
    <s v=" 69.8456 "/>
    <x v="0"/>
    <n v="2964096"/>
    <m/>
    <m/>
  </r>
  <r>
    <x v="5"/>
    <x v="7"/>
    <s v="F:\Données chgh\2020-CHG-CZA-Test-3\plaque 1/@05 EE2 114/H5_02- exclu.tif"/>
    <m/>
    <m/>
    <x v="1"/>
    <m/>
    <m/>
    <m/>
  </r>
  <r>
    <x v="5"/>
    <x v="7"/>
    <s v="F:\Données chgh\2020-CHG-CZA-Test-3\plaque 1/@05 EE2 114/H5_03.tif "/>
    <s v=" 35559.5468 "/>
    <s v=" 68.1794 "/>
    <x v="0"/>
    <n v="2424430"/>
    <m/>
    <m/>
  </r>
  <r>
    <x v="1"/>
    <x v="8"/>
    <s v=" "/>
    <m/>
    <m/>
    <x v="1"/>
    <m/>
    <m/>
    <m/>
  </r>
  <r>
    <x v="1"/>
    <x v="8"/>
    <s v="group "/>
    <s v=" "/>
    <s v=" mean of mean fluo "/>
    <x v="2"/>
    <s v=" mean of total fluo "/>
    <s v=" SD total fluo "/>
    <s v=" n fluorescent "/>
  </r>
  <r>
    <x v="5"/>
    <x v="9"/>
    <s v="F:\Données chgh\2020-CHG-CZA-Test-3\plaque 1/@05 EE2 114/ "/>
    <s v=" "/>
    <s v=" 69.1828 "/>
    <x v="7"/>
    <s v=" 2603708.46 "/>
    <s v=" 779056.30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6"/>
    <x v="0"/>
    <s v="F:\Données chgh\2020-CHG-CZA-Test-3\plaque 1/@06 EE2 171/A6_01.tif "/>
    <s v=" 56194.4662 "/>
    <s v=" 78.2036 "/>
    <x v="0"/>
    <n v="4394611"/>
    <m/>
    <m/>
  </r>
  <r>
    <x v="6"/>
    <x v="0"/>
    <s v="F:\Données chgh\2020-CHG-CZA-Test-3\plaque 1/@06 EE2 171/A6_02.tif "/>
    <s v=" 55545.5694 "/>
    <s v=" 78.9178 "/>
    <x v="0"/>
    <n v="4383536"/>
    <m/>
    <m/>
  </r>
  <r>
    <x v="6"/>
    <x v="0"/>
    <s v="F:\Données chgh\2020-CHG-CZA-Test-3\plaque 1/@06 EE2 171/A6_03.tif "/>
    <s v=" 51024.9214 "/>
    <s v=" 76.9813 "/>
    <x v="0"/>
    <n v="3927967"/>
    <m/>
    <m/>
  </r>
  <r>
    <x v="6"/>
    <x v="1"/>
    <s v="F:\Données chgh\2020-CHG-CZA-Test-3\plaque 1/@06 EE2 171/B6_01.tif "/>
    <s v=" 70275.5276 "/>
    <s v=" 77.4666 "/>
    <x v="0"/>
    <n v="5444007"/>
    <m/>
    <m/>
  </r>
  <r>
    <x v="6"/>
    <x v="1"/>
    <s v="F:\Données chgh\2020-CHG-CZA-Test-3\plaque 1/@06 EE2 171/B6_02.tif "/>
    <s v=" 57016.4022 "/>
    <s v=" 81.5899 "/>
    <x v="0"/>
    <n v="4651963"/>
    <m/>
    <m/>
  </r>
  <r>
    <x v="6"/>
    <x v="1"/>
    <s v="F:\Données chgh\2020-CHG-CZA-Test-3\plaque 1/@06 EE2 171/B6_03- exclu.tif"/>
    <m/>
    <m/>
    <x v="1"/>
    <m/>
    <m/>
    <m/>
  </r>
  <r>
    <x v="6"/>
    <x v="2"/>
    <s v="F:\Données chgh\2020-CHG-CZA-Test-3\plaque 1/@06 EE2 171/C6_01.tif "/>
    <s v=" 47758.8073 "/>
    <s v=" 73.0892 "/>
    <x v="0"/>
    <n v="3490654"/>
    <m/>
    <m/>
  </r>
  <r>
    <x v="6"/>
    <x v="2"/>
    <s v="F:\Données chgh\2020-CHG-CZA-Test-3\plaque 1/@06 EE2 171/C6_02.tif "/>
    <s v=" 44427.8036 "/>
    <s v=" 74.2006 "/>
    <x v="0"/>
    <n v="3296569"/>
    <m/>
    <m/>
  </r>
  <r>
    <x v="6"/>
    <x v="2"/>
    <s v="F:\Données chgh\2020-CHG-CZA-Test-3\plaque 1/@06 EE2 171/C6_03.tif "/>
    <s v=" 44081.7253 "/>
    <s v=" 73.1266 "/>
    <x v="0"/>
    <n v="3223546"/>
    <m/>
    <m/>
  </r>
  <r>
    <x v="6"/>
    <x v="3"/>
    <s v="F:\Données chgh\2020-CHG-CZA-Test-3\plaque 1/@06 EE2 171/D6_01.tif "/>
    <s v=" 61710.0894 "/>
    <s v=" 80.7957 "/>
    <x v="0"/>
    <n v="4985907"/>
    <m/>
    <m/>
  </r>
  <r>
    <x v="6"/>
    <x v="3"/>
    <s v="F:\Données chgh\2020-CHG-CZA-Test-3\plaque 1/@06 EE2 171/D6_02.tif "/>
    <s v=" 52993.2418 "/>
    <s v=" 85.6465 "/>
    <x v="0"/>
    <n v="4538687"/>
    <m/>
    <m/>
  </r>
  <r>
    <x v="6"/>
    <x v="3"/>
    <s v="F:\Données chgh\2020-CHG-CZA-Test-3\plaque 1/@06 EE2 171/D6_03.tif "/>
    <s v=" 54182.886 "/>
    <s v=" 78.8874 "/>
    <x v="0"/>
    <n v="4274348"/>
    <m/>
    <m/>
  </r>
  <r>
    <x v="6"/>
    <x v="4"/>
    <s v="F:\Données chgh\2020-CHG-CZA-Test-3\plaque 1/@06 EE2 171/E6_01.tif "/>
    <s v=" 51522.409 "/>
    <s v=" 76.8442 "/>
    <x v="0"/>
    <n v="3959201"/>
    <m/>
    <m/>
  </r>
  <r>
    <x v="6"/>
    <x v="4"/>
    <s v="F:\Données chgh\2020-CHG-CZA-Test-3\plaque 1/@06 EE2 171/E6_02.tif "/>
    <s v=" 63981.2283 "/>
    <s v=" 75.6356 "/>
    <x v="0"/>
    <n v="4839256"/>
    <m/>
    <m/>
  </r>
  <r>
    <x v="6"/>
    <x v="4"/>
    <s v="F:\Données chgh\2020-CHG-CZA-Test-3\plaque 1/@06 EE2 171/E6_03- exclu.tif"/>
    <m/>
    <m/>
    <x v="1"/>
    <m/>
    <m/>
    <m/>
  </r>
  <r>
    <x v="6"/>
    <x v="5"/>
    <s v="F:\Données chgh\2020-CHG-CZA-Test-3\plaque 1/@06 EE2 171/F6_01.tif "/>
    <s v=" 39279.8886 "/>
    <s v=" 79.5292 "/>
    <x v="0"/>
    <n v="3123898"/>
    <m/>
    <m/>
  </r>
  <r>
    <x v="6"/>
    <x v="5"/>
    <s v="F:\Données chgh\2020-CHG-CZA-Test-3\plaque 1/@06 EE2 171/F6_02.tif "/>
    <s v=" 40707.4617 "/>
    <s v=" 78.3539 "/>
    <x v="0"/>
    <n v="3189588"/>
    <m/>
    <m/>
  </r>
  <r>
    <x v="6"/>
    <x v="5"/>
    <s v="F:\Données chgh\2020-CHG-CZA-Test-3\plaque 1/@06 EE2 171/F6_03.tif "/>
    <s v=" 37052.0095 "/>
    <s v=" 84.5616 "/>
    <x v="0"/>
    <n v="3133177"/>
    <m/>
    <m/>
  </r>
  <r>
    <x v="6"/>
    <x v="6"/>
    <s v="F:\Données chgh\2020-CHG-CZA-Test-3\plaque 1/@06 EE2 171/G6_01.tif "/>
    <s v=" 57968.1176 "/>
    <s v=" 74.7041 "/>
    <x v="0"/>
    <n v="4330456"/>
    <m/>
    <m/>
  </r>
  <r>
    <x v="6"/>
    <x v="6"/>
    <s v="F:\Données chgh\2020-CHG-CZA-Test-3\plaque 1/@06 EE2 171/G6_02.tif "/>
    <s v=" 49272.9 "/>
    <s v=" 78.8389 "/>
    <x v="0"/>
    <n v="3884621"/>
    <m/>
    <m/>
  </r>
  <r>
    <x v="6"/>
    <x v="6"/>
    <s v="F:\Données chgh\2020-CHG-CZA-Test-3\plaque 1/@06 EE2 171/G6_03.tif "/>
    <s v=" 52928.3522 "/>
    <s v=" 76.0343 "/>
    <x v="0"/>
    <n v="4024372"/>
    <m/>
    <m/>
  </r>
  <r>
    <x v="6"/>
    <x v="7"/>
    <s v="F:\Données chgh\2020-CHG-CZA-Test-3\plaque 1/@06 EE2 171/H6_01.tif "/>
    <s v=" 41680.8069 "/>
    <s v=" 82.6871 "/>
    <x v="0"/>
    <n v="3446464"/>
    <m/>
    <m/>
  </r>
  <r>
    <x v="6"/>
    <x v="7"/>
    <s v="F:\Données chgh\2020-CHG-CZA-Test-3\plaque 1/@06 EE2 171/H6_02.tif "/>
    <s v=" 47282.9497 "/>
    <s v=" 78.5421 "/>
    <x v="0"/>
    <n v="3713701"/>
    <m/>
    <m/>
  </r>
  <r>
    <x v="6"/>
    <x v="7"/>
    <s v="F:\Données chgh\2020-CHG-CZA-Test-3\plaque 1/@06 EE2 171/H6_03.tif "/>
    <s v=" 46050.0457 "/>
    <s v=" 77.9822 "/>
    <x v="0"/>
    <n v="3591082"/>
    <m/>
    <m/>
  </r>
  <r>
    <x v="1"/>
    <x v="8"/>
    <s v=" "/>
    <m/>
    <m/>
    <x v="1"/>
    <m/>
    <m/>
    <m/>
  </r>
  <r>
    <x v="1"/>
    <x v="8"/>
    <s v="group "/>
    <s v=" "/>
    <s v=" mean of mean fluo "/>
    <x v="2"/>
    <s v=" mean of total fluo "/>
    <s v=" SD total fluo "/>
    <s v=" n fluorescent "/>
  </r>
  <r>
    <x v="6"/>
    <x v="9"/>
    <s v="F:\Données chgh\2020-CHG-CZA-Test-3\plaque 1/@06 EE2 171/ "/>
    <s v=" "/>
    <s v=" 77.6761 "/>
    <x v="8"/>
    <s v=" 3924618.21 "/>
    <s v=" 717756.60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7"/>
    <x v="0"/>
    <s v="F:\Données chgh\2020-CHG-CZA-Test-3\plaque 1/@07 EE2 488/A7_01.tif "/>
    <s v=" 69842.9298 "/>
    <s v=" 103.0009 "/>
    <x v="0"/>
    <n v="7193887"/>
    <m/>
    <m/>
  </r>
  <r>
    <x v="7"/>
    <x v="0"/>
    <s v="F:\Données chgh\2020-CHG-CZA-Test-3\plaque 1/@07 EE2 488/A7_02.tif "/>
    <s v=" 67593.4207 "/>
    <s v=" 102.1869 "/>
    <x v="0"/>
    <n v="6907161"/>
    <m/>
    <m/>
  </r>
  <r>
    <x v="7"/>
    <x v="0"/>
    <s v="F:\Données chgh\2020-CHG-CZA-Test-3\plaque 1/@07 EE2 488/A7_03.tif "/>
    <s v=" 65754.8797 "/>
    <s v=" 107.4572 "/>
    <x v="0"/>
    <n v="7065838"/>
    <m/>
    <m/>
  </r>
  <r>
    <x v="7"/>
    <x v="1"/>
    <s v="F:\Données chgh\2020-CHG-CZA-Test-3\plaque 1/@07 EE2 488/B7_01.tif "/>
    <s v=" 79014.0051 "/>
    <s v=" 116.095 "/>
    <x v="0"/>
    <n v="9173130"/>
    <m/>
    <m/>
  </r>
  <r>
    <x v="7"/>
    <x v="1"/>
    <s v="F:\Données chgh\2020-CHG-CZA-Test-3\plaque 1/@07 EE2 488/B7_02.tif "/>
    <s v=" 80203.6493 "/>
    <s v=" 110.7487 "/>
    <x v="0"/>
    <n v="8882446"/>
    <m/>
    <m/>
  </r>
  <r>
    <x v="7"/>
    <x v="1"/>
    <s v="F:\Données chgh\2020-CHG-CZA-Test-3\plaque 1/@07 EE2 488/B7_03.tif "/>
    <s v=" 83686.0623 "/>
    <s v=" 106.7943 "/>
    <x v="0"/>
    <n v="8937191"/>
    <m/>
    <m/>
  </r>
  <r>
    <x v="7"/>
    <x v="2"/>
    <s v="F:\Données chgh\2020-CHG-CZA-Test-3\plaque 1/@07 EE2 488/C7_01.tif "/>
    <s v=" 80614.6173 "/>
    <s v=" 96.9914 "/>
    <x v="0"/>
    <n v="7818926"/>
    <m/>
    <m/>
  </r>
  <r>
    <x v="7"/>
    <x v="2"/>
    <s v="F:\Données chgh\2020-CHG-CZA-Test-3\plaque 1/@07 EE2 488/C7_02.tif "/>
    <s v=" 82150.3398 "/>
    <s v=" 97.3868 "/>
    <x v="0"/>
    <n v="8000357"/>
    <m/>
    <m/>
  </r>
  <r>
    <x v="7"/>
    <x v="2"/>
    <s v="F:\Données chgh\2020-CHG-CZA-Test-3\plaque 1/@07 EE2 488/C7_03.tif "/>
    <s v=" 79424.9731 "/>
    <s v=" 96.0215 "/>
    <x v="0"/>
    <n v="7626506"/>
    <m/>
    <m/>
  </r>
  <r>
    <x v="7"/>
    <x v="3"/>
    <s v="F:\Données chgh\2020-CHG-CZA-Test-3\plaque 1/@07 EE2 488/D7_01.tif "/>
    <s v=" 68112.5382 "/>
    <s v=" 95.4709 "/>
    <x v="0"/>
    <n v="6502768"/>
    <m/>
    <m/>
  </r>
  <r>
    <x v="7"/>
    <x v="3"/>
    <s v="F:\Données chgh\2020-CHG-CZA-Test-3\plaque 1/@07 EE2 488/D7_02.tif "/>
    <s v=" 58725.1639 "/>
    <s v=" 97.4954 "/>
    <x v="0"/>
    <n v="5725433"/>
    <m/>
    <m/>
  </r>
  <r>
    <x v="7"/>
    <x v="3"/>
    <s v="F:\Données chgh\2020-CHG-CZA-Test-3\plaque 1/@07 EE2 488/D7_03.tif "/>
    <s v=" 56756.8435 "/>
    <s v=" 98.9566 "/>
    <x v="0"/>
    <n v="5616462"/>
    <m/>
    <m/>
  </r>
  <r>
    <x v="7"/>
    <x v="4"/>
    <s v="F:\Données chgh\2020-CHG-CZA-Test-3\plaque 1/@07 EE2 488/E7_01.tif "/>
    <s v=" 64521.9757 "/>
    <s v=" 81.7499 "/>
    <x v="0"/>
    <n v="5274666"/>
    <m/>
    <m/>
  </r>
  <r>
    <x v="7"/>
    <x v="4"/>
    <s v="F:\Données chgh\2020-CHG-CZA-Test-3\plaque 1/@07 EE2 488/E7_02.tif "/>
    <s v=" 59590.3597 "/>
    <s v=" 83.1561 "/>
    <x v="0"/>
    <n v="4955301"/>
    <m/>
    <m/>
  </r>
  <r>
    <x v="7"/>
    <x v="4"/>
    <s v="F:\Données chgh\2020-CHG-CZA-Test-3\plaque 1/@07 EE2 488/E7_03.tif "/>
    <s v=" 64046.118 "/>
    <s v=" 82.1283 "/>
    <x v="0"/>
    <n v="5260001"/>
    <m/>
    <m/>
  </r>
  <r>
    <x v="7"/>
    <x v="5"/>
    <s v="F:\Données chgh\2020-CHG-CZA-Test-3\plaque 1/@07 EE2 488/F7_01.tif "/>
    <s v=" 77694.5815 "/>
    <s v=" 109.9646 "/>
    <x v="0"/>
    <n v="8543657"/>
    <m/>
    <m/>
  </r>
  <r>
    <x v="7"/>
    <x v="5"/>
    <s v="F:\Données chgh\2020-CHG-CZA-Test-3\plaque 1/@07 EE2 488/F7_02.tif "/>
    <s v=" 77391.763 "/>
    <s v=" 105.4698 "/>
    <x v="0"/>
    <n v="8162495"/>
    <m/>
    <m/>
  </r>
  <r>
    <x v="7"/>
    <x v="5"/>
    <s v="F:\Données chgh\2020-CHG-CZA-Test-3\plaque 1/@07 EE2 488/F7_03.tif "/>
    <s v=" 78646.2969 "/>
    <s v=" 106.0941 "/>
    <x v="0"/>
    <n v="8343905"/>
    <m/>
    <m/>
  </r>
  <r>
    <x v="7"/>
    <x v="6"/>
    <s v="F:\Données chgh\2020-CHG-CZA-Test-3\plaque 1/@07 EE2 488/G7_01.tif "/>
    <s v=" 109858.235 "/>
    <s v=" 97.7112 "/>
    <x v="0"/>
    <n v="10734376"/>
    <m/>
    <m/>
  </r>
  <r>
    <x v="7"/>
    <x v="6"/>
    <s v="F:\Données chgh\2020-CHG-CZA-Test-3\plaque 1/@07 EE2 488/G7_02.tif "/>
    <s v=" 100470.861 "/>
    <s v=" 104.7212 "/>
    <x v="0"/>
    <n v="10521430"/>
    <m/>
    <m/>
  </r>
  <r>
    <x v="7"/>
    <x v="6"/>
    <s v="F:\Données chgh\2020-CHG-CZA-Test-3\plaque 1/@07 EE2 488/G7_03.tif "/>
    <s v=" 104256.092 "/>
    <s v=" 102.0398 "/>
    <x v="0"/>
    <n v="10638274"/>
    <m/>
    <m/>
  </r>
  <r>
    <x v="7"/>
    <x v="7"/>
    <s v="F:\Données chgh\2020-CHG-CZA-Test-3\plaque 1/@07 EE2 488/H7_01.tif "/>
    <s v=" 62294.0965 "/>
    <s v=" 109.9309 "/>
    <x v="0"/>
    <n v="6848046"/>
    <m/>
    <m/>
  </r>
  <r>
    <x v="7"/>
    <x v="7"/>
    <s v="F:\Données chgh\2020-CHG-CZA-Test-3\plaque 1/@07 EE2 488/H7_02.tif "/>
    <s v=" 72049.179 "/>
    <s v=" 91.5353 "/>
    <x v="0"/>
    <n v="6595041"/>
    <m/>
    <m/>
  </r>
  <r>
    <x v="7"/>
    <x v="7"/>
    <s v="F:\Données chgh\2020-CHG-CZA-Test-3\plaque 1/@07 EE2 488/H7_03.tif "/>
    <s v=" 63375.5913 "/>
    <s v=" 93.8444 "/>
    <x v="0"/>
    <n v="5947442"/>
    <m/>
    <m/>
  </r>
  <r>
    <x v="1"/>
    <x v="8"/>
    <s v=" "/>
    <m/>
    <m/>
    <x v="1"/>
    <m/>
    <m/>
    <m/>
  </r>
  <r>
    <x v="1"/>
    <x v="8"/>
    <s v="group "/>
    <s v=" "/>
    <s v=" mean of mean fluo "/>
    <x v="2"/>
    <s v=" mean of total fluo "/>
    <s v=" SD total fluo "/>
    <s v=" n fluorescent "/>
  </r>
  <r>
    <x v="7"/>
    <x v="9"/>
    <s v="F:\Données chgh\2020-CHG-CZA-Test-3\plaque 1/@07 EE2 488/ "/>
    <s v=" "/>
    <s v=" 99.873 "/>
    <x v="9"/>
    <s v=" 7553114.12 "/>
    <s v=" 1709058.4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8"/>
    <x v="0"/>
    <s v="F:\Données chgh\2020-CHG-CZA-Test-3\plaque 1/@08 Pro 12/A8_01.tif "/>
    <s v=" 1752.0215 "/>
    <s v=" 66.9383 "/>
    <x v="0"/>
    <n v="117277"/>
    <m/>
    <m/>
  </r>
  <r>
    <x v="8"/>
    <x v="0"/>
    <s v="F:\Données chgh\2020-CHG-CZA-Test-3\plaque 1/@08 Pro 12/A8_02.tif "/>
    <s v=" 7008.0859 "/>
    <s v=" 68.6698 "/>
    <x v="0"/>
    <n v="481244"/>
    <m/>
    <m/>
  </r>
  <r>
    <x v="8"/>
    <x v="0"/>
    <s v="F:\Données chgh\2020-CHG-CZA-Test-3\plaque 1/@08 Pro 12/A8_03.tif "/>
    <s v=" 4607.1676 "/>
    <s v=" 67.7606 "/>
    <x v="0"/>
    <n v="312184"/>
    <m/>
    <m/>
  </r>
  <r>
    <x v="8"/>
    <x v="1"/>
    <s v="F:\Données chgh\2020-CHG-CZA-Test-3\plaque 1/@08 Pro 12/B8_01.tif "/>
    <s v=" 670.5267 "/>
    <s v=" 63.3548 "/>
    <x v="0"/>
    <n v="42481"/>
    <m/>
    <m/>
  </r>
  <r>
    <x v="8"/>
    <x v="1"/>
    <s v="F:\Données chgh\2020-CHG-CZA-Test-3\plaque 1/@08 Pro 12/B8_02.tif "/>
    <s v=" 281.1886 "/>
    <n v="63"/>
    <x v="0"/>
    <n v="17715"/>
    <m/>
    <m/>
  </r>
  <r>
    <x v="8"/>
    <x v="1"/>
    <s v="F:\Données chgh\2020-CHG-CZA-Test-3\plaque 1/@08 Pro 12/B8_03.tif "/>
    <s v=" 778.6762 "/>
    <s v=" 64.2778 "/>
    <x v="0"/>
    <n v="50052"/>
    <m/>
    <m/>
  </r>
  <r>
    <x v="8"/>
    <x v="2"/>
    <s v="F:\Données chgh\2020-CHG-CZA-Test-3\plaque 1/@08 Pro 12/C8_01.tif "/>
    <s v=" 367.7082 "/>
    <s v=" 63.4706 "/>
    <x v="0"/>
    <n v="23339"/>
    <m/>
    <m/>
  </r>
  <r>
    <x v="8"/>
    <x v="2"/>
    <s v="F:\Données chgh\2020-CHG-CZA-Test-3\plaque 1/@08 Pro 12/C8_02.tif "/>
    <s v=" 735.4164 "/>
    <s v=" 63.6176 "/>
    <x v="0"/>
    <n v="46785"/>
    <m/>
    <m/>
  </r>
  <r>
    <x v="8"/>
    <x v="2"/>
    <s v="F:\Données chgh\2020-CHG-CZA-Test-3\plaque 1/@08 Pro 12/C8_03.tif "/>
    <s v=" 1232.904 "/>
    <s v=" 64.3158 "/>
    <x v="0"/>
    <n v="79295"/>
    <m/>
    <m/>
  </r>
  <r>
    <x v="8"/>
    <x v="3"/>
    <s v="F:\Données chgh\2020-CHG-CZA-Test-3\plaque 1/@08 Pro 12/D8_01.tif "/>
    <s v=" 1362.6834 "/>
    <s v=" 65.9365 "/>
    <x v="0"/>
    <n v="89851"/>
    <m/>
    <m/>
  </r>
  <r>
    <x v="8"/>
    <x v="3"/>
    <s v="F:\Données chgh\2020-CHG-CZA-Test-3\plaque 1/@08 Pro 12/D8_02.tif "/>
    <s v=" 346.0783 "/>
    <s v=" 64.0625 "/>
    <x v="0"/>
    <n v="22171"/>
    <m/>
    <m/>
  </r>
  <r>
    <x v="8"/>
    <x v="3"/>
    <s v="F:\Données chgh\2020-CHG-CZA-Test-3\plaque 1/@08 Pro 12/D8_03.tif "/>
    <s v=" 410.968 "/>
    <s v=" 64.6316 "/>
    <x v="0"/>
    <n v="26562"/>
    <m/>
    <m/>
  </r>
  <r>
    <x v="8"/>
    <x v="4"/>
    <s v="F:\Données chgh\2020-CHG-CZA-Test-3\plaque 1/@08 Pro 12/E8_01.tif "/>
    <s v=" 108.1495 "/>
    <s v=" 60.2 "/>
    <x v="0"/>
    <n v="6511"/>
    <m/>
    <m/>
  </r>
  <r>
    <x v="8"/>
    <x v="4"/>
    <s v="F:\Données chgh\2020-CHG-CZA-Test-3\plaque 1/@08 Pro 12/E8_02.tif "/>
    <s v=" 1362.6834 "/>
    <s v=" 66.1429 "/>
    <x v="0"/>
    <n v="90132"/>
    <m/>
    <m/>
  </r>
  <r>
    <x v="8"/>
    <x v="4"/>
    <s v="F:\Données chgh\2020-CHG-CZA-Test-3\plaque 1/@08 Pro 12/E8_03.tif "/>
    <s v=" 194.6691 "/>
    <s v=" 64.5556 "/>
    <x v="0"/>
    <n v="12567"/>
    <m/>
    <m/>
  </r>
  <r>
    <x v="8"/>
    <x v="5"/>
    <s v="F:\Données chgh\2020-CHG-CZA-Test-3\plaque 1/@08 Pro 12/F8_01.tif "/>
    <s v=" 1168.0143 "/>
    <s v=" 64.1296 "/>
    <x v="0"/>
    <n v="74904"/>
    <m/>
    <m/>
  </r>
  <r>
    <x v="8"/>
    <x v="5"/>
    <s v="F:\Données chgh\2020-CHG-CZA-Test-3\plaque 1/@08 Pro 12/F8_02.tif "/>
    <s v=" 3374.2636 "/>
    <s v=" 65.7372 "/>
    <x v="0"/>
    <n v="221815"/>
    <m/>
    <m/>
  </r>
  <r>
    <x v="8"/>
    <x v="5"/>
    <s v="F:\Données chgh\2020-CHG-CZA-Test-3\plaque 1/@08 Pro 12/F8_03.tif "/>
    <s v=" 1016.605 "/>
    <s v=" 63.766 "/>
    <x v="0"/>
    <n v="64825"/>
    <m/>
    <m/>
  </r>
  <r>
    <x v="8"/>
    <x v="6"/>
    <s v="F:\Données chgh\2020-CHG-CZA-Test-3\plaque 1/@08 Pro 12/G8_01.tif "/>
    <s v=" 4996.5057 "/>
    <s v=" 74.8701 "/>
    <x v="0"/>
    <n v="374089"/>
    <m/>
    <m/>
  </r>
  <r>
    <x v="8"/>
    <x v="6"/>
    <s v="F:\Données chgh\2020-CHG-CZA-Test-3\plaque 1/@08 Pro 12/G8_02.tif "/>
    <s v=" 281.1886 "/>
    <n v="64"/>
    <x v="0"/>
    <n v="17996"/>
    <m/>
    <m/>
  </r>
  <r>
    <x v="8"/>
    <x v="6"/>
    <s v="F:\Données chgh\2020-CHG-CZA-Test-3\plaque 1/@08 Pro 12/G8_03.tif "/>
    <s v=" 1189.6442 "/>
    <s v=" 64.6545 "/>
    <x v="0"/>
    <n v="76916"/>
    <m/>
    <m/>
  </r>
  <r>
    <x v="8"/>
    <x v="7"/>
    <s v="F:\Données chgh\2020-CHG-CZA-Test-3\plaque 1/@08 Pro 12/H8_01.tif "/>
    <s v=" 410.968 "/>
    <s v=" 62.2105 "/>
    <x v="0"/>
    <n v="25567"/>
    <m/>
    <m/>
  </r>
  <r>
    <x v="8"/>
    <x v="7"/>
    <s v="F:\Données chgh\2020-CHG-CZA-Test-3\plaque 1/@08 Pro 12/H8_02.tif "/>
    <s v=" 757.0463 "/>
    <s v=" 63.2 "/>
    <x v="0"/>
    <n v="47845"/>
    <m/>
    <m/>
  </r>
  <r>
    <x v="8"/>
    <x v="7"/>
    <s v="F:\Données chgh\2020-CHG-CZA-Test-3\plaque 1/@08 Pro 12/H8_03.tif "/>
    <s v=" 2811.8863 "/>
    <s v=" 66.5923 "/>
    <x v="0"/>
    <n v="187250"/>
    <m/>
    <m/>
  </r>
  <r>
    <x v="1"/>
    <x v="8"/>
    <s v=" "/>
    <m/>
    <m/>
    <x v="1"/>
    <m/>
    <m/>
    <m/>
  </r>
  <r>
    <x v="1"/>
    <x v="8"/>
    <s v="group "/>
    <s v=" "/>
    <s v=" mean of mean fluo "/>
    <x v="2"/>
    <s v=" mean of total fluo "/>
    <s v=" SD total fluo "/>
    <s v=" n fluorescent "/>
  </r>
  <r>
    <x v="8"/>
    <x v="9"/>
    <s v="F:\Données chgh\2020-CHG-CZA-Test-3\plaque 1/@08 Pro 12/ "/>
    <s v=" "/>
    <s v=" 65.0039 "/>
    <x v="10"/>
    <s v=" 104557.208 "/>
    <s v=" 124215.35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9"/>
    <x v="0"/>
    <s v="F:\Données chgh\2020-CHG-CZA-Test-3\plaque 1/@09 Pro 37/A9_01- exclu.tif"/>
    <m/>
    <m/>
    <x v="1"/>
    <m/>
    <m/>
    <m/>
  </r>
  <r>
    <x v="9"/>
    <x v="0"/>
    <s v="F:\Données chgh\2020-CHG-CZA-Test-3\plaque 1/@09 Pro 37/A9_02.tif "/>
    <s v=" 7916.5414 "/>
    <s v=" 73.694 "/>
    <x v="0"/>
    <n v="583402"/>
    <m/>
    <m/>
  </r>
  <r>
    <x v="9"/>
    <x v="0"/>
    <s v="F:\Données chgh\2020-CHG-CZA-Test-3\plaque 1/@09 Pro 37/A9_03.tif "/>
    <s v=" 3504.0429 "/>
    <s v=" 64.9753 "/>
    <x v="0"/>
    <n v="227676"/>
    <m/>
    <m/>
  </r>
  <r>
    <x v="9"/>
    <x v="1"/>
    <s v="F:\Données chgh\2020-CHG-CZA-Test-3\plaque 1/@09 Pro 37/B9_01.tif "/>
    <s v=" 3828.4913 "/>
    <s v=" 68.7345 "/>
    <x v="0"/>
    <n v="263149"/>
    <m/>
    <m/>
  </r>
  <r>
    <x v="9"/>
    <x v="1"/>
    <s v="F:\Données chgh\2020-CHG-CZA-Test-3\plaque 1/@09 Pro 37/B9_02.tif "/>
    <s v=" 2357.6585 "/>
    <s v=" 65.2844 "/>
    <x v="0"/>
    <n v="153918"/>
    <m/>
    <m/>
  </r>
  <r>
    <x v="9"/>
    <x v="1"/>
    <s v="F:\Données chgh\2020-CHG-CZA-Test-3\plaque 1/@09 Pro 37/B9_03.tif "/>
    <s v=" 605.637 "/>
    <s v=" 62.6786 "/>
    <x v="0"/>
    <n v="37960"/>
    <m/>
    <m/>
  </r>
  <r>
    <x v="9"/>
    <x v="2"/>
    <s v="F:\Données chgh\2020-CHG-CZA-Test-3\plaque 1/@09 Pro 37/C9_01.tif "/>
    <s v=" 5169.5448 "/>
    <s v=" 68.1715 "/>
    <x v="0"/>
    <n v="352416"/>
    <m/>
    <m/>
  </r>
  <r>
    <x v="9"/>
    <x v="2"/>
    <s v="F:\Données chgh\2020-CHG-CZA-Test-3\plaque 1/@09 Pro 37/C9_02.tif "/>
    <s v=" 3028.1852 "/>
    <s v=" 67.6929 "/>
    <x v="0"/>
    <n v="204987"/>
    <m/>
    <m/>
  </r>
  <r>
    <x v="9"/>
    <x v="2"/>
    <s v="F:\Données chgh\2020-CHG-CZA-Test-3\plaque 1/@09 Pro 37/C9_03.tif "/>
    <s v=" 973.3453 "/>
    <s v=" 63.4889 "/>
    <x v="0"/>
    <n v="61797"/>
    <m/>
    <m/>
  </r>
  <r>
    <x v="9"/>
    <x v="3"/>
    <s v="F:\Données chgh\2020-CHG-CZA-Test-3\plaque 1/@09 Pro 37/D9_01.tif "/>
    <s v=" 281.1886 "/>
    <s v=" 62.8462 "/>
    <x v="0"/>
    <n v="17672"/>
    <m/>
    <m/>
  </r>
  <r>
    <x v="9"/>
    <x v="3"/>
    <s v="F:\Données chgh\2020-CHG-CZA-Test-3\plaque 1/@09 Pro 37/D9_02- exclu.tif"/>
    <m/>
    <m/>
    <x v="1"/>
    <m/>
    <m/>
    <m/>
  </r>
  <r>
    <x v="9"/>
    <x v="3"/>
    <s v="F:\Données chgh\2020-CHG-CZA-Test-3\plaque 1/@09 Pro 37/D9_03.tif "/>
    <s v=" 302.8185 "/>
    <s v=" 63.9286 "/>
    <x v="0"/>
    <n v="19359"/>
    <m/>
    <m/>
  </r>
  <r>
    <x v="9"/>
    <x v="4"/>
    <s v="F:\Données chgh\2020-CHG-CZA-Test-3\plaque 1/@09 Pro 37/E9_01.tif "/>
    <s v=" 8067.9507 "/>
    <s v=" 69.7185 "/>
    <x v="0"/>
    <n v="562485"/>
    <m/>
    <m/>
  </r>
  <r>
    <x v="9"/>
    <x v="4"/>
    <s v="F:\Données chgh\2020-CHG-CZA-Test-3\plaque 1/@09 Pro 37/E9_02.tif "/>
    <s v=" 994.9752 "/>
    <s v=" 62.3043 "/>
    <x v="0"/>
    <n v="61991"/>
    <m/>
    <m/>
  </r>
  <r>
    <x v="9"/>
    <x v="4"/>
    <s v="F:\Données chgh\2020-CHG-CZA-Test-3\plaque 1/@09 Pro 37/E9_03.tif "/>
    <s v=" 1925.0606 "/>
    <s v=" 64.7528 "/>
    <x v="0"/>
    <n v="124653"/>
    <m/>
    <m/>
  </r>
  <r>
    <x v="9"/>
    <x v="5"/>
    <s v="F:\Données chgh\2020-CHG-CZA-Test-3\plaque 1/@09 Pro 37/F9_01.tif "/>
    <s v=" 5429.1036 "/>
    <s v=" 67.7729 "/>
    <x v="0"/>
    <n v="367946"/>
    <m/>
    <m/>
  </r>
  <r>
    <x v="9"/>
    <x v="5"/>
    <s v="F:\Données chgh\2020-CHG-CZA-Test-3\plaque 1/@09 Pro 37/F9_02.tif "/>
    <s v=" 6424.0787 "/>
    <s v=" 72.2795 "/>
    <x v="0"/>
    <n v="464329"/>
    <m/>
    <m/>
  </r>
  <r>
    <x v="9"/>
    <x v="5"/>
    <s v="F:\Données chgh\2020-CHG-CZA-Test-3\plaque 1/@09 Pro 37/F9_03.tif "/>
    <s v=" 519.1175 "/>
    <s v=" 66.875 "/>
    <x v="0"/>
    <n v="34716"/>
    <m/>
    <m/>
  </r>
  <r>
    <x v="9"/>
    <x v="6"/>
    <s v="F:\Données chgh\2020-CHG-CZA-Test-3\plaque 1/@09 Pro 37/G9_01.tif "/>
    <s v=" 12891.4172 "/>
    <s v=" 77.0537 "/>
    <x v="0"/>
    <n v="993331"/>
    <m/>
    <m/>
  </r>
  <r>
    <x v="9"/>
    <x v="6"/>
    <s v="F:\Données chgh\2020-CHG-CZA-Test-3\plaque 1/@09 Pro 37/G9_02.tif "/>
    <s v=" 11896.442 "/>
    <s v=" 84.0073 "/>
    <x v="0"/>
    <n v="999388"/>
    <m/>
    <m/>
  </r>
  <r>
    <x v="9"/>
    <x v="6"/>
    <s v="F:\Données chgh\2020-CHG-CZA-Test-3\plaque 1/@09 Pro 37/G9_03.tif "/>
    <s v=" 12112.741 "/>
    <s v=" 79.5982 "/>
    <x v="0"/>
    <n v="964153"/>
    <m/>
    <m/>
  </r>
  <r>
    <x v="9"/>
    <x v="7"/>
    <s v="F:\Données chgh\2020-CHG-CZA-Test-3\plaque 1/@09 Pro 37/H9_01.tif "/>
    <s v=" 6510.5983 "/>
    <s v=" 67.2857 "/>
    <x v="0"/>
    <n v="438070"/>
    <m/>
    <m/>
  </r>
  <r>
    <x v="9"/>
    <x v="7"/>
    <s v="F:\Données chgh\2020-CHG-CZA-Test-3\plaque 1/@09 Pro 37/H9_02.tif "/>
    <s v=" 7505.5734 "/>
    <s v=" 66.6081 "/>
    <x v="0"/>
    <n v="499932"/>
    <m/>
    <m/>
  </r>
  <r>
    <x v="9"/>
    <x v="7"/>
    <s v="F:\Données chgh\2020-CHG-CZA-Test-3\plaque 1/@09 Pro 37/H9_03.tif "/>
    <s v=" 4499.0181 "/>
    <s v=" 64.4375 "/>
    <x v="0"/>
    <n v="289905"/>
    <m/>
    <m/>
  </r>
  <r>
    <x v="1"/>
    <x v="8"/>
    <s v=" "/>
    <m/>
    <m/>
    <x v="1"/>
    <m/>
    <m/>
    <m/>
  </r>
  <r>
    <x v="1"/>
    <x v="8"/>
    <s v="group "/>
    <s v=" "/>
    <s v=" mean of mean fluo "/>
    <x v="2"/>
    <s v=" mean of total fluo "/>
    <s v=" SD total fluo "/>
    <s v=" n fluorescent "/>
  </r>
  <r>
    <x v="9"/>
    <x v="9"/>
    <s v="F:\Données chgh\2020-CHG-CZA-Test-3\plaque 1/@09 Pro 37/ "/>
    <s v=" "/>
    <s v=" 69.0305 "/>
    <x v="11"/>
    <n v="381299"/>
    <s v=" 377316.59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0"/>
    <x v="0"/>
    <s v="F:\Données chgh\2020-CHG-CZA-Test-3\plaque 1/@10 Pro 111/A10_01.tif "/>
    <s v=" 1816.9111 "/>
    <s v=" 66.119 "/>
    <x v="0"/>
    <n v="120132"/>
    <m/>
    <m/>
  </r>
  <r>
    <x v="10"/>
    <x v="0"/>
    <s v="F:\Données chgh\2020-CHG-CZA-Test-3\plaque 1/@10 Pro 111/A10_02.tif "/>
    <s v=" 1946.6905 "/>
    <s v=" 65.4222 "/>
    <x v="0"/>
    <n v="127357"/>
    <m/>
    <m/>
  </r>
  <r>
    <x v="10"/>
    <x v="0"/>
    <s v="F:\Données chgh\2020-CHG-CZA-Test-3\plaque 1/@10 Pro 111/A10_03.tif "/>
    <s v=" 1795.2813 "/>
    <s v=" 65.6506 "/>
    <x v="0"/>
    <n v="117861"/>
    <m/>
    <m/>
  </r>
  <r>
    <x v="10"/>
    <x v="1"/>
    <s v="F:\Données chgh\2020-CHG-CZA-Test-3\plaque 1/@10 Pro 111/B10_01.tif "/>
    <s v=" 3006.5554 "/>
    <s v=" 67.8489 "/>
    <x v="0"/>
    <n v="203992"/>
    <m/>
    <m/>
  </r>
  <r>
    <x v="10"/>
    <x v="1"/>
    <s v="F:\Données chgh\2020-CHG-CZA-Test-3\plaque 1/@10 Pro 111/B10_02.tif "/>
    <s v=" 3828.4913 "/>
    <s v=" 69.4689 "/>
    <x v="0"/>
    <n v="265961"/>
    <m/>
    <m/>
  </r>
  <r>
    <x v="10"/>
    <x v="1"/>
    <s v="F:\Données chgh\2020-CHG-CZA-Test-3\plaque 1/@10 Pro 111/B10_03.tif "/>
    <s v=" 2963.2956 "/>
    <s v=" 65.9489 "/>
    <x v="0"/>
    <n v="195426"/>
    <m/>
    <m/>
  </r>
  <r>
    <x v="10"/>
    <x v="2"/>
    <s v="F:\Données chgh\2020-CHG-CZA-Test-3\plaque 1/@10 Pro 111/C10_01.tif "/>
    <s v=" 1946.6905 "/>
    <s v=" 66.4 "/>
    <x v="0"/>
    <n v="129260"/>
    <m/>
    <m/>
  </r>
  <r>
    <x v="10"/>
    <x v="2"/>
    <s v="F:\Données chgh\2020-CHG-CZA-Test-3\plaque 1/@10 Pro 111/C10_02.tif "/>
    <s v=" 432.5979 "/>
    <s v=" 62.7 "/>
    <x v="0"/>
    <n v="27124"/>
    <m/>
    <m/>
  </r>
  <r>
    <x v="10"/>
    <x v="2"/>
    <s v="F:\Données chgh\2020-CHG-CZA-Test-3\plaque 1/@10 Pro 111/C10_03.tif "/>
    <s v=" 1038.2349 "/>
    <s v=" 66.0833 "/>
    <x v="0"/>
    <n v="68610"/>
    <m/>
    <m/>
  </r>
  <r>
    <x v="10"/>
    <x v="3"/>
    <s v="F:\Données chgh\2020-CHG-CZA-Test-3\plaque 1/@10 Pro 111/D10_01.tif "/>
    <s v=" 194.6691 "/>
    <s v=" 65.2222 "/>
    <x v="0"/>
    <n v="12697"/>
    <m/>
    <m/>
  </r>
  <r>
    <x v="10"/>
    <x v="3"/>
    <s v="F:\Données chgh\2020-CHG-CZA-Test-3\plaque 1/@10 Pro 111/D10_02.tif "/>
    <s v=" 3612.1924 "/>
    <s v=" 67.9641 "/>
    <x v="0"/>
    <n v="245499"/>
    <m/>
    <m/>
  </r>
  <r>
    <x v="10"/>
    <x v="3"/>
    <s v="F:\Données chgh\2020-CHG-CZA-Test-3\plaque 1/@10 Pro 111/D10_03.tif "/>
    <s v=" 4001.5305 "/>
    <s v=" 68.5135 "/>
    <x v="0"/>
    <n v="274159"/>
    <m/>
    <m/>
  </r>
  <r>
    <x v="10"/>
    <x v="4"/>
    <s v="F:\Données chgh\2020-CHG-CZA-Test-3\plaque 1/@10 Pro 111/E10_01.tif "/>
    <s v=" 475.8577 "/>
    <s v=" 62.4545 "/>
    <x v="0"/>
    <n v="29719"/>
    <m/>
    <m/>
  </r>
  <r>
    <x v="10"/>
    <x v="4"/>
    <s v="F:\Données chgh\2020-CHG-CZA-Test-3\plaque 1/@10 Pro 111/E10_02.tif "/>
    <s v=" 367.7082 "/>
    <s v=" 63.4118 "/>
    <x v="0"/>
    <n v="23317"/>
    <m/>
    <m/>
  </r>
  <r>
    <x v="10"/>
    <x v="4"/>
    <s v="F:\Données chgh\2020-CHG-CZA-Test-3\plaque 1/@10 Pro 111/E10_03.tif "/>
    <s v=" 475.8577 "/>
    <s v=" 64.1364 "/>
    <x v="0"/>
    <n v="30520"/>
    <m/>
    <m/>
  </r>
  <r>
    <x v="10"/>
    <x v="5"/>
    <s v="F:\Données chgh\2020-CHG-CZA-Test-3\plaque 1/@10 Pro 111/F10_01.tif "/>
    <s v=" 5234.4345 "/>
    <s v=" 68.1901 "/>
    <x v="0"/>
    <n v="356937"/>
    <m/>
    <m/>
  </r>
  <r>
    <x v="10"/>
    <x v="5"/>
    <s v="F:\Données chgh\2020-CHG-CZA-Test-3\plaque 1/@10 Pro 111/F10_02.tif "/>
    <s v=" 5320.9541 "/>
    <s v=" 70.8699 "/>
    <x v="0"/>
    <n v="377096"/>
    <m/>
    <m/>
  </r>
  <r>
    <x v="10"/>
    <x v="5"/>
    <s v="F:\Données chgh\2020-CHG-CZA-Test-3\plaque 1/@10 Pro 111/F10_03.tif "/>
    <s v=" 6359.189 "/>
    <s v=" 67.8095 "/>
    <x v="0"/>
    <n v="431214"/>
    <m/>
    <m/>
  </r>
  <r>
    <x v="10"/>
    <x v="6"/>
    <s v="F:\Données chgh\2020-CHG-CZA-Test-3\plaque 1/@10 Pro 111/G10_01.tif "/>
    <s v=" 6013.1107 "/>
    <s v=" 71.5432 "/>
    <x v="0"/>
    <n v="430197"/>
    <m/>
    <m/>
  </r>
  <r>
    <x v="10"/>
    <x v="6"/>
    <s v="F:\Données chgh\2020-CHG-CZA-Test-3\plaque 1/@10 Pro 111/G10_02.tif "/>
    <s v=" 7462.3136 "/>
    <s v=" 67.287 "/>
    <x v="0"/>
    <n v="502116"/>
    <m/>
    <m/>
  </r>
  <r>
    <x v="10"/>
    <x v="6"/>
    <s v="F:\Données chgh\2020-CHG-CZA-Test-3\plaque 1/@10 Pro 111/G10_03.tif "/>
    <s v=" 4628.7975 "/>
    <s v=" 68.9252 "/>
    <x v="0"/>
    <n v="319041"/>
    <m/>
    <m/>
  </r>
  <r>
    <x v="10"/>
    <x v="7"/>
    <s v="F:\Données chgh\2020-CHG-CZA-Test-3\plaque 1/@10 Pro 111/H10_01.tif "/>
    <s v=" 5256.0644 "/>
    <s v=" 68.679 "/>
    <x v="0"/>
    <n v="360981"/>
    <m/>
    <m/>
  </r>
  <r>
    <x v="10"/>
    <x v="7"/>
    <s v="F:\Données chgh\2020-CHG-CZA-Test-3\plaque 1/@10 Pro 111/H10_02.tif "/>
    <s v=" 497.4876 "/>
    <s v=" 62.9565 "/>
    <x v="0"/>
    <n v="31320"/>
    <m/>
    <m/>
  </r>
  <r>
    <x v="10"/>
    <x v="7"/>
    <s v="F:\Données chgh\2020-CHG-CZA-Test-3\plaque 1/@10 Pro 111/H10_03- exclu.tif"/>
    <m/>
    <m/>
    <x v="1"/>
    <m/>
    <m/>
    <m/>
  </r>
  <r>
    <x v="1"/>
    <x v="8"/>
    <s v=" "/>
    <m/>
    <m/>
    <x v="1"/>
    <m/>
    <m/>
    <m/>
  </r>
  <r>
    <x v="1"/>
    <x v="8"/>
    <s v="group "/>
    <s v=" "/>
    <s v=" mean of mean fluo "/>
    <x v="2"/>
    <s v=" mean of total fluo "/>
    <s v=" SD total fluo "/>
    <s v=" n fluorescent "/>
  </r>
  <r>
    <x v="10"/>
    <x v="9"/>
    <s v="F:\Données chgh\2020-CHG-CZA-Test-3\plaque 1/@10 Pro 111/ "/>
    <s v=" "/>
    <s v=" 66.5849 "/>
    <x v="12"/>
    <s v=" 197577.375 "/>
    <s v=" 154339.9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1"/>
    <x v="0"/>
    <s v="F:\Données chgh\2020-CHG-CZA-Test-3\plaque 1/@11 Pro 333/A11_01.tif "/>
    <s v=" 12826.5275 "/>
    <s v=" 81.6492 "/>
    <x v="0"/>
    <n v="1047276"/>
    <m/>
    <m/>
  </r>
  <r>
    <x v="11"/>
    <x v="0"/>
    <s v="F:\Données chgh\2020-CHG-CZA-Test-3\plaque 1/@11 Pro 333/A11_02.tif "/>
    <s v=" 6943.1962 "/>
    <s v=" 69.2399 "/>
    <x v="0"/>
    <n v="480746"/>
    <m/>
    <m/>
  </r>
  <r>
    <x v="11"/>
    <x v="0"/>
    <s v="F:\Données chgh\2020-CHG-CZA-Test-3\plaque 1/@11 Pro 333/A11_03.tif "/>
    <s v=" 6748.5271 "/>
    <s v=" 69.641 "/>
    <x v="0"/>
    <n v="469974"/>
    <m/>
    <m/>
  </r>
  <r>
    <x v="11"/>
    <x v="1"/>
    <s v="F:\Données chgh\2020-CHG-CZA-Test-3\plaque 1/@11 Pro 333/B11_01.tif "/>
    <s v=" 13518.6841 "/>
    <s v=" 73.5936 "/>
    <x v="0"/>
    <n v="994889"/>
    <m/>
    <m/>
  </r>
  <r>
    <x v="11"/>
    <x v="1"/>
    <s v="F:\Données chgh\2020-CHG-CZA-Test-3\plaque 1/@11 Pro 333/B11_02.tif "/>
    <s v=" 9127.8155 "/>
    <s v=" 70.3626 "/>
    <x v="0"/>
    <n v="642256"/>
    <m/>
    <m/>
  </r>
  <r>
    <x v="11"/>
    <x v="1"/>
    <s v="F:\Données chgh\2020-CHG-CZA-Test-3\plaque 1/@11 Pro 333/B11_03.tif "/>
    <s v=" 9949.7515 "/>
    <s v=" 73.3261 "/>
    <x v="0"/>
    <n v="729576"/>
    <m/>
    <m/>
  </r>
  <r>
    <x v="11"/>
    <x v="2"/>
    <s v="F:\Données chgh\2020-CHG-CZA-Test-3\plaque 1/@11 Pro 333/C11_01.tif "/>
    <s v=" 11809.9225 "/>
    <s v=" 85.0403 "/>
    <x v="0"/>
    <n v="1004319"/>
    <m/>
    <m/>
  </r>
  <r>
    <x v="11"/>
    <x v="2"/>
    <s v="F:\Données chgh\2020-CHG-CZA-Test-3\plaque 1/@11 Pro 333/C11_02.tif "/>
    <s v=" 11485.474 "/>
    <s v=" 78.403 "/>
    <x v="0"/>
    <n v="900496"/>
    <m/>
    <m/>
  </r>
  <r>
    <x v="11"/>
    <x v="2"/>
    <s v="F:\Données chgh\2020-CHG-CZA-Test-3\plaque 1/@11 Pro 333/C11_03.tif "/>
    <s v=" 8392.3991 "/>
    <s v=" 70.9433 "/>
    <x v="0"/>
    <n v="595384"/>
    <m/>
    <m/>
  </r>
  <r>
    <x v="11"/>
    <x v="3"/>
    <s v="F:\Données chgh\2020-CHG-CZA-Test-3\plaque 1/@11 Pro 333/D11_01.tif "/>
    <s v=" 4996.5057 "/>
    <s v=" 73.987 "/>
    <x v="0"/>
    <n v="369677"/>
    <m/>
    <m/>
  </r>
  <r>
    <x v="11"/>
    <x v="3"/>
    <s v="F:\Données chgh\2020-CHG-CZA-Test-3\plaque 1/@11 Pro 333/D11_02.tif "/>
    <s v=" 5429.1036 "/>
    <s v=" 73.9323 "/>
    <x v="0"/>
    <n v="401386"/>
    <m/>
    <m/>
  </r>
  <r>
    <x v="11"/>
    <x v="3"/>
    <s v="F:\Données chgh\2020-CHG-CZA-Test-3\plaque 1/@11 Pro 333/D11_03.tif "/>
    <s v=" 4520.648 "/>
    <n v="73"/>
    <x v="0"/>
    <n v="330007"/>
    <m/>
    <m/>
  </r>
  <r>
    <x v="11"/>
    <x v="4"/>
    <s v="F:\Données chgh\2020-CHG-CZA-Test-3\plaque 1/@11 Pro 333/E11_01.tif "/>
    <s v=" 1319.4236 "/>
    <s v=" 64.7377 "/>
    <x v="0"/>
    <n v="85416"/>
    <m/>
    <m/>
  </r>
  <r>
    <x v="11"/>
    <x v="4"/>
    <s v="F:\Données chgh\2020-CHG-CZA-Test-3\plaque 1/@11 Pro 333/E11_02.tif "/>
    <s v=" 1038.2349 "/>
    <s v=" 64.9375 "/>
    <x v="0"/>
    <n v="67420"/>
    <m/>
    <m/>
  </r>
  <r>
    <x v="11"/>
    <x v="4"/>
    <s v="F:\Données chgh\2020-CHG-CZA-Test-3\plaque 1/@11 Pro 333/E11_03.tif "/>
    <s v=" 843.5659 "/>
    <s v=" 64.4615 "/>
    <x v="0"/>
    <n v="54378"/>
    <m/>
    <m/>
  </r>
  <r>
    <x v="11"/>
    <x v="5"/>
    <s v="F:\Données chgh\2020-CHG-CZA-Test-3\plaque 1/@11 Pro 333/F11_01.tif "/>
    <s v=" 6597.1179 "/>
    <s v=" 68.4262 "/>
    <x v="0"/>
    <n v="451416"/>
    <m/>
    <m/>
  </r>
  <r>
    <x v="11"/>
    <x v="5"/>
    <s v="F:\Données chgh\2020-CHG-CZA-Test-3\plaque 1/@11 Pro 333/F11_02.tif "/>
    <s v=" 4542.2779 "/>
    <s v=" 67.2 "/>
    <x v="0"/>
    <n v="305241"/>
    <m/>
    <m/>
  </r>
  <r>
    <x v="11"/>
    <x v="5"/>
    <s v="F:\Données chgh\2020-CHG-CZA-Test-3\plaque 1/@11 Pro 333/F11_03.tif "/>
    <s v=" 3633.8223 "/>
    <s v=" 65.3155 "/>
    <x v="0"/>
    <n v="237345"/>
    <m/>
    <m/>
  </r>
  <r>
    <x v="11"/>
    <x v="6"/>
    <s v="F:\Données chgh\2020-CHG-CZA-Test-3\plaque 1/@11 Pro 333/G11_01.tif "/>
    <s v=" 4369.2387 "/>
    <s v=" 65.7624 "/>
    <x v="0"/>
    <n v="287332"/>
    <m/>
    <m/>
  </r>
  <r>
    <x v="11"/>
    <x v="6"/>
    <s v="F:\Données chgh\2020-CHG-CZA-Test-3\plaque 1/@11 Pro 333/G11_02.tif "/>
    <s v=" 2487.4379 "/>
    <s v=" 64.3826 "/>
    <x v="0"/>
    <n v="160148"/>
    <m/>
    <m/>
  </r>
  <r>
    <x v="11"/>
    <x v="6"/>
    <s v="F:\Données chgh\2020-CHG-CZA-Test-3\plaque 1/@11 Pro 333/G11_03.tif "/>
    <s v=" 1081.4947 "/>
    <s v=" 63.58 "/>
    <x v="0"/>
    <n v="68761"/>
    <m/>
    <m/>
  </r>
  <r>
    <x v="11"/>
    <x v="7"/>
    <s v="F:\Données chgh\2020-CHG-CZA-Test-3\plaque 1/@11 Pro 333/H11_01.tif "/>
    <s v=" 562.3773 "/>
    <s v=" 68.3462 "/>
    <x v="0"/>
    <n v="38436"/>
    <m/>
    <m/>
  </r>
  <r>
    <x v="11"/>
    <x v="7"/>
    <s v="F:\Données chgh\2020-CHG-CZA-Test-3\plaque 1/@11 Pro 333/H11_02.tif "/>
    <s v=" 1124.7545 "/>
    <s v=" 63.0769 "/>
    <x v="0"/>
    <n v="70946"/>
    <m/>
    <m/>
  </r>
  <r>
    <x v="11"/>
    <x v="7"/>
    <s v="F:\Données chgh\2020-CHG-CZA-Test-3\plaque 1/@11 Pro 333/H11_03.tif "/>
    <s v=" 1535.7225 "/>
    <s v=" 63.7606 "/>
    <x v="0"/>
    <n v="97919"/>
    <m/>
    <m/>
  </r>
  <r>
    <x v="1"/>
    <x v="8"/>
    <s v=" "/>
    <m/>
    <m/>
    <x v="1"/>
    <m/>
    <m/>
    <m/>
  </r>
  <r>
    <x v="1"/>
    <x v="8"/>
    <s v="group "/>
    <s v=" "/>
    <s v=" mean of mean fluo "/>
    <x v="2"/>
    <s v=" mean of total fluo "/>
    <s v=" SD total fluo "/>
    <s v=" n fluorescent "/>
  </r>
  <r>
    <x v="11"/>
    <x v="9"/>
    <s v="F:\Données chgh\2020-CHG-CZA-Test-3\plaque 1/@11 Pro 333/ "/>
    <s v=" "/>
    <s v=" 69.8794 "/>
    <x v="13"/>
    <s v=" 412114.333 "/>
    <s v=" 328703.74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2"/>
    <x v="0"/>
    <s v="F:\Données chgh\2020-CHG-CZA-Test-3\plaque 1/@12 Pro 1000/A12_01.tif "/>
    <s v=" 2249.509 "/>
    <s v=" 64.3942 "/>
    <x v="0"/>
    <n v="144855"/>
    <m/>
    <m/>
  </r>
  <r>
    <x v="12"/>
    <x v="0"/>
    <s v="F:\Données chgh\2020-CHG-CZA-Test-3\plaque 1/@12 Pro 1000/A12_02.tif "/>
    <s v=" 1773.6514 "/>
    <s v=" 66.9268 "/>
    <x v="0"/>
    <n v="118705"/>
    <m/>
    <m/>
  </r>
  <r>
    <x v="12"/>
    <x v="0"/>
    <s v="F:\Données chgh\2020-CHG-CZA-Test-3\plaque 1/@12 Pro 1000/A12_03.tif "/>
    <s v=" 410.968 "/>
    <s v=" 62.1053 "/>
    <x v="0"/>
    <n v="25523"/>
    <m/>
    <m/>
  </r>
  <r>
    <x v="12"/>
    <x v="1"/>
    <s v="F:\Données chgh\2020-CHG-CZA-Test-3\plaque 1/@12 Pro 1000/B12_01.tif "/>
    <s v=" 9192.7052 "/>
    <s v=" 72.1153 "/>
    <x v="0"/>
    <n v="662935"/>
    <m/>
    <m/>
  </r>
  <r>
    <x v="12"/>
    <x v="1"/>
    <s v="F:\Données chgh\2020-CHG-CZA-Test-3\plaque 1/@12 Pro 1000/B12_02.tif "/>
    <s v=" 8435.6589 "/>
    <s v=" 73.1436 "/>
    <x v="0"/>
    <n v="617014"/>
    <m/>
    <m/>
  </r>
  <r>
    <x v="12"/>
    <x v="1"/>
    <s v="F:\Données chgh\2020-CHG-CZA-Test-3\plaque 1/@12 Pro 1000/B12_03- exclu.tif"/>
    <m/>
    <m/>
    <x v="1"/>
    <m/>
    <m/>
    <m/>
  </r>
  <r>
    <x v="12"/>
    <x v="2"/>
    <s v="F:\Données chgh\2020-CHG-CZA-Test-3\plaque 1/@12 Pro 1000/C12_01.tif "/>
    <s v=" 216.2989 "/>
    <s v=" 64.7 "/>
    <x v="0"/>
    <n v="13995"/>
    <m/>
    <m/>
  </r>
  <r>
    <x v="12"/>
    <x v="2"/>
    <s v="F:\Données chgh\2020-CHG-CZA-Test-3\plaque 1/@12 Pro 1000/C12_02.tif "/>
    <s v=" 173.0392 "/>
    <n v="63"/>
    <x v="0"/>
    <n v="10901"/>
    <m/>
    <m/>
  </r>
  <r>
    <x v="12"/>
    <x v="2"/>
    <s v="F:\Données chgh\2020-CHG-CZA-Test-3\plaque 1/@12 Pro 1000/C12_03.tif "/>
    <s v=" 194.6691 "/>
    <s v=" 64.4444 "/>
    <x v="0"/>
    <n v="12545"/>
    <m/>
    <m/>
  </r>
  <r>
    <x v="12"/>
    <x v="3"/>
    <s v="F:\Données chgh\2020-CHG-CZA-Test-3\plaque 1/@12 Pro 1000/D12_01.tif "/>
    <s v=" 237.9288 "/>
    <n v="64"/>
    <x v="0"/>
    <n v="15227"/>
    <m/>
    <m/>
  </r>
  <r>
    <x v="12"/>
    <x v="3"/>
    <s v="F:\Données chgh\2020-CHG-CZA-Test-3\plaque 1/@12 Pro 1000/D12_02- exclu.tif"/>
    <m/>
    <m/>
    <x v="1"/>
    <m/>
    <m/>
    <m/>
  </r>
  <r>
    <x v="12"/>
    <x v="3"/>
    <s v="F:\Données chgh\2020-CHG-CZA-Test-3\plaque 1/@12 Pro 1000/D12_03.tif "/>
    <s v=" 194.6691 "/>
    <s v=" 61.5556 "/>
    <x v="0"/>
    <n v="11983"/>
    <m/>
    <m/>
  </r>
  <r>
    <x v="12"/>
    <x v="4"/>
    <s v="F:\Données chgh\2020-CHG-CZA-Test-3\plaque 1/@12 Pro 1000/E12_01.tif "/>
    <s v=" 5126.285 "/>
    <s v=" 83.1857 "/>
    <x v="0"/>
    <n v="426433"/>
    <m/>
    <m/>
  </r>
  <r>
    <x v="12"/>
    <x v="4"/>
    <s v="F:\Données chgh\2020-CHG-CZA-Test-3\plaque 1/@12 Pro 1000/E12_02.tif "/>
    <s v=" 6380.8189 "/>
    <s v=" 72.6881 "/>
    <x v="0"/>
    <n v="463810"/>
    <m/>
    <m/>
  </r>
  <r>
    <x v="12"/>
    <x v="4"/>
    <s v="F:\Données chgh\2020-CHG-CZA-Test-3\plaque 1/@12 Pro 1000/E12_03.tif "/>
    <s v=" 8089.5806 "/>
    <s v=" 77.1952 "/>
    <x v="0"/>
    <n v="624477"/>
    <m/>
    <m/>
  </r>
  <r>
    <x v="12"/>
    <x v="5"/>
    <s v="F:\Données chgh\2020-CHG-CZA-Test-3\plaque 1/@12 Pro 1000/F12_01.tif "/>
    <s v=" 3936.6408 "/>
    <s v=" 69.033 "/>
    <x v="0"/>
    <n v="271758"/>
    <m/>
    <m/>
  </r>
  <r>
    <x v="12"/>
    <x v="5"/>
    <s v="F:\Données chgh\2020-CHG-CZA-Test-3\plaque 1/@12 Pro 1000/F12_02.tif "/>
    <s v=" 4607.1676 "/>
    <s v=" 67.7324 "/>
    <x v="0"/>
    <n v="312054"/>
    <m/>
    <m/>
  </r>
  <r>
    <x v="12"/>
    <x v="5"/>
    <s v="F:\Données chgh\2020-CHG-CZA-Test-3\plaque 1/@12 Pro 1000/F12_03.tif "/>
    <s v=" 324.4484 "/>
    <s v=" 63.2667 "/>
    <x v="0"/>
    <n v="20527"/>
    <m/>
    <m/>
  </r>
  <r>
    <x v="12"/>
    <x v="6"/>
    <s v="F:\Données chgh\2020-CHG-CZA-Test-3\plaque 1/@12 Pro 1000/G12_01.tif "/>
    <s v=" 5515.6231 "/>
    <s v=" 65.1843 "/>
    <x v="0"/>
    <n v="359532"/>
    <m/>
    <m/>
  </r>
  <r>
    <x v="12"/>
    <x v="6"/>
    <s v="F:\Données chgh\2020-CHG-CZA-Test-3\plaque 1/@12 Pro 1000/G12_02.tif "/>
    <s v=" 4066.4202 "/>
    <s v=" 64.9947 "/>
    <x v="0"/>
    <n v="264296"/>
    <m/>
    <m/>
  </r>
  <r>
    <x v="12"/>
    <x v="6"/>
    <s v="F:\Données chgh\2020-CHG-CZA-Test-3\plaque 1/@12 Pro 1000/G12_03.tif "/>
    <s v=" 3915.0109 "/>
    <s v=" 64.9448 "/>
    <x v="0"/>
    <n v="254259"/>
    <m/>
    <m/>
  </r>
  <r>
    <x v="12"/>
    <x v="7"/>
    <s v="F:\Données chgh\2020-CHG-CZA-Test-3\plaque 1/@12 Pro 1000/H12_01.tif "/>
    <s v=" 3352.6337 "/>
    <s v=" 67.4323 "/>
    <x v="0"/>
    <n v="226076"/>
    <m/>
    <m/>
  </r>
  <r>
    <x v="12"/>
    <x v="7"/>
    <s v="F:\Données chgh\2020-CHG-CZA-Test-3\plaque 1/@12 Pro 1000/H12_02- exclu.tif"/>
    <m/>
    <m/>
    <x v="1"/>
    <m/>
    <m/>
    <m/>
  </r>
  <r>
    <x v="12"/>
    <x v="7"/>
    <s v="F:\Données chgh\2020-CHG-CZA-Test-3\plaque 1/@12 Pro 1000/H12_03.tif "/>
    <s v=" 951.7154 "/>
    <s v=" 63.9091 "/>
    <x v="0"/>
    <n v="60823"/>
    <m/>
    <m/>
  </r>
  <r>
    <x v="1"/>
    <x v="8"/>
    <s v=" "/>
    <m/>
    <m/>
    <x v="1"/>
    <m/>
    <m/>
    <m/>
  </r>
  <r>
    <x v="1"/>
    <x v="8"/>
    <s v="group "/>
    <s v=" "/>
    <s v=" mean of mean fluo "/>
    <x v="2"/>
    <s v=" mean of total fluo "/>
    <s v=" SD total fluo "/>
    <s v=" n fluorescent "/>
  </r>
  <r>
    <x v="12"/>
    <x v="9"/>
    <s v="F:\Données chgh\2020-CHG-CZA-Test-3\plaque 1/@12 Pro 1000/ "/>
    <s v=" "/>
    <s v=" 66.8972 "/>
    <x v="14"/>
    <s v=" 208729.292 "/>
    <s v=" 217994.90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3"/>
    <x v="0"/>
    <s v="F:\Données chgh\2020-CHG-CZA-Test-3\plaque 2/@13 Testo 30/A1_01.tif "/>
    <s v=" 37484.6074 "/>
    <s v=" 71.5817 "/>
    <x v="0"/>
    <n v="2683210"/>
    <m/>
    <m/>
  </r>
  <r>
    <x v="13"/>
    <x v="0"/>
    <s v="F:\Données chgh\2020-CHG-CZA-Test-3\plaque 2/@13 Testo 30/A1_02.tif "/>
    <s v=" 39885.5257 "/>
    <s v=" 72.9555 "/>
    <x v="0"/>
    <n v="2909870"/>
    <m/>
    <m/>
  </r>
  <r>
    <x v="13"/>
    <x v="0"/>
    <s v="F:\Données chgh\2020-CHG-CZA-Test-3\plaque 2/@13 Testo 30/A1_03.tif "/>
    <s v=" 32033.8739 "/>
    <s v=" 71.3801 "/>
    <x v="0"/>
    <n v="2286583"/>
    <m/>
    <m/>
  </r>
  <r>
    <x v="13"/>
    <x v="1"/>
    <s v="F:\Données chgh\2020-CHG-CZA-Test-3\plaque 2/@13 Testo 30/B1_01- exclu.tif"/>
    <m/>
    <m/>
    <x v="1"/>
    <m/>
    <m/>
    <m/>
  </r>
  <r>
    <x v="13"/>
    <x v="1"/>
    <s v="F:\Données chgh\2020-CHG-CZA-Test-3\plaque 2/@13 Testo 30/B1_02- exclu.tif"/>
    <m/>
    <m/>
    <x v="1"/>
    <m/>
    <m/>
    <m/>
  </r>
  <r>
    <x v="13"/>
    <x v="1"/>
    <s v="F:\Données chgh\2020-CHG-CZA-Test-3\plaque 2/@13 Testo 30/B1_03- exclu.tif"/>
    <m/>
    <m/>
    <x v="1"/>
    <m/>
    <m/>
    <m/>
  </r>
  <r>
    <x v="13"/>
    <x v="2"/>
    <s v="F:\Données chgh\2020-CHG-CZA-Test-3\plaque 2/@13 Testo 30/C1_01.tif "/>
    <s v=" 9149.4454 "/>
    <s v=" 69.7872 "/>
    <x v="0"/>
    <n v="638514"/>
    <m/>
    <m/>
  </r>
  <r>
    <x v="13"/>
    <x v="2"/>
    <s v="F:\Données chgh\2020-CHG-CZA-Test-3\plaque 2/@13 Testo 30/C1_02.tif "/>
    <s v=" 6078.0004 "/>
    <s v=" 65.5302 "/>
    <x v="0"/>
    <n v="398293"/>
    <m/>
    <m/>
  </r>
  <r>
    <x v="13"/>
    <x v="2"/>
    <s v="F:\Données chgh\2020-CHG-CZA-Test-3\plaque 2/@13 Testo 30/C1_03.tif "/>
    <s v=" 3568.9326 "/>
    <s v=" 63.5212 "/>
    <x v="0"/>
    <n v="226703"/>
    <m/>
    <m/>
  </r>
  <r>
    <x v="13"/>
    <x v="3"/>
    <s v="F:\Données chgh\2020-CHG-CZA-Test-3\plaque 2/@13 Testo 30/D1_01.tif "/>
    <s v=" 89482.8741 "/>
    <s v=" 78.4863 "/>
    <x v="0"/>
    <n v="7023184"/>
    <m/>
    <m/>
  </r>
  <r>
    <x v="13"/>
    <x v="3"/>
    <s v="F:\Données chgh\2020-CHG-CZA-Test-3\plaque 2/@13 Testo 30/D1_02.tif "/>
    <s v=" 87168.4754 "/>
    <s v=" 76.2675 "/>
    <x v="0"/>
    <n v="6648121"/>
    <m/>
    <m/>
  </r>
  <r>
    <x v="13"/>
    <x v="3"/>
    <s v="F:\Données chgh\2020-CHG-CZA-Test-3\plaque 2/@13 Testo 30/D1_03.tif "/>
    <s v=" 80484.8379 "/>
    <s v=" 75.7909 "/>
    <x v="0"/>
    <n v="6100020"/>
    <m/>
    <m/>
  </r>
  <r>
    <x v="13"/>
    <x v="4"/>
    <s v="F:\Données chgh\2020-CHG-CZA-Test-3\plaque 2/@13 Testo 30/E1_01.tif "/>
    <s v=" 68004.3887 "/>
    <s v=" 73.5887 "/>
    <x v="0"/>
    <n v="5004357"/>
    <m/>
    <m/>
  </r>
  <r>
    <x v="13"/>
    <x v="4"/>
    <s v="F:\Données chgh\2020-CHG-CZA-Test-3\plaque 2/@13 Testo 30/E1_02.tif "/>
    <s v=" 67788.0898 "/>
    <s v=" 73.1369 "/>
    <x v="0"/>
    <n v="4957810"/>
    <m/>
    <m/>
  </r>
  <r>
    <x v="13"/>
    <x v="4"/>
    <s v="F:\Données chgh\2020-CHG-CZA-Test-3\plaque 2/@13 Testo 30/E1_03- exclu.tif"/>
    <m/>
    <m/>
    <x v="1"/>
    <m/>
    <m/>
    <m/>
  </r>
  <r>
    <x v="13"/>
    <x v="5"/>
    <s v="F:\Données chgh\2020-CHG-CZA-Test-3\plaque 2/@13 Testo 30/F1_01.tif "/>
    <s v=" 46352.8642 "/>
    <s v=" 70.1657 "/>
    <x v="0"/>
    <n v="3252379"/>
    <m/>
    <m/>
  </r>
  <r>
    <x v="13"/>
    <x v="5"/>
    <s v="F:\Données chgh\2020-CHG-CZA-Test-3\plaque 2/@13 Testo 30/F1_02.tif "/>
    <s v=" 45530.9282 "/>
    <s v=" 70.1349 "/>
    <x v="0"/>
    <n v="3193308"/>
    <m/>
    <m/>
  </r>
  <r>
    <x v="13"/>
    <x v="5"/>
    <s v="F:\Données chgh\2020-CHG-CZA-Test-3\plaque 2/@13 Testo 30/F1_03.tif "/>
    <s v=" 32812.5502 "/>
    <s v=" 69.9492 "/>
    <x v="0"/>
    <n v="2295213"/>
    <m/>
    <m/>
  </r>
  <r>
    <x v="13"/>
    <x v="6"/>
    <s v="F:\Données chgh\2020-CHG-CZA-Test-3\plaque 2/@13 Testo 30/G1_01.tif "/>
    <s v=" 1838.541 "/>
    <s v=" 63.9059 "/>
    <x v="0"/>
    <n v="117494"/>
    <m/>
    <m/>
  </r>
  <r>
    <x v="13"/>
    <x v="6"/>
    <s v="F:\Données chgh\2020-CHG-CZA-Test-3\plaque 2/@13 Testo 30/G1_02.tif "/>
    <s v=" 1449.2029 "/>
    <s v=" 64.4627 "/>
    <x v="0"/>
    <n v="93420"/>
    <m/>
    <m/>
  </r>
  <r>
    <x v="13"/>
    <x v="6"/>
    <s v="F:\Données chgh\2020-CHG-CZA-Test-3\plaque 2/@13 Testo 30/G1_03.tif "/>
    <s v=" 1578.9823 "/>
    <s v=" 63.1644 "/>
    <x v="0"/>
    <n v="99735"/>
    <m/>
    <m/>
  </r>
  <r>
    <x v="13"/>
    <x v="7"/>
    <s v="F:\Données chgh\2020-CHG-CZA-Test-3\plaque 2/@13 Testo 30/H1_01.tif "/>
    <s v=" 4044.7903 "/>
    <s v=" 66.2032 "/>
    <x v="0"/>
    <n v="267778"/>
    <m/>
    <m/>
  </r>
  <r>
    <x v="13"/>
    <x v="7"/>
    <s v="F:\Données chgh\2020-CHG-CZA-Test-3\plaque 2/@13 Testo 30/H1_02.tif "/>
    <s v=" 3936.6408 "/>
    <s v=" 65.0879 "/>
    <x v="0"/>
    <n v="256228"/>
    <m/>
    <m/>
  </r>
  <r>
    <x v="13"/>
    <x v="7"/>
    <s v="F:\Données chgh\2020-CHG-CZA-Test-3\plaque 2/@13 Testo 30/H1_03.tif "/>
    <s v=" 2984.9255 "/>
    <s v=" 65.0145 "/>
    <x v="0"/>
    <n v="194063"/>
    <m/>
    <m/>
  </r>
  <r>
    <x v="1"/>
    <x v="8"/>
    <s v=" "/>
    <m/>
    <m/>
    <x v="1"/>
    <m/>
    <m/>
    <m/>
  </r>
  <r>
    <x v="1"/>
    <x v="8"/>
    <s v="group "/>
    <s v=" "/>
    <s v=" mean of mean fluo "/>
    <x v="2"/>
    <s v=" mean of total fluo "/>
    <s v=" SD total fluo "/>
    <s v=" n fluorescent "/>
  </r>
  <r>
    <x v="13"/>
    <x v="9"/>
    <s v="F:\Données chgh\2020-CHG-CZA-Test-3\plaque 2/@13 Testo 30/ "/>
    <s v=" "/>
    <s v=" 69.1568 "/>
    <x v="15"/>
    <s v=" 2400772.33 "/>
    <s v=" 2239618.2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4"/>
    <x v="0"/>
    <s v="F:\Données chgh\2020-CHG-CZA-Test-3\plaque 2/@14 Testo 30/A2_01- exclu.tif"/>
    <m/>
    <m/>
    <x v="1"/>
    <m/>
    <m/>
    <m/>
  </r>
  <r>
    <x v="14"/>
    <x v="0"/>
    <s v="F:\Données chgh\2020-CHG-CZA-Test-3\plaque 2/@14 Testo 30/A2_02.tif "/>
    <s v=" 9863.232 "/>
    <s v=" 65.5943 "/>
    <x v="0"/>
    <n v="646972"/>
    <m/>
    <m/>
  </r>
  <r>
    <x v="14"/>
    <x v="0"/>
    <s v="F:\Données chgh\2020-CHG-CZA-Test-3\plaque 2/@14 Testo 30/A2_03.tif "/>
    <s v=" 11161.0256 "/>
    <s v=" 68.4322 "/>
    <x v="0"/>
    <n v="763773"/>
    <m/>
    <m/>
  </r>
  <r>
    <x v="14"/>
    <x v="1"/>
    <s v="F:\Données chgh\2020-CHG-CZA-Test-3\plaque 2/@14 Testo 30/B2_01.tif "/>
    <s v=" 43973.5758 "/>
    <s v=" 72.694 "/>
    <x v="0"/>
    <n v="3196617"/>
    <m/>
    <m/>
  </r>
  <r>
    <x v="14"/>
    <x v="1"/>
    <s v="F:\Données chgh\2020-CHG-CZA-Test-3\plaque 2/@14 Testo 30/B2_02.tif "/>
    <s v=" 34196.8634 "/>
    <s v=" 71.3428 "/>
    <x v="0"/>
    <n v="2439701"/>
    <m/>
    <m/>
  </r>
  <r>
    <x v="14"/>
    <x v="1"/>
    <s v="F:\Données chgh\2020-CHG-CZA-Test-3\plaque 2/@14 Testo 30/B2_03.tif "/>
    <s v=" 41118.4297 "/>
    <s v=" 71.9353 "/>
    <x v="0"/>
    <n v="2957866"/>
    <m/>
    <m/>
  </r>
  <r>
    <x v="14"/>
    <x v="2"/>
    <s v="F:\Données chgh\2020-CHG-CZA-Test-3\plaque 2/@14 Testo 30/C2_01.tif "/>
    <s v=" 55307.6406 "/>
    <s v=" 72.9515 "/>
    <x v="0"/>
    <n v="4034776"/>
    <m/>
    <m/>
  </r>
  <r>
    <x v="14"/>
    <x v="2"/>
    <s v="F:\Données chgh\2020-CHG-CZA-Test-3\plaque 2/@14 Testo 30/C2_02.tif "/>
    <s v=" 61731.7193 "/>
    <s v=" 73.9471 "/>
    <x v="0"/>
    <n v="4564881"/>
    <m/>
    <m/>
  </r>
  <r>
    <x v="14"/>
    <x v="2"/>
    <s v="F:\Données chgh\2020-CHG-CZA-Test-3\plaque 2/@14 Testo 30/C2_03.tif "/>
    <s v=" 60044.5875 "/>
    <s v=" 71.3588 "/>
    <x v="0"/>
    <n v="4284709"/>
    <m/>
    <m/>
  </r>
  <r>
    <x v="14"/>
    <x v="3"/>
    <s v="F:\Données chgh\2020-CHG-CZA-Test-3\plaque 2/@14 Testo 30/D2_01.tif "/>
    <s v=" 44968.5509 "/>
    <s v=" 71.431 "/>
    <x v="0"/>
    <n v="3212148"/>
    <m/>
    <m/>
  </r>
  <r>
    <x v="14"/>
    <x v="3"/>
    <s v="F:\Données chgh\2020-CHG-CZA-Test-3\plaque 2/@14 Testo 30/D2_02.tif "/>
    <s v=" 38998.7 "/>
    <s v=" 72.0643 "/>
    <x v="0"/>
    <n v="2810415"/>
    <m/>
    <m/>
  </r>
  <r>
    <x v="14"/>
    <x v="3"/>
    <s v="F:\Données chgh\2020-CHG-CZA-Test-3\plaque 2/@14 Testo 30/D2_03.tif "/>
    <s v=" 39496.1876 "/>
    <s v=" 71.9003 "/>
    <x v="0"/>
    <n v="2839789"/>
    <m/>
    <m/>
  </r>
  <r>
    <x v="14"/>
    <x v="4"/>
    <s v="F:\Données chgh\2020-CHG-CZA-Test-3\plaque 2/@14 Testo 30/E2_01- exclu.tif"/>
    <m/>
    <m/>
    <x v="1"/>
    <m/>
    <m/>
    <m/>
  </r>
  <r>
    <x v="14"/>
    <x v="4"/>
    <s v="F:\Données chgh\2020-CHG-CZA-Test-3\plaque 2/@14 Testo 30/E2_02.tif "/>
    <s v=" 48364.4444 "/>
    <s v=" 75.0058 "/>
    <x v="0"/>
    <n v="3627615"/>
    <m/>
    <m/>
  </r>
  <r>
    <x v="14"/>
    <x v="4"/>
    <s v="F:\Données chgh\2020-CHG-CZA-Test-3\plaque 2/@14 Testo 30/E2_03- exclu.tif"/>
    <m/>
    <m/>
    <x v="1"/>
    <m/>
    <m/>
    <m/>
  </r>
  <r>
    <x v="14"/>
    <x v="5"/>
    <s v="F:\Données chgh\2020-CHG-CZA-Test-3\plaque 2/@14 Testo 30/F2_01.tif "/>
    <s v=" 56627.0641 "/>
    <s v=" 76.4939 "/>
    <x v="0"/>
    <n v="4331624"/>
    <m/>
    <m/>
  </r>
  <r>
    <x v="14"/>
    <x v="5"/>
    <s v="F:\Données chgh\2020-CHG-CZA-Test-3\plaque 2/@14 Testo 30/F2_02.tif "/>
    <s v=" 49121.4907 "/>
    <s v=" 73.9921 "/>
    <x v="0"/>
    <n v="3634601"/>
    <m/>
    <m/>
  </r>
  <r>
    <x v="14"/>
    <x v="5"/>
    <s v="F:\Données chgh\2020-CHG-CZA-Test-3\plaque 2/@14 Testo 30/F2_03.tif "/>
    <s v=" 49164.7505 "/>
    <s v=" 72.6436 "/>
    <x v="0"/>
    <n v="3571507"/>
    <m/>
    <m/>
  </r>
  <r>
    <x v="14"/>
    <x v="6"/>
    <s v="F:\Données chgh\2020-CHG-CZA-Test-3\plaque 2/@14 Testo 30/G2_01- exclu.tif"/>
    <m/>
    <m/>
    <x v="1"/>
    <m/>
    <m/>
    <m/>
  </r>
  <r>
    <x v="14"/>
    <x v="6"/>
    <s v="F:\Données chgh\2020-CHG-CZA-Test-3\plaque 2/@14 Testo 30/G2_02.tif "/>
    <s v=" 6467.3385 "/>
    <s v=" 65.4147 "/>
    <x v="0"/>
    <n v="423059"/>
    <m/>
    <m/>
  </r>
  <r>
    <x v="14"/>
    <x v="6"/>
    <s v="F:\Données chgh\2020-CHG-CZA-Test-3\plaque 2/@14 Testo 30/G2_03.tif "/>
    <s v=" 3979.9006 "/>
    <s v=" 64.7391 "/>
    <x v="0"/>
    <n v="257655"/>
    <m/>
    <m/>
  </r>
  <r>
    <x v="14"/>
    <x v="7"/>
    <s v="F:\Données chgh\2020-CHG-CZA-Test-3\plaque 2/@14 Testo 30/H2_01.tif "/>
    <s v=" 14729.9582 "/>
    <s v=" 69.4273 "/>
    <x v="0"/>
    <n v="1022661"/>
    <m/>
    <m/>
  </r>
  <r>
    <x v="14"/>
    <x v="7"/>
    <s v="F:\Données chgh\2020-CHG-CZA-Test-3\plaque 2/@14 Testo 30/H2_02.tif "/>
    <s v=" 26388.4714 "/>
    <s v=" 69.7975 "/>
    <x v="0"/>
    <n v="1841850"/>
    <m/>
    <m/>
  </r>
  <r>
    <x v="14"/>
    <x v="7"/>
    <s v="F:\Données chgh\2020-CHG-CZA-Test-3\plaque 2/@14 Testo 30/H2_03.tif "/>
    <s v=" 21413.5957 "/>
    <s v=" 68.6111 "/>
    <x v="0"/>
    <n v="1469211"/>
    <m/>
    <m/>
  </r>
  <r>
    <x v="1"/>
    <x v="8"/>
    <s v=" "/>
    <m/>
    <m/>
    <x v="1"/>
    <m/>
    <m/>
    <m/>
  </r>
  <r>
    <x v="1"/>
    <x v="8"/>
    <s v="group "/>
    <s v=" "/>
    <s v=" mean of mean fluo "/>
    <x v="2"/>
    <s v=" mean of total fluo "/>
    <s v=" SD total fluo "/>
    <s v=" n fluorescent "/>
  </r>
  <r>
    <x v="14"/>
    <x v="9"/>
    <s v="F:\Données chgh\2020-CHG-CZA-Test-3\plaque 2/@14 Testo 30/ "/>
    <s v=" "/>
    <s v=" 71.1803 "/>
    <x v="16"/>
    <s v=" 2423079.92 "/>
    <s v=" 1452542.4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5"/>
    <x v="0"/>
    <s v="F:\Données chgh\2020-CHG-CZA-Test-3\plaque 2/@15 Testo + EE2/A3_01- exclu.tif"/>
    <m/>
    <m/>
    <x v="1"/>
    <m/>
    <m/>
    <m/>
  </r>
  <r>
    <x v="15"/>
    <x v="0"/>
    <s v="F:\Données chgh\2020-CHG-CZA-Test-3\plaque 2/@15 Testo + EE2/A3_02.tif "/>
    <s v=" 49402.6793 "/>
    <s v=" 74.2032 "/>
    <x v="0"/>
    <n v="3665835"/>
    <m/>
    <m/>
  </r>
  <r>
    <x v="15"/>
    <x v="0"/>
    <s v="F:\Données chgh\2020-CHG-CZA-Test-3\plaque 2/@15 Testo + EE2/A3_03- exclu.tif"/>
    <m/>
    <m/>
    <x v="1"/>
    <m/>
    <m/>
    <m/>
  </r>
  <r>
    <x v="15"/>
    <x v="1"/>
    <s v="F:\Données chgh\2020-CHG-CZA-Test-3\plaque 2/@15 Testo + EE2/B3_01.tif "/>
    <s v=" 54464.0747 "/>
    <s v=" 78.1382 "/>
    <x v="0"/>
    <n v="4255725"/>
    <m/>
    <m/>
  </r>
  <r>
    <x v="15"/>
    <x v="1"/>
    <s v="F:\Données chgh\2020-CHG-CZA-Test-3\plaque 2/@15 Testo + EE2/B3_02- exclu.tif"/>
    <m/>
    <m/>
    <x v="1"/>
    <m/>
    <m/>
    <m/>
  </r>
  <r>
    <x v="15"/>
    <x v="1"/>
    <s v="F:\Données chgh\2020-CHG-CZA-Test-3\plaque 2/@15 Testo + EE2/B3_03- exclu.tif"/>
    <m/>
    <m/>
    <x v="1"/>
    <m/>
    <m/>
    <m/>
  </r>
  <r>
    <x v="15"/>
    <x v="2"/>
    <s v="F:\Données chgh\2020-CHG-CZA-Test-3\plaque 2/@15 Testo + EE2/C3_01.tif "/>
    <s v=" 66057.6982 "/>
    <s v=" 80.9525 "/>
    <x v="0"/>
    <n v="5347537"/>
    <m/>
    <m/>
  </r>
  <r>
    <x v="15"/>
    <x v="2"/>
    <s v="F:\Données chgh\2020-CHG-CZA-Test-3\plaque 2/@15 Testo + EE2/C3_02.tif "/>
    <s v=" 61537.0502 "/>
    <s v=" 79.2837 "/>
    <x v="0"/>
    <n v="4878882"/>
    <m/>
    <m/>
  </r>
  <r>
    <x v="15"/>
    <x v="2"/>
    <s v="F:\Données chgh\2020-CHG-CZA-Test-3\plaque 2/@15 Testo + EE2/C3_03.tif "/>
    <s v=" 64284.0468 "/>
    <s v=" 79.9351 "/>
    <x v="0"/>
    <n v="5138549"/>
    <m/>
    <m/>
  </r>
  <r>
    <x v="15"/>
    <x v="3"/>
    <s v="F:\Données chgh\2020-CHG-CZA-Test-3\plaque 2/@15 Testo + EE2/D3_01.tif "/>
    <s v=" 52517.3842 "/>
    <s v=" 77.061 "/>
    <x v="0"/>
    <n v="4047040"/>
    <m/>
    <m/>
  </r>
  <r>
    <x v="15"/>
    <x v="3"/>
    <s v="F:\Données chgh\2020-CHG-CZA-Test-3\plaque 2/@15 Testo + EE2/D3_02.tif "/>
    <s v=" 52171.3058 "/>
    <s v=" 78.3897 "/>
    <x v="0"/>
    <n v="4089694"/>
    <m/>
    <m/>
  </r>
  <r>
    <x v="15"/>
    <x v="3"/>
    <s v="F:\Données chgh\2020-CHG-CZA-Test-3\plaque 2/@15 Testo + EE2/D3_03.tif "/>
    <s v=" 48061.6259 "/>
    <s v=" 78.6449 "/>
    <x v="0"/>
    <n v="3779802"/>
    <m/>
    <m/>
  </r>
  <r>
    <x v="15"/>
    <x v="4"/>
    <s v="F:\Données chgh\2020-CHG-CZA-Test-3\plaque 2/@15 Testo + EE2/E3_01.tif "/>
    <s v=" 39409.668 "/>
    <s v=" 84.7031 "/>
    <x v="0"/>
    <n v="3338120"/>
    <m/>
    <m/>
  </r>
  <r>
    <x v="15"/>
    <x v="4"/>
    <s v="F:\Données chgh\2020-CHG-CZA-Test-3\plaque 2/@15 Testo + EE2/E3_02.tif "/>
    <s v=" 44384.5438 "/>
    <s v=" 79.1827 "/>
    <x v="0"/>
    <n v="3514490"/>
    <m/>
    <m/>
  </r>
  <r>
    <x v="15"/>
    <x v="4"/>
    <s v="F:\Données chgh\2020-CHG-CZA-Test-3\plaque 2/@15 Testo + EE2/E3_03.tif "/>
    <s v=" 41680.8069 "/>
    <s v=" 81.2538 "/>
    <x v="0"/>
    <n v="3386722"/>
    <m/>
    <m/>
  </r>
  <r>
    <x v="15"/>
    <x v="5"/>
    <s v="F:\Données chgh\2020-CHG-CZA-Test-3\plaque 2/@15 Testo + EE2/F3_01.tif "/>
    <s v=" 71010.9441 "/>
    <s v=" 79.8038 "/>
    <x v="0"/>
    <n v="5666946"/>
    <m/>
    <m/>
  </r>
  <r>
    <x v="15"/>
    <x v="5"/>
    <s v="F:\Données chgh\2020-CHG-CZA-Test-3\plaque 2/@15 Testo + EE2/F3_02.tif "/>
    <s v=" 69605.0009 "/>
    <s v=" 79.6234 "/>
    <x v="0"/>
    <n v="5542185"/>
    <m/>
    <m/>
  </r>
  <r>
    <x v="15"/>
    <x v="5"/>
    <s v="F:\Données chgh\2020-CHG-CZA-Test-3\plaque 2/@15 Testo + EE2/F3_03.tif "/>
    <s v=" 62618.545 "/>
    <s v=" 84.0408 "/>
    <x v="0"/>
    <n v="5262510"/>
    <m/>
    <m/>
  </r>
  <r>
    <x v="15"/>
    <x v="6"/>
    <s v="F:\Données chgh\2020-CHG-CZA-Test-3\plaque 2/@15 Testo + EE2/G3_01.tif "/>
    <s v=" 67636.6805 "/>
    <s v=" 87.3032 "/>
    <x v="0"/>
    <n v="5904896"/>
    <m/>
    <m/>
  </r>
  <r>
    <x v="15"/>
    <x v="6"/>
    <s v="F:\Données chgh\2020-CHG-CZA-Test-3\plaque 2/@15 Testo + EE2/G3_02.tif "/>
    <s v=" 61407.2709 "/>
    <s v=" 90.2681 "/>
    <x v="0"/>
    <n v="5543115"/>
    <m/>
    <m/>
  </r>
  <r>
    <x v="15"/>
    <x v="6"/>
    <s v="F:\Données chgh\2020-CHG-CZA-Test-3\plaque 2/@15 Testo + EE2/G3_03.tif "/>
    <s v=" 60823.2637 "/>
    <s v=" 88.9662 "/>
    <x v="0"/>
    <n v="5411216"/>
    <m/>
    <m/>
  </r>
  <r>
    <x v="15"/>
    <x v="7"/>
    <s v="F:\Données chgh\2020-CHG-CZA-Test-3\plaque 2/@15 Testo + EE2/H3_01.tif "/>
    <s v=" 80939.0657 "/>
    <s v=" 89.5917 "/>
    <x v="0"/>
    <n v="7251465"/>
    <m/>
    <m/>
  </r>
  <r>
    <x v="15"/>
    <x v="7"/>
    <s v="F:\Données chgh\2020-CHG-CZA-Test-3\plaque 2/@15 Testo + EE2/H3_02.tif "/>
    <s v=" 78408.368 "/>
    <s v=" 87.7244 "/>
    <x v="0"/>
    <n v="6878328"/>
    <m/>
    <m/>
  </r>
  <r>
    <x v="15"/>
    <x v="7"/>
    <s v="F:\Données chgh\2020-CHG-CZA-Test-3\plaque 2/@15 Testo + EE2/H3_03.tif "/>
    <s v=" 76721.2362 "/>
    <s v=" 86.6716 "/>
    <x v="0"/>
    <n v="6649549"/>
    <m/>
    <m/>
  </r>
  <r>
    <x v="1"/>
    <x v="8"/>
    <s v=" "/>
    <m/>
    <m/>
    <x v="1"/>
    <m/>
    <m/>
    <m/>
  </r>
  <r>
    <x v="1"/>
    <x v="8"/>
    <s v="group "/>
    <s v=" "/>
    <s v=" mean of mean fluo "/>
    <x v="2"/>
    <s v=" mean of total fluo "/>
    <s v=" SD total fluo "/>
    <s v=" n fluorescent "/>
  </r>
  <r>
    <x v="15"/>
    <x v="9"/>
    <s v="F:\Données chgh\2020-CHG-CZA-Test-3\plaque 2/@15 Testo + EE2/ "/>
    <s v=" "/>
    <s v=" 80.2677 "/>
    <x v="17"/>
    <s v=" 4622041.71 "/>
    <s v=" 1360656.0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6"/>
    <x v="0"/>
    <s v="F:\Données chgh\2020-CHG-CZA-Test-3\plaque 2/@16 Testo + FAD/A4_01.tif "/>
    <s v=" 10728.4277 "/>
    <s v=" 68.2702 "/>
    <x v="0"/>
    <n v="732431"/>
    <m/>
    <m/>
  </r>
  <r>
    <x v="16"/>
    <x v="0"/>
    <s v="F:\Données chgh\2020-CHG-CZA-Test-3\plaque 2/@16 Testo + FAD/A4_02.tif "/>
    <s v=" 6380.8189 "/>
    <s v=" 70.6 "/>
    <x v="0"/>
    <n v="450486"/>
    <m/>
    <m/>
  </r>
  <r>
    <x v="16"/>
    <x v="0"/>
    <s v="F:\Données chgh\2020-CHG-CZA-Test-3\plaque 2/@16 Testo + FAD/A4_03.tif "/>
    <s v=" 3590.5625 "/>
    <s v=" 65.8916 "/>
    <x v="0"/>
    <n v="236588"/>
    <m/>
    <m/>
  </r>
  <r>
    <x v="16"/>
    <x v="1"/>
    <s v="F:\Données chgh\2020-CHG-CZA-Test-3\plaque 2/@16 Testo + FAD/B4_01.tif "/>
    <s v=" 259.5587 "/>
    <s v=" 62.8333 "/>
    <x v="0"/>
    <n v="16309"/>
    <m/>
    <m/>
  </r>
  <r>
    <x v="16"/>
    <x v="1"/>
    <s v="F:\Données chgh\2020-CHG-CZA-Test-3\plaque 2/@16 Testo + FAD/B4_02.tif "/>
    <s v=" 389.3381 "/>
    <s v=" 64.8333 "/>
    <x v="0"/>
    <n v="25242"/>
    <m/>
    <m/>
  </r>
  <r>
    <x v="16"/>
    <x v="1"/>
    <s v="F:\Données chgh\2020-CHG-CZA-Test-3\plaque 2/@16 Testo + FAD/B4_03.tif "/>
    <s v=" 389.3381 "/>
    <s v=" 64.2778 "/>
    <x v="0"/>
    <n v="25026"/>
    <m/>
    <m/>
  </r>
  <r>
    <x v="16"/>
    <x v="2"/>
    <s v="F:\Données chgh\2020-CHG-CZA-Test-3\plaque 2/@16 Testo + FAD/C4_01.tif "/>
    <s v=" 432.5979 "/>
    <s v=" 66.2 "/>
    <x v="0"/>
    <n v="28638"/>
    <m/>
    <m/>
  </r>
  <r>
    <x v="16"/>
    <x v="2"/>
    <s v="F:\Données chgh\2020-CHG-CZA-Test-3\plaque 2/@16 Testo + FAD/C4_02.tif "/>
    <s v=" 800.3061 "/>
    <s v=" 65.0811 "/>
    <x v="0"/>
    <n v="52085"/>
    <m/>
    <m/>
  </r>
  <r>
    <x v="16"/>
    <x v="2"/>
    <s v="F:\Données chgh\2020-CHG-CZA-Test-3\plaque 2/@16 Testo + FAD/C4_03.tif "/>
    <s v=" 908.4556 "/>
    <s v=" 65.8333 "/>
    <x v="0"/>
    <n v="59807"/>
    <m/>
    <m/>
  </r>
  <r>
    <x v="16"/>
    <x v="3"/>
    <s v="F:\Données chgh\2020-CHG-CZA-Test-3\plaque 2/@16 Testo + FAD/D4_01.tif "/>
    <s v=" 5883.3313 "/>
    <s v=" 66.2206 "/>
    <x v="0"/>
    <n v="389598"/>
    <m/>
    <m/>
  </r>
  <r>
    <x v="16"/>
    <x v="3"/>
    <s v="F:\Données chgh\2020-CHG-CZA-Test-3\plaque 2/@16 Testo + FAD/D4_02.tif "/>
    <s v=" 6315.9292 "/>
    <s v=" 68.387 "/>
    <x v="0"/>
    <n v="431927"/>
    <m/>
    <m/>
  </r>
  <r>
    <x v="16"/>
    <x v="3"/>
    <s v="F:\Données chgh\2020-CHG-CZA-Test-3\plaque 2/@16 Testo + FAD/D4_03.tif "/>
    <s v=" 2573.9575 "/>
    <s v=" 65.1681 "/>
    <x v="0"/>
    <n v="167740"/>
    <m/>
    <m/>
  </r>
  <r>
    <x v="16"/>
    <x v="4"/>
    <s v="F:\Données chgh\2020-CHG-CZA-Test-3\plaque 2/@16 Testo + FAD/E4_01.tif "/>
    <s v=" 4974.8758 "/>
    <s v=" 67.3565 "/>
    <x v="0"/>
    <n v="335090"/>
    <m/>
    <m/>
  </r>
  <r>
    <x v="16"/>
    <x v="4"/>
    <s v="F:\Données chgh\2020-CHG-CZA-Test-3\plaque 2/@16 Testo + FAD/E4_02.tif "/>
    <s v=" 4347.6088 "/>
    <s v=" 68.3682 "/>
    <x v="0"/>
    <n v="297238"/>
    <m/>
    <m/>
  </r>
  <r>
    <x v="16"/>
    <x v="4"/>
    <s v="F:\Données chgh\2020-CHG-CZA-Test-3\plaque 2/@16 Testo + FAD/E4_03.tif "/>
    <s v=" 713.7865 "/>
    <s v=" 64.1212 "/>
    <x v="0"/>
    <n v="45769"/>
    <m/>
    <m/>
  </r>
  <r>
    <x v="16"/>
    <x v="5"/>
    <s v="F:\Données chgh\2020-CHG-CZA-Test-3\plaque 2/@16 Testo + FAD/F4_01.tif "/>
    <s v=" 1795.2813 "/>
    <s v=" 67.3373 "/>
    <x v="0"/>
    <n v="120889"/>
    <m/>
    <m/>
  </r>
  <r>
    <x v="16"/>
    <x v="5"/>
    <s v="F:\Données chgh\2020-CHG-CZA-Test-3\plaque 2/@16 Testo + FAD/F4_02.tif "/>
    <s v=" 324.4484 "/>
    <n v="65"/>
    <x v="0"/>
    <n v="21089"/>
    <m/>
    <m/>
  </r>
  <r>
    <x v="16"/>
    <x v="5"/>
    <s v="F:\Données chgh\2020-CHG-CZA-Test-3\plaque 2/@16 Testo + FAD/F4_03- exclu.tif"/>
    <m/>
    <m/>
    <x v="1"/>
    <m/>
    <m/>
    <m/>
  </r>
  <r>
    <x v="16"/>
    <x v="6"/>
    <s v="F:\Données chgh\2020-CHG-CZA-Test-3\plaque 2/@16 Testo + FAD/G4_01.tif "/>
    <s v=" 6445.7086 "/>
    <s v=" 69.3926 "/>
    <x v="0"/>
    <n v="447285"/>
    <m/>
    <m/>
  </r>
  <r>
    <x v="16"/>
    <x v="6"/>
    <s v="F:\Données chgh\2020-CHG-CZA-Test-3\plaque 2/@16 Testo + FAD/G4_02.tif "/>
    <s v=" 2595.5874 "/>
    <s v=" 64.6 "/>
    <x v="0"/>
    <n v="167675"/>
    <m/>
    <m/>
  </r>
  <r>
    <x v="16"/>
    <x v="6"/>
    <s v="F:\Données chgh\2020-CHG-CZA-Test-3\plaque 2/@16 Testo + FAD/G4_03- exclu.tif"/>
    <m/>
    <m/>
    <x v="1"/>
    <m/>
    <m/>
    <m/>
  </r>
  <r>
    <x v="16"/>
    <x v="7"/>
    <s v="F:\Données chgh\2020-CHG-CZA-Test-3\plaque 2/@16 Testo + FAD/H4_01.tif "/>
    <s v=" 4044.7903 "/>
    <s v=" 71.2781 "/>
    <x v="0"/>
    <n v="288305"/>
    <m/>
    <m/>
  </r>
  <r>
    <x v="16"/>
    <x v="7"/>
    <s v="F:\Données chgh\2020-CHG-CZA-Test-3\plaque 2/@16 Testo + FAD/H4_02.tif "/>
    <s v=" 5450.7334 "/>
    <s v=" 69.1667 "/>
    <x v="0"/>
    <n v="377009"/>
    <m/>
    <m/>
  </r>
  <r>
    <x v="16"/>
    <x v="7"/>
    <s v="F:\Données chgh\2020-CHG-CZA-Test-3\plaque 2/@16 Testo + FAD/H4_03.tif "/>
    <s v=" 3525.6728 "/>
    <s v=" 68.6012 "/>
    <x v="0"/>
    <n v="241865"/>
    <m/>
    <m/>
  </r>
  <r>
    <x v="1"/>
    <x v="8"/>
    <s v=" "/>
    <m/>
    <m/>
    <x v="1"/>
    <m/>
    <m/>
    <m/>
  </r>
  <r>
    <x v="1"/>
    <x v="8"/>
    <s v="group "/>
    <s v=" "/>
    <s v=" mean of mean fluo "/>
    <x v="2"/>
    <s v=" mean of total fluo "/>
    <s v=" SD total fluo "/>
    <s v=" n fluorescent "/>
  </r>
  <r>
    <x v="16"/>
    <x v="9"/>
    <s v="F:\Données chgh\2020-CHG-CZA-Test-3\plaque 2/@16 Testo + FAD/ "/>
    <s v=" "/>
    <s v=" 66.5524 "/>
    <x v="18"/>
    <s v=" 212476.75 "/>
    <s v=" 190160.38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7"/>
    <x v="0"/>
    <s v="F:\Données chgh\2020-CHG-CZA-Test-3\plaque 2/@17 Testo + Pro 12/A5_01.tif "/>
    <s v=" 31428.2369 "/>
    <s v=" 68.5403 "/>
    <x v="0"/>
    <n v="2154100"/>
    <m/>
    <m/>
  </r>
  <r>
    <x v="17"/>
    <x v="0"/>
    <s v="F:\Données chgh\2020-CHG-CZA-Test-3\plaque 2/@17 Testo + Pro 12/A5_02.tif "/>
    <s v=" 28356.7919 "/>
    <s v=" 67.8223 "/>
    <x v="0"/>
    <n v="1923222"/>
    <m/>
    <m/>
  </r>
  <r>
    <x v="17"/>
    <x v="0"/>
    <s v="F:\Données chgh\2020-CHG-CZA-Test-3\plaque 2/@17 Testo + Pro 12/A5_03.tif "/>
    <s v=" 26215.4323 "/>
    <s v=" 67.2797 "/>
    <x v="0"/>
    <n v="1763766"/>
    <m/>
    <m/>
  </r>
  <r>
    <x v="17"/>
    <x v="1"/>
    <s v="F:\Données chgh\2020-CHG-CZA-Test-3\plaque 2/@17 Testo + Pro 12/B5_01.tif "/>
    <s v=" 42199.9244 "/>
    <s v=" 78.4054 "/>
    <x v="0"/>
    <n v="3308703"/>
    <m/>
    <m/>
  </r>
  <r>
    <x v="17"/>
    <x v="1"/>
    <s v="F:\Données chgh\2020-CHG-CZA-Test-3\plaque 2/@17 Testo + Pro 12/B5_02.tif "/>
    <s v=" 38847.2908 "/>
    <s v=" 81.2149 "/>
    <x v="0"/>
    <n v="3154980"/>
    <m/>
    <m/>
  </r>
  <r>
    <x v="17"/>
    <x v="1"/>
    <s v="F:\Données chgh\2020-CHG-CZA-Test-3\plaque 2/@17 Testo + Pro 12/B5_03.tif "/>
    <s v=" 43000.2305 "/>
    <s v=" 81.0538 "/>
    <x v="0"/>
    <n v="3485333"/>
    <m/>
    <m/>
  </r>
  <r>
    <x v="17"/>
    <x v="2"/>
    <s v="F:\Données chgh\2020-CHG-CZA-Test-3\plaque 2/@17 Testo + Pro 12/C5_01.tif "/>
    <s v=" 12566.9688 "/>
    <s v=" 64.7074 "/>
    <x v="0"/>
    <n v="813176"/>
    <m/>
    <m/>
  </r>
  <r>
    <x v="17"/>
    <x v="2"/>
    <s v="F:\Données chgh\2020-CHG-CZA-Test-3\plaque 2/@17 Testo + Pro 12/C5_02.tif "/>
    <s v=" 16784.7982 "/>
    <s v=" 67.0979 "/>
    <x v="0"/>
    <n v="1126225"/>
    <m/>
    <m/>
  </r>
  <r>
    <x v="17"/>
    <x v="2"/>
    <s v="F:\Données chgh\2020-CHG-CZA-Test-3\plaque 2/@17 Testo + Pro 12/C5_03.tif "/>
    <s v=" 13237.4955 "/>
    <s v=" 64.9297 "/>
    <x v="0"/>
    <n v="859507"/>
    <m/>
    <m/>
  </r>
  <r>
    <x v="17"/>
    <x v="3"/>
    <s v="F:\Données chgh\2020-CHG-CZA-Test-3\plaque 2/@17 Testo + Pro 12/D5_01.tif "/>
    <s v=" 1665.5019 "/>
    <s v=" 63.8052 "/>
    <x v="0"/>
    <n v="106268"/>
    <m/>
    <m/>
  </r>
  <r>
    <x v="17"/>
    <x v="3"/>
    <s v="F:\Données chgh\2020-CHG-CZA-Test-3\plaque 2/@17 Testo + Pro 12/D5_02.tif "/>
    <s v=" 3871.7511 "/>
    <s v=" 65.6034 "/>
    <x v="0"/>
    <n v="254000"/>
    <m/>
    <m/>
  </r>
  <r>
    <x v="17"/>
    <x v="3"/>
    <s v="F:\Données chgh\2020-CHG-CZA-Test-3\plaque 2/@17 Testo + Pro 12/D5_03.tif "/>
    <s v=" 1643.872 "/>
    <s v=" 63.6447 "/>
    <x v="0"/>
    <n v="104624"/>
    <m/>
    <m/>
  </r>
  <r>
    <x v="17"/>
    <x v="4"/>
    <s v="F:\Données chgh\2020-CHG-CZA-Test-3\plaque 2/@17 Testo + Pro 12/E5_01.tif "/>
    <s v=" 44600.8427 "/>
    <s v=" 69.7435 "/>
    <x v="0"/>
    <n v="3110617"/>
    <m/>
    <m/>
  </r>
  <r>
    <x v="17"/>
    <x v="4"/>
    <s v="F:\Données chgh\2020-CHG-CZA-Test-3\plaque 2/@17 Testo + Pro 12/E5_02.tif "/>
    <s v=" 36987.1198 "/>
    <s v=" 68.0959 "/>
    <x v="0"/>
    <n v="2518671"/>
    <m/>
    <m/>
  </r>
  <r>
    <x v="17"/>
    <x v="4"/>
    <s v="F:\Données chgh\2020-CHG-CZA-Test-3\plaque 2/@17 Testo + Pro 12/E5_03.tif "/>
    <s v=" 34607.8314 "/>
    <s v=" 67.7894 "/>
    <x v="0"/>
    <n v="2346043"/>
    <m/>
    <m/>
  </r>
  <r>
    <x v="17"/>
    <x v="5"/>
    <s v="F:\Données chgh\2020-CHG-CZA-Test-3\plaque 2/@17 Testo + Pro 12/F5_01.tif "/>
    <s v=" 42632.5223 "/>
    <s v=" 69.9127 "/>
    <x v="0"/>
    <n v="2980556"/>
    <m/>
    <m/>
  </r>
  <r>
    <x v="17"/>
    <x v="5"/>
    <s v="F:\Données chgh\2020-CHG-CZA-Test-3\plaque 2/@17 Testo + Pro 12/F5_02.tif "/>
    <s v=" 28962.4289 "/>
    <s v=" 67.4765 "/>
    <x v="0"/>
    <n v="1954283"/>
    <m/>
    <m/>
  </r>
  <r>
    <x v="17"/>
    <x v="5"/>
    <s v="F:\Données chgh\2020-CHG-CZA-Test-3\plaque 2/@17 Testo + Pro 12/F5_03.tif "/>
    <s v=" 30714.4504 "/>
    <s v=" 67.8063 "/>
    <x v="0"/>
    <n v="2082634"/>
    <m/>
    <m/>
  </r>
  <r>
    <x v="17"/>
    <x v="6"/>
    <s v="F:\Données chgh\2020-CHG-CZA-Test-3\plaque 2/@17 Testo + Pro 12/G5_01.tif "/>
    <s v=" 21067.5174 "/>
    <s v=" 66.9281 "/>
    <x v="0"/>
    <n v="1410010"/>
    <m/>
    <m/>
  </r>
  <r>
    <x v="17"/>
    <x v="6"/>
    <s v="F:\Données chgh\2020-CHG-CZA-Test-3\plaque 2/@17 Testo + Pro 12/G5_02.tif "/>
    <s v=" 17563.4744 "/>
    <s v=" 66.1195 "/>
    <x v="0"/>
    <n v="1161287"/>
    <m/>
    <m/>
  </r>
  <r>
    <x v="17"/>
    <x v="6"/>
    <s v="F:\Données chgh\2020-CHG-CZA-Test-3\plaque 2/@17 Testo + Pro 12/G5_03.tif "/>
    <s v=" 17974.4424 "/>
    <s v=" 66.7353 "/>
    <x v="0"/>
    <n v="1199529"/>
    <m/>
    <m/>
  </r>
  <r>
    <x v="17"/>
    <x v="7"/>
    <s v="F:\Données chgh\2020-CHG-CZA-Test-3\plaque 2/@17 Testo + Pro 12/H5_01.tif "/>
    <s v=" 14513.6593 "/>
    <s v=" 65.8569 "/>
    <x v="0"/>
    <n v="955825"/>
    <m/>
    <m/>
  </r>
  <r>
    <x v="17"/>
    <x v="7"/>
    <s v="F:\Données chgh\2020-CHG-CZA-Test-3\plaque 2/@17 Testo + Pro 12/H5_02.tif "/>
    <s v=" 10836.5772 "/>
    <s v=" 66.0359 "/>
    <x v="0"/>
    <n v="715603"/>
    <m/>
    <m/>
  </r>
  <r>
    <x v="17"/>
    <x v="7"/>
    <s v="F:\Données chgh\2020-CHG-CZA-Test-3\plaque 2/@17 Testo + Pro 12/H5_03.tif "/>
    <s v=" 9993.0113 "/>
    <s v=" 64.6602 "/>
    <x v="0"/>
    <n v="646150"/>
    <m/>
    <m/>
  </r>
  <r>
    <x v="1"/>
    <x v="8"/>
    <s v=" "/>
    <m/>
    <m/>
    <x v="1"/>
    <m/>
    <m/>
    <m/>
  </r>
  <r>
    <x v="1"/>
    <x v="8"/>
    <s v="group "/>
    <s v=" "/>
    <s v=" mean of mean fluo "/>
    <x v="2"/>
    <s v=" mean of total fluo "/>
    <s v=" SD total fluo "/>
    <s v=" n fluorescent "/>
  </r>
  <r>
    <x v="17"/>
    <x v="9"/>
    <s v="F:\Données chgh\2020-CHG-CZA-Test-3\plaque 2/@17 Testo + Pro 12/ "/>
    <s v=" "/>
    <s v=" 68.386 "/>
    <x v="19"/>
    <s v=" 1672296.33 "/>
    <s v=" 1049197.4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8"/>
    <x v="0"/>
    <s v="F:\Données chgh\2020-CHG-CZA-Test-3\plaque 2/@18  Testo + Pro 37/A6_01.tif "/>
    <s v=" 28594.7207 "/>
    <s v=" 67.7806 "/>
    <x v="0"/>
    <n v="1938168"/>
    <m/>
    <m/>
  </r>
  <r>
    <x v="18"/>
    <x v="0"/>
    <s v="F:\Données chgh\2020-CHG-CZA-Test-3\plaque 2/@18  Testo + Pro 37/A6_02.tif "/>
    <s v=" 30606.3009 "/>
    <s v=" 68.5463 "/>
    <x v="0"/>
    <n v="2097948"/>
    <m/>
    <m/>
  </r>
  <r>
    <x v="18"/>
    <x v="0"/>
    <s v="F:\Données chgh\2020-CHG-CZA-Test-3\plaque 2/@18  Testo + Pro 37/A6_03.tif "/>
    <s v=" 24203.8521 "/>
    <s v=" 68.4549 "/>
    <x v="0"/>
    <n v="1656872"/>
    <m/>
    <m/>
  </r>
  <r>
    <x v="18"/>
    <x v="1"/>
    <s v="F:\Données chgh\2020-CHG-CZA-Test-3\plaque 2/@18  Testo + Pro 37/B6_01.tif "/>
    <s v=" 2660.477 "/>
    <s v=" 63.3984 "/>
    <x v="0"/>
    <n v="168670"/>
    <m/>
    <m/>
  </r>
  <r>
    <x v="18"/>
    <x v="1"/>
    <s v="F:\Données chgh\2020-CHG-CZA-Test-3\plaque 2/@18  Testo + Pro 37/B6_02.tif "/>
    <s v=" 4736.9469 "/>
    <s v=" 65.5799 "/>
    <x v="0"/>
    <n v="310649"/>
    <m/>
    <m/>
  </r>
  <r>
    <x v="18"/>
    <x v="1"/>
    <s v="F:\Données chgh\2020-CHG-CZA-Test-3\plaque 2/@18  Testo + Pro 37/B6_03.tif "/>
    <s v=" 4174.5697 "/>
    <s v=" 64.9637 "/>
    <x v="0"/>
    <n v="271196"/>
    <m/>
    <m/>
  </r>
  <r>
    <x v="18"/>
    <x v="2"/>
    <s v="F:\Données chgh\2020-CHG-CZA-Test-3\plaque 2/@18  Testo + Pro 37/C6_01.tif "/>
    <s v=" 12026.2214 "/>
    <s v=" 65.1043 "/>
    <x v="0"/>
    <n v="782959"/>
    <m/>
    <m/>
  </r>
  <r>
    <x v="18"/>
    <x v="2"/>
    <s v="F:\Données chgh\2020-CHG-CZA-Test-3\plaque 2/@18  Testo + Pro 37/C6_02.tif "/>
    <s v=" 11052.8762 "/>
    <s v=" 66.3425 "/>
    <x v="0"/>
    <n v="733275"/>
    <m/>
    <m/>
  </r>
  <r>
    <x v="18"/>
    <x v="2"/>
    <s v="F:\Données chgh\2020-CHG-CZA-Test-3\plaque 2/@18  Testo + Pro 37/C6_03.tif "/>
    <s v=" 14492.0294 "/>
    <s v=" 66.0149 "/>
    <x v="0"/>
    <n v="956690"/>
    <m/>
    <m/>
  </r>
  <r>
    <x v="18"/>
    <x v="3"/>
    <s v="F:\Données chgh\2020-CHG-CZA-Test-3\plaque 2/@18  Testo + Pro 37/D6_01.tif "/>
    <s v=" 47347.8393 "/>
    <s v=" 71.5487 "/>
    <x v="0"/>
    <n v="3387674"/>
    <m/>
    <m/>
  </r>
  <r>
    <x v="18"/>
    <x v="3"/>
    <s v="F:\Données chgh\2020-CHG-CZA-Test-3\plaque 2/@18  Testo + Pro 37/D6_02.tif "/>
    <s v=" 47672.2878 "/>
    <s v=" 72.4446 "/>
    <x v="0"/>
    <n v="3453602"/>
    <m/>
    <m/>
  </r>
  <r>
    <x v="18"/>
    <x v="3"/>
    <s v="F:\Données chgh\2020-CHG-CZA-Test-3\plaque 2/@18  Testo + Pro 37/D6_03.tif "/>
    <s v=" 49034.9711 "/>
    <s v=" 71.4182 "/>
    <x v="0"/>
    <n v="3501988"/>
    <m/>
    <m/>
  </r>
  <r>
    <x v="18"/>
    <x v="4"/>
    <s v="F:\Données chgh\2020-CHG-CZA-Test-3\plaque 2/@18  Testo + Pro 37/E6_01.tif "/>
    <s v=" 23879.4037 "/>
    <s v=" 66.7582 "/>
    <x v="0"/>
    <n v="1594145"/>
    <m/>
    <m/>
  </r>
  <r>
    <x v="18"/>
    <x v="4"/>
    <s v="F:\Données chgh\2020-CHG-CZA-Test-3\plaque 2/@18  Testo + Pro 37/E6_02.tif "/>
    <s v=" 18515.1898 "/>
    <s v=" 65.9311 "/>
    <x v="0"/>
    <n v="1220726"/>
    <m/>
    <m/>
  </r>
  <r>
    <x v="18"/>
    <x v="4"/>
    <s v="F:\Données chgh\2020-CHG-CZA-Test-3\plaque 2/@18  Testo + Pro 37/E6_03.tif "/>
    <s v=" 18385.4104 "/>
    <s v=" 66.6365 "/>
    <x v="0"/>
    <n v="1225139"/>
    <m/>
    <m/>
  </r>
  <r>
    <x v="18"/>
    <x v="5"/>
    <s v="F:\Données chgh\2020-CHG-CZA-Test-3\plaque 2/@18  Testo + Pro 37/F6_01.tif "/>
    <s v=" 69540.1112 "/>
    <s v=" 79.7387 "/>
    <x v="0"/>
    <n v="5545040"/>
    <m/>
    <m/>
  </r>
  <r>
    <x v="18"/>
    <x v="5"/>
    <s v="F:\Données chgh\2020-CHG-CZA-Test-3\plaque 2/@18  Testo + Pro 37/F6_02.tif "/>
    <s v=" 66598.4456 "/>
    <s v=" 78.177 "/>
    <x v="0"/>
    <n v="5206467"/>
    <m/>
    <m/>
  </r>
  <r>
    <x v="18"/>
    <x v="5"/>
    <s v="F:\Données chgh\2020-CHG-CZA-Test-3\plaque 2/@18  Testo + Pro 37/F6_03.tif "/>
    <s v=" 62856.4738 "/>
    <s v=" 79.0788 "/>
    <x v="0"/>
    <n v="4970615"/>
    <m/>
    <m/>
  </r>
  <r>
    <x v="18"/>
    <x v="6"/>
    <s v="F:\Données chgh\2020-CHG-CZA-Test-3\plaque 2/@18  Testo + Pro 37/G6_01.tif "/>
    <s v=" 48970.0814 "/>
    <s v=" 71.2178 "/>
    <x v="0"/>
    <n v="3487539"/>
    <m/>
    <m/>
  </r>
  <r>
    <x v="18"/>
    <x v="6"/>
    <s v="F:\Données chgh\2020-CHG-CZA-Test-3\plaque 2/@18  Testo + Pro 37/G6_02.tif "/>
    <s v=" 50765.3627 "/>
    <s v=" 71.0371 "/>
    <x v="0"/>
    <n v="3606223"/>
    <m/>
    <m/>
  </r>
  <r>
    <x v="18"/>
    <x v="6"/>
    <s v="F:\Données chgh\2020-CHG-CZA-Test-3\plaque 2/@18  Testo + Pro 37/G6_03.tif "/>
    <s v=" 45401.1488 "/>
    <s v=" 70.9333 "/>
    <x v="0"/>
    <n v="3220453"/>
    <m/>
    <m/>
  </r>
  <r>
    <x v="18"/>
    <x v="7"/>
    <s v="F:\Données chgh\2020-CHG-CZA-Test-3\plaque 2/@18  Testo + Pro 37/H6_01.tif "/>
    <s v=" 20743.0689 "/>
    <s v=" 69.7654 "/>
    <x v="0"/>
    <n v="1447148"/>
    <m/>
    <m/>
  </r>
  <r>
    <x v="18"/>
    <x v="7"/>
    <s v="F:\Données chgh\2020-CHG-CZA-Test-3\plaque 2/@18  Testo + Pro 37/H6_02.tif "/>
    <s v=" 20461.8803 "/>
    <s v=" 67.2822 "/>
    <x v="0"/>
    <n v="1376721"/>
    <m/>
    <m/>
  </r>
  <r>
    <x v="18"/>
    <x v="7"/>
    <s v="F:\Données chgh\2020-CHG-CZA-Test-3\plaque 2/@18  Testo + Pro 37/H6_03.tif "/>
    <s v=" 13864.7625 "/>
    <s v=" 66.3354 "/>
    <x v="0"/>
    <n v="919725"/>
    <m/>
    <m/>
  </r>
  <r>
    <x v="1"/>
    <x v="8"/>
    <s v=" "/>
    <m/>
    <m/>
    <x v="1"/>
    <m/>
    <m/>
    <m/>
  </r>
  <r>
    <x v="1"/>
    <x v="8"/>
    <s v="group "/>
    <s v=" "/>
    <s v=" mean of mean fluo "/>
    <x v="2"/>
    <s v=" mean of total fluo "/>
    <s v=" SD total fluo "/>
    <s v=" n fluorescent "/>
  </r>
  <r>
    <x v="18"/>
    <x v="9"/>
    <s v="F:\Données chgh\2020-CHG-CZA-Test-3\plaque 2/@18  Testo + Pro 37/ "/>
    <s v=" "/>
    <s v=" 69.3537 "/>
    <x v="20"/>
    <s v=" 2211651.33 "/>
    <s v=" 1613938.7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9"/>
    <x v="0"/>
    <s v="F:\Données chgh\2020-CHG-CZA-Test-3\plaque 2/@19 Testo + Pro 111/A7_01.tif "/>
    <s v=" 21435.2256 "/>
    <s v=" 68.4712 "/>
    <x v="0"/>
    <n v="1467697"/>
    <m/>
    <m/>
  </r>
  <r>
    <x v="19"/>
    <x v="0"/>
    <s v="F:\Données chgh\2020-CHG-CZA-Test-3\plaque 2/@19 Testo + Pro 111/A7_02.tif "/>
    <s v=" 21543.3751 "/>
    <s v=" 67.0673 "/>
    <x v="0"/>
    <n v="1444855"/>
    <m/>
    <m/>
  </r>
  <r>
    <x v="19"/>
    <x v="0"/>
    <s v="F:\Données chgh\2020-CHG-CZA-Test-3\plaque 2/@19 Testo + Pro 111/A7_03.tif "/>
    <s v=" 23187.247 "/>
    <s v=" 69.3955 "/>
    <x v="0"/>
    <n v="1609091"/>
    <m/>
    <m/>
  </r>
  <r>
    <x v="19"/>
    <x v="1"/>
    <s v="F:\Données chgh\2020-CHG-CZA-Test-3\plaque 2/@19 Testo + Pro 111/B7_01.tif "/>
    <s v=" 1687.1318 "/>
    <s v=" 64.4103 "/>
    <x v="0"/>
    <n v="108669"/>
    <m/>
    <m/>
  </r>
  <r>
    <x v="19"/>
    <x v="1"/>
    <s v="F:\Données chgh\2020-CHG-CZA-Test-3\plaque 2/@19 Testo + Pro 111/B7_02.tif "/>
    <s v=" 2379.2884 "/>
    <s v=" 64.6727 "/>
    <x v="0"/>
    <n v="153875"/>
    <m/>
    <m/>
  </r>
  <r>
    <x v="19"/>
    <x v="1"/>
    <s v="F:\Données chgh\2020-CHG-CZA-Test-3\plaque 2/@19 Testo + Pro 111/B7_03.tif "/>
    <s v=" 1341.0535 "/>
    <s v=" 65.8226 "/>
    <x v="0"/>
    <n v="88272"/>
    <m/>
    <m/>
  </r>
  <r>
    <x v="19"/>
    <x v="2"/>
    <s v="F:\Données chgh\2020-CHG-CZA-Test-3\plaque 2/@19 Testo + Pro 111/C7_01.tif "/>
    <s v=" 14578.549 "/>
    <s v=" 66.7789 "/>
    <x v="0"/>
    <n v="973540"/>
    <m/>
    <m/>
  </r>
  <r>
    <x v="19"/>
    <x v="2"/>
    <s v="F:\Données chgh\2020-CHG-CZA-Test-3\plaque 2/@19 Testo + Pro 111/C7_02.tif "/>
    <s v=" 11355.6947 "/>
    <s v=" 65.7371 "/>
    <x v="0"/>
    <n v="746491"/>
    <m/>
    <m/>
  </r>
  <r>
    <x v="19"/>
    <x v="2"/>
    <s v="F:\Données chgh\2020-CHG-CZA-Test-3\plaque 2/@19 Testo + Pro 111/C7_03.tif "/>
    <s v=" 14859.7376 "/>
    <s v=" 65.7525 "/>
    <x v="0"/>
    <n v="977066"/>
    <m/>
    <m/>
  </r>
  <r>
    <x v="19"/>
    <x v="3"/>
    <s v="F:\Données chgh\2020-CHG-CZA-Test-3\plaque 2/@19 Testo + Pro 111/D7_01.tif "/>
    <s v=" 49878.537 "/>
    <s v=" 70.8174 "/>
    <x v="0"/>
    <n v="3532270"/>
    <m/>
    <m/>
  </r>
  <r>
    <x v="19"/>
    <x v="3"/>
    <s v="F:\Données chgh\2020-CHG-CZA-Test-3\plaque 2/@19 Testo + Pro 111/D7_02.tif "/>
    <s v=" 52582.2738 "/>
    <s v=" 71.102 "/>
    <x v="0"/>
    <n v="3738706"/>
    <m/>
    <m/>
  </r>
  <r>
    <x v="19"/>
    <x v="3"/>
    <s v="F:\Données chgh\2020-CHG-CZA-Test-3\plaque 2/@19 Testo + Pro 111/D7_03- exclu.tif"/>
    <m/>
    <m/>
    <x v="1"/>
    <m/>
    <m/>
    <m/>
  </r>
  <r>
    <x v="19"/>
    <x v="4"/>
    <s v="F:\Données chgh\2020-CHG-CZA-Test-3\plaque 2/@19 Testo + Pro 111/E7_01.tif "/>
    <s v=" 7094.6054 "/>
    <s v=" 68.3049 "/>
    <x v="0"/>
    <n v="484596"/>
    <m/>
    <m/>
  </r>
  <r>
    <x v="19"/>
    <x v="4"/>
    <s v="F:\Données chgh\2020-CHG-CZA-Test-3\plaque 2/@19 Testo + Pro 111/E7_02.tif "/>
    <s v=" 4672.0572 "/>
    <s v=" 67.5556 "/>
    <x v="0"/>
    <n v="315623"/>
    <m/>
    <m/>
  </r>
  <r>
    <x v="19"/>
    <x v="4"/>
    <s v="F:\Données chgh\2020-CHG-CZA-Test-3\plaque 2/@19 Testo + Pro 111/E7_03.tif "/>
    <s v=" 5385.8438 "/>
    <s v=" 67.3695 "/>
    <x v="0"/>
    <n v="362841"/>
    <m/>
    <m/>
  </r>
  <r>
    <x v="19"/>
    <x v="5"/>
    <s v="F:\Données chgh\2020-CHG-CZA-Test-3\plaque 2/@19 Testo + Pro 111/F7_01.tif "/>
    <s v=" 7440.6838 "/>
    <s v=" 67.9302 "/>
    <x v="0"/>
    <n v="505447"/>
    <m/>
    <m/>
  </r>
  <r>
    <x v="19"/>
    <x v="5"/>
    <s v="F:\Données chgh\2020-CHG-CZA-Test-3\plaque 2/@19 Testo + Pro 111/F7_02.tif "/>
    <s v=" 4325.9789 "/>
    <s v=" 65.94 "/>
    <x v="0"/>
    <n v="285255"/>
    <m/>
    <m/>
  </r>
  <r>
    <x v="19"/>
    <x v="5"/>
    <s v="F:\Données chgh\2020-CHG-CZA-Test-3\plaque 2/@19 Testo + Pro 111/F7_03.tif "/>
    <s v=" 4023.1604 "/>
    <s v=" 64.5269 "/>
    <x v="0"/>
    <n v="259602"/>
    <m/>
    <m/>
  </r>
  <r>
    <x v="19"/>
    <x v="6"/>
    <s v="F:\Données chgh\2020-CHG-CZA-Test-3\plaque 2/@19 Testo + Pro 111/G7_01.tif "/>
    <s v=" 1341.0535 "/>
    <s v=" 62.7742 "/>
    <x v="0"/>
    <n v="84184"/>
    <m/>
    <m/>
  </r>
  <r>
    <x v="19"/>
    <x v="6"/>
    <s v="F:\Données chgh\2020-CHG-CZA-Test-3\plaque 2/@19 Testo + Pro 111/G7_02.tif "/>
    <s v=" 1514.0926 "/>
    <s v=" 63.6286 "/>
    <x v="0"/>
    <n v="96340"/>
    <m/>
    <m/>
  </r>
  <r>
    <x v="19"/>
    <x v="6"/>
    <s v="F:\Données chgh\2020-CHG-CZA-Test-3\plaque 2/@19 Testo + Pro 111/G7_03.tif "/>
    <s v=" 886.8257 "/>
    <s v=" 63.9512 "/>
    <x v="0"/>
    <n v="56714"/>
    <m/>
    <m/>
  </r>
  <r>
    <x v="19"/>
    <x v="7"/>
    <s v="F:\Données chgh\2020-CHG-CZA-Test-3\plaque 2/@19 Testo + Pro 111/H7_01.tif "/>
    <s v=" 18104.2218 "/>
    <s v=" 67.9916 "/>
    <x v="0"/>
    <n v="1230936"/>
    <m/>
    <m/>
  </r>
  <r>
    <x v="19"/>
    <x v="7"/>
    <s v="F:\Données chgh\2020-CHG-CZA-Test-3\plaque 2/@19 Testo + Pro 111/H7_02.tif "/>
    <s v=" 15292.3355 "/>
    <s v=" 66.8784 "/>
    <x v="0"/>
    <n v="1022726"/>
    <m/>
    <m/>
  </r>
  <r>
    <x v="19"/>
    <x v="7"/>
    <s v="F:\Données chgh\2020-CHG-CZA-Test-3\plaque 2/@19 Testo + Pro 111/H7_03.tif "/>
    <s v=" 20375.3607 "/>
    <s v=" 67.3694 "/>
    <x v="0"/>
    <n v="1372676"/>
    <m/>
    <m/>
  </r>
  <r>
    <x v="1"/>
    <x v="8"/>
    <s v=" "/>
    <m/>
    <m/>
    <x v="1"/>
    <m/>
    <m/>
    <m/>
  </r>
  <r>
    <x v="1"/>
    <x v="8"/>
    <s v="group "/>
    <s v=" "/>
    <s v=" mean of mean fluo "/>
    <x v="2"/>
    <s v=" mean of total fluo "/>
    <s v=" SD total fluo "/>
    <s v=" n fluorescent "/>
  </r>
  <r>
    <x v="19"/>
    <x v="9"/>
    <s v="F:\Données chgh\2020-CHG-CZA-Test-3\plaque 2/@19 Testo + Pro 111/ "/>
    <s v=" "/>
    <s v=" 66.5631 "/>
    <x v="21"/>
    <s v=" 883592.042 "/>
    <s v=" 988406.84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0"/>
    <x v="0"/>
    <s v="F:\Données chgh\2020-CHG-CZA-Test-3\plaque 2/@20 Testo + Pro 333/A8_01.tif "/>
    <s v=" 346.0783 "/>
    <s v=" 67.125 "/>
    <x v="0"/>
    <n v="23231"/>
    <m/>
    <m/>
  </r>
  <r>
    <x v="20"/>
    <x v="0"/>
    <s v="F:\Données chgh\2020-CHG-CZA-Test-3\plaque 2/@20 Testo + Pro 333/A8_02.tif "/>
    <s v=" 3958.2707 "/>
    <s v=" 66.0874 "/>
    <x v="0"/>
    <n v="261592"/>
    <m/>
    <m/>
  </r>
  <r>
    <x v="20"/>
    <x v="0"/>
    <s v="F:\Données chgh\2020-CHG-CZA-Test-3\plaque 2/@20 Testo + Pro 333/A8_03.tif "/>
    <s v=" 2076.4699 "/>
    <s v=" 65.2396 "/>
    <x v="0"/>
    <n v="135468"/>
    <m/>
    <m/>
  </r>
  <r>
    <x v="20"/>
    <x v="1"/>
    <s v="F:\Données chgh\2020-CHG-CZA-Test-3\plaque 2/@20 Testo + Pro 333/B8_01.tif "/>
    <s v=" 3201.2244 "/>
    <s v=" 63.473 "/>
    <x v="0"/>
    <n v="203191"/>
    <m/>
    <m/>
  </r>
  <r>
    <x v="20"/>
    <x v="1"/>
    <s v="F:\Données chgh\2020-CHG-CZA-Test-3\plaque 2/@20 Testo + Pro 333/B8_02- exclu.tif"/>
    <m/>
    <m/>
    <x v="1"/>
    <m/>
    <m/>
    <m/>
  </r>
  <r>
    <x v="20"/>
    <x v="1"/>
    <s v="F:\Données chgh\2020-CHG-CZA-Test-3\plaque 2/@20 Testo + Pro 333/B8_03- exclu.tif"/>
    <m/>
    <m/>
    <x v="1"/>
    <m/>
    <m/>
    <m/>
  </r>
  <r>
    <x v="20"/>
    <x v="2"/>
    <s v="F:\Données chgh\2020-CHG-CZA-Test-3\plaque 2/@20 Testo + Pro 333/C8_01.tif "/>
    <s v=" 4347.6088 "/>
    <s v=" 63.8507 "/>
    <x v="0"/>
    <n v="277598"/>
    <m/>
    <m/>
  </r>
  <r>
    <x v="20"/>
    <x v="2"/>
    <s v="F:\Données chgh\2020-CHG-CZA-Test-3\plaque 2/@20 Testo + Pro 333/C8_02.tif "/>
    <s v=" 3633.8223 "/>
    <s v=" 64.5714 "/>
    <x v="0"/>
    <n v="234641"/>
    <m/>
    <m/>
  </r>
  <r>
    <x v="20"/>
    <x v="2"/>
    <s v="F:\Données chgh\2020-CHG-CZA-Test-3\plaque 2/@20 Testo + Pro 333/C8_03- exclu.tif"/>
    <m/>
    <m/>
    <x v="1"/>
    <m/>
    <m/>
    <m/>
  </r>
  <r>
    <x v="20"/>
    <x v="3"/>
    <s v="F:\Données chgh\2020-CHG-CZA-Test-3\plaque 2/@20 Testo + Pro 333/D8_01.tif "/>
    <s v=" 24247.1119 "/>
    <s v=" 66.0464 "/>
    <x v="0"/>
    <n v="1601434"/>
    <m/>
    <m/>
  </r>
  <r>
    <x v="20"/>
    <x v="3"/>
    <s v="F:\Données chgh\2020-CHG-CZA-Test-3\plaque 2/@20 Testo + Pro 333/D8_02.tif "/>
    <s v=" 23727.9944 "/>
    <s v=" 67.5141 "/>
    <x v="0"/>
    <n v="1601975"/>
    <m/>
    <m/>
  </r>
  <r>
    <x v="20"/>
    <x v="3"/>
    <s v="F:\Données chgh\2020-CHG-CZA-Test-3\plaque 2/@20 Testo + Pro 333/D8_03.tif "/>
    <s v=" 28097.2331 "/>
    <s v=" 68.0562 "/>
    <x v="0"/>
    <n v="1912191"/>
    <m/>
    <m/>
  </r>
  <r>
    <x v="20"/>
    <x v="4"/>
    <s v="F:\Données chgh\2020-CHG-CZA-Test-3\plaque 2/@20 Testo + Pro 333/E8_01.tif "/>
    <s v=" 4823.4665 "/>
    <s v=" 71.296 "/>
    <x v="0"/>
    <n v="343894"/>
    <m/>
    <m/>
  </r>
  <r>
    <x v="20"/>
    <x v="4"/>
    <s v="F:\Données chgh\2020-CHG-CZA-Test-3\plaque 2/@20 Testo + Pro 333/E8_02.tif "/>
    <s v=" 5083.0252 "/>
    <s v=" 70.383 "/>
    <x v="0"/>
    <n v="357758"/>
    <m/>
    <m/>
  </r>
  <r>
    <x v="20"/>
    <x v="4"/>
    <s v="F:\Données chgh\2020-CHG-CZA-Test-3\plaque 2/@20 Testo + Pro 333/E8_03.tif "/>
    <s v=" 3525.6728 "/>
    <s v=" 66.7301 "/>
    <x v="0"/>
    <n v="235268"/>
    <m/>
    <m/>
  </r>
  <r>
    <x v="20"/>
    <x v="5"/>
    <s v="F:\Données chgh\2020-CHG-CZA-Test-3\plaque 2/@20 Testo + Pro 333/F8_01.tif "/>
    <s v=" 302.8185 "/>
    <s v=" 64.0714 "/>
    <x v="0"/>
    <n v="19402"/>
    <m/>
    <m/>
  </r>
  <r>
    <x v="20"/>
    <x v="5"/>
    <s v="F:\Données chgh\2020-CHG-CZA-Test-3\plaque 2/@20 Testo + Pro 333/F8_02.tif "/>
    <s v=" 735.4164 "/>
    <s v=" 63.1765 "/>
    <x v="0"/>
    <n v="46461"/>
    <m/>
    <m/>
  </r>
  <r>
    <x v="20"/>
    <x v="5"/>
    <s v="F:\Données chgh\2020-CHG-CZA-Test-3\plaque 2/@20 Testo + Pro 333/F8_03.tif "/>
    <s v=" 540.7474 "/>
    <s v=" 63.56 "/>
    <x v="0"/>
    <n v="34370"/>
    <m/>
    <m/>
  </r>
  <r>
    <x v="20"/>
    <x v="6"/>
    <s v="F:\Données chgh\2020-CHG-CZA-Test-3\plaque 2/@20 Testo + Pro 333/G8_01.tif "/>
    <s v=" 8046.3208 "/>
    <s v=" 83.7581 "/>
    <x v="0"/>
    <n v="673944"/>
    <m/>
    <m/>
  </r>
  <r>
    <x v="20"/>
    <x v="6"/>
    <s v="F:\Données chgh\2020-CHG-CZA-Test-3\plaque 2/@20 Testo + Pro 333/G8_02.tif "/>
    <s v=" 7830.0219 "/>
    <s v=" 84.7293 "/>
    <x v="0"/>
    <n v="663432"/>
    <m/>
    <m/>
  </r>
  <r>
    <x v="20"/>
    <x v="6"/>
    <s v="F:\Données chgh\2020-CHG-CZA-Test-3\plaque 2/@20 Testo + Pro 333/G8_03.tif "/>
    <s v=" 6835.0467 "/>
    <s v=" 74.9905 "/>
    <x v="0"/>
    <n v="512564"/>
    <m/>
    <m/>
  </r>
  <r>
    <x v="20"/>
    <x v="7"/>
    <s v="F:\Données chgh\2020-CHG-CZA-Test-3\plaque 2/@20 Testo + Pro 333/H8_01.tif "/>
    <s v=" 3114.7048 "/>
    <s v=" 69.0069 "/>
    <x v="0"/>
    <n v="214936"/>
    <m/>
    <m/>
  </r>
  <r>
    <x v="20"/>
    <x v="7"/>
    <s v="F:\Données chgh\2020-CHG-CZA-Test-3\plaque 2/@20 Testo + Pro 333/H8_02.tif "/>
    <s v=" 1925.0606 "/>
    <s v=" 64.6067 "/>
    <x v="0"/>
    <n v="124372"/>
    <m/>
    <m/>
  </r>
  <r>
    <x v="20"/>
    <x v="7"/>
    <s v="F:\Données chgh\2020-CHG-CZA-Test-3\plaque 2/@20 Testo + Pro 333/H8_03.tif "/>
    <s v=" 2098.0998 "/>
    <s v=" 65.2887 "/>
    <x v="0"/>
    <n v="136982"/>
    <m/>
    <m/>
  </r>
  <r>
    <x v="1"/>
    <x v="8"/>
    <s v=" "/>
    <m/>
    <m/>
    <x v="1"/>
    <m/>
    <m/>
    <m/>
  </r>
  <r>
    <x v="1"/>
    <x v="8"/>
    <s v="group "/>
    <s v=" "/>
    <s v=" mean of mean fluo "/>
    <x v="2"/>
    <s v=" mean of total fluo "/>
    <s v=" SD total fluo "/>
    <s v=" n fluorescent "/>
  </r>
  <r>
    <x v="20"/>
    <x v="9"/>
    <s v="F:\Données chgh\2020-CHG-CZA-Test-3\plaque 2/@20 Testo + Pro 333/ "/>
    <s v=" "/>
    <s v=" 67.8327 "/>
    <x v="22"/>
    <s v=" 423213.208 "/>
    <s v=" 530869.68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1"/>
    <x v="0"/>
    <s v="F:\Données chgh\2020-CHG-CZA-Test-3\plaque 2/@21 Testo +  Pro 1000/A9_01.tif "/>
    <s v=" 389.3381 "/>
    <s v=" 63.4444 "/>
    <x v="0"/>
    <n v="24701"/>
    <m/>
    <m/>
  </r>
  <r>
    <x v="21"/>
    <x v="0"/>
    <s v="F:\Données chgh\2020-CHG-CZA-Test-3\plaque 2/@21 Testo +  Pro 1000/A9_02.tif "/>
    <s v=" 302.8185 "/>
    <s v=" 62.9286 "/>
    <x v="0"/>
    <n v="19056"/>
    <m/>
    <m/>
  </r>
  <r>
    <x v="21"/>
    <x v="0"/>
    <s v="F:\Données chgh\2020-CHG-CZA-Test-3\plaque 2/@21 Testo +  Pro 1000/A9_03.tif "/>
    <s v=" 216.2989 "/>
    <s v=" 62.4 "/>
    <x v="0"/>
    <n v="13497"/>
    <m/>
    <m/>
  </r>
  <r>
    <x v="21"/>
    <x v="1"/>
    <s v="F:\Données chgh\2020-CHG-CZA-Test-3\plaque 2/@21 Testo +  Pro 1000/B9_01.tif "/>
    <s v=" 14773.218 "/>
    <s v=" 74.8433 "/>
    <x v="0"/>
    <n v="1105677"/>
    <m/>
    <m/>
  </r>
  <r>
    <x v="21"/>
    <x v="1"/>
    <s v="F:\Données chgh\2020-CHG-CZA-Test-3\plaque 2/@21 Testo +  Pro 1000/B9_02.tif "/>
    <s v=" 13734.9831 "/>
    <s v=" 74.7559 "/>
    <x v="0"/>
    <n v="1026771"/>
    <m/>
    <m/>
  </r>
  <r>
    <x v="21"/>
    <x v="1"/>
    <s v="F:\Données chgh\2020-CHG-CZA-Test-3\plaque 2/@21 Testo +  Pro 1000/B9_03.tif "/>
    <s v=" 11507.1039 "/>
    <s v=" 72.8271 "/>
    <x v="0"/>
    <n v="838029"/>
    <m/>
    <m/>
  </r>
  <r>
    <x v="21"/>
    <x v="2"/>
    <s v="F:\Données chgh\2020-CHG-CZA-Test-3\plaque 2/@21 Testo +  Pro 1000/C9_01.tif "/>
    <s v=" 2811.8863 "/>
    <s v=" 63.5154 "/>
    <x v="0"/>
    <n v="178598"/>
    <m/>
    <m/>
  </r>
  <r>
    <x v="21"/>
    <x v="2"/>
    <s v="F:\Données chgh\2020-CHG-CZA-Test-3\plaque 2/@21 Testo +  Pro 1000/C9_02.tif "/>
    <s v=" 1427.573 "/>
    <s v=" 64.9848 "/>
    <x v="0"/>
    <n v="92771"/>
    <m/>
    <m/>
  </r>
  <r>
    <x v="21"/>
    <x v="2"/>
    <s v="F:\Données chgh\2020-CHG-CZA-Test-3\plaque 2/@21 Testo +  Pro 1000/C9_03.tif "/>
    <s v=" 3871.7511 "/>
    <s v=" 65.1844 "/>
    <x v="0"/>
    <n v="252378"/>
    <m/>
    <m/>
  </r>
  <r>
    <x v="21"/>
    <x v="3"/>
    <s v="F:\Données chgh\2020-CHG-CZA-Test-3\plaque 2/@21 Testo +  Pro 1000/D9_01.tif "/>
    <s v=" 843.5659 "/>
    <s v=" 63.4872 "/>
    <x v="0"/>
    <n v="53556"/>
    <m/>
    <m/>
  </r>
  <r>
    <x v="21"/>
    <x v="3"/>
    <s v="F:\Données chgh\2020-CHG-CZA-Test-3\plaque 2/@21 Testo +  Pro 1000/D9_02.tif "/>
    <s v=" 7786.7621 "/>
    <s v=" 70.7778 "/>
    <x v="0"/>
    <n v="551130"/>
    <m/>
    <m/>
  </r>
  <r>
    <x v="21"/>
    <x v="3"/>
    <s v="F:\Données chgh\2020-CHG-CZA-Test-3\plaque 2/@21 Testo +  Pro 1000/D9_03.tif "/>
    <s v=" 2898.4059 "/>
    <s v=" 69.8134 "/>
    <x v="0"/>
    <n v="202348"/>
    <m/>
    <m/>
  </r>
  <r>
    <x v="21"/>
    <x v="4"/>
    <s v="F:\Données chgh\2020-CHG-CZA-Test-3\plaque 2/@21 Testo +  Pro 1000/E9_01.tif "/>
    <s v=" 908.4556 "/>
    <s v=" 64.2857 "/>
    <x v="0"/>
    <n v="58401"/>
    <m/>
    <m/>
  </r>
  <r>
    <x v="21"/>
    <x v="4"/>
    <s v="F:\Données chgh\2020-CHG-CZA-Test-3\plaque 2/@21 Testo +  Pro 1000/E9_02.tif "/>
    <s v=" 4196.1996 "/>
    <s v=" 69.0206 "/>
    <x v="0"/>
    <n v="289624"/>
    <m/>
    <m/>
  </r>
  <r>
    <x v="21"/>
    <x v="4"/>
    <s v="F:\Données chgh\2020-CHG-CZA-Test-3\plaque 2/@21 Testo +  Pro 1000/E9_03.tif "/>
    <s v=" 6791.7869 "/>
    <s v=" 76.5637 "/>
    <x v="0"/>
    <n v="520004"/>
    <m/>
    <m/>
  </r>
  <r>
    <x v="21"/>
    <x v="5"/>
    <s v="F:\Données chgh\2020-CHG-CZA-Test-3\plaque 2/@21 Testo +  Pro 1000/F9_01.tif "/>
    <s v=" 4477.3882 "/>
    <s v=" 69.628 "/>
    <x v="0"/>
    <n v="311752"/>
    <m/>
    <m/>
  </r>
  <r>
    <x v="21"/>
    <x v="5"/>
    <s v="F:\Données chgh\2020-CHG-CZA-Test-3\plaque 2/@21 Testo +  Pro 1000/F9_02.tif "/>
    <s v=" 5385.8438 "/>
    <s v=" 68.8273 "/>
    <x v="0"/>
    <n v="370693"/>
    <m/>
    <m/>
  </r>
  <r>
    <x v="21"/>
    <x v="5"/>
    <s v="F:\Données chgh\2020-CHG-CZA-Test-3\plaque 2/@21 Testo +  Pro 1000/F9_03.tif "/>
    <s v=" 5493.9932 "/>
    <s v=" 68.1969 "/>
    <x v="0"/>
    <n v="374673"/>
    <m/>
    <m/>
  </r>
  <r>
    <x v="21"/>
    <x v="6"/>
    <s v="F:\Données chgh\2020-CHG-CZA-Test-3\plaque 2/@21 Testo +  Pro 1000/G9_01.tif "/>
    <s v=" 1752.0215 "/>
    <s v=" 70.7901 "/>
    <x v="0"/>
    <n v="124026"/>
    <m/>
    <m/>
  </r>
  <r>
    <x v="21"/>
    <x v="6"/>
    <s v="F:\Données chgh\2020-CHG-CZA-Test-3\plaque 2/@21 Testo +  Pro 1000/G9_02.tif "/>
    <s v=" 2963.2956 "/>
    <s v=" 68.1022 "/>
    <x v="0"/>
    <n v="201807"/>
    <m/>
    <m/>
  </r>
  <r>
    <x v="21"/>
    <x v="6"/>
    <s v="F:\Données chgh\2020-CHG-CZA-Test-3\plaque 2/@21 Testo +  Pro 1000/G9_03- exclu.tif"/>
    <m/>
    <m/>
    <x v="1"/>
    <m/>
    <m/>
    <m/>
  </r>
  <r>
    <x v="21"/>
    <x v="7"/>
    <s v="F:\Données chgh\2020-CHG-CZA-Test-3\plaque 2/@21 Testo +  Pro 1000/H9_01.tif "/>
    <s v=" 8522.1785 "/>
    <s v=" 72.8553 "/>
    <x v="0"/>
    <n v="620886"/>
    <m/>
    <m/>
  </r>
  <r>
    <x v="21"/>
    <x v="7"/>
    <s v="F:\Données chgh\2020-CHG-CZA-Test-3\plaque 2/@21 Testo +  Pro 1000/H9_02.tif "/>
    <s v=" 10793.3174 "/>
    <s v=" 74.5591 "/>
    <x v="0"/>
    <n v="804740"/>
    <m/>
    <m/>
  </r>
  <r>
    <x v="21"/>
    <x v="7"/>
    <s v="F:\Données chgh\2020-CHG-CZA-Test-3\plaque 2/@21 Testo +  Pro 1000/H9_03- exclu.tif"/>
    <m/>
    <m/>
    <x v="1"/>
    <m/>
    <m/>
    <m/>
  </r>
  <r>
    <x v="1"/>
    <x v="8"/>
    <s v=" "/>
    <m/>
    <m/>
    <x v="1"/>
    <m/>
    <m/>
    <m/>
  </r>
  <r>
    <x v="1"/>
    <x v="8"/>
    <s v="group "/>
    <s v=" "/>
    <s v=" mean of mean fluo "/>
    <x v="2"/>
    <s v=" mean of total fluo "/>
    <s v=" SD total fluo "/>
    <s v=" n fluorescent "/>
  </r>
  <r>
    <x v="21"/>
    <x v="9"/>
    <s v="F:\Données chgh\2020-CHG-CZA-Test-3\plaque 2/@21 Testo +  Pro 1000/ "/>
    <s v=" "/>
    <s v=" 68.8796 "/>
    <x v="23"/>
    <s v=" 387865.542 "/>
    <s v=" 329133.393 "/>
    <n v="24"/>
  </r>
  <r>
    <x v="1"/>
    <x v="8"/>
    <s v=" "/>
    <m/>
    <m/>
    <x v="1"/>
    <m/>
    <m/>
    <m/>
  </r>
  <r>
    <x v="1"/>
    <x v="8"/>
    <s v=" "/>
    <m/>
    <m/>
    <x v="1"/>
    <m/>
    <m/>
    <m/>
  </r>
  <r>
    <x v="1"/>
    <x v="8"/>
    <s v=" "/>
    <m/>
    <m/>
    <x v="1"/>
    <m/>
    <m/>
    <m/>
  </r>
  <r>
    <x v="1"/>
    <x v="8"/>
    <s v=" "/>
    <m/>
    <m/>
    <x v="1"/>
    <m/>
    <m/>
    <m/>
  </r>
  <r>
    <x v="1"/>
    <x v="8"/>
    <s v=" "/>
    <m/>
    <m/>
    <x v="1"/>
    <m/>
    <m/>
    <m/>
  </r>
  <r>
    <x v="1"/>
    <x v="8"/>
    <s v=" "/>
    <m/>
    <m/>
    <x v="1"/>
    <m/>
    <m/>
    <m/>
  </r>
  <r>
    <x v="1"/>
    <x v="8"/>
    <m/>
    <s v=" n total analysed"/>
    <m/>
    <x v="1"/>
    <m/>
    <m/>
    <m/>
  </r>
  <r>
    <x v="1"/>
    <x v="8"/>
    <m/>
    <n v="504"/>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109"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4">
        <item m="1" x="22"/>
        <item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10"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111"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h="1"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108"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108"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41" dataDxfId="40" tableBorderDxfId="39">
  <autoFilter ref="A6:F57"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zoomScale="55" zoomScaleNormal="55" workbookViewId="0">
      <selection activeCell="C2" sqref="C2:D2"/>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60"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6" t="s">
        <v>36</v>
      </c>
      <c r="B1" s="197"/>
      <c r="C1" s="197"/>
      <c r="D1" s="197"/>
      <c r="E1" s="197"/>
      <c r="F1" s="197"/>
      <c r="G1" s="197"/>
      <c r="H1" s="197"/>
      <c r="I1" s="198"/>
    </row>
    <row r="2" spans="1:9" ht="21.5" thickBot="1" x14ac:dyDescent="0.55000000000000004">
      <c r="A2" s="189" t="s">
        <v>17</v>
      </c>
      <c r="B2" s="42" t="s">
        <v>115</v>
      </c>
      <c r="C2" s="199" t="s">
        <v>166</v>
      </c>
      <c r="D2" s="200"/>
      <c r="E2" s="42" t="s">
        <v>21</v>
      </c>
      <c r="F2" s="207">
        <v>44098</v>
      </c>
      <c r="G2" s="208"/>
      <c r="H2" s="208"/>
      <c r="I2" s="209"/>
    </row>
    <row r="3" spans="1:9" ht="21.5" thickBot="1" x14ac:dyDescent="0.55000000000000004">
      <c r="A3" s="190" t="s">
        <v>18</v>
      </c>
      <c r="B3" s="43" t="s">
        <v>115</v>
      </c>
      <c r="C3" s="199" t="s">
        <v>167</v>
      </c>
      <c r="D3" s="200"/>
      <c r="E3" s="43" t="s">
        <v>21</v>
      </c>
      <c r="F3" s="204">
        <v>44102</v>
      </c>
      <c r="G3" s="205"/>
      <c r="H3" s="205"/>
      <c r="I3" s="206"/>
    </row>
    <row r="4" spans="1:9" ht="21.5" thickBot="1" x14ac:dyDescent="0.55000000000000004">
      <c r="A4" s="191" t="s">
        <v>22</v>
      </c>
      <c r="B4" s="179" t="s">
        <v>115</v>
      </c>
      <c r="C4" s="199" t="s">
        <v>168</v>
      </c>
      <c r="D4" s="200"/>
      <c r="E4" s="179" t="s">
        <v>21</v>
      </c>
      <c r="F4" s="201"/>
      <c r="G4" s="202"/>
      <c r="H4" s="202"/>
      <c r="I4" s="203"/>
    </row>
    <row r="5" spans="1:9" s="1" customFormat="1" ht="65.25" customHeight="1" thickBot="1" x14ac:dyDescent="0.4">
      <c r="A5" s="196" t="s">
        <v>37</v>
      </c>
      <c r="B5" s="197"/>
      <c r="C5" s="197"/>
      <c r="D5" s="197"/>
      <c r="E5" s="197"/>
      <c r="F5" s="197"/>
      <c r="G5" s="197"/>
      <c r="H5" s="197"/>
      <c r="I5" s="198"/>
    </row>
    <row r="6" spans="1:9" s="110" customFormat="1" ht="39" customHeight="1" x14ac:dyDescent="0.5">
      <c r="A6" s="76" t="s">
        <v>35</v>
      </c>
      <c r="B6" s="101" t="s">
        <v>7</v>
      </c>
      <c r="C6" s="64" t="s">
        <v>19</v>
      </c>
      <c r="D6" s="64" t="s">
        <v>75</v>
      </c>
      <c r="E6" s="157" t="s">
        <v>51</v>
      </c>
      <c r="F6" s="109" t="s">
        <v>78</v>
      </c>
    </row>
    <row r="7" spans="1:9" s="166" customFormat="1" ht="39" customHeight="1" x14ac:dyDescent="0.5">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1"/>
    </row>
    <row r="8" spans="1:9" s="166" customFormat="1" ht="39" customHeight="1" x14ac:dyDescent="0.5">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8" s="162" t="s">
        <v>123</v>
      </c>
      <c r="C8" s="163">
        <v>33.799999999999997</v>
      </c>
      <c r="D8" s="164" t="s">
        <v>124</v>
      </c>
      <c r="E8" s="165" t="s">
        <v>126</v>
      </c>
      <c r="F8" s="111"/>
    </row>
    <row r="9" spans="1:9" s="166" customFormat="1" ht="39" customHeight="1" x14ac:dyDescent="0.5">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9" s="162" t="s">
        <v>123</v>
      </c>
      <c r="C9" s="163">
        <v>50.6</v>
      </c>
      <c r="D9" s="164" t="s">
        <v>124</v>
      </c>
      <c r="E9" s="165" t="s">
        <v>126</v>
      </c>
      <c r="F9" s="111"/>
    </row>
    <row r="10" spans="1:9" s="166" customFormat="1" ht="39" customHeight="1" x14ac:dyDescent="0.5">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0" s="162" t="s">
        <v>123</v>
      </c>
      <c r="C10" s="163">
        <v>76</v>
      </c>
      <c r="D10" s="164" t="s">
        <v>124</v>
      </c>
      <c r="E10" s="165" t="s">
        <v>126</v>
      </c>
      <c r="F10" s="111"/>
    </row>
    <row r="11" spans="1:9" s="166" customFormat="1" ht="39" customHeight="1" x14ac:dyDescent="0.5">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1" s="162" t="s">
        <v>123</v>
      </c>
      <c r="C11" s="163">
        <v>114</v>
      </c>
      <c r="D11" s="164" t="s">
        <v>124</v>
      </c>
      <c r="E11" s="165" t="s">
        <v>126</v>
      </c>
      <c r="F11" s="111"/>
    </row>
    <row r="12" spans="1:9" s="166" customFormat="1" ht="39" customHeight="1" x14ac:dyDescent="0.5">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2" s="162" t="s">
        <v>123</v>
      </c>
      <c r="C12" s="163">
        <v>170.9</v>
      </c>
      <c r="D12" s="164" t="s">
        <v>124</v>
      </c>
      <c r="E12" s="165" t="s">
        <v>126</v>
      </c>
      <c r="F12" s="111"/>
    </row>
    <row r="13" spans="1:9" s="166" customFormat="1" ht="39" customHeight="1" x14ac:dyDescent="0.5">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3" s="162" t="s">
        <v>123</v>
      </c>
      <c r="C13" s="163">
        <v>488</v>
      </c>
      <c r="D13" s="164" t="s">
        <v>124</v>
      </c>
      <c r="E13" s="165" t="s">
        <v>126</v>
      </c>
      <c r="F13" s="111"/>
    </row>
    <row r="14" spans="1:9" s="166" customFormat="1" ht="39" customHeight="1" x14ac:dyDescent="0.5">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Prochloraz-12µg/L</v>
      </c>
      <c r="B14" s="162" t="s">
        <v>169</v>
      </c>
      <c r="C14" s="163">
        <v>12</v>
      </c>
      <c r="D14" s="164" t="s">
        <v>127</v>
      </c>
      <c r="E14" s="165" t="s">
        <v>170</v>
      </c>
      <c r="F14" s="111"/>
    </row>
    <row r="15" spans="1:9" s="112" customFormat="1" ht="39" customHeight="1" x14ac:dyDescent="0.35">
      <c r="A1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Prochloraz-37µg/L</v>
      </c>
      <c r="B15" s="162" t="s">
        <v>171</v>
      </c>
      <c r="C15" s="106">
        <v>37</v>
      </c>
      <c r="D15" s="164" t="s">
        <v>127</v>
      </c>
      <c r="E15" s="165" t="s">
        <v>170</v>
      </c>
      <c r="F15" s="111"/>
    </row>
    <row r="16" spans="1:9" s="112" customFormat="1" ht="39" customHeight="1" x14ac:dyDescent="0.35">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Prochloraz-111µg/L</v>
      </c>
      <c r="B16" s="162" t="s">
        <v>172</v>
      </c>
      <c r="C16" s="106">
        <v>111</v>
      </c>
      <c r="D16" s="164" t="s">
        <v>127</v>
      </c>
      <c r="E16" s="165" t="s">
        <v>170</v>
      </c>
      <c r="F16" s="111"/>
    </row>
    <row r="17" spans="1:6" s="112" customFormat="1" ht="39" customHeight="1" x14ac:dyDescent="0.35">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Prochloraz-333µg/L</v>
      </c>
      <c r="B17" s="162" t="s">
        <v>173</v>
      </c>
      <c r="C17" s="106">
        <v>333</v>
      </c>
      <c r="D17" s="164" t="s">
        <v>127</v>
      </c>
      <c r="E17" s="165" t="s">
        <v>170</v>
      </c>
      <c r="F17" s="111"/>
    </row>
    <row r="18" spans="1:6" s="112" customFormat="1" ht="39" customHeight="1" x14ac:dyDescent="0.35">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Prochloraz-1000µg/L</v>
      </c>
      <c r="B18" s="162" t="s">
        <v>174</v>
      </c>
      <c r="C18" s="106">
        <v>1000</v>
      </c>
      <c r="D18" s="164" t="s">
        <v>127</v>
      </c>
      <c r="E18" s="165" t="s">
        <v>170</v>
      </c>
      <c r="F18" s="111"/>
    </row>
    <row r="19" spans="1:6" s="112" customFormat="1" ht="39" customHeight="1" x14ac:dyDescent="0.35">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9" s="40"/>
      <c r="C19" s="106"/>
      <c r="D19" s="106"/>
      <c r="E19" s="40"/>
      <c r="F19" s="111"/>
    </row>
    <row r="20" spans="1:6" s="112"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102"/>
      <c r="C20" s="106"/>
      <c r="D20" s="106"/>
      <c r="E20" s="102"/>
      <c r="F20" s="111"/>
    </row>
    <row r="21" spans="1:6" s="112"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40"/>
      <c r="C21" s="106"/>
      <c r="D21" s="106"/>
      <c r="E21" s="40"/>
      <c r="F21" s="111"/>
    </row>
    <row r="22" spans="1:6" s="112"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102"/>
      <c r="C22" s="106"/>
      <c r="D22" s="106"/>
      <c r="E22" s="102"/>
      <c r="F22" s="111"/>
    </row>
    <row r="23" spans="1:6" s="112"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40"/>
      <c r="C23" s="106"/>
      <c r="D23" s="106"/>
      <c r="E23" s="40"/>
      <c r="F23" s="111"/>
    </row>
    <row r="24" spans="1:6" s="112"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102"/>
      <c r="C24" s="106"/>
      <c r="D24" s="106"/>
      <c r="E24" s="102"/>
      <c r="F24" s="111"/>
    </row>
    <row r="25" spans="1:6" s="112"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40"/>
      <c r="C25" s="106"/>
      <c r="D25" s="106"/>
      <c r="E25" s="40"/>
      <c r="F25" s="111"/>
    </row>
    <row r="26" spans="1:6" s="112"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102"/>
      <c r="C26" s="106"/>
      <c r="D26" s="106"/>
      <c r="E26" s="102"/>
      <c r="F26" s="111"/>
    </row>
    <row r="27" spans="1:6" s="112"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40"/>
      <c r="C27" s="106"/>
      <c r="D27" s="106"/>
      <c r="E27" s="40"/>
      <c r="F27" s="111"/>
    </row>
    <row r="28" spans="1:6" s="112"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102"/>
      <c r="C28" s="106"/>
      <c r="D28" s="106"/>
      <c r="E28" s="102"/>
      <c r="F28" s="111"/>
    </row>
    <row r="29" spans="1:6" s="112"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40"/>
      <c r="C29" s="106"/>
      <c r="D29" s="115"/>
      <c r="E29" s="40"/>
      <c r="F29" s="111"/>
    </row>
    <row r="30" spans="1:6" s="112"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102"/>
      <c r="C30" s="106"/>
      <c r="D30" s="115"/>
      <c r="E30" s="102"/>
      <c r="F30" s="111"/>
    </row>
    <row r="31" spans="1:6" s="112"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40"/>
      <c r="C31" s="106"/>
      <c r="D31" s="115"/>
      <c r="E31" s="40"/>
      <c r="F31" s="111"/>
    </row>
    <row r="32" spans="1:6" s="112"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102"/>
      <c r="C32" s="106"/>
      <c r="D32" s="115"/>
      <c r="E32" s="102"/>
      <c r="F32" s="111"/>
    </row>
    <row r="33" spans="1:6" s="112"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40"/>
      <c r="C33" s="106"/>
      <c r="D33" s="115"/>
      <c r="E33" s="40"/>
      <c r="F33" s="111"/>
    </row>
    <row r="34" spans="1:6" s="112" customFormat="1" ht="39" customHeight="1" thickBot="1" x14ac:dyDescent="0.4">
      <c r="A3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167"/>
      <c r="C34" s="168"/>
      <c r="D34" s="116"/>
      <c r="E34" s="167"/>
      <c r="F34" s="111"/>
    </row>
    <row r="35" spans="1:6" s="112" customFormat="1" ht="39" customHeight="1" x14ac:dyDescent="0.35">
      <c r="A35"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5" s="103" t="s">
        <v>123</v>
      </c>
      <c r="C35" s="107">
        <v>30</v>
      </c>
      <c r="D35" s="117" t="s">
        <v>127</v>
      </c>
      <c r="E35" s="158" t="s">
        <v>20</v>
      </c>
      <c r="F35" s="170"/>
    </row>
    <row r="36" spans="1:6" s="112" customFormat="1" ht="39" customHeight="1" x14ac:dyDescent="0.35">
      <c r="A36"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6" s="104" t="s">
        <v>123</v>
      </c>
      <c r="C36" s="108">
        <v>64</v>
      </c>
      <c r="D36" s="118" t="s">
        <v>124</v>
      </c>
      <c r="E36" s="159" t="s">
        <v>128</v>
      </c>
      <c r="F36" s="172"/>
    </row>
    <row r="37" spans="1:6" s="112" customFormat="1" ht="39" customHeight="1" thickBot="1" x14ac:dyDescent="0.4">
      <c r="A37"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7" s="174" t="s">
        <v>123</v>
      </c>
      <c r="C37" s="175">
        <v>10</v>
      </c>
      <c r="D37" s="176" t="s">
        <v>129</v>
      </c>
      <c r="E37" s="177" t="s">
        <v>130</v>
      </c>
      <c r="F37" s="178"/>
    </row>
    <row r="38" spans="1:6" s="112" customFormat="1" ht="39" customHeight="1" x14ac:dyDescent="0.35">
      <c r="A38"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Prochloraz-12µg/L + Testostérone</v>
      </c>
      <c r="B38" s="192" t="str">
        <f>B14</f>
        <v>47-19</v>
      </c>
      <c r="C38" s="192">
        <f t="shared" ref="C38:E38" si="0">C14</f>
        <v>12</v>
      </c>
      <c r="D38" s="192" t="str">
        <f t="shared" si="0"/>
        <v>µg/L</v>
      </c>
      <c r="E38" s="192" t="str">
        <f t="shared" si="0"/>
        <v>Prochloraz</v>
      </c>
      <c r="F38" s="113" t="s">
        <v>50</v>
      </c>
    </row>
    <row r="39" spans="1:6" s="112" customFormat="1" ht="39" customHeight="1" x14ac:dyDescent="0.35">
      <c r="A3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Prochloraz-37µg/L + Testostérone</v>
      </c>
      <c r="B39" s="194" t="str">
        <f t="shared" ref="B39:E39" si="1">B15</f>
        <v>47-20</v>
      </c>
      <c r="C39" s="194">
        <f t="shared" si="1"/>
        <v>37</v>
      </c>
      <c r="D39" s="194" t="str">
        <f t="shared" si="1"/>
        <v>µg/L</v>
      </c>
      <c r="E39" s="194" t="str">
        <f t="shared" si="1"/>
        <v>Prochloraz</v>
      </c>
      <c r="F39" s="114" t="s">
        <v>50</v>
      </c>
    </row>
    <row r="40" spans="1:6" s="112" customFormat="1" ht="39" customHeight="1" x14ac:dyDescent="0.3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Prochloraz-111µg/L + Testostérone</v>
      </c>
      <c r="B40" s="194" t="str">
        <f t="shared" ref="B40:E40" si="2">B16</f>
        <v>47-21</v>
      </c>
      <c r="C40" s="194">
        <f t="shared" si="2"/>
        <v>111</v>
      </c>
      <c r="D40" s="194" t="str">
        <f t="shared" si="2"/>
        <v>µg/L</v>
      </c>
      <c r="E40" s="194" t="str">
        <f t="shared" si="2"/>
        <v>Prochloraz</v>
      </c>
      <c r="F40" s="114" t="s">
        <v>50</v>
      </c>
    </row>
    <row r="41" spans="1:6" s="112" customFormat="1" ht="39" customHeight="1" x14ac:dyDescent="0.3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Prochloraz-333µg/L + Testostérone</v>
      </c>
      <c r="B41" s="194" t="str">
        <f t="shared" ref="B41:E41" si="3">B17</f>
        <v>47-22</v>
      </c>
      <c r="C41" s="194">
        <f t="shared" si="3"/>
        <v>333</v>
      </c>
      <c r="D41" s="194" t="str">
        <f t="shared" si="3"/>
        <v>µg/L</v>
      </c>
      <c r="E41" s="194" t="str">
        <f t="shared" si="3"/>
        <v>Prochloraz</v>
      </c>
      <c r="F41" s="114" t="s">
        <v>50</v>
      </c>
    </row>
    <row r="42" spans="1:6" s="112" customFormat="1" ht="39" customHeight="1" x14ac:dyDescent="0.3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Prochloraz-1000µg/L + Testostérone</v>
      </c>
      <c r="B42" s="194" t="str">
        <f t="shared" ref="B42:E42" si="4">B18</f>
        <v>47-23</v>
      </c>
      <c r="C42" s="194">
        <f t="shared" si="4"/>
        <v>1000</v>
      </c>
      <c r="D42" s="194" t="str">
        <f t="shared" si="4"/>
        <v>µg/L</v>
      </c>
      <c r="E42" s="194" t="str">
        <f t="shared" si="4"/>
        <v>Prochloraz</v>
      </c>
      <c r="F42" s="114" t="s">
        <v>50</v>
      </c>
    </row>
    <row r="43" spans="1:6" s="112" customFormat="1" ht="39" customHeight="1" x14ac:dyDescent="0.35">
      <c r="A43" s="75"/>
      <c r="B43" s="194"/>
      <c r="C43" s="194"/>
      <c r="D43" s="194"/>
      <c r="E43" s="194"/>
      <c r="F43" s="114"/>
    </row>
    <row r="44" spans="1:6" s="112" customFormat="1" ht="39" customHeight="1" x14ac:dyDescent="0.35">
      <c r="A44" s="75"/>
      <c r="B44" s="194"/>
      <c r="C44" s="194"/>
      <c r="D44" s="194"/>
      <c r="E44" s="194"/>
      <c r="F44" s="114"/>
    </row>
    <row r="45" spans="1:6" s="112" customFormat="1" ht="39" customHeight="1" x14ac:dyDescent="0.35">
      <c r="A45" s="75"/>
      <c r="B45" s="194"/>
      <c r="C45" s="194"/>
      <c r="D45" s="194"/>
      <c r="E45" s="194"/>
      <c r="F45" s="114"/>
    </row>
    <row r="46" spans="1:6" s="112" customFormat="1" ht="39" customHeight="1" x14ac:dyDescent="0.35">
      <c r="A46" s="75"/>
      <c r="B46" s="194"/>
      <c r="C46" s="194"/>
      <c r="D46" s="194"/>
      <c r="E46" s="194"/>
      <c r="F46" s="114"/>
    </row>
    <row r="47" spans="1:6" s="112" customFormat="1" ht="39" customHeight="1" x14ac:dyDescent="0.35">
      <c r="A47" s="75"/>
      <c r="B47" s="194"/>
      <c r="C47" s="194"/>
      <c r="D47" s="194"/>
      <c r="E47" s="194"/>
      <c r="F47" s="114"/>
    </row>
    <row r="48" spans="1:6" s="112" customFormat="1" ht="39" customHeight="1" x14ac:dyDescent="0.35">
      <c r="A48" s="75"/>
      <c r="B48" s="194"/>
      <c r="C48" s="194"/>
      <c r="D48" s="194"/>
      <c r="E48" s="194"/>
      <c r="F48" s="114"/>
    </row>
    <row r="49" spans="1:6" s="112" customFormat="1" ht="39" customHeight="1" x14ac:dyDescent="0.35">
      <c r="A49" s="75"/>
      <c r="B49" s="194"/>
      <c r="C49" s="194"/>
      <c r="D49" s="194"/>
      <c r="E49" s="194"/>
      <c r="F49" s="114"/>
    </row>
    <row r="50" spans="1:6" s="112" customFormat="1" ht="39" customHeight="1" x14ac:dyDescent="0.35">
      <c r="A50" s="75"/>
      <c r="B50" s="194"/>
      <c r="C50" s="194"/>
      <c r="D50" s="194"/>
      <c r="E50" s="194"/>
      <c r="F50" s="114"/>
    </row>
    <row r="51" spans="1:6" s="112" customFormat="1" ht="39" customHeight="1" x14ac:dyDescent="0.35">
      <c r="A51" s="75"/>
      <c r="B51" s="194"/>
      <c r="C51" s="194"/>
      <c r="D51" s="194"/>
      <c r="E51" s="194"/>
      <c r="F51" s="114"/>
    </row>
    <row r="52" spans="1:6" s="112" customFormat="1" ht="39" customHeight="1" x14ac:dyDescent="0.35">
      <c r="A52" s="75"/>
      <c r="B52" s="194"/>
      <c r="C52" s="194"/>
      <c r="D52" s="194"/>
      <c r="E52" s="194"/>
      <c r="F52" s="114"/>
    </row>
    <row r="53" spans="1:6" s="112" customFormat="1" ht="39" customHeight="1" x14ac:dyDescent="0.35">
      <c r="A53" s="75"/>
      <c r="B53" s="194"/>
      <c r="C53" s="194"/>
      <c r="D53" s="194"/>
      <c r="E53" s="194"/>
      <c r="F53" s="114"/>
    </row>
    <row r="54" spans="1:6" s="112" customFormat="1" ht="39" customHeight="1" x14ac:dyDescent="0.35">
      <c r="A54" s="75"/>
      <c r="B54" s="194"/>
      <c r="C54" s="194"/>
      <c r="D54" s="194"/>
      <c r="E54" s="194"/>
      <c r="F54" s="114"/>
    </row>
    <row r="55" spans="1:6" s="112" customFormat="1" ht="39" customHeight="1" x14ac:dyDescent="0.35">
      <c r="A55" s="75"/>
      <c r="B55" s="194"/>
      <c r="C55" s="194"/>
      <c r="D55" s="194"/>
      <c r="E55" s="194"/>
      <c r="F55" s="114"/>
    </row>
    <row r="56" spans="1:6" s="112" customFormat="1" ht="39" customHeight="1" x14ac:dyDescent="0.35">
      <c r="A56" s="75"/>
      <c r="B56" s="194"/>
      <c r="C56" s="194"/>
      <c r="D56" s="194"/>
      <c r="E56" s="194"/>
      <c r="F56" s="114"/>
    </row>
    <row r="57" spans="1:6" s="112" customFormat="1" ht="39" customHeight="1" x14ac:dyDescent="0.35">
      <c r="A57" s="105"/>
      <c r="B57" s="193"/>
      <c r="C57" s="193"/>
      <c r="D57" s="193"/>
      <c r="E57" s="193"/>
      <c r="F57" s="114"/>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9" type="noConversion"/>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K1" zoomScale="70" zoomScaleNormal="70" workbookViewId="0">
      <selection activeCell="Z5" sqref="Z5:AF12"/>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44.26953125" style="1" customWidth="1"/>
    <col min="12" max="12" width="35.81640625" style="1" customWidth="1"/>
    <col min="13" max="13" width="15.7265625" style="1" customWidth="1"/>
    <col min="14" max="14" width="12.81640625" style="1" customWidth="1"/>
    <col min="15" max="20" width="12.26953125" style="1" customWidth="1"/>
    <col min="21" max="21" width="12.72656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TS</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175</v>
      </c>
      <c r="D2" s="1" t="s">
        <v>176</v>
      </c>
      <c r="E2" s="1" t="s">
        <v>177</v>
      </c>
      <c r="F2" s="1" t="s">
        <v>112</v>
      </c>
      <c r="G2" s="1">
        <v>567504</v>
      </c>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TS</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178</v>
      </c>
      <c r="D3" s="1" t="s">
        <v>179</v>
      </c>
      <c r="E3" s="1" t="s">
        <v>180</v>
      </c>
      <c r="F3" s="1" t="s">
        <v>112</v>
      </c>
      <c r="G3" s="1">
        <v>781640</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TS</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181</v>
      </c>
      <c r="D4" s="1" t="s">
        <v>182</v>
      </c>
      <c r="E4" s="1" t="s">
        <v>183</v>
      </c>
      <c r="F4" s="1" t="s">
        <v>112</v>
      </c>
      <c r="G4" s="1">
        <v>861086</v>
      </c>
      <c r="K4" s="119" t="s">
        <v>100</v>
      </c>
      <c r="L4" s="1" t="s">
        <v>1598</v>
      </c>
      <c r="M4" s="1" t="s">
        <v>1599</v>
      </c>
      <c r="N4" s="1" t="s">
        <v>1600</v>
      </c>
      <c r="O4" s="1" t="s">
        <v>1601</v>
      </c>
      <c r="P4" s="1" t="s">
        <v>1602</v>
      </c>
      <c r="Q4" s="1" t="s">
        <v>1603</v>
      </c>
      <c r="R4" s="1" t="s">
        <v>1604</v>
      </c>
      <c r="S4" s="1" t="s">
        <v>1605</v>
      </c>
      <c r="T4" s="1" t="s">
        <v>1606</v>
      </c>
      <c r="U4" s="1" t="s">
        <v>1607</v>
      </c>
      <c r="V4" s="1" t="s">
        <v>1608</v>
      </c>
      <c r="W4" s="1" t="s">
        <v>1609</v>
      </c>
      <c r="X4" s="1" t="s">
        <v>1610</v>
      </c>
      <c r="Y4" s="1" t="s">
        <v>1611</v>
      </c>
      <c r="Z4" s="1" t="s">
        <v>1612</v>
      </c>
      <c r="AA4" s="1" t="s">
        <v>1613</v>
      </c>
      <c r="AB4" s="1" t="s">
        <v>1614</v>
      </c>
      <c r="AC4" s="1" t="s">
        <v>1615</v>
      </c>
      <c r="AD4" s="1" t="s">
        <v>1616</v>
      </c>
      <c r="AE4" s="1" t="s">
        <v>1617</v>
      </c>
      <c r="AF4" s="1" t="s">
        <v>1618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TS</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184</v>
      </c>
      <c r="K5" s="146" t="s">
        <v>164</v>
      </c>
      <c r="L5" s="44">
        <v>736743.33333333337</v>
      </c>
      <c r="M5" s="44">
        <v>94212.666666666672</v>
      </c>
      <c r="N5" s="44">
        <v>140449.66666666666</v>
      </c>
      <c r="O5" s="44">
        <v>415395</v>
      </c>
      <c r="P5" s="44">
        <v>951556.66666666663</v>
      </c>
      <c r="Q5" s="44">
        <v>3847035.3333333335</v>
      </c>
      <c r="R5" s="44">
        <v>4425238.5</v>
      </c>
      <c r="S5" s="44">
        <v>141373.33333333334</v>
      </c>
      <c r="T5" s="44">
        <v>121019</v>
      </c>
      <c r="U5" s="44">
        <v>656250.66666666663</v>
      </c>
      <c r="V5" s="44">
        <v>536933.33333333337</v>
      </c>
      <c r="W5" s="44">
        <v>241829.33333333334</v>
      </c>
      <c r="X5" s="44">
        <v>1823833</v>
      </c>
      <c r="Y5" s="44">
        <v>152498</v>
      </c>
      <c r="Z5" s="44">
        <v>1768795.5</v>
      </c>
      <c r="AA5" s="44">
        <v>19438</v>
      </c>
      <c r="AB5" s="44">
        <v>263171</v>
      </c>
      <c r="AC5" s="44">
        <v>4077913</v>
      </c>
      <c r="AD5" s="44">
        <v>1009208</v>
      </c>
      <c r="AE5" s="44">
        <v>23685</v>
      </c>
      <c r="AF5" s="44"/>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TS</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185</v>
      </c>
      <c r="K6" s="146" t="s">
        <v>1619</v>
      </c>
      <c r="L6" s="44">
        <v>55632</v>
      </c>
      <c r="M6" s="44">
        <v>403635</v>
      </c>
      <c r="N6" s="44">
        <v>140969.66666666666</v>
      </c>
      <c r="O6" s="44">
        <v>281037.33333333331</v>
      </c>
      <c r="P6" s="44">
        <v>1861743</v>
      </c>
      <c r="Q6" s="44">
        <v>4068979.6666666665</v>
      </c>
      <c r="R6" s="44">
        <v>5773264</v>
      </c>
      <c r="S6" s="44">
        <v>80131.333333333328</v>
      </c>
      <c r="T6" s="44">
        <v>25725.333333333332</v>
      </c>
      <c r="U6" s="44">
        <v>30174</v>
      </c>
      <c r="V6" s="44">
        <v>169982</v>
      </c>
      <c r="W6" s="44">
        <v>40156</v>
      </c>
      <c r="X6" s="44">
        <v>5391611.666666667</v>
      </c>
      <c r="Y6" s="44">
        <v>26785</v>
      </c>
      <c r="Z6" s="44">
        <v>1693004.5</v>
      </c>
      <c r="AA6" s="44">
        <v>179506</v>
      </c>
      <c r="AB6" s="44">
        <v>3818469.3333333335</v>
      </c>
      <c r="AC6" s="44">
        <v>2557893.6666666665</v>
      </c>
      <c r="AD6" s="44">
        <v>2157387.5</v>
      </c>
      <c r="AE6" s="44">
        <v>190790</v>
      </c>
      <c r="AF6" s="44">
        <v>129692.66666666667</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TS</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186</v>
      </c>
      <c r="D7" s="1" t="s">
        <v>187</v>
      </c>
      <c r="E7" s="1" t="s">
        <v>188</v>
      </c>
      <c r="F7" s="1" t="s">
        <v>112</v>
      </c>
      <c r="G7" s="1">
        <v>55632</v>
      </c>
      <c r="K7" s="146" t="s">
        <v>1620</v>
      </c>
      <c r="L7" s="44">
        <v>131228.5</v>
      </c>
      <c r="M7" s="44">
        <v>123218.33333333333</v>
      </c>
      <c r="N7" s="44">
        <v>562867.66666666663</v>
      </c>
      <c r="O7" s="44">
        <v>242644.5</v>
      </c>
      <c r="P7" s="44">
        <v>1937483.3333333333</v>
      </c>
      <c r="Q7" s="44">
        <v>3052875.5</v>
      </c>
      <c r="R7" s="44">
        <v>4220136.666666667</v>
      </c>
      <c r="S7" s="44">
        <v>15920</v>
      </c>
      <c r="T7" s="44">
        <v>113239.66666666667</v>
      </c>
      <c r="U7" s="44">
        <v>24344.5</v>
      </c>
      <c r="V7" s="44">
        <v>381652.33333333331</v>
      </c>
      <c r="W7" s="44">
        <v>211756.33333333334</v>
      </c>
      <c r="X7" s="44">
        <v>2270526.3333333335</v>
      </c>
      <c r="Y7" s="44">
        <v>1843544.6666666667</v>
      </c>
      <c r="Z7" s="44">
        <v>4358979</v>
      </c>
      <c r="AA7" s="44">
        <v>225888.33333333334</v>
      </c>
      <c r="AB7" s="44">
        <v>1782274.3333333333</v>
      </c>
      <c r="AC7" s="44">
        <v>246696.33333333334</v>
      </c>
      <c r="AD7" s="44">
        <v>202012.5</v>
      </c>
      <c r="AE7" s="44">
        <v>607367.66666666663</v>
      </c>
      <c r="AF7" s="44">
        <v>368335.66666666669</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TS</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189</v>
      </c>
      <c r="D8" s="1" t="s">
        <v>190</v>
      </c>
      <c r="E8" s="1" t="s">
        <v>191</v>
      </c>
      <c r="F8" s="1" t="s">
        <v>112</v>
      </c>
      <c r="G8" s="1">
        <v>236804</v>
      </c>
      <c r="K8" s="146" t="s">
        <v>1621</v>
      </c>
      <c r="L8" s="44">
        <v>440154</v>
      </c>
      <c r="M8" s="44">
        <v>604483.66666666663</v>
      </c>
      <c r="N8" s="44">
        <v>270251</v>
      </c>
      <c r="O8" s="44">
        <v>269804</v>
      </c>
      <c r="P8" s="44">
        <v>531201.33333333337</v>
      </c>
      <c r="Q8" s="44">
        <v>4293829.666666667</v>
      </c>
      <c r="R8" s="44">
        <v>2963951.6666666665</v>
      </c>
      <c r="S8" s="44">
        <v>285384.66666666669</v>
      </c>
      <c r="T8" s="44">
        <v>110968.33333333333</v>
      </c>
      <c r="U8" s="44">
        <v>136448.66666666666</v>
      </c>
      <c r="V8" s="44">
        <v>87831.666666666672</v>
      </c>
      <c r="W8" s="44">
        <v>470501</v>
      </c>
      <c r="X8" s="44">
        <v>3825225</v>
      </c>
      <c r="Y8" s="44">
        <v>540632</v>
      </c>
      <c r="Z8" s="44">
        <v>3848838</v>
      </c>
      <c r="AA8" s="44">
        <v>536104</v>
      </c>
      <c r="AB8" s="44">
        <v>4572033.666666667</v>
      </c>
      <c r="AC8" s="44">
        <v>101603</v>
      </c>
      <c r="AD8" s="44">
        <v>4044307</v>
      </c>
      <c r="AE8" s="44">
        <v>866068</v>
      </c>
      <c r="AF8" s="44">
        <v>175043.66666666666</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TS</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192</v>
      </c>
      <c r="D9" s="1" t="s">
        <v>193</v>
      </c>
      <c r="E9" s="1" t="s">
        <v>194</v>
      </c>
      <c r="F9" s="1" t="s">
        <v>112</v>
      </c>
      <c r="G9" s="1">
        <v>25653</v>
      </c>
      <c r="K9" s="146" t="s">
        <v>1622</v>
      </c>
      <c r="L9" s="44">
        <v>36583.333333333336</v>
      </c>
      <c r="M9" s="44">
        <v>141704.33333333334</v>
      </c>
      <c r="N9" s="44">
        <v>319005</v>
      </c>
      <c r="O9" s="44">
        <v>368551.66666666669</v>
      </c>
      <c r="P9" s="44">
        <v>632537.33333333337</v>
      </c>
      <c r="Q9" s="44">
        <v>2723326.3333333335</v>
      </c>
      <c r="R9" s="44">
        <v>3391452</v>
      </c>
      <c r="S9" s="44">
        <v>48523</v>
      </c>
      <c r="T9" s="44"/>
      <c r="U9" s="44">
        <v>127076</v>
      </c>
      <c r="V9" s="44">
        <v>405337.33333333331</v>
      </c>
      <c r="W9" s="44">
        <v>354903</v>
      </c>
      <c r="X9" s="44">
        <v>1087335</v>
      </c>
      <c r="Y9" s="44">
        <v>620511.33333333337</v>
      </c>
      <c r="Z9" s="44">
        <v>1799390.6666666667</v>
      </c>
      <c r="AA9" s="44">
        <v>77911</v>
      </c>
      <c r="AB9" s="44">
        <v>521453.33333333331</v>
      </c>
      <c r="AC9" s="44">
        <v>682553</v>
      </c>
      <c r="AD9" s="44">
        <v>601282</v>
      </c>
      <c r="AE9" s="44">
        <v>2437415.3333333335</v>
      </c>
      <c r="AF9" s="44">
        <v>667123.66666666663</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TS</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195</v>
      </c>
      <c r="K10" s="146" t="s">
        <v>1623</v>
      </c>
      <c r="L10" s="44">
        <v>81516</v>
      </c>
      <c r="M10" s="44">
        <v>91743</v>
      </c>
      <c r="N10" s="44">
        <v>372740.66666666669</v>
      </c>
      <c r="O10" s="44">
        <v>394068</v>
      </c>
      <c r="P10" s="44">
        <v>2655837</v>
      </c>
      <c r="Q10" s="44">
        <v>2977535</v>
      </c>
      <c r="R10" s="44">
        <v>3617362</v>
      </c>
      <c r="S10" s="44">
        <v>78170.333333333328</v>
      </c>
      <c r="T10" s="44">
        <v>475317</v>
      </c>
      <c r="U10" s="44">
        <v>295774.66666666669</v>
      </c>
      <c r="V10" s="44">
        <v>179658</v>
      </c>
      <c r="W10" s="44">
        <v>405351.66666666669</v>
      </c>
      <c r="X10" s="44">
        <v>281224.66666666669</v>
      </c>
      <c r="Y10" s="44">
        <v>922407</v>
      </c>
      <c r="Z10" s="44">
        <v>4510828</v>
      </c>
      <c r="AA10" s="44">
        <v>220938.5</v>
      </c>
      <c r="AB10" s="44">
        <v>1062677</v>
      </c>
      <c r="AC10" s="44">
        <v>1124466</v>
      </c>
      <c r="AD10" s="44">
        <v>93758.333333333328</v>
      </c>
      <c r="AE10" s="44">
        <v>141157</v>
      </c>
      <c r="AF10" s="44">
        <v>222074</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TS</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196</v>
      </c>
      <c r="D11" s="1" t="s">
        <v>197</v>
      </c>
      <c r="E11" s="1" t="s">
        <v>198</v>
      </c>
      <c r="F11" s="1" t="s">
        <v>112</v>
      </c>
      <c r="G11" s="1">
        <v>428142</v>
      </c>
      <c r="K11" s="146" t="s">
        <v>1624</v>
      </c>
      <c r="L11" s="44">
        <v>99281.333333333328</v>
      </c>
      <c r="M11" s="44">
        <v>182794.33333333334</v>
      </c>
      <c r="N11" s="44">
        <v>28313.666666666668</v>
      </c>
      <c r="O11" s="44">
        <v>239976.33333333334</v>
      </c>
      <c r="P11" s="44">
        <v>5082564</v>
      </c>
      <c r="Q11" s="44">
        <v>3780574</v>
      </c>
      <c r="R11" s="44">
        <v>6348049.666666667</v>
      </c>
      <c r="S11" s="44">
        <v>518894</v>
      </c>
      <c r="T11" s="44">
        <v>78458.666666666672</v>
      </c>
      <c r="U11" s="44">
        <v>360455</v>
      </c>
      <c r="V11" s="44">
        <v>47095.666666666664</v>
      </c>
      <c r="W11" s="44">
        <v>1134055.3333333333</v>
      </c>
      <c r="X11" s="44">
        <v>171359.33333333334</v>
      </c>
      <c r="Y11" s="44">
        <v>2430638</v>
      </c>
      <c r="Z11" s="44">
        <v>1802448</v>
      </c>
      <c r="AA11" s="44">
        <v>455503.66666666669</v>
      </c>
      <c r="AB11" s="44">
        <v>1442180.3333333333</v>
      </c>
      <c r="AC11" s="44">
        <v>247193.66666666666</v>
      </c>
      <c r="AD11" s="44">
        <v>1479542.6666666667</v>
      </c>
      <c r="AE11" s="44">
        <v>601246</v>
      </c>
      <c r="AF11" s="44">
        <v>730542.66666666663</v>
      </c>
      <c r="AG11"/>
    </row>
    <row r="12" spans="1:144" x14ac:dyDescent="0.35">
      <c r="A12" s="1" t="str">
        <f t="shared" si="0"/>
        <v>01 TS</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199</v>
      </c>
      <c r="D12" s="1" t="s">
        <v>200</v>
      </c>
      <c r="E12" s="1" t="s">
        <v>201</v>
      </c>
      <c r="F12" s="1" t="s">
        <v>112</v>
      </c>
      <c r="G12" s="1">
        <v>344521</v>
      </c>
      <c r="K12" s="146" t="s">
        <v>1625</v>
      </c>
      <c r="L12" s="44">
        <v>139383</v>
      </c>
      <c r="M12" s="44">
        <v>297901.66666666669</v>
      </c>
      <c r="N12" s="44">
        <v>37455.666666666664</v>
      </c>
      <c r="O12" s="44">
        <v>260157</v>
      </c>
      <c r="P12" s="44">
        <v>2303577</v>
      </c>
      <c r="Q12" s="44">
        <v>4178773</v>
      </c>
      <c r="R12" s="44">
        <v>7314112.666666667</v>
      </c>
      <c r="S12" s="44">
        <v>153478.66666666666</v>
      </c>
      <c r="T12" s="44">
        <v>229760.33333333334</v>
      </c>
      <c r="U12" s="44">
        <v>150717</v>
      </c>
      <c r="V12" s="44">
        <v>417190.33333333331</v>
      </c>
      <c r="W12" s="44">
        <v>534200.33333333337</v>
      </c>
      <c r="X12" s="44">
        <v>172952.66666666666</v>
      </c>
      <c r="Y12" s="44">
        <v>424155</v>
      </c>
      <c r="Z12" s="44">
        <v>1269040.3333333333</v>
      </c>
      <c r="AA12" s="44">
        <v>164722.5</v>
      </c>
      <c r="AB12" s="44">
        <v>525310.66666666663</v>
      </c>
      <c r="AC12" s="44">
        <v>3908926</v>
      </c>
      <c r="AD12" s="44">
        <v>568347</v>
      </c>
      <c r="AE12" s="44">
        <v>48004</v>
      </c>
      <c r="AF12" s="44">
        <v>440103</v>
      </c>
      <c r="AG12"/>
    </row>
    <row r="13" spans="1:144" x14ac:dyDescent="0.35">
      <c r="A13" s="1" t="str">
        <f t="shared" si="0"/>
        <v>01 TS</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202</v>
      </c>
      <c r="D13" s="1" t="s">
        <v>203</v>
      </c>
      <c r="E13" s="1" t="s">
        <v>204</v>
      </c>
      <c r="F13" s="1" t="s">
        <v>112</v>
      </c>
      <c r="G13" s="1">
        <v>547799</v>
      </c>
      <c r="K13"/>
      <c r="L13"/>
      <c r="M13"/>
      <c r="N13"/>
      <c r="O13"/>
      <c r="P13"/>
      <c r="Q13"/>
      <c r="R13"/>
      <c r="S13"/>
      <c r="T13"/>
      <c r="U13"/>
      <c r="V13"/>
      <c r="W13"/>
      <c r="X13"/>
      <c r="Y13"/>
      <c r="Z13"/>
      <c r="AA13"/>
      <c r="AB13"/>
      <c r="AC13"/>
      <c r="AD13"/>
      <c r="AE13"/>
      <c r="AF13"/>
      <c r="AG13"/>
    </row>
    <row r="14" spans="1:144" x14ac:dyDescent="0.35">
      <c r="A14" s="1" t="str">
        <f t="shared" si="0"/>
        <v>01 TS</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205</v>
      </c>
      <c r="D14" s="1" t="s">
        <v>206</v>
      </c>
      <c r="E14" s="1" t="s">
        <v>207</v>
      </c>
      <c r="F14" s="1" t="s">
        <v>112</v>
      </c>
      <c r="G14" s="1">
        <v>55632</v>
      </c>
      <c r="K14"/>
      <c r="L14"/>
      <c r="M14"/>
      <c r="N14"/>
      <c r="O14"/>
      <c r="P14"/>
      <c r="Q14"/>
      <c r="R14"/>
      <c r="S14"/>
      <c r="T14"/>
      <c r="U14"/>
      <c r="V14"/>
      <c r="W14"/>
      <c r="X14"/>
      <c r="Y14"/>
      <c r="Z14"/>
      <c r="AA14"/>
      <c r="AB14"/>
      <c r="AC14"/>
      <c r="AD14"/>
      <c r="AE14"/>
      <c r="AF14"/>
      <c r="AG14"/>
    </row>
    <row r="15" spans="1:144" x14ac:dyDescent="0.35">
      <c r="A15" s="1" t="str">
        <f t="shared" si="0"/>
        <v>01 TS</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208</v>
      </c>
      <c r="D15" s="1" t="s">
        <v>209</v>
      </c>
      <c r="E15" s="1" t="s">
        <v>210</v>
      </c>
      <c r="F15" s="1" t="s">
        <v>112</v>
      </c>
      <c r="G15" s="1">
        <v>10858</v>
      </c>
    </row>
    <row r="16" spans="1:144" x14ac:dyDescent="0.35">
      <c r="A16" s="1" t="str">
        <f t="shared" si="0"/>
        <v>01 TS</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211</v>
      </c>
      <c r="D16" s="1" t="s">
        <v>212</v>
      </c>
      <c r="E16" s="1" t="s">
        <v>213</v>
      </c>
      <c r="F16" s="1" t="s">
        <v>112</v>
      </c>
      <c r="G16" s="1">
        <v>43260</v>
      </c>
      <c r="M16"/>
      <c r="N16"/>
      <c r="O16"/>
      <c r="P16"/>
      <c r="Q16"/>
      <c r="R16"/>
      <c r="S16"/>
      <c r="T16"/>
      <c r="U16"/>
      <c r="V16"/>
      <c r="W16"/>
      <c r="X16"/>
      <c r="Y16"/>
      <c r="Z16"/>
      <c r="AA16"/>
      <c r="AB16"/>
      <c r="AC16"/>
      <c r="AD16"/>
      <c r="AE16"/>
      <c r="AF16"/>
      <c r="AG16"/>
      <c r="AH16"/>
    </row>
    <row r="17" spans="1:34" x14ac:dyDescent="0.35">
      <c r="A17" s="1" t="str">
        <f t="shared" si="0"/>
        <v>01 TS</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214</v>
      </c>
      <c r="D17" s="1" t="s">
        <v>215</v>
      </c>
      <c r="E17" s="1" t="s">
        <v>216</v>
      </c>
      <c r="F17" s="1" t="s">
        <v>112</v>
      </c>
      <c r="G17" s="1">
        <v>116888</v>
      </c>
      <c r="M17"/>
      <c r="N17"/>
      <c r="O17"/>
      <c r="P17"/>
      <c r="Q17"/>
      <c r="R17"/>
      <c r="S17"/>
      <c r="T17"/>
      <c r="U17"/>
      <c r="V17"/>
      <c r="W17"/>
      <c r="X17"/>
      <c r="Y17"/>
      <c r="Z17"/>
      <c r="AA17"/>
      <c r="AB17"/>
      <c r="AC17"/>
      <c r="AD17"/>
      <c r="AE17"/>
      <c r="AF17"/>
      <c r="AG17"/>
      <c r="AH17"/>
    </row>
    <row r="18" spans="1:34" x14ac:dyDescent="0.35">
      <c r="A18" s="1" t="str">
        <f t="shared" si="0"/>
        <v>01 TS</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217</v>
      </c>
      <c r="D18" s="1" t="s">
        <v>218</v>
      </c>
      <c r="E18" s="1" t="s">
        <v>219</v>
      </c>
      <c r="F18" s="1" t="s">
        <v>112</v>
      </c>
      <c r="G18" s="1">
        <v>52972</v>
      </c>
      <c r="M18"/>
      <c r="N18"/>
      <c r="O18"/>
      <c r="P18"/>
      <c r="Q18"/>
      <c r="R18"/>
      <c r="S18"/>
      <c r="T18"/>
      <c r="U18"/>
      <c r="V18"/>
      <c r="W18"/>
      <c r="X18"/>
      <c r="Y18"/>
      <c r="Z18"/>
      <c r="AA18"/>
      <c r="AB18"/>
      <c r="AC18"/>
      <c r="AD18"/>
      <c r="AE18"/>
      <c r="AF18"/>
      <c r="AG18"/>
      <c r="AH18"/>
    </row>
    <row r="19" spans="1:34" x14ac:dyDescent="0.35">
      <c r="A19" s="1" t="str">
        <f t="shared" si="0"/>
        <v>01 TS</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220</v>
      </c>
      <c r="D19" s="1" t="s">
        <v>221</v>
      </c>
      <c r="E19" s="1" t="s">
        <v>222</v>
      </c>
      <c r="F19" s="1" t="s">
        <v>112</v>
      </c>
      <c r="G19" s="1">
        <v>74688</v>
      </c>
      <c r="K19"/>
      <c r="L19"/>
      <c r="M19"/>
      <c r="N19"/>
      <c r="O19"/>
      <c r="P19"/>
      <c r="Q19"/>
      <c r="R19"/>
      <c r="S19"/>
      <c r="T19"/>
      <c r="U19"/>
      <c r="V19"/>
      <c r="W19"/>
      <c r="X19"/>
      <c r="Y19"/>
      <c r="Z19"/>
      <c r="AA19"/>
      <c r="AB19"/>
      <c r="AC19"/>
      <c r="AD19"/>
      <c r="AE19"/>
      <c r="AF19"/>
      <c r="AG19"/>
      <c r="AH19"/>
    </row>
    <row r="20" spans="1:34" x14ac:dyDescent="0.35">
      <c r="A20" s="1" t="str">
        <f t="shared" si="0"/>
        <v>01 TS</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223</v>
      </c>
      <c r="D20" s="1" t="s">
        <v>224</v>
      </c>
      <c r="E20" s="1" t="s">
        <v>225</v>
      </c>
      <c r="F20" s="1" t="s">
        <v>112</v>
      </c>
      <c r="G20" s="1">
        <v>141135</v>
      </c>
      <c r="K20"/>
      <c r="L20"/>
      <c r="M20"/>
      <c r="N20"/>
      <c r="O20"/>
      <c r="P20"/>
      <c r="Q20"/>
      <c r="R20"/>
      <c r="S20"/>
      <c r="T20"/>
      <c r="U20"/>
      <c r="V20"/>
      <c r="W20"/>
      <c r="X20"/>
      <c r="Y20"/>
      <c r="Z20"/>
      <c r="AA20"/>
      <c r="AB20"/>
      <c r="AC20"/>
      <c r="AD20"/>
      <c r="AE20"/>
      <c r="AF20"/>
      <c r="AG20"/>
      <c r="AH20"/>
    </row>
    <row r="21" spans="1:34" x14ac:dyDescent="0.35">
      <c r="A21" s="1" t="str">
        <f t="shared" si="0"/>
        <v>01 TS</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226</v>
      </c>
      <c r="D21" s="1" t="s">
        <v>227</v>
      </c>
      <c r="E21" s="1" t="s">
        <v>228</v>
      </c>
      <c r="F21" s="1" t="s">
        <v>112</v>
      </c>
      <c r="G21" s="1">
        <v>27773</v>
      </c>
      <c r="K21"/>
      <c r="L21"/>
      <c r="M21"/>
      <c r="N21"/>
      <c r="O21"/>
      <c r="P21"/>
      <c r="Q21"/>
      <c r="R21"/>
      <c r="S21"/>
      <c r="T21"/>
      <c r="U21"/>
      <c r="V21"/>
      <c r="W21"/>
      <c r="X21"/>
      <c r="Y21"/>
      <c r="Z21"/>
      <c r="AA21"/>
      <c r="AB21"/>
      <c r="AC21"/>
      <c r="AD21"/>
      <c r="AE21"/>
      <c r="AF21"/>
      <c r="AG21"/>
      <c r="AH21"/>
    </row>
    <row r="22" spans="1:34" x14ac:dyDescent="0.35">
      <c r="A22" s="1" t="str">
        <f t="shared" si="0"/>
        <v>01 TS</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229</v>
      </c>
      <c r="D22" s="1" t="s">
        <v>230</v>
      </c>
      <c r="E22" s="1" t="s">
        <v>231</v>
      </c>
      <c r="F22" s="1" t="s">
        <v>112</v>
      </c>
      <c r="G22" s="1">
        <v>128936</v>
      </c>
      <c r="K22"/>
      <c r="L22"/>
      <c r="M22"/>
      <c r="N22"/>
      <c r="O22"/>
      <c r="P22"/>
      <c r="Q22"/>
      <c r="R22"/>
      <c r="S22"/>
      <c r="T22"/>
      <c r="U22"/>
      <c r="V22"/>
      <c r="W22"/>
      <c r="X22"/>
      <c r="Y22"/>
      <c r="Z22"/>
      <c r="AA22"/>
      <c r="AB22"/>
      <c r="AC22"/>
      <c r="AD22"/>
      <c r="AE22"/>
      <c r="AF22"/>
      <c r="AG22"/>
      <c r="AH22"/>
    </row>
    <row r="23" spans="1:34" x14ac:dyDescent="0.35">
      <c r="A23" s="1" t="str">
        <f t="shared" si="0"/>
        <v>01 TS</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232</v>
      </c>
      <c r="D23" s="1" t="s">
        <v>233</v>
      </c>
      <c r="E23" s="1" t="s">
        <v>234</v>
      </c>
      <c r="F23" s="1" t="s">
        <v>112</v>
      </c>
      <c r="G23" s="1">
        <v>16244</v>
      </c>
      <c r="K23"/>
      <c r="L23"/>
      <c r="M23"/>
      <c r="N23"/>
      <c r="O23"/>
      <c r="P23"/>
      <c r="Q23"/>
      <c r="R23"/>
      <c r="S23"/>
      <c r="T23"/>
      <c r="U23"/>
      <c r="V23"/>
      <c r="W23"/>
      <c r="X23"/>
      <c r="Y23"/>
      <c r="Z23"/>
      <c r="AA23"/>
      <c r="AB23"/>
      <c r="AC23"/>
      <c r="AD23"/>
      <c r="AE23"/>
      <c r="AF23"/>
      <c r="AG23"/>
      <c r="AH23"/>
    </row>
    <row r="24" spans="1:34" x14ac:dyDescent="0.35">
      <c r="A24" s="1" t="str">
        <f t="shared" si="0"/>
        <v>01 TS</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235</v>
      </c>
      <c r="D24" s="1" t="s">
        <v>236</v>
      </c>
      <c r="E24" s="1" t="s">
        <v>237</v>
      </c>
      <c r="F24" s="1" t="s">
        <v>112</v>
      </c>
      <c r="G24" s="1">
        <v>188721</v>
      </c>
      <c r="K24"/>
      <c r="L24"/>
      <c r="M24"/>
      <c r="N24"/>
      <c r="O24"/>
      <c r="P24"/>
      <c r="Q24"/>
      <c r="R24"/>
      <c r="S24"/>
      <c r="T24"/>
      <c r="U24"/>
      <c r="V24"/>
      <c r="W24"/>
      <c r="X24"/>
      <c r="Y24"/>
      <c r="Z24"/>
      <c r="AA24"/>
      <c r="AB24"/>
      <c r="AC24"/>
      <c r="AD24"/>
      <c r="AE24"/>
      <c r="AF24"/>
      <c r="AG24"/>
      <c r="AH24"/>
    </row>
    <row r="25" spans="1:34" x14ac:dyDescent="0.35">
      <c r="A25" s="1" t="str">
        <f t="shared" si="0"/>
        <v>01 TS</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238</v>
      </c>
      <c r="D25" s="1" t="s">
        <v>239</v>
      </c>
      <c r="E25" s="1" t="s">
        <v>240</v>
      </c>
      <c r="F25" s="1" t="s">
        <v>112</v>
      </c>
      <c r="G25" s="1">
        <v>213184</v>
      </c>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241</v>
      </c>
      <c r="D27" s="1" t="s">
        <v>112</v>
      </c>
      <c r="E27" s="1" t="s">
        <v>242</v>
      </c>
      <c r="F27" s="1" t="s">
        <v>243</v>
      </c>
      <c r="G27" s="1" t="s">
        <v>244</v>
      </c>
      <c r="H27" s="1" t="s">
        <v>245</v>
      </c>
      <c r="I27" s="1" t="s">
        <v>246</v>
      </c>
      <c r="K27"/>
      <c r="L27"/>
      <c r="M27"/>
      <c r="N27"/>
      <c r="O27"/>
      <c r="P27"/>
      <c r="Q27"/>
      <c r="R27"/>
      <c r="S27"/>
      <c r="T27"/>
      <c r="U27"/>
      <c r="V27"/>
      <c r="W27"/>
      <c r="X27"/>
      <c r="Y27"/>
      <c r="Z27"/>
      <c r="AA27"/>
      <c r="AB27"/>
      <c r="AC27"/>
      <c r="AD27"/>
      <c r="AE27"/>
      <c r="AF27"/>
      <c r="AG27"/>
      <c r="AH27"/>
    </row>
    <row r="28" spans="1:34" x14ac:dyDescent="0.35">
      <c r="A28" s="1" t="str">
        <f t="shared" si="0"/>
        <v>01 TS</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247</v>
      </c>
      <c r="D28" s="1" t="s">
        <v>112</v>
      </c>
      <c r="E28" s="1" t="s">
        <v>248</v>
      </c>
      <c r="F28" s="1" t="s">
        <v>249</v>
      </c>
      <c r="G28" s="1" t="s">
        <v>250</v>
      </c>
      <c r="H28" s="1" t="s">
        <v>251</v>
      </c>
      <c r="I28" s="1">
        <v>24</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252</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35">
      <c r="A35" s="1" t="str">
        <f t="shared" si="0"/>
        <v>02 EE2 34</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253</v>
      </c>
      <c r="D35" s="1" t="s">
        <v>254</v>
      </c>
      <c r="E35" s="1" t="s">
        <v>255</v>
      </c>
      <c r="F35" s="1" t="s">
        <v>112</v>
      </c>
      <c r="G35" s="1">
        <v>86325</v>
      </c>
      <c r="K35"/>
      <c r="L35"/>
      <c r="M35"/>
      <c r="N35"/>
      <c r="O35"/>
      <c r="P35"/>
      <c r="Q35"/>
      <c r="R35"/>
      <c r="S35"/>
      <c r="T35"/>
      <c r="U35"/>
      <c r="V35"/>
      <c r="W35"/>
      <c r="X35"/>
      <c r="Y35"/>
      <c r="Z35"/>
      <c r="AA35"/>
      <c r="AB35"/>
      <c r="AC35"/>
      <c r="AD35"/>
      <c r="AE35"/>
      <c r="AF35"/>
      <c r="AG35"/>
      <c r="AH35"/>
    </row>
    <row r="36" spans="1:34" x14ac:dyDescent="0.35">
      <c r="A36" s="1" t="str">
        <f t="shared" si="0"/>
        <v>02 EE2 34</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256</v>
      </c>
      <c r="D36" s="1" t="s">
        <v>257</v>
      </c>
      <c r="E36" s="1" t="s">
        <v>258</v>
      </c>
      <c r="F36" s="1" t="s">
        <v>112</v>
      </c>
      <c r="G36" s="1">
        <v>161294</v>
      </c>
      <c r="K36"/>
      <c r="L36"/>
      <c r="M36"/>
      <c r="N36"/>
      <c r="O36"/>
      <c r="P36"/>
      <c r="Q36"/>
      <c r="R36"/>
      <c r="S36"/>
      <c r="T36"/>
      <c r="U36"/>
      <c r="V36"/>
      <c r="W36"/>
      <c r="X36"/>
      <c r="Y36"/>
      <c r="Z36"/>
      <c r="AA36"/>
      <c r="AB36"/>
      <c r="AC36"/>
      <c r="AD36"/>
      <c r="AE36"/>
      <c r="AF36"/>
      <c r="AG36"/>
      <c r="AH36"/>
    </row>
    <row r="37" spans="1:34" x14ac:dyDescent="0.35">
      <c r="A37" s="1" t="str">
        <f t="shared" si="0"/>
        <v>02 EE2 34</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259</v>
      </c>
      <c r="D37" s="1" t="s">
        <v>260</v>
      </c>
      <c r="E37" s="1" t="s">
        <v>261</v>
      </c>
      <c r="F37" s="1" t="s">
        <v>112</v>
      </c>
      <c r="G37" s="1">
        <v>35019</v>
      </c>
      <c r="K37"/>
      <c r="L37"/>
      <c r="M37"/>
      <c r="N37"/>
      <c r="O37"/>
      <c r="P37"/>
      <c r="Q37"/>
      <c r="R37"/>
      <c r="S37"/>
      <c r="T37"/>
      <c r="U37"/>
      <c r="V37"/>
      <c r="W37"/>
      <c r="X37"/>
      <c r="Y37"/>
      <c r="Z37"/>
      <c r="AA37"/>
      <c r="AB37"/>
      <c r="AC37"/>
      <c r="AD37"/>
      <c r="AE37"/>
      <c r="AF37"/>
      <c r="AG37"/>
      <c r="AH37"/>
    </row>
    <row r="38" spans="1:34" x14ac:dyDescent="0.35">
      <c r="A38" s="1" t="str">
        <f t="shared" si="0"/>
        <v>02 EE2 34</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262</v>
      </c>
      <c r="K38"/>
      <c r="L38"/>
      <c r="M38"/>
      <c r="N38"/>
      <c r="O38"/>
      <c r="P38"/>
      <c r="Q38"/>
      <c r="R38"/>
      <c r="S38"/>
      <c r="T38"/>
      <c r="U38"/>
      <c r="V38"/>
      <c r="W38"/>
      <c r="X38"/>
      <c r="Y38"/>
      <c r="Z38"/>
      <c r="AA38"/>
      <c r="AB38"/>
      <c r="AC38"/>
      <c r="AD38"/>
      <c r="AE38"/>
      <c r="AF38"/>
      <c r="AG38"/>
      <c r="AH38"/>
    </row>
    <row r="39" spans="1:34" x14ac:dyDescent="0.35">
      <c r="A39" s="1" t="str">
        <f t="shared" si="0"/>
        <v>02 EE2 34</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263</v>
      </c>
      <c r="D39" s="1" t="s">
        <v>264</v>
      </c>
      <c r="E39" s="1" t="s">
        <v>265</v>
      </c>
      <c r="F39" s="1" t="s">
        <v>112</v>
      </c>
      <c r="G39" s="1">
        <v>403635</v>
      </c>
    </row>
    <row r="40" spans="1:34" x14ac:dyDescent="0.35">
      <c r="A40" s="1" t="str">
        <f t="shared" si="0"/>
        <v>02 EE2 34</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266</v>
      </c>
    </row>
    <row r="41" spans="1:34" x14ac:dyDescent="0.35">
      <c r="A41" s="1" t="str">
        <f t="shared" si="0"/>
        <v>02 EE2 34</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267</v>
      </c>
      <c r="D41" s="1" t="s">
        <v>268</v>
      </c>
      <c r="E41" s="1" t="s">
        <v>269</v>
      </c>
      <c r="F41" s="1" t="s">
        <v>112</v>
      </c>
      <c r="G41" s="1">
        <v>158872</v>
      </c>
    </row>
    <row r="42" spans="1:34" x14ac:dyDescent="0.35">
      <c r="A42" s="1" t="str">
        <f t="shared" si="0"/>
        <v>02 EE2 34</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270</v>
      </c>
      <c r="D42" s="1" t="s">
        <v>271</v>
      </c>
      <c r="E42" s="1" t="s">
        <v>272</v>
      </c>
      <c r="F42" s="1" t="s">
        <v>112</v>
      </c>
      <c r="G42" s="1">
        <v>151885</v>
      </c>
    </row>
    <row r="43" spans="1:34" x14ac:dyDescent="0.35">
      <c r="A43" s="1" t="str">
        <f t="shared" si="0"/>
        <v>02 EE2 34</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273</v>
      </c>
      <c r="D43" s="1" t="s">
        <v>274</v>
      </c>
      <c r="E43" s="1" t="s">
        <v>275</v>
      </c>
      <c r="F43" s="1" t="s">
        <v>112</v>
      </c>
      <c r="G43" s="1">
        <v>58898</v>
      </c>
    </row>
    <row r="44" spans="1:34" x14ac:dyDescent="0.35">
      <c r="A44" s="1" t="str">
        <f t="shared" si="0"/>
        <v>02 EE2 34</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276</v>
      </c>
      <c r="D44" s="1" t="s">
        <v>277</v>
      </c>
      <c r="E44" s="1" t="s">
        <v>278</v>
      </c>
      <c r="F44" s="1" t="s">
        <v>112</v>
      </c>
      <c r="G44" s="1">
        <v>532117</v>
      </c>
    </row>
    <row r="45" spans="1:34" x14ac:dyDescent="0.35">
      <c r="A45" s="1" t="str">
        <f t="shared" si="0"/>
        <v>02 EE2 34</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279</v>
      </c>
      <c r="D45" s="1" t="s">
        <v>280</v>
      </c>
      <c r="E45" s="1" t="s">
        <v>281</v>
      </c>
      <c r="F45" s="1" t="s">
        <v>112</v>
      </c>
      <c r="G45" s="1">
        <v>609639</v>
      </c>
    </row>
    <row r="46" spans="1:34" x14ac:dyDescent="0.35">
      <c r="A46" s="1" t="str">
        <f t="shared" si="0"/>
        <v>02 EE2 34</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282</v>
      </c>
      <c r="D46" s="1" t="s">
        <v>283</v>
      </c>
      <c r="E46" s="1" t="s">
        <v>284</v>
      </c>
      <c r="F46" s="1" t="s">
        <v>112</v>
      </c>
      <c r="G46" s="1">
        <v>671695</v>
      </c>
    </row>
    <row r="47" spans="1:34" x14ac:dyDescent="0.35">
      <c r="A47" s="1" t="str">
        <f t="shared" si="0"/>
        <v>02 EE2 34</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285</v>
      </c>
      <c r="D47" s="1" t="s">
        <v>286</v>
      </c>
      <c r="E47" s="1" t="s">
        <v>287</v>
      </c>
      <c r="F47" s="1" t="s">
        <v>112</v>
      </c>
      <c r="G47" s="1">
        <v>222528</v>
      </c>
    </row>
    <row r="48" spans="1:34" x14ac:dyDescent="0.35">
      <c r="A48" s="1" t="str">
        <f t="shared" si="0"/>
        <v>02 EE2 34</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288</v>
      </c>
      <c r="D48" s="1" t="s">
        <v>289</v>
      </c>
      <c r="E48" s="1">
        <v>63</v>
      </c>
      <c r="F48" s="1" t="s">
        <v>112</v>
      </c>
      <c r="G48" s="1">
        <v>8176</v>
      </c>
    </row>
    <row r="49" spans="1:9" x14ac:dyDescent="0.35">
      <c r="A49" s="1" t="str">
        <f t="shared" si="0"/>
        <v>02 EE2 34</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290</v>
      </c>
      <c r="D49" s="1" t="s">
        <v>291</v>
      </c>
      <c r="E49" s="1" t="s">
        <v>292</v>
      </c>
      <c r="F49" s="1" t="s">
        <v>112</v>
      </c>
      <c r="G49" s="1">
        <v>194409</v>
      </c>
    </row>
    <row r="50" spans="1:9" x14ac:dyDescent="0.35">
      <c r="A50" s="1" t="str">
        <f t="shared" si="0"/>
        <v>02 EE2 34</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293</v>
      </c>
      <c r="D50" s="1" t="s">
        <v>294</v>
      </c>
      <c r="E50" s="1" t="s">
        <v>295</v>
      </c>
      <c r="F50" s="1" t="s">
        <v>112</v>
      </c>
      <c r="G50" s="1">
        <v>152815</v>
      </c>
    </row>
    <row r="51" spans="1:9" x14ac:dyDescent="0.35">
      <c r="A51" s="1" t="str">
        <f t="shared" si="0"/>
        <v>02 EE2 34</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296</v>
      </c>
      <c r="D51" s="1" t="s">
        <v>297</v>
      </c>
      <c r="E51" s="1" t="s">
        <v>298</v>
      </c>
      <c r="F51" s="1" t="s">
        <v>112</v>
      </c>
      <c r="G51" s="1">
        <v>30671</v>
      </c>
    </row>
    <row r="52" spans="1:9" x14ac:dyDescent="0.35">
      <c r="A52" s="1" t="str">
        <f t="shared" si="0"/>
        <v>02 EE2 34</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299</v>
      </c>
    </row>
    <row r="53" spans="1:9" x14ac:dyDescent="0.35">
      <c r="A53" s="1" t="str">
        <f t="shared" si="0"/>
        <v>02 EE2 34</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300</v>
      </c>
      <c r="D53" s="1" t="s">
        <v>301</v>
      </c>
      <c r="E53" s="1" t="s">
        <v>302</v>
      </c>
      <c r="F53" s="1" t="s">
        <v>112</v>
      </c>
      <c r="G53" s="1">
        <v>256120</v>
      </c>
    </row>
    <row r="54" spans="1:9" x14ac:dyDescent="0.35">
      <c r="A54" s="1" t="str">
        <f t="shared" si="0"/>
        <v>02 EE2 34</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303</v>
      </c>
      <c r="D54" s="1" t="s">
        <v>304</v>
      </c>
      <c r="E54" s="1" t="s">
        <v>305</v>
      </c>
      <c r="F54" s="1" t="s">
        <v>112</v>
      </c>
      <c r="G54" s="1">
        <v>40599</v>
      </c>
    </row>
    <row r="55" spans="1:9" x14ac:dyDescent="0.35">
      <c r="A55" s="1" t="str">
        <f t="shared" si="0"/>
        <v>02 EE2 34</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306</v>
      </c>
      <c r="D55" s="1" t="s">
        <v>307</v>
      </c>
      <c r="E55" s="1" t="s">
        <v>308</v>
      </c>
      <c r="F55" s="1" t="s">
        <v>112</v>
      </c>
      <c r="G55" s="1">
        <v>251664</v>
      </c>
    </row>
    <row r="56" spans="1:9" x14ac:dyDescent="0.35">
      <c r="A56" s="1" t="str">
        <f t="shared" si="0"/>
        <v>02 EE2 34</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309</v>
      </c>
      <c r="D56" s="1" t="s">
        <v>310</v>
      </c>
      <c r="E56" s="1" t="s">
        <v>311</v>
      </c>
      <c r="F56" s="1" t="s">
        <v>112</v>
      </c>
      <c r="G56" s="1">
        <v>441726</v>
      </c>
    </row>
    <row r="57" spans="1:9" x14ac:dyDescent="0.35">
      <c r="A57" s="1" t="str">
        <f t="shared" si="0"/>
        <v>02 EE2 34</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312</v>
      </c>
      <c r="D57" s="1" t="s">
        <v>313</v>
      </c>
      <c r="E57" s="1" t="s">
        <v>314</v>
      </c>
      <c r="F57" s="1" t="s">
        <v>112</v>
      </c>
      <c r="G57" s="1">
        <v>42222</v>
      </c>
    </row>
    <row r="58" spans="1:9" x14ac:dyDescent="0.35">
      <c r="A58" s="1" t="str">
        <f t="shared" si="0"/>
        <v>02 EE2 34</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315</v>
      </c>
      <c r="D58" s="1" t="s">
        <v>264</v>
      </c>
      <c r="E58" s="1" t="s">
        <v>316</v>
      </c>
      <c r="F58" s="1" t="s">
        <v>112</v>
      </c>
      <c r="G58" s="1">
        <v>409757</v>
      </c>
    </row>
    <row r="59" spans="1:9"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9"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241</v>
      </c>
      <c r="D60" s="1" t="s">
        <v>112</v>
      </c>
      <c r="E60" s="1" t="s">
        <v>242</v>
      </c>
      <c r="F60" s="1" t="s">
        <v>243</v>
      </c>
      <c r="G60" s="1" t="s">
        <v>244</v>
      </c>
      <c r="H60" s="1" t="s">
        <v>245</v>
      </c>
      <c r="I60" s="1" t="s">
        <v>246</v>
      </c>
    </row>
    <row r="61" spans="1:9" x14ac:dyDescent="0.35">
      <c r="A61" s="1" t="str">
        <f t="shared" si="0"/>
        <v>02 EE2 34</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317</v>
      </c>
      <c r="D61" s="1" t="s">
        <v>112</v>
      </c>
      <c r="E61" s="1" t="s">
        <v>318</v>
      </c>
      <c r="F61" s="1" t="s">
        <v>319</v>
      </c>
      <c r="G61" s="1" t="s">
        <v>320</v>
      </c>
      <c r="H61" s="1" t="s">
        <v>321</v>
      </c>
      <c r="I61" s="1">
        <v>24</v>
      </c>
    </row>
    <row r="62" spans="1:9"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9"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9"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252</v>
      </c>
      <c r="D67" s="1" t="s">
        <v>110</v>
      </c>
      <c r="E67" s="1" t="s">
        <v>111</v>
      </c>
      <c r="F67" s="1" t="s">
        <v>112</v>
      </c>
      <c r="G67" s="1" t="s">
        <v>113</v>
      </c>
    </row>
    <row r="68" spans="1:7" x14ac:dyDescent="0.35">
      <c r="A68" s="1" t="str">
        <f t="shared" si="1"/>
        <v>03 EE2 51</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322</v>
      </c>
      <c r="D68" s="1" t="s">
        <v>323</v>
      </c>
      <c r="E68" s="1" t="s">
        <v>324</v>
      </c>
      <c r="F68" s="1" t="s">
        <v>112</v>
      </c>
      <c r="G68" s="1">
        <v>265009</v>
      </c>
    </row>
    <row r="69" spans="1:7" x14ac:dyDescent="0.35">
      <c r="A69" s="1" t="str">
        <f t="shared" si="1"/>
        <v>03 EE2 51</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325</v>
      </c>
      <c r="D69" s="1" t="s">
        <v>260</v>
      </c>
      <c r="E69" s="1" t="s">
        <v>326</v>
      </c>
      <c r="F69" s="1" t="s">
        <v>112</v>
      </c>
      <c r="G69" s="1">
        <v>35040</v>
      </c>
    </row>
    <row r="70" spans="1:7" x14ac:dyDescent="0.35">
      <c r="A70" s="1" t="str">
        <f t="shared" si="1"/>
        <v>03 EE2 51</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327</v>
      </c>
      <c r="D70" s="1" t="s">
        <v>328</v>
      </c>
      <c r="E70" s="1" t="s">
        <v>329</v>
      </c>
      <c r="F70" s="1" t="s">
        <v>112</v>
      </c>
      <c r="G70" s="1">
        <v>121300</v>
      </c>
    </row>
    <row r="71" spans="1:7" x14ac:dyDescent="0.35">
      <c r="A71" s="1" t="str">
        <f t="shared" si="1"/>
        <v>03 EE2 51</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330</v>
      </c>
      <c r="D71" s="1" t="s">
        <v>331</v>
      </c>
      <c r="E71" s="1" t="s">
        <v>332</v>
      </c>
      <c r="F71" s="1" t="s">
        <v>112</v>
      </c>
      <c r="G71" s="1">
        <v>282941</v>
      </c>
    </row>
    <row r="72" spans="1:7" x14ac:dyDescent="0.35">
      <c r="A72" s="1" t="str">
        <f t="shared" si="1"/>
        <v>03 EE2 51</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333</v>
      </c>
      <c r="D72" s="1" t="s">
        <v>313</v>
      </c>
      <c r="E72" s="1" t="s">
        <v>334</v>
      </c>
      <c r="F72" s="1" t="s">
        <v>112</v>
      </c>
      <c r="G72" s="1">
        <v>42633</v>
      </c>
    </row>
    <row r="73" spans="1:7" x14ac:dyDescent="0.35">
      <c r="A73" s="1" t="str">
        <f t="shared" si="1"/>
        <v>03 EE2 51</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335</v>
      </c>
      <c r="D73" s="1" t="s">
        <v>336</v>
      </c>
      <c r="E73" s="1" t="s">
        <v>337</v>
      </c>
      <c r="F73" s="1" t="s">
        <v>112</v>
      </c>
      <c r="G73" s="1">
        <v>97335</v>
      </c>
    </row>
    <row r="74" spans="1:7" x14ac:dyDescent="0.35">
      <c r="A74" s="1" t="str">
        <f t="shared" si="1"/>
        <v>03 EE2 51</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338</v>
      </c>
      <c r="D74" s="1" t="s">
        <v>339</v>
      </c>
      <c r="E74" s="1" t="s">
        <v>340</v>
      </c>
      <c r="F74" s="1" t="s">
        <v>112</v>
      </c>
      <c r="G74" s="1">
        <v>417457</v>
      </c>
    </row>
    <row r="75" spans="1:7" x14ac:dyDescent="0.35">
      <c r="A75" s="1" t="str">
        <f t="shared" si="1"/>
        <v>03 EE2 51</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341</v>
      </c>
      <c r="D75" s="1" t="s">
        <v>342</v>
      </c>
      <c r="E75" s="1" t="s">
        <v>343</v>
      </c>
      <c r="F75" s="1" t="s">
        <v>112</v>
      </c>
      <c r="G75" s="1">
        <v>85027</v>
      </c>
    </row>
    <row r="76" spans="1:7" x14ac:dyDescent="0.35">
      <c r="A76" s="1" t="str">
        <f t="shared" si="1"/>
        <v>03 EE2 51</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344</v>
      </c>
      <c r="D76" s="1" t="s">
        <v>345</v>
      </c>
      <c r="E76" s="1" t="s">
        <v>346</v>
      </c>
      <c r="F76" s="1" t="s">
        <v>112</v>
      </c>
      <c r="G76" s="1">
        <v>1186119</v>
      </c>
    </row>
    <row r="77" spans="1:7" x14ac:dyDescent="0.35">
      <c r="A77" s="1" t="str">
        <f t="shared" si="1"/>
        <v>03 EE2 51</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347</v>
      </c>
      <c r="D77" s="1" t="s">
        <v>348</v>
      </c>
      <c r="E77" s="1" t="s">
        <v>349</v>
      </c>
      <c r="F77" s="1" t="s">
        <v>112</v>
      </c>
      <c r="G77" s="1">
        <v>322199</v>
      </c>
    </row>
    <row r="78" spans="1:7" x14ac:dyDescent="0.35">
      <c r="A78" s="1" t="str">
        <f t="shared" si="1"/>
        <v>03 EE2 51</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350</v>
      </c>
      <c r="D78" s="1" t="s">
        <v>351</v>
      </c>
      <c r="E78" s="1" t="s">
        <v>352</v>
      </c>
      <c r="F78" s="1" t="s">
        <v>112</v>
      </c>
      <c r="G78" s="1">
        <v>222528</v>
      </c>
    </row>
    <row r="79" spans="1:7" x14ac:dyDescent="0.35">
      <c r="A79" s="1" t="str">
        <f t="shared" si="1"/>
        <v>03 EE2 51</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353</v>
      </c>
      <c r="D79" s="1" t="s">
        <v>354</v>
      </c>
      <c r="E79" s="1" t="s">
        <v>355</v>
      </c>
      <c r="F79" s="1" t="s">
        <v>112</v>
      </c>
      <c r="G79" s="1">
        <v>266026</v>
      </c>
    </row>
    <row r="80" spans="1:7" x14ac:dyDescent="0.35">
      <c r="A80" s="1" t="str">
        <f t="shared" si="1"/>
        <v>03 EE2 51</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356</v>
      </c>
      <c r="D80" s="1" t="s">
        <v>357</v>
      </c>
      <c r="E80" s="1" t="s">
        <v>358</v>
      </c>
      <c r="F80" s="1" t="s">
        <v>112</v>
      </c>
      <c r="G80" s="1">
        <v>287310</v>
      </c>
    </row>
    <row r="81" spans="1:9" x14ac:dyDescent="0.35">
      <c r="A81" s="1" t="str">
        <f t="shared" si="1"/>
        <v>03 EE2 51</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359</v>
      </c>
      <c r="D81" s="1" t="s">
        <v>360</v>
      </c>
      <c r="E81" s="1" t="s">
        <v>361</v>
      </c>
      <c r="F81" s="1" t="s">
        <v>112</v>
      </c>
      <c r="G81" s="1">
        <v>124415</v>
      </c>
    </row>
    <row r="82" spans="1:9" x14ac:dyDescent="0.35">
      <c r="A82" s="1" t="str">
        <f t="shared" si="1"/>
        <v>03 EE2 51</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362</v>
      </c>
      <c r="D82" s="1" t="s">
        <v>363</v>
      </c>
      <c r="E82" s="1" t="s">
        <v>364</v>
      </c>
      <c r="F82" s="1" t="s">
        <v>112</v>
      </c>
      <c r="G82" s="1">
        <v>545290</v>
      </c>
    </row>
    <row r="83" spans="1:9" x14ac:dyDescent="0.35">
      <c r="A83" s="1" t="str">
        <f t="shared" si="1"/>
        <v>03 EE2 51</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365</v>
      </c>
      <c r="D83" s="1" t="s">
        <v>366</v>
      </c>
      <c r="E83" s="1" t="s">
        <v>367</v>
      </c>
      <c r="F83" s="1" t="s">
        <v>112</v>
      </c>
      <c r="G83" s="1">
        <v>645306</v>
      </c>
    </row>
    <row r="84" spans="1:9" x14ac:dyDescent="0.35">
      <c r="A84" s="1" t="str">
        <f t="shared" si="1"/>
        <v>03 EE2 51</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368</v>
      </c>
      <c r="D84" s="1" t="s">
        <v>369</v>
      </c>
      <c r="E84" s="1" t="s">
        <v>370</v>
      </c>
      <c r="F84" s="1" t="s">
        <v>112</v>
      </c>
      <c r="G84" s="1">
        <v>134105</v>
      </c>
    </row>
    <row r="85" spans="1:9" x14ac:dyDescent="0.35">
      <c r="A85" s="1" t="str">
        <f t="shared" si="1"/>
        <v>03 EE2 51</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371</v>
      </c>
      <c r="D85" s="1" t="s">
        <v>372</v>
      </c>
      <c r="E85" s="1" t="s">
        <v>373</v>
      </c>
      <c r="F85" s="1" t="s">
        <v>112</v>
      </c>
      <c r="G85" s="1">
        <v>338811</v>
      </c>
    </row>
    <row r="86" spans="1:9" x14ac:dyDescent="0.35">
      <c r="A86" s="1" t="str">
        <f t="shared" si="1"/>
        <v>03 EE2 51</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374</v>
      </c>
      <c r="D86" s="1" t="s">
        <v>375</v>
      </c>
      <c r="E86" s="1" t="s">
        <v>376</v>
      </c>
      <c r="F86" s="1" t="s">
        <v>112</v>
      </c>
      <c r="G86" s="1">
        <v>36922</v>
      </c>
    </row>
    <row r="87" spans="1:9" x14ac:dyDescent="0.35">
      <c r="A87" s="1" t="str">
        <f t="shared" si="1"/>
        <v>03 EE2 51</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377</v>
      </c>
      <c r="D87" s="1" t="s">
        <v>227</v>
      </c>
      <c r="E87" s="1" t="s">
        <v>378</v>
      </c>
      <c r="F87" s="1" t="s">
        <v>112</v>
      </c>
      <c r="G87" s="1">
        <v>27535</v>
      </c>
    </row>
    <row r="88" spans="1:9" x14ac:dyDescent="0.35">
      <c r="A88" s="1" t="str">
        <f t="shared" si="1"/>
        <v>03 EE2 51</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379</v>
      </c>
      <c r="D88" s="1" t="s">
        <v>380</v>
      </c>
      <c r="E88" s="1" t="s">
        <v>381</v>
      </c>
      <c r="F88" s="1" t="s">
        <v>112</v>
      </c>
      <c r="G88" s="1">
        <v>20484</v>
      </c>
    </row>
    <row r="89" spans="1:9" x14ac:dyDescent="0.35">
      <c r="A89" s="1" t="str">
        <f t="shared" si="1"/>
        <v>03 EE2 51</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382</v>
      </c>
      <c r="D89" s="1" t="s">
        <v>218</v>
      </c>
      <c r="E89" s="1" t="s">
        <v>383</v>
      </c>
      <c r="F89" s="1" t="s">
        <v>112</v>
      </c>
      <c r="G89" s="1">
        <v>54572</v>
      </c>
    </row>
    <row r="90" spans="1:9" x14ac:dyDescent="0.35">
      <c r="A90" s="1" t="str">
        <f t="shared" si="1"/>
        <v>03 EE2 51</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384</v>
      </c>
      <c r="D90" s="1" t="s">
        <v>260</v>
      </c>
      <c r="E90" s="1" t="s">
        <v>385</v>
      </c>
      <c r="F90" s="1" t="s">
        <v>112</v>
      </c>
      <c r="G90" s="1">
        <v>35819</v>
      </c>
    </row>
    <row r="91" spans="1:9" x14ac:dyDescent="0.35">
      <c r="A91" s="1" t="str">
        <f t="shared" si="1"/>
        <v>03 EE2 51</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386</v>
      </c>
      <c r="D91" s="1" t="s">
        <v>387</v>
      </c>
      <c r="E91" s="1" t="s">
        <v>388</v>
      </c>
      <c r="F91" s="1" t="s">
        <v>112</v>
      </c>
      <c r="G91" s="1">
        <v>21976</v>
      </c>
    </row>
    <row r="92" spans="1:9"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9"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241</v>
      </c>
      <c r="D93" s="1" t="s">
        <v>112</v>
      </c>
      <c r="E93" s="1" t="s">
        <v>242</v>
      </c>
      <c r="F93" s="1" t="s">
        <v>243</v>
      </c>
      <c r="G93" s="1" t="s">
        <v>244</v>
      </c>
      <c r="H93" s="1" t="s">
        <v>245</v>
      </c>
      <c r="I93" s="1" t="s">
        <v>246</v>
      </c>
    </row>
    <row r="94" spans="1:9" x14ac:dyDescent="0.35">
      <c r="A94" s="1" t="str">
        <f t="shared" si="1"/>
        <v>03 EE2 51</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389</v>
      </c>
      <c r="D94" s="1" t="s">
        <v>112</v>
      </c>
      <c r="E94" s="1" t="s">
        <v>390</v>
      </c>
      <c r="F94" s="1" t="s">
        <v>391</v>
      </c>
      <c r="G94" s="1" t="s">
        <v>392</v>
      </c>
      <c r="H94" s="1" t="s">
        <v>393</v>
      </c>
      <c r="I94" s="1">
        <v>24</v>
      </c>
    </row>
    <row r="95" spans="1:9"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9"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252</v>
      </c>
      <c r="D100" s="1" t="s">
        <v>110</v>
      </c>
      <c r="E100" s="1" t="s">
        <v>111</v>
      </c>
      <c r="F100" s="1" t="s">
        <v>112</v>
      </c>
      <c r="G100" s="1" t="s">
        <v>113</v>
      </c>
    </row>
    <row r="101" spans="1:7" x14ac:dyDescent="0.3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394</v>
      </c>
      <c r="D101" s="1" t="s">
        <v>395</v>
      </c>
      <c r="E101" s="1" t="s">
        <v>396</v>
      </c>
      <c r="F101" s="1" t="s">
        <v>112</v>
      </c>
      <c r="G101" s="1">
        <v>439628</v>
      </c>
    </row>
    <row r="102" spans="1:7" x14ac:dyDescent="0.3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397</v>
      </c>
      <c r="D102" s="1" t="s">
        <v>398</v>
      </c>
      <c r="E102" s="1" t="s">
        <v>399</v>
      </c>
      <c r="F102" s="1" t="s">
        <v>112</v>
      </c>
      <c r="G102" s="1">
        <v>401537</v>
      </c>
    </row>
    <row r="103" spans="1:7" x14ac:dyDescent="0.3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400</v>
      </c>
      <c r="D103" s="1" t="s">
        <v>310</v>
      </c>
      <c r="E103" s="1" t="s">
        <v>401</v>
      </c>
      <c r="F103" s="1" t="s">
        <v>112</v>
      </c>
      <c r="G103" s="1">
        <v>405020</v>
      </c>
    </row>
    <row r="104" spans="1:7" x14ac:dyDescent="0.3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402</v>
      </c>
      <c r="D104" s="1" t="s">
        <v>403</v>
      </c>
      <c r="E104" s="1" t="s">
        <v>404</v>
      </c>
      <c r="F104" s="1" t="s">
        <v>112</v>
      </c>
      <c r="G104" s="1">
        <v>397341</v>
      </c>
    </row>
    <row r="105" spans="1:7" x14ac:dyDescent="0.3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405</v>
      </c>
      <c r="D105" s="1" t="s">
        <v>286</v>
      </c>
      <c r="E105" s="1" t="s">
        <v>406</v>
      </c>
      <c r="F105" s="1" t="s">
        <v>112</v>
      </c>
      <c r="G105" s="1">
        <v>219652</v>
      </c>
    </row>
    <row r="106" spans="1:7" x14ac:dyDescent="0.3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407</v>
      </c>
      <c r="D106" s="1" t="s">
        <v>408</v>
      </c>
      <c r="E106" s="1" t="s">
        <v>409</v>
      </c>
      <c r="F106" s="1" t="s">
        <v>112</v>
      </c>
      <c r="G106" s="1">
        <v>226119</v>
      </c>
    </row>
    <row r="107" spans="1:7" x14ac:dyDescent="0.3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410</v>
      </c>
      <c r="D107" s="1" t="s">
        <v>411</v>
      </c>
      <c r="E107" s="1" t="s">
        <v>412</v>
      </c>
      <c r="F107" s="1" t="s">
        <v>112</v>
      </c>
      <c r="G107" s="1">
        <v>399418</v>
      </c>
    </row>
    <row r="108" spans="1:7" x14ac:dyDescent="0.3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413</v>
      </c>
      <c r="D108" s="1" t="s">
        <v>414</v>
      </c>
      <c r="E108" s="1" t="s">
        <v>415</v>
      </c>
      <c r="F108" s="1" t="s">
        <v>112</v>
      </c>
      <c r="G108" s="1">
        <v>85871</v>
      </c>
    </row>
    <row r="109" spans="1:7" x14ac:dyDescent="0.3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416</v>
      </c>
    </row>
    <row r="110" spans="1:7" x14ac:dyDescent="0.3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417</v>
      </c>
      <c r="D110" s="1" t="s">
        <v>418</v>
      </c>
      <c r="E110" s="1" t="s">
        <v>419</v>
      </c>
      <c r="F110" s="1" t="s">
        <v>112</v>
      </c>
      <c r="G110" s="1">
        <v>265961</v>
      </c>
    </row>
    <row r="111" spans="1:7" x14ac:dyDescent="0.3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420</v>
      </c>
      <c r="D111" s="1" t="s">
        <v>294</v>
      </c>
      <c r="E111" s="1" t="s">
        <v>421</v>
      </c>
      <c r="F111" s="1" t="s">
        <v>112</v>
      </c>
      <c r="G111" s="1">
        <v>146261</v>
      </c>
    </row>
    <row r="112" spans="1:7" x14ac:dyDescent="0.3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422</v>
      </c>
      <c r="D112" s="1" t="s">
        <v>423</v>
      </c>
      <c r="E112" s="1" t="s">
        <v>424</v>
      </c>
      <c r="F112" s="1" t="s">
        <v>112</v>
      </c>
      <c r="G112" s="1">
        <v>397190</v>
      </c>
    </row>
    <row r="113" spans="1:9" x14ac:dyDescent="0.3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425</v>
      </c>
      <c r="D113" s="1" t="s">
        <v>426</v>
      </c>
      <c r="E113" s="1" t="s">
        <v>427</v>
      </c>
      <c r="F113" s="1" t="s">
        <v>112</v>
      </c>
      <c r="G113" s="1">
        <v>314693</v>
      </c>
    </row>
    <row r="114" spans="1:9" x14ac:dyDescent="0.3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428</v>
      </c>
      <c r="D114" s="1" t="s">
        <v>429</v>
      </c>
      <c r="E114" s="1" t="s">
        <v>430</v>
      </c>
      <c r="F114" s="1" t="s">
        <v>112</v>
      </c>
      <c r="G114" s="1">
        <v>466773</v>
      </c>
    </row>
    <row r="115" spans="1:9" x14ac:dyDescent="0.3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431</v>
      </c>
      <c r="D115" s="1" t="s">
        <v>432</v>
      </c>
      <c r="E115" s="1" t="s">
        <v>433</v>
      </c>
      <c r="F115" s="1" t="s">
        <v>112</v>
      </c>
      <c r="G115" s="1">
        <v>324189</v>
      </c>
    </row>
    <row r="116" spans="1:9" x14ac:dyDescent="0.3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434</v>
      </c>
      <c r="D116" s="1" t="s">
        <v>435</v>
      </c>
      <c r="E116" s="1" t="s">
        <v>436</v>
      </c>
      <c r="F116" s="1" t="s">
        <v>112</v>
      </c>
      <c r="G116" s="1">
        <v>549962</v>
      </c>
    </row>
    <row r="117" spans="1:9" x14ac:dyDescent="0.3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437</v>
      </c>
      <c r="D117" s="1" t="s">
        <v>438</v>
      </c>
      <c r="E117" s="1" t="s">
        <v>439</v>
      </c>
      <c r="F117" s="1" t="s">
        <v>112</v>
      </c>
      <c r="G117" s="1">
        <v>386829</v>
      </c>
    </row>
    <row r="118" spans="1:9" x14ac:dyDescent="0.3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440</v>
      </c>
      <c r="D118" s="1" t="s">
        <v>441</v>
      </c>
      <c r="E118" s="1" t="s">
        <v>442</v>
      </c>
      <c r="F118" s="1" t="s">
        <v>112</v>
      </c>
      <c r="G118" s="1">
        <v>245413</v>
      </c>
    </row>
    <row r="119" spans="1:9" x14ac:dyDescent="0.3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443</v>
      </c>
      <c r="D119" s="1" t="s">
        <v>147</v>
      </c>
      <c r="E119" s="1" t="s">
        <v>444</v>
      </c>
      <c r="F119" s="1" t="s">
        <v>112</v>
      </c>
      <c r="G119" s="1">
        <v>318370</v>
      </c>
    </row>
    <row r="120" spans="1:9" x14ac:dyDescent="0.3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445</v>
      </c>
      <c r="D120" s="1" t="s">
        <v>446</v>
      </c>
      <c r="E120" s="1" t="s">
        <v>447</v>
      </c>
      <c r="F120" s="1" t="s">
        <v>112</v>
      </c>
      <c r="G120" s="1">
        <v>302472</v>
      </c>
    </row>
    <row r="121" spans="1:9" x14ac:dyDescent="0.3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448</v>
      </c>
      <c r="D121" s="1" t="s">
        <v>449</v>
      </c>
      <c r="E121" s="1" t="s">
        <v>450</v>
      </c>
      <c r="F121" s="1" t="s">
        <v>112</v>
      </c>
      <c r="G121" s="1">
        <v>99087</v>
      </c>
    </row>
    <row r="122" spans="1:9" x14ac:dyDescent="0.3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451</v>
      </c>
      <c r="D122" s="1" t="s">
        <v>452</v>
      </c>
      <c r="E122" s="1" t="s">
        <v>453</v>
      </c>
      <c r="F122" s="1" t="s">
        <v>112</v>
      </c>
      <c r="G122" s="1">
        <v>168886</v>
      </c>
    </row>
    <row r="123" spans="1:9" x14ac:dyDescent="0.3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454</v>
      </c>
      <c r="D123" s="1" t="s">
        <v>446</v>
      </c>
      <c r="E123" s="1" t="s">
        <v>455</v>
      </c>
      <c r="F123" s="1" t="s">
        <v>112</v>
      </c>
      <c r="G123" s="1">
        <v>301888</v>
      </c>
    </row>
    <row r="124" spans="1:9" x14ac:dyDescent="0.3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456</v>
      </c>
      <c r="D124" s="1" t="s">
        <v>457</v>
      </c>
      <c r="E124" s="1" t="s">
        <v>458</v>
      </c>
      <c r="F124" s="1" t="s">
        <v>112</v>
      </c>
      <c r="G124" s="1">
        <v>309697</v>
      </c>
    </row>
    <row r="125" spans="1:9"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9"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241</v>
      </c>
      <c r="D126" s="1" t="s">
        <v>112</v>
      </c>
      <c r="E126" s="1" t="s">
        <v>242</v>
      </c>
      <c r="F126" s="1" t="s">
        <v>243</v>
      </c>
      <c r="G126" s="1" t="s">
        <v>244</v>
      </c>
      <c r="H126" s="1" t="s">
        <v>245</v>
      </c>
      <c r="I126" s="1" t="s">
        <v>246</v>
      </c>
    </row>
    <row r="127" spans="1:9" x14ac:dyDescent="0.3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459</v>
      </c>
      <c r="D127" s="1" t="s">
        <v>112</v>
      </c>
      <c r="E127" s="1" t="s">
        <v>460</v>
      </c>
      <c r="F127" s="1" t="s">
        <v>461</v>
      </c>
      <c r="G127" s="1" t="s">
        <v>462</v>
      </c>
      <c r="H127" s="1" t="s">
        <v>463</v>
      </c>
      <c r="I127" s="1">
        <v>24</v>
      </c>
    </row>
    <row r="128" spans="1:9"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252</v>
      </c>
      <c r="D133" s="1" t="s">
        <v>110</v>
      </c>
      <c r="E133" s="1" t="s">
        <v>111</v>
      </c>
      <c r="F133" s="1" t="s">
        <v>112</v>
      </c>
      <c r="G133" s="1" t="s">
        <v>113</v>
      </c>
    </row>
    <row r="134" spans="1:7" x14ac:dyDescent="0.3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464</v>
      </c>
      <c r="D134" s="1" t="s">
        <v>465</v>
      </c>
      <c r="E134" s="1" t="s">
        <v>466</v>
      </c>
      <c r="F134" s="1" t="s">
        <v>112</v>
      </c>
      <c r="G134" s="1">
        <v>1155750</v>
      </c>
    </row>
    <row r="135" spans="1:7" x14ac:dyDescent="0.3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467</v>
      </c>
      <c r="D135" s="1" t="s">
        <v>468</v>
      </c>
      <c r="E135" s="1" t="s">
        <v>469</v>
      </c>
      <c r="F135" s="1" t="s">
        <v>112</v>
      </c>
      <c r="G135" s="1">
        <v>1020823</v>
      </c>
    </row>
    <row r="136" spans="1:7" x14ac:dyDescent="0.3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470</v>
      </c>
      <c r="D136" s="1" t="s">
        <v>471</v>
      </c>
      <c r="E136" s="1" t="s">
        <v>472</v>
      </c>
      <c r="F136" s="1" t="s">
        <v>112</v>
      </c>
      <c r="G136" s="1">
        <v>678097</v>
      </c>
    </row>
    <row r="137" spans="1:7" x14ac:dyDescent="0.3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473</v>
      </c>
      <c r="D137" s="1" t="s">
        <v>474</v>
      </c>
      <c r="E137" s="1" t="s">
        <v>475</v>
      </c>
      <c r="F137" s="1" t="s">
        <v>112</v>
      </c>
      <c r="G137" s="1">
        <v>2404293</v>
      </c>
    </row>
    <row r="138" spans="1:7" x14ac:dyDescent="0.3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476</v>
      </c>
      <c r="D138" s="1" t="s">
        <v>477</v>
      </c>
      <c r="E138" s="1" t="s">
        <v>478</v>
      </c>
      <c r="F138" s="1" t="s">
        <v>112</v>
      </c>
      <c r="G138" s="1">
        <v>1634766</v>
      </c>
    </row>
    <row r="139" spans="1:7" x14ac:dyDescent="0.3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479</v>
      </c>
      <c r="D139" s="1" t="s">
        <v>480</v>
      </c>
      <c r="E139" s="1" t="s">
        <v>481</v>
      </c>
      <c r="F139" s="1" t="s">
        <v>112</v>
      </c>
      <c r="G139" s="1">
        <v>1546170</v>
      </c>
    </row>
    <row r="140" spans="1:7" x14ac:dyDescent="0.3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482</v>
      </c>
      <c r="D140" s="1" t="s">
        <v>483</v>
      </c>
      <c r="E140" s="1" t="s">
        <v>484</v>
      </c>
      <c r="F140" s="1" t="s">
        <v>112</v>
      </c>
      <c r="G140" s="1">
        <v>1930598</v>
      </c>
    </row>
    <row r="141" spans="1:7" x14ac:dyDescent="0.3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485</v>
      </c>
      <c r="D141" s="1" t="s">
        <v>486</v>
      </c>
      <c r="E141" s="1" t="s">
        <v>487</v>
      </c>
      <c r="F141" s="1" t="s">
        <v>112</v>
      </c>
      <c r="G141" s="1">
        <v>1826363</v>
      </c>
    </row>
    <row r="142" spans="1:7" x14ac:dyDescent="0.3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488</v>
      </c>
      <c r="D142" s="1" t="s">
        <v>489</v>
      </c>
      <c r="E142" s="1" t="s">
        <v>490</v>
      </c>
      <c r="F142" s="1" t="s">
        <v>112</v>
      </c>
      <c r="G142" s="1">
        <v>2055489</v>
      </c>
    </row>
    <row r="143" spans="1:7" x14ac:dyDescent="0.3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491</v>
      </c>
      <c r="D143" s="1" t="s">
        <v>492</v>
      </c>
      <c r="E143" s="1" t="s">
        <v>493</v>
      </c>
      <c r="F143" s="1" t="s">
        <v>112</v>
      </c>
      <c r="G143" s="1">
        <v>598521</v>
      </c>
    </row>
    <row r="144" spans="1:7" x14ac:dyDescent="0.3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494</v>
      </c>
      <c r="D144" s="1" t="s">
        <v>495</v>
      </c>
      <c r="E144" s="1" t="s">
        <v>496</v>
      </c>
      <c r="F144" s="1" t="s">
        <v>112</v>
      </c>
      <c r="G144" s="1">
        <v>487581</v>
      </c>
    </row>
    <row r="145" spans="1:9" x14ac:dyDescent="0.3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497</v>
      </c>
      <c r="D145" s="1" t="s">
        <v>498</v>
      </c>
      <c r="E145" s="1" t="s">
        <v>499</v>
      </c>
      <c r="F145" s="1" t="s">
        <v>112</v>
      </c>
      <c r="G145" s="1">
        <v>507502</v>
      </c>
    </row>
    <row r="146" spans="1:9" x14ac:dyDescent="0.3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500</v>
      </c>
      <c r="D146" s="1" t="s">
        <v>501</v>
      </c>
      <c r="E146" s="1" t="s">
        <v>502</v>
      </c>
      <c r="F146" s="1" t="s">
        <v>112</v>
      </c>
      <c r="G146" s="1">
        <v>802274</v>
      </c>
    </row>
    <row r="147" spans="1:9" x14ac:dyDescent="0.3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503</v>
      </c>
      <c r="D147" s="1" t="s">
        <v>504</v>
      </c>
      <c r="E147" s="1" t="s">
        <v>505</v>
      </c>
      <c r="F147" s="1" t="s">
        <v>112</v>
      </c>
      <c r="G147" s="1">
        <v>573776</v>
      </c>
    </row>
    <row r="148" spans="1:9" x14ac:dyDescent="0.3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506</v>
      </c>
      <c r="D148" s="1" t="s">
        <v>507</v>
      </c>
      <c r="E148" s="1" t="s">
        <v>508</v>
      </c>
      <c r="F148" s="1" t="s">
        <v>112</v>
      </c>
      <c r="G148" s="1">
        <v>521562</v>
      </c>
    </row>
    <row r="149" spans="1:9" x14ac:dyDescent="0.3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509</v>
      </c>
      <c r="D149" s="1" t="s">
        <v>510</v>
      </c>
      <c r="E149" s="1" t="s">
        <v>511</v>
      </c>
      <c r="F149" s="1" t="s">
        <v>112</v>
      </c>
      <c r="G149" s="1">
        <v>3049274</v>
      </c>
    </row>
    <row r="150" spans="1:9" x14ac:dyDescent="0.3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512</v>
      </c>
    </row>
    <row r="151" spans="1:9" x14ac:dyDescent="0.3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513</v>
      </c>
      <c r="D151" s="1" t="s">
        <v>514</v>
      </c>
      <c r="E151" s="1" t="s">
        <v>515</v>
      </c>
      <c r="F151" s="1" t="s">
        <v>112</v>
      </c>
      <c r="G151" s="1">
        <v>2262400</v>
      </c>
    </row>
    <row r="152" spans="1:9" x14ac:dyDescent="0.3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516</v>
      </c>
      <c r="D152" s="1" t="s">
        <v>517</v>
      </c>
      <c r="E152" s="1" t="s">
        <v>518</v>
      </c>
      <c r="F152" s="1" t="s">
        <v>112</v>
      </c>
      <c r="G152" s="1">
        <v>5593015</v>
      </c>
    </row>
    <row r="153" spans="1:9" x14ac:dyDescent="0.3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519</v>
      </c>
      <c r="D153" s="1" t="s">
        <v>520</v>
      </c>
      <c r="E153" s="1" t="s">
        <v>521</v>
      </c>
      <c r="F153" s="1" t="s">
        <v>112</v>
      </c>
      <c r="G153" s="1">
        <v>4705973</v>
      </c>
    </row>
    <row r="154" spans="1:9" x14ac:dyDescent="0.3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522</v>
      </c>
      <c r="D154" s="1" t="s">
        <v>523</v>
      </c>
      <c r="E154" s="1" t="s">
        <v>524</v>
      </c>
      <c r="F154" s="1" t="s">
        <v>112</v>
      </c>
      <c r="G154" s="1">
        <v>4948704</v>
      </c>
    </row>
    <row r="155" spans="1:9" x14ac:dyDescent="0.3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525</v>
      </c>
      <c r="D155" s="1" t="s">
        <v>526</v>
      </c>
      <c r="E155" s="1" t="s">
        <v>527</v>
      </c>
      <c r="F155" s="1" t="s">
        <v>112</v>
      </c>
      <c r="G155" s="1">
        <v>2366484</v>
      </c>
    </row>
    <row r="156" spans="1:9" x14ac:dyDescent="0.3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528</v>
      </c>
      <c r="D156" s="1" t="s">
        <v>529</v>
      </c>
      <c r="E156" s="1" t="s">
        <v>530</v>
      </c>
      <c r="F156" s="1" t="s">
        <v>112</v>
      </c>
      <c r="G156" s="1">
        <v>2194829</v>
      </c>
    </row>
    <row r="157" spans="1:9" x14ac:dyDescent="0.3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531</v>
      </c>
      <c r="D157" s="1" t="s">
        <v>532</v>
      </c>
      <c r="E157" s="1" t="s">
        <v>533</v>
      </c>
      <c r="F157" s="1" t="s">
        <v>112</v>
      </c>
      <c r="G157" s="1">
        <v>2349418</v>
      </c>
    </row>
    <row r="158" spans="1:9"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9"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241</v>
      </c>
      <c r="D159" s="1" t="s">
        <v>112</v>
      </c>
      <c r="E159" s="1" t="s">
        <v>242</v>
      </c>
      <c r="F159" s="1" t="s">
        <v>243</v>
      </c>
      <c r="G159" s="1" t="s">
        <v>244</v>
      </c>
      <c r="H159" s="1" t="s">
        <v>245</v>
      </c>
      <c r="I159" s="1" t="s">
        <v>246</v>
      </c>
    </row>
    <row r="160" spans="1:9" x14ac:dyDescent="0.3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534</v>
      </c>
      <c r="D160" s="1" t="s">
        <v>112</v>
      </c>
      <c r="E160" s="1" t="s">
        <v>535</v>
      </c>
      <c r="F160" s="1" t="s">
        <v>536</v>
      </c>
      <c r="G160" s="1" t="s">
        <v>537</v>
      </c>
      <c r="H160" s="1" t="s">
        <v>538</v>
      </c>
      <c r="I160" s="1">
        <v>24</v>
      </c>
    </row>
    <row r="161" spans="1:7"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252</v>
      </c>
      <c r="D166" s="1" t="s">
        <v>110</v>
      </c>
      <c r="E166" s="1" t="s">
        <v>111</v>
      </c>
      <c r="F166" s="1" t="s">
        <v>112</v>
      </c>
      <c r="G166" s="1" t="s">
        <v>113</v>
      </c>
    </row>
    <row r="167" spans="1:7" x14ac:dyDescent="0.35">
      <c r="A167" s="1" t="str">
        <f t="shared" si="2"/>
        <v>06 EE2 171</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539</v>
      </c>
      <c r="D167" s="1" t="s">
        <v>540</v>
      </c>
      <c r="E167" s="1" t="s">
        <v>541</v>
      </c>
      <c r="F167" s="1" t="s">
        <v>112</v>
      </c>
      <c r="G167" s="1">
        <v>3874001</v>
      </c>
    </row>
    <row r="168" spans="1:7" x14ac:dyDescent="0.35">
      <c r="A168" s="1" t="str">
        <f t="shared" si="2"/>
        <v>06 EE2 171</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542</v>
      </c>
      <c r="D168" s="1" t="s">
        <v>543</v>
      </c>
      <c r="E168" s="1" t="s">
        <v>544</v>
      </c>
      <c r="F168" s="1" t="s">
        <v>112</v>
      </c>
      <c r="G168" s="1">
        <v>3934694</v>
      </c>
    </row>
    <row r="169" spans="1:7" x14ac:dyDescent="0.35">
      <c r="A169" s="1" t="str">
        <f t="shared" si="2"/>
        <v>06 EE2 171</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545</v>
      </c>
      <c r="D169" s="1" t="s">
        <v>546</v>
      </c>
      <c r="E169" s="1" t="s">
        <v>547</v>
      </c>
      <c r="F169" s="1" t="s">
        <v>112</v>
      </c>
      <c r="G169" s="1">
        <v>3732411</v>
      </c>
    </row>
    <row r="170" spans="1:7" x14ac:dyDescent="0.35">
      <c r="A170" s="1" t="str">
        <f t="shared" si="2"/>
        <v>06 EE2 171</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548</v>
      </c>
      <c r="D170" s="1" t="s">
        <v>549</v>
      </c>
      <c r="E170" s="1" t="s">
        <v>550</v>
      </c>
      <c r="F170" s="1" t="s">
        <v>112</v>
      </c>
      <c r="G170" s="1">
        <v>5056204</v>
      </c>
    </row>
    <row r="171" spans="1:7" x14ac:dyDescent="0.35">
      <c r="A171" s="1" t="str">
        <f t="shared" si="2"/>
        <v>06 EE2 171</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551</v>
      </c>
      <c r="D171" s="1" t="s">
        <v>552</v>
      </c>
      <c r="E171" s="1" t="s">
        <v>553</v>
      </c>
      <c r="F171" s="1" t="s">
        <v>112</v>
      </c>
      <c r="G171" s="1">
        <v>3255407</v>
      </c>
    </row>
    <row r="172" spans="1:7" x14ac:dyDescent="0.35">
      <c r="A172" s="1" t="str">
        <f t="shared" si="2"/>
        <v>06 EE2 171</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554</v>
      </c>
      <c r="D172" s="1" t="s">
        <v>555</v>
      </c>
      <c r="E172" s="1" t="s">
        <v>556</v>
      </c>
      <c r="F172" s="1" t="s">
        <v>112</v>
      </c>
      <c r="G172" s="1">
        <v>3895328</v>
      </c>
    </row>
    <row r="173" spans="1:7" x14ac:dyDescent="0.35">
      <c r="A173" s="1" t="str">
        <f t="shared" si="2"/>
        <v>06 EE2 171</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557</v>
      </c>
      <c r="D173" s="1" t="s">
        <v>558</v>
      </c>
      <c r="E173" s="1" t="s">
        <v>559</v>
      </c>
      <c r="F173" s="1" t="s">
        <v>112</v>
      </c>
      <c r="G173" s="1">
        <v>3299121</v>
      </c>
    </row>
    <row r="174" spans="1:7" x14ac:dyDescent="0.35">
      <c r="A174" s="1" t="str">
        <f t="shared" si="2"/>
        <v>06 EE2 171</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560</v>
      </c>
    </row>
    <row r="175" spans="1:7" x14ac:dyDescent="0.35">
      <c r="A175" s="1" t="str">
        <f t="shared" si="2"/>
        <v>06 EE2 171</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561</v>
      </c>
      <c r="D175" s="1" t="s">
        <v>562</v>
      </c>
      <c r="E175" s="1" t="s">
        <v>563</v>
      </c>
      <c r="F175" s="1" t="s">
        <v>112</v>
      </c>
      <c r="G175" s="1">
        <v>2806630</v>
      </c>
    </row>
    <row r="176" spans="1:7" x14ac:dyDescent="0.35">
      <c r="A176" s="1" t="str">
        <f t="shared" si="2"/>
        <v>06 EE2 171</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564</v>
      </c>
      <c r="D176" s="1" t="s">
        <v>565</v>
      </c>
      <c r="E176" s="1" t="s">
        <v>566</v>
      </c>
      <c r="F176" s="1" t="s">
        <v>112</v>
      </c>
      <c r="G176" s="1">
        <v>4613635</v>
      </c>
    </row>
    <row r="177" spans="1:9" x14ac:dyDescent="0.35">
      <c r="A177" s="1" t="str">
        <f t="shared" si="2"/>
        <v>06 EE2 171</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567</v>
      </c>
      <c r="D177" s="1" t="s">
        <v>568</v>
      </c>
      <c r="E177" s="1" t="s">
        <v>569</v>
      </c>
      <c r="F177" s="1" t="s">
        <v>112</v>
      </c>
      <c r="G177" s="1">
        <v>3987471</v>
      </c>
    </row>
    <row r="178" spans="1:9" x14ac:dyDescent="0.35">
      <c r="A178" s="1" t="str">
        <f t="shared" si="2"/>
        <v>06 EE2 171</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570</v>
      </c>
      <c r="D178" s="1" t="s">
        <v>571</v>
      </c>
      <c r="E178" s="1" t="s">
        <v>572</v>
      </c>
      <c r="F178" s="1" t="s">
        <v>112</v>
      </c>
      <c r="G178" s="1">
        <v>4280383</v>
      </c>
    </row>
    <row r="179" spans="1:9" x14ac:dyDescent="0.35">
      <c r="A179" s="1" t="str">
        <f t="shared" si="2"/>
        <v>06 EE2 171</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573</v>
      </c>
      <c r="D179" s="1" t="s">
        <v>574</v>
      </c>
      <c r="E179" s="1" t="s">
        <v>575</v>
      </c>
      <c r="F179" s="1" t="s">
        <v>112</v>
      </c>
      <c r="G179" s="1">
        <v>3240115</v>
      </c>
    </row>
    <row r="180" spans="1:9" x14ac:dyDescent="0.35">
      <c r="A180" s="1" t="str">
        <f t="shared" si="2"/>
        <v>06 EE2 171</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576</v>
      </c>
      <c r="D180" s="1" t="s">
        <v>577</v>
      </c>
      <c r="E180" s="1" t="s">
        <v>578</v>
      </c>
      <c r="F180" s="1" t="s">
        <v>112</v>
      </c>
      <c r="G180" s="1">
        <v>2397912</v>
      </c>
    </row>
    <row r="181" spans="1:9" x14ac:dyDescent="0.35">
      <c r="A181" s="1" t="str">
        <f t="shared" si="2"/>
        <v>06 EE2 171</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579</v>
      </c>
      <c r="D181" s="1" t="s">
        <v>580</v>
      </c>
      <c r="E181" s="1" t="s">
        <v>581</v>
      </c>
      <c r="F181" s="1" t="s">
        <v>112</v>
      </c>
      <c r="G181" s="1">
        <v>2531952</v>
      </c>
    </row>
    <row r="182" spans="1:9" x14ac:dyDescent="0.35">
      <c r="A182" s="1" t="str">
        <f t="shared" si="2"/>
        <v>06 EE2 171</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582</v>
      </c>
      <c r="D182" s="1" t="s">
        <v>583</v>
      </c>
      <c r="E182" s="1" t="s">
        <v>584</v>
      </c>
      <c r="F182" s="1" t="s">
        <v>112</v>
      </c>
      <c r="G182" s="1">
        <v>3246582</v>
      </c>
    </row>
    <row r="183" spans="1:9" x14ac:dyDescent="0.35">
      <c r="A183" s="1" t="str">
        <f t="shared" si="2"/>
        <v>06 EE2 171</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585</v>
      </c>
      <c r="D183" s="1" t="s">
        <v>586</v>
      </c>
      <c r="E183" s="1" t="s">
        <v>587</v>
      </c>
      <c r="F183" s="1" t="s">
        <v>112</v>
      </c>
      <c r="G183" s="1">
        <v>3266979</v>
      </c>
    </row>
    <row r="184" spans="1:9" x14ac:dyDescent="0.35">
      <c r="A184" s="1" t="str">
        <f t="shared" si="2"/>
        <v>06 EE2 171</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588</v>
      </c>
      <c r="D184" s="1" t="s">
        <v>589</v>
      </c>
      <c r="E184" s="1" t="s">
        <v>590</v>
      </c>
      <c r="F184" s="1" t="s">
        <v>112</v>
      </c>
      <c r="G184" s="1">
        <v>2419044</v>
      </c>
    </row>
    <row r="185" spans="1:9" x14ac:dyDescent="0.35">
      <c r="A185" s="1" t="str">
        <f t="shared" si="2"/>
        <v>06 EE2 171</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591</v>
      </c>
      <c r="D185" s="1" t="s">
        <v>592</v>
      </c>
      <c r="E185" s="1" t="s">
        <v>593</v>
      </c>
      <c r="F185" s="1" t="s">
        <v>112</v>
      </c>
      <c r="G185" s="1">
        <v>3632503</v>
      </c>
    </row>
    <row r="186" spans="1:9" x14ac:dyDescent="0.35">
      <c r="A186" s="1" t="str">
        <f t="shared" si="2"/>
        <v>06 EE2 171</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594</v>
      </c>
      <c r="D186" s="1" t="s">
        <v>595</v>
      </c>
      <c r="E186" s="1" t="s">
        <v>596</v>
      </c>
      <c r="F186" s="1" t="s">
        <v>112</v>
      </c>
      <c r="G186" s="1">
        <v>4202775</v>
      </c>
    </row>
    <row r="187" spans="1:9" x14ac:dyDescent="0.35">
      <c r="A187" s="1" t="str">
        <f t="shared" si="2"/>
        <v>06 EE2 171</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597</v>
      </c>
      <c r="D187" s="1" t="s">
        <v>598</v>
      </c>
      <c r="E187" s="1" t="s">
        <v>599</v>
      </c>
      <c r="F187" s="1" t="s">
        <v>112</v>
      </c>
      <c r="G187" s="1">
        <v>3506444</v>
      </c>
    </row>
    <row r="188" spans="1:9" x14ac:dyDescent="0.35">
      <c r="A188" s="1" t="str">
        <f t="shared" si="2"/>
        <v>06 EE2 171</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600</v>
      </c>
      <c r="D188" s="1" t="s">
        <v>601</v>
      </c>
      <c r="E188" s="1" t="s">
        <v>602</v>
      </c>
      <c r="F188" s="1" t="s">
        <v>112</v>
      </c>
      <c r="G188" s="1">
        <v>4969209</v>
      </c>
    </row>
    <row r="189" spans="1:9" x14ac:dyDescent="0.35">
      <c r="A189" s="1" t="str">
        <f t="shared" si="2"/>
        <v>06 EE2 171</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603</v>
      </c>
      <c r="D189" s="1" t="s">
        <v>604</v>
      </c>
      <c r="E189" s="1" t="s">
        <v>605</v>
      </c>
      <c r="F189" s="1" t="s">
        <v>112</v>
      </c>
      <c r="G189" s="1">
        <v>3443717</v>
      </c>
    </row>
    <row r="190" spans="1:9" x14ac:dyDescent="0.35">
      <c r="A190" s="1" t="str">
        <f t="shared" si="2"/>
        <v>06 EE2 171</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606</v>
      </c>
      <c r="D190" s="1" t="s">
        <v>607</v>
      </c>
      <c r="E190" s="1" t="s">
        <v>608</v>
      </c>
      <c r="F190" s="1" t="s">
        <v>112</v>
      </c>
      <c r="G190" s="1">
        <v>4123393</v>
      </c>
    </row>
    <row r="191" spans="1:9"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9"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241</v>
      </c>
      <c r="D192" s="1" t="s">
        <v>112</v>
      </c>
      <c r="E192" s="1" t="s">
        <v>242</v>
      </c>
      <c r="F192" s="1" t="s">
        <v>243</v>
      </c>
      <c r="G192" s="1" t="s">
        <v>244</v>
      </c>
      <c r="H192" s="1" t="s">
        <v>245</v>
      </c>
      <c r="I192" s="1" t="s">
        <v>246</v>
      </c>
    </row>
    <row r="193" spans="1:9" x14ac:dyDescent="0.35">
      <c r="A193" s="1" t="str">
        <f t="shared" si="2"/>
        <v>06 EE2 171</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609</v>
      </c>
      <c r="D193" s="1" t="s">
        <v>112</v>
      </c>
      <c r="E193" s="1" t="s">
        <v>610</v>
      </c>
      <c r="F193" s="1" t="s">
        <v>611</v>
      </c>
      <c r="G193" s="1" t="s">
        <v>612</v>
      </c>
      <c r="H193" s="1" t="s">
        <v>613</v>
      </c>
      <c r="I193" s="1">
        <v>24</v>
      </c>
    </row>
    <row r="194" spans="1:9"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9"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9"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9"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9"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9"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252</v>
      </c>
      <c r="D199" s="1" t="s">
        <v>110</v>
      </c>
      <c r="E199" s="1" t="s">
        <v>111</v>
      </c>
      <c r="F199" s="1" t="s">
        <v>112</v>
      </c>
      <c r="G199" s="1" t="s">
        <v>113</v>
      </c>
    </row>
    <row r="200" spans="1:9" x14ac:dyDescent="0.3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614</v>
      </c>
      <c r="D200" s="1" t="s">
        <v>615</v>
      </c>
      <c r="E200" s="1" t="s">
        <v>616</v>
      </c>
      <c r="F200" s="1" t="s">
        <v>112</v>
      </c>
      <c r="G200" s="1">
        <v>4547080</v>
      </c>
    </row>
    <row r="201" spans="1:9" x14ac:dyDescent="0.3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617</v>
      </c>
    </row>
    <row r="202" spans="1:9" x14ac:dyDescent="0.3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618</v>
      </c>
      <c r="D202" s="1" t="s">
        <v>619</v>
      </c>
      <c r="E202" s="1" t="s">
        <v>620</v>
      </c>
      <c r="F202" s="1" t="s">
        <v>112</v>
      </c>
      <c r="G202" s="1">
        <v>4303397</v>
      </c>
    </row>
    <row r="203" spans="1:9" x14ac:dyDescent="0.3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621</v>
      </c>
      <c r="D203" s="1" t="s">
        <v>622</v>
      </c>
      <c r="E203" s="1" t="s">
        <v>623</v>
      </c>
      <c r="F203" s="1" t="s">
        <v>112</v>
      </c>
      <c r="G203" s="1">
        <v>6025029</v>
      </c>
    </row>
    <row r="204" spans="1:9" x14ac:dyDescent="0.3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624</v>
      </c>
      <c r="D204" s="1" t="s">
        <v>625</v>
      </c>
      <c r="E204" s="1" t="s">
        <v>626</v>
      </c>
      <c r="F204" s="1" t="s">
        <v>112</v>
      </c>
      <c r="G204" s="1">
        <v>5809725</v>
      </c>
    </row>
    <row r="205" spans="1:9" x14ac:dyDescent="0.3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627</v>
      </c>
      <c r="D205" s="1" t="s">
        <v>628</v>
      </c>
      <c r="E205" s="1" t="s">
        <v>629</v>
      </c>
      <c r="F205" s="1" t="s">
        <v>112</v>
      </c>
      <c r="G205" s="1">
        <v>5485038</v>
      </c>
    </row>
    <row r="206" spans="1:9" x14ac:dyDescent="0.3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630</v>
      </c>
      <c r="D206" s="1" t="s">
        <v>631</v>
      </c>
      <c r="E206" s="1" t="s">
        <v>632</v>
      </c>
      <c r="F206" s="1" t="s">
        <v>112</v>
      </c>
      <c r="G206" s="1">
        <v>4347263</v>
      </c>
    </row>
    <row r="207" spans="1:9" x14ac:dyDescent="0.3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633</v>
      </c>
      <c r="D207" s="1" t="s">
        <v>634</v>
      </c>
      <c r="E207" s="1" t="s">
        <v>635</v>
      </c>
      <c r="F207" s="1" t="s">
        <v>112</v>
      </c>
      <c r="G207" s="1">
        <v>4090343</v>
      </c>
    </row>
    <row r="208" spans="1:9" x14ac:dyDescent="0.3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636</v>
      </c>
      <c r="D208" s="1" t="s">
        <v>637</v>
      </c>
      <c r="E208" s="1" t="s">
        <v>638</v>
      </c>
      <c r="F208" s="1" t="s">
        <v>112</v>
      </c>
      <c r="G208" s="1">
        <v>4222804</v>
      </c>
    </row>
    <row r="209" spans="1:7" x14ac:dyDescent="0.3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639</v>
      </c>
      <c r="D209" s="1" t="s">
        <v>640</v>
      </c>
      <c r="E209" s="1" t="s">
        <v>641</v>
      </c>
      <c r="F209" s="1" t="s">
        <v>112</v>
      </c>
      <c r="G209" s="1">
        <v>3795895</v>
      </c>
    </row>
    <row r="210" spans="1:7" x14ac:dyDescent="0.3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642</v>
      </c>
      <c r="D210" s="1" t="s">
        <v>643</v>
      </c>
      <c r="E210" s="1" t="s">
        <v>644</v>
      </c>
      <c r="F210" s="1" t="s">
        <v>112</v>
      </c>
      <c r="G210" s="1">
        <v>2404098</v>
      </c>
    </row>
    <row r="211" spans="1:7" x14ac:dyDescent="0.3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645</v>
      </c>
      <c r="D211" s="1" t="s">
        <v>646</v>
      </c>
      <c r="E211" s="1" t="s">
        <v>647</v>
      </c>
      <c r="F211" s="1" t="s">
        <v>112</v>
      </c>
      <c r="G211" s="1">
        <v>2691862</v>
      </c>
    </row>
    <row r="212" spans="1:7" x14ac:dyDescent="0.3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648</v>
      </c>
      <c r="D212" s="1" t="s">
        <v>649</v>
      </c>
      <c r="E212" s="1" t="s">
        <v>650</v>
      </c>
      <c r="F212" s="1" t="s">
        <v>112</v>
      </c>
      <c r="G212" s="1">
        <v>3699858</v>
      </c>
    </row>
    <row r="213" spans="1:7" x14ac:dyDescent="0.3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651</v>
      </c>
      <c r="D213" s="1" t="s">
        <v>652</v>
      </c>
      <c r="E213" s="1" t="s">
        <v>653</v>
      </c>
      <c r="F213" s="1" t="s">
        <v>112</v>
      </c>
      <c r="G213" s="1">
        <v>3293584</v>
      </c>
    </row>
    <row r="214" spans="1:7" x14ac:dyDescent="0.3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654</v>
      </c>
      <c r="D214" s="1" t="s">
        <v>655</v>
      </c>
      <c r="E214" s="1" t="s">
        <v>656</v>
      </c>
      <c r="F214" s="1" t="s">
        <v>112</v>
      </c>
      <c r="G214" s="1">
        <v>3180914</v>
      </c>
    </row>
    <row r="215" spans="1:7" x14ac:dyDescent="0.3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657</v>
      </c>
      <c r="D215" s="1" t="s">
        <v>658</v>
      </c>
      <c r="E215" s="1" t="s">
        <v>659</v>
      </c>
      <c r="F215" s="1" t="s">
        <v>112</v>
      </c>
      <c r="G215" s="1">
        <v>3780603</v>
      </c>
    </row>
    <row r="216" spans="1:7" x14ac:dyDescent="0.3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660</v>
      </c>
      <c r="D216" s="1" t="s">
        <v>661</v>
      </c>
      <c r="E216" s="1" t="s">
        <v>662</v>
      </c>
      <c r="F216" s="1" t="s">
        <v>112</v>
      </c>
      <c r="G216" s="1">
        <v>3351747</v>
      </c>
    </row>
    <row r="217" spans="1:7" x14ac:dyDescent="0.3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663</v>
      </c>
      <c r="D217" s="1" t="s">
        <v>664</v>
      </c>
      <c r="E217" s="1" t="s">
        <v>665</v>
      </c>
      <c r="F217" s="1" t="s">
        <v>112</v>
      </c>
      <c r="G217" s="1">
        <v>3719736</v>
      </c>
    </row>
    <row r="218" spans="1:7" x14ac:dyDescent="0.3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666</v>
      </c>
      <c r="D218" s="1" t="s">
        <v>667</v>
      </c>
      <c r="E218" s="1" t="s">
        <v>668</v>
      </c>
      <c r="F218" s="1" t="s">
        <v>112</v>
      </c>
      <c r="G218" s="1">
        <v>6007682</v>
      </c>
    </row>
    <row r="219" spans="1:7" x14ac:dyDescent="0.3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669</v>
      </c>
      <c r="D219" s="1" t="s">
        <v>670</v>
      </c>
      <c r="E219" s="1" t="s">
        <v>671</v>
      </c>
      <c r="F219" s="1" t="s">
        <v>112</v>
      </c>
      <c r="G219" s="1">
        <v>6751166</v>
      </c>
    </row>
    <row r="220" spans="1:7" x14ac:dyDescent="0.3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672</v>
      </c>
      <c r="D220" s="1" t="s">
        <v>673</v>
      </c>
      <c r="E220" s="1" t="s">
        <v>674</v>
      </c>
      <c r="F220" s="1" t="s">
        <v>112</v>
      </c>
      <c r="G220" s="1">
        <v>6285301</v>
      </c>
    </row>
    <row r="221" spans="1:7" x14ac:dyDescent="0.3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675</v>
      </c>
      <c r="D221" s="1" t="s">
        <v>676</v>
      </c>
      <c r="E221" s="1" t="s">
        <v>677</v>
      </c>
      <c r="F221" s="1" t="s">
        <v>112</v>
      </c>
      <c r="G221" s="1">
        <v>7273203</v>
      </c>
    </row>
    <row r="222" spans="1:7" x14ac:dyDescent="0.3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678</v>
      </c>
      <c r="D222" s="1" t="s">
        <v>679</v>
      </c>
      <c r="E222" s="1" t="s">
        <v>680</v>
      </c>
      <c r="F222" s="1" t="s">
        <v>112</v>
      </c>
      <c r="G222" s="1">
        <v>7073862</v>
      </c>
    </row>
    <row r="223" spans="1:7" x14ac:dyDescent="0.3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681</v>
      </c>
      <c r="D223" s="1" t="s">
        <v>682</v>
      </c>
      <c r="E223" s="1" t="s">
        <v>683</v>
      </c>
      <c r="F223" s="1" t="s">
        <v>112</v>
      </c>
      <c r="G223" s="1">
        <v>7595273</v>
      </c>
    </row>
    <row r="224" spans="1:7"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9"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241</v>
      </c>
      <c r="D225" s="1" t="s">
        <v>112</v>
      </c>
      <c r="E225" s="1" t="s">
        <v>242</v>
      </c>
      <c r="F225" s="1" t="s">
        <v>243</v>
      </c>
      <c r="G225" s="1" t="s">
        <v>244</v>
      </c>
      <c r="H225" s="1" t="s">
        <v>245</v>
      </c>
      <c r="I225" s="1" t="s">
        <v>246</v>
      </c>
    </row>
    <row r="226" spans="1:9" x14ac:dyDescent="0.3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684</v>
      </c>
      <c r="D226" s="1" t="s">
        <v>112</v>
      </c>
      <c r="E226" s="1" t="s">
        <v>685</v>
      </c>
      <c r="F226" s="1" t="s">
        <v>686</v>
      </c>
      <c r="G226" s="1" t="s">
        <v>687</v>
      </c>
      <c r="H226" s="1" t="s">
        <v>688</v>
      </c>
      <c r="I226" s="1">
        <v>24</v>
      </c>
    </row>
    <row r="227" spans="1:9"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9"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9"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9"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9"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9"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252</v>
      </c>
      <c r="D232" s="1" t="s">
        <v>110</v>
      </c>
      <c r="E232" s="1" t="s">
        <v>111</v>
      </c>
      <c r="F232" s="1" t="s">
        <v>112</v>
      </c>
      <c r="G232" s="1" t="s">
        <v>113</v>
      </c>
    </row>
    <row r="233" spans="1:9" x14ac:dyDescent="0.35">
      <c r="A233" s="1" t="str">
        <f t="shared" si="3"/>
        <v>08 Pro 12</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689</v>
      </c>
      <c r="D233" s="1" t="s">
        <v>690</v>
      </c>
      <c r="E233" s="1" t="s">
        <v>691</v>
      </c>
      <c r="F233" s="1" t="s">
        <v>112</v>
      </c>
      <c r="G233" s="1">
        <v>15444</v>
      </c>
    </row>
    <row r="234" spans="1:9" x14ac:dyDescent="0.35">
      <c r="A234" s="1" t="str">
        <f t="shared" si="3"/>
        <v>08 Pro 12</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692</v>
      </c>
      <c r="D234" s="1" t="s">
        <v>693</v>
      </c>
      <c r="E234" s="1" t="s">
        <v>694</v>
      </c>
      <c r="F234" s="1" t="s">
        <v>112</v>
      </c>
      <c r="G234" s="1">
        <v>165945</v>
      </c>
    </row>
    <row r="235" spans="1:9" x14ac:dyDescent="0.35">
      <c r="A235" s="1" t="str">
        <f t="shared" si="3"/>
        <v>08 Pro 12</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695</v>
      </c>
      <c r="D235" s="1" t="s">
        <v>696</v>
      </c>
      <c r="E235" s="1" t="s">
        <v>697</v>
      </c>
      <c r="F235" s="1" t="s">
        <v>112</v>
      </c>
      <c r="G235" s="1">
        <v>242731</v>
      </c>
    </row>
    <row r="236" spans="1:9" x14ac:dyDescent="0.35">
      <c r="A236" s="1" t="str">
        <f t="shared" si="3"/>
        <v>08 Pro 12</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698</v>
      </c>
      <c r="D236" s="1" t="s">
        <v>699</v>
      </c>
      <c r="E236" s="1" t="s">
        <v>700</v>
      </c>
      <c r="F236" s="1" t="s">
        <v>112</v>
      </c>
      <c r="G236" s="1">
        <v>68545</v>
      </c>
    </row>
    <row r="237" spans="1:9" x14ac:dyDescent="0.35">
      <c r="A237" s="1" t="str">
        <f t="shared" si="3"/>
        <v>08 Pro 12</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701</v>
      </c>
      <c r="D237" s="1" t="s">
        <v>702</v>
      </c>
      <c r="E237" s="1" t="s">
        <v>703</v>
      </c>
      <c r="F237" s="1" t="s">
        <v>112</v>
      </c>
      <c r="G237" s="1">
        <v>64154</v>
      </c>
    </row>
    <row r="238" spans="1:9" x14ac:dyDescent="0.35">
      <c r="A238" s="1" t="str">
        <f t="shared" si="3"/>
        <v>08 Pro 12</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704</v>
      </c>
      <c r="D238" s="1" t="s">
        <v>449</v>
      </c>
      <c r="E238" s="1" t="s">
        <v>705</v>
      </c>
      <c r="F238" s="1" t="s">
        <v>112</v>
      </c>
      <c r="G238" s="1">
        <v>107695</v>
      </c>
    </row>
    <row r="239" spans="1:9" x14ac:dyDescent="0.35">
      <c r="A239" s="1" t="str">
        <f t="shared" si="3"/>
        <v>08 Pro 12</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706</v>
      </c>
      <c r="D239" s="1" t="s">
        <v>233</v>
      </c>
      <c r="E239" s="1" t="s">
        <v>707</v>
      </c>
      <c r="F239" s="1" t="s">
        <v>112</v>
      </c>
      <c r="G239" s="1">
        <v>16504</v>
      </c>
    </row>
    <row r="240" spans="1:9" x14ac:dyDescent="0.35">
      <c r="A240" s="1" t="str">
        <f t="shared" si="3"/>
        <v>08 Pro 12</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708</v>
      </c>
    </row>
    <row r="241" spans="1:7" x14ac:dyDescent="0.35">
      <c r="A241" s="1" t="str">
        <f t="shared" si="3"/>
        <v>08 Pro 12</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709</v>
      </c>
      <c r="D241" s="1" t="s">
        <v>690</v>
      </c>
      <c r="E241" s="1" t="s">
        <v>710</v>
      </c>
      <c r="F241" s="1" t="s">
        <v>112</v>
      </c>
      <c r="G241" s="1">
        <v>15336</v>
      </c>
    </row>
    <row r="242" spans="1:7" x14ac:dyDescent="0.35">
      <c r="A242" s="1" t="str">
        <f t="shared" si="3"/>
        <v>08 Pro 12</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711</v>
      </c>
      <c r="D242" s="1" t="s">
        <v>712</v>
      </c>
      <c r="E242" s="1" t="s">
        <v>713</v>
      </c>
      <c r="F242" s="1" t="s">
        <v>112</v>
      </c>
      <c r="G242" s="1">
        <v>65301</v>
      </c>
    </row>
    <row r="243" spans="1:7" x14ac:dyDescent="0.35">
      <c r="A243" s="1" t="str">
        <f t="shared" si="3"/>
        <v>08 Pro 12</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714</v>
      </c>
      <c r="D243" s="1" t="s">
        <v>715</v>
      </c>
      <c r="E243" s="1" t="s">
        <v>716</v>
      </c>
      <c r="F243" s="1" t="s">
        <v>112</v>
      </c>
      <c r="G243" s="1">
        <v>426368</v>
      </c>
    </row>
    <row r="244" spans="1:7" x14ac:dyDescent="0.35">
      <c r="A244" s="1" t="str">
        <f t="shared" si="3"/>
        <v>08 Pro 12</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717</v>
      </c>
      <c r="D244" s="1" t="s">
        <v>200</v>
      </c>
      <c r="E244" s="1" t="s">
        <v>718</v>
      </c>
      <c r="F244" s="1" t="s">
        <v>112</v>
      </c>
      <c r="G244" s="1">
        <v>364485</v>
      </c>
    </row>
    <row r="245" spans="1:7" x14ac:dyDescent="0.35">
      <c r="A245" s="1" t="str">
        <f t="shared" si="3"/>
        <v>08 Pro 12</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719</v>
      </c>
      <c r="D245" s="1" t="s">
        <v>720</v>
      </c>
      <c r="E245" s="1" t="s">
        <v>721</v>
      </c>
      <c r="F245" s="1" t="s">
        <v>112</v>
      </c>
      <c r="G245" s="1">
        <v>55091</v>
      </c>
    </row>
    <row r="246" spans="1:7" x14ac:dyDescent="0.35">
      <c r="A246" s="1" t="str">
        <f t="shared" si="3"/>
        <v>08 Pro 12</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722</v>
      </c>
      <c r="D246" s="1" t="s">
        <v>723</v>
      </c>
      <c r="E246" s="1" t="s">
        <v>724</v>
      </c>
      <c r="F246" s="1" t="s">
        <v>112</v>
      </c>
      <c r="G246" s="1">
        <v>71249</v>
      </c>
    </row>
    <row r="247" spans="1:7" x14ac:dyDescent="0.35">
      <c r="A247" s="1" t="str">
        <f t="shared" si="3"/>
        <v>08 Pro 12</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725</v>
      </c>
      <c r="D247" s="1" t="s">
        <v>726</v>
      </c>
      <c r="E247" s="1" t="s">
        <v>388</v>
      </c>
      <c r="F247" s="1" t="s">
        <v>112</v>
      </c>
      <c r="G247" s="1">
        <v>19229</v>
      </c>
    </row>
    <row r="248" spans="1:7" x14ac:dyDescent="0.35">
      <c r="A248" s="1" t="str">
        <f t="shared" si="3"/>
        <v>08 Pro 12</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727</v>
      </c>
      <c r="D248" s="1" t="s">
        <v>728</v>
      </c>
      <c r="E248" s="1" t="s">
        <v>729</v>
      </c>
      <c r="F248" s="1" t="s">
        <v>112</v>
      </c>
      <c r="G248" s="1">
        <v>70989</v>
      </c>
    </row>
    <row r="249" spans="1:7" x14ac:dyDescent="0.35">
      <c r="A249" s="1" t="str">
        <f t="shared" si="3"/>
        <v>08 Pro 12</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730</v>
      </c>
      <c r="D249" s="1" t="s">
        <v>449</v>
      </c>
      <c r="E249" s="1" t="s">
        <v>731</v>
      </c>
      <c r="F249" s="1" t="s">
        <v>112</v>
      </c>
      <c r="G249" s="1">
        <v>101985</v>
      </c>
    </row>
    <row r="250" spans="1:7" x14ac:dyDescent="0.35">
      <c r="A250" s="1" t="str">
        <f t="shared" si="3"/>
        <v>08 Pro 12</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732</v>
      </c>
      <c r="D250" s="1" t="s">
        <v>733</v>
      </c>
      <c r="E250" s="1" t="s">
        <v>734</v>
      </c>
      <c r="F250" s="1" t="s">
        <v>112</v>
      </c>
      <c r="G250" s="1">
        <v>61537</v>
      </c>
    </row>
    <row r="251" spans="1:7" x14ac:dyDescent="0.35">
      <c r="A251" s="1" t="str">
        <f t="shared" si="3"/>
        <v>08 Pro 12</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735</v>
      </c>
      <c r="D251" s="1" t="s">
        <v>736</v>
      </c>
      <c r="E251" s="1" t="s">
        <v>737</v>
      </c>
      <c r="F251" s="1" t="s">
        <v>112</v>
      </c>
      <c r="G251" s="1">
        <v>568131</v>
      </c>
    </row>
    <row r="252" spans="1:7" x14ac:dyDescent="0.35">
      <c r="A252" s="1" t="str">
        <f t="shared" si="3"/>
        <v>08 Pro 12</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738</v>
      </c>
      <c r="D252" s="1" t="s">
        <v>739</v>
      </c>
      <c r="E252" s="1" t="s">
        <v>740</v>
      </c>
      <c r="F252" s="1" t="s">
        <v>112</v>
      </c>
      <c r="G252" s="1">
        <v>643684</v>
      </c>
    </row>
    <row r="253" spans="1:7" x14ac:dyDescent="0.35">
      <c r="A253" s="1" t="str">
        <f t="shared" si="3"/>
        <v>08 Pro 12</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741</v>
      </c>
      <c r="D253" s="1" t="s">
        <v>742</v>
      </c>
      <c r="E253" s="1" t="s">
        <v>743</v>
      </c>
      <c r="F253" s="1" t="s">
        <v>112</v>
      </c>
      <c r="G253" s="1">
        <v>344867</v>
      </c>
    </row>
    <row r="254" spans="1:7" x14ac:dyDescent="0.35">
      <c r="A254" s="1" t="str">
        <f t="shared" si="3"/>
        <v>08 Pro 12</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744</v>
      </c>
      <c r="D254" s="1" t="s">
        <v>745</v>
      </c>
      <c r="E254" s="1" t="s">
        <v>746</v>
      </c>
      <c r="F254" s="1" t="s">
        <v>112</v>
      </c>
      <c r="G254" s="1">
        <v>126578</v>
      </c>
    </row>
    <row r="255" spans="1:7" x14ac:dyDescent="0.35">
      <c r="A255" s="1" t="str">
        <f t="shared" si="3"/>
        <v>08 Pro 12</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747</v>
      </c>
      <c r="D255" s="1" t="s">
        <v>748</v>
      </c>
      <c r="E255" s="1" t="s">
        <v>749</v>
      </c>
      <c r="F255" s="1" t="s">
        <v>112</v>
      </c>
      <c r="G255" s="1">
        <v>301175</v>
      </c>
    </row>
    <row r="256" spans="1:7" x14ac:dyDescent="0.35">
      <c r="A256" s="1" t="str">
        <f t="shared" si="3"/>
        <v>08 Pro 12</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750</v>
      </c>
      <c r="D256" s="1" t="s">
        <v>751</v>
      </c>
      <c r="E256" s="1" t="s">
        <v>752</v>
      </c>
      <c r="F256" s="1" t="s">
        <v>112</v>
      </c>
      <c r="G256" s="1">
        <v>32683</v>
      </c>
    </row>
    <row r="257" spans="1:9"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9"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241</v>
      </c>
      <c r="D258" s="1" t="s">
        <v>112</v>
      </c>
      <c r="E258" s="1" t="s">
        <v>242</v>
      </c>
      <c r="F258" s="1" t="s">
        <v>243</v>
      </c>
      <c r="G258" s="1" t="s">
        <v>244</v>
      </c>
      <c r="H258" s="1" t="s">
        <v>245</v>
      </c>
      <c r="I258" s="1" t="s">
        <v>246</v>
      </c>
    </row>
    <row r="259" spans="1:9" x14ac:dyDescent="0.35">
      <c r="A259" s="1" t="str">
        <f t="shared" si="4"/>
        <v>08 Pro 12</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753</v>
      </c>
      <c r="D259" s="1" t="s">
        <v>112</v>
      </c>
      <c r="E259" s="1" t="s">
        <v>754</v>
      </c>
      <c r="F259" s="1" t="s">
        <v>755</v>
      </c>
      <c r="G259" s="1" t="s">
        <v>756</v>
      </c>
      <c r="H259" s="1" t="s">
        <v>757</v>
      </c>
      <c r="I259" s="1">
        <v>24</v>
      </c>
    </row>
    <row r="260" spans="1:9"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9"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9"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9"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9"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9"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252</v>
      </c>
      <c r="D265" s="1" t="s">
        <v>110</v>
      </c>
      <c r="E265" s="1" t="s">
        <v>111</v>
      </c>
      <c r="F265" s="1" t="s">
        <v>112</v>
      </c>
      <c r="G265" s="1" t="s">
        <v>113</v>
      </c>
    </row>
    <row r="266" spans="1:9" x14ac:dyDescent="0.35">
      <c r="A266" s="1" t="str">
        <f t="shared" si="4"/>
        <v>09 Pro 37</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758</v>
      </c>
      <c r="D266" s="1" t="s">
        <v>759</v>
      </c>
      <c r="E266" s="1" t="s">
        <v>760</v>
      </c>
      <c r="F266" s="1" t="s">
        <v>112</v>
      </c>
      <c r="G266" s="1">
        <v>121019</v>
      </c>
    </row>
    <row r="267" spans="1:9" x14ac:dyDescent="0.35">
      <c r="A267" s="1" t="str">
        <f t="shared" si="4"/>
        <v>09 Pro 37</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761</v>
      </c>
    </row>
    <row r="268" spans="1:9" x14ac:dyDescent="0.35">
      <c r="A268" s="1" t="str">
        <f t="shared" si="4"/>
        <v>09 Pro 37</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762</v>
      </c>
    </row>
    <row r="269" spans="1:9" x14ac:dyDescent="0.35">
      <c r="A269" s="1" t="str">
        <f t="shared" si="4"/>
        <v>09 Pro 37</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763</v>
      </c>
      <c r="D269" s="1" t="s">
        <v>260</v>
      </c>
      <c r="E269" s="1" t="s">
        <v>764</v>
      </c>
      <c r="F269" s="1" t="s">
        <v>112</v>
      </c>
      <c r="G269" s="1">
        <v>35300</v>
      </c>
    </row>
    <row r="270" spans="1:9" x14ac:dyDescent="0.35">
      <c r="A270" s="1" t="str">
        <f t="shared" si="4"/>
        <v>09 Pro 37</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765</v>
      </c>
      <c r="D270" s="1" t="s">
        <v>193</v>
      </c>
      <c r="E270" s="1" t="s">
        <v>766</v>
      </c>
      <c r="F270" s="1" t="s">
        <v>112</v>
      </c>
      <c r="G270" s="1">
        <v>25567</v>
      </c>
    </row>
    <row r="271" spans="1:9" x14ac:dyDescent="0.35">
      <c r="A271" s="1" t="str">
        <f t="shared" si="4"/>
        <v>09 Pro 37</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767</v>
      </c>
      <c r="D271" s="1" t="s">
        <v>233</v>
      </c>
      <c r="E271" s="1" t="s">
        <v>768</v>
      </c>
      <c r="F271" s="1" t="s">
        <v>112</v>
      </c>
      <c r="G271" s="1">
        <v>16309</v>
      </c>
    </row>
    <row r="272" spans="1:9" x14ac:dyDescent="0.35">
      <c r="A272" s="1" t="str">
        <f t="shared" si="4"/>
        <v>09 Pro 37</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769</v>
      </c>
      <c r="D272" s="1" t="s">
        <v>770</v>
      </c>
      <c r="E272" s="1" t="s">
        <v>771</v>
      </c>
      <c r="F272" s="1" t="s">
        <v>112</v>
      </c>
      <c r="G272" s="1">
        <v>94068</v>
      </c>
    </row>
    <row r="273" spans="1:7" x14ac:dyDescent="0.35">
      <c r="A273" s="1" t="str">
        <f t="shared" si="4"/>
        <v>09 Pro 37</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772</v>
      </c>
      <c r="D273" s="1" t="s">
        <v>773</v>
      </c>
      <c r="E273" s="1" t="s">
        <v>774</v>
      </c>
      <c r="F273" s="1" t="s">
        <v>112</v>
      </c>
      <c r="G273" s="1">
        <v>136225</v>
      </c>
    </row>
    <row r="274" spans="1:7" x14ac:dyDescent="0.35">
      <c r="A274" s="1" t="str">
        <f t="shared" si="4"/>
        <v>09 Pro 37</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775</v>
      </c>
      <c r="D274" s="1" t="s">
        <v>776</v>
      </c>
      <c r="E274" s="1" t="s">
        <v>777</v>
      </c>
      <c r="F274" s="1" t="s">
        <v>112</v>
      </c>
      <c r="G274" s="1">
        <v>109426</v>
      </c>
    </row>
    <row r="275" spans="1:7" x14ac:dyDescent="0.35">
      <c r="A275" s="1" t="str">
        <f t="shared" si="4"/>
        <v>09 Pro 37</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778</v>
      </c>
      <c r="D275" s="1" t="s">
        <v>779</v>
      </c>
      <c r="E275" s="1" t="s">
        <v>780</v>
      </c>
      <c r="F275" s="1" t="s">
        <v>112</v>
      </c>
      <c r="G275" s="1">
        <v>30022</v>
      </c>
    </row>
    <row r="276" spans="1:7" x14ac:dyDescent="0.35">
      <c r="A276" s="1" t="str">
        <f t="shared" si="4"/>
        <v>09 Pro 37</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781</v>
      </c>
      <c r="D276" s="1" t="s">
        <v>360</v>
      </c>
      <c r="E276" s="1" t="s">
        <v>782</v>
      </c>
      <c r="F276" s="1" t="s">
        <v>112</v>
      </c>
      <c r="G276" s="1">
        <v>123939</v>
      </c>
    </row>
    <row r="277" spans="1:7" x14ac:dyDescent="0.35">
      <c r="A277" s="1" t="str">
        <f t="shared" si="4"/>
        <v>09 Pro 37</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783</v>
      </c>
      <c r="D277" s="1" t="s">
        <v>784</v>
      </c>
      <c r="E277" s="1" t="s">
        <v>785</v>
      </c>
      <c r="F277" s="1" t="s">
        <v>112</v>
      </c>
      <c r="G277" s="1">
        <v>178944</v>
      </c>
    </row>
    <row r="278" spans="1:7" x14ac:dyDescent="0.35">
      <c r="A278" s="1" t="str">
        <f t="shared" si="4"/>
        <v>09 Pro 37</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786</v>
      </c>
    </row>
    <row r="279" spans="1:7" x14ac:dyDescent="0.35">
      <c r="A279" s="1" t="str">
        <f t="shared" si="4"/>
        <v>09 Pro 37</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787</v>
      </c>
    </row>
    <row r="280" spans="1:7" x14ac:dyDescent="0.35">
      <c r="A280" s="1" t="str">
        <f t="shared" si="4"/>
        <v>09 Pro 37</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788</v>
      </c>
    </row>
    <row r="281" spans="1:7" x14ac:dyDescent="0.35">
      <c r="A281" s="1" t="str">
        <f t="shared" si="4"/>
        <v>09 Pro 37</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789</v>
      </c>
    </row>
    <row r="282" spans="1:7" x14ac:dyDescent="0.35">
      <c r="A282" s="1" t="str">
        <f t="shared" si="4"/>
        <v>09 Pro 37</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790</v>
      </c>
      <c r="D282" s="1" t="s">
        <v>791</v>
      </c>
      <c r="E282" s="1" t="s">
        <v>792</v>
      </c>
      <c r="F282" s="1" t="s">
        <v>112</v>
      </c>
      <c r="G282" s="1">
        <v>197935</v>
      </c>
    </row>
    <row r="283" spans="1:7" x14ac:dyDescent="0.35">
      <c r="A283" s="1" t="str">
        <f t="shared" si="4"/>
        <v>09 Pro 37</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793</v>
      </c>
      <c r="D283" s="1" t="s">
        <v>794</v>
      </c>
      <c r="E283" s="1" t="s">
        <v>795</v>
      </c>
      <c r="F283" s="1" t="s">
        <v>112</v>
      </c>
      <c r="G283" s="1">
        <v>752699</v>
      </c>
    </row>
    <row r="284" spans="1:7" x14ac:dyDescent="0.35">
      <c r="A284" s="1" t="str">
        <f t="shared" si="4"/>
        <v>09 Pro 37</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796</v>
      </c>
      <c r="D284" s="1" t="s">
        <v>797</v>
      </c>
      <c r="E284" s="1" t="s">
        <v>798</v>
      </c>
      <c r="F284" s="1" t="s">
        <v>112</v>
      </c>
      <c r="G284" s="1">
        <v>51306</v>
      </c>
    </row>
    <row r="285" spans="1:7" x14ac:dyDescent="0.35">
      <c r="A285" s="1" t="str">
        <f t="shared" si="4"/>
        <v>09 Pro 37</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799</v>
      </c>
      <c r="D285" s="1" t="s">
        <v>800</v>
      </c>
      <c r="E285" s="1" t="s">
        <v>801</v>
      </c>
      <c r="F285" s="1" t="s">
        <v>112</v>
      </c>
      <c r="G285" s="1">
        <v>92987</v>
      </c>
    </row>
    <row r="286" spans="1:7" x14ac:dyDescent="0.35">
      <c r="A286" s="1" t="str">
        <f t="shared" si="4"/>
        <v>09 Pro 37</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802</v>
      </c>
      <c r="D286" s="1" t="s">
        <v>803</v>
      </c>
      <c r="E286" s="1" t="s">
        <v>804</v>
      </c>
      <c r="F286" s="1" t="s">
        <v>112</v>
      </c>
      <c r="G286" s="1">
        <v>91083</v>
      </c>
    </row>
    <row r="287" spans="1:7" x14ac:dyDescent="0.35">
      <c r="A287" s="1" t="str">
        <f t="shared" si="4"/>
        <v>09 Pro 37</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805</v>
      </c>
      <c r="D287" s="1" t="s">
        <v>806</v>
      </c>
      <c r="E287" s="1" t="s">
        <v>807</v>
      </c>
      <c r="F287" s="1" t="s">
        <v>112</v>
      </c>
      <c r="G287" s="1">
        <v>330224</v>
      </c>
    </row>
    <row r="288" spans="1:7" x14ac:dyDescent="0.35">
      <c r="A288" s="1" t="str">
        <f t="shared" si="4"/>
        <v>09 Pro 37</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808</v>
      </c>
      <c r="D288" s="1" t="s">
        <v>712</v>
      </c>
      <c r="E288" s="1" t="s">
        <v>809</v>
      </c>
      <c r="F288" s="1" t="s">
        <v>112</v>
      </c>
      <c r="G288" s="1">
        <v>65777</v>
      </c>
    </row>
    <row r="289" spans="1:9" x14ac:dyDescent="0.35">
      <c r="A289" s="1" t="str">
        <f t="shared" si="4"/>
        <v>09 Pro 37</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810</v>
      </c>
      <c r="D289" s="1" t="s">
        <v>811</v>
      </c>
      <c r="E289" s="1" t="s">
        <v>812</v>
      </c>
      <c r="F289" s="1" t="s">
        <v>112</v>
      </c>
      <c r="G289" s="1">
        <v>293280</v>
      </c>
    </row>
    <row r="290" spans="1:9"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9"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241</v>
      </c>
      <c r="D291" s="1" t="s">
        <v>112</v>
      </c>
      <c r="E291" s="1" t="s">
        <v>242</v>
      </c>
      <c r="F291" s="1" t="s">
        <v>243</v>
      </c>
      <c r="G291" s="1" t="s">
        <v>244</v>
      </c>
      <c r="H291" s="1" t="s">
        <v>245</v>
      </c>
      <c r="I291" s="1" t="s">
        <v>246</v>
      </c>
    </row>
    <row r="292" spans="1:9" x14ac:dyDescent="0.35">
      <c r="A292" s="1" t="str">
        <f t="shared" si="4"/>
        <v>09 Pro 37</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813</v>
      </c>
      <c r="D292" s="1" t="s">
        <v>112</v>
      </c>
      <c r="E292" s="1" t="s">
        <v>814</v>
      </c>
      <c r="F292" s="1" t="s">
        <v>815</v>
      </c>
      <c r="G292" s="1" t="s">
        <v>816</v>
      </c>
      <c r="H292" s="1" t="s">
        <v>817</v>
      </c>
      <c r="I292" s="1">
        <v>24</v>
      </c>
    </row>
    <row r="293" spans="1:9"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9"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9"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9"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9"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9"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252</v>
      </c>
      <c r="D298" s="1" t="s">
        <v>110</v>
      </c>
      <c r="E298" s="1" t="s">
        <v>111</v>
      </c>
      <c r="F298" s="1" t="s">
        <v>112</v>
      </c>
      <c r="G298" s="1" t="s">
        <v>113</v>
      </c>
    </row>
    <row r="299" spans="1:9" x14ac:dyDescent="0.35">
      <c r="A299" s="1" t="str">
        <f t="shared" si="4"/>
        <v>10 Pro 111</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818</v>
      </c>
      <c r="D299" s="1" t="s">
        <v>819</v>
      </c>
      <c r="E299" s="1" t="s">
        <v>820</v>
      </c>
      <c r="F299" s="1" t="s">
        <v>112</v>
      </c>
      <c r="G299" s="1">
        <v>640872</v>
      </c>
    </row>
    <row r="300" spans="1:9" x14ac:dyDescent="0.35">
      <c r="A300" s="1" t="str">
        <f t="shared" si="4"/>
        <v>10 Pro 111</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821</v>
      </c>
      <c r="D300" s="1" t="s">
        <v>822</v>
      </c>
      <c r="E300" s="1" t="s">
        <v>823</v>
      </c>
      <c r="F300" s="1" t="s">
        <v>112</v>
      </c>
      <c r="G300" s="1">
        <v>679957</v>
      </c>
    </row>
    <row r="301" spans="1:9" x14ac:dyDescent="0.35">
      <c r="A301" s="1" t="str">
        <f t="shared" si="4"/>
        <v>10 Pro 111</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824</v>
      </c>
      <c r="D301" s="1" t="s">
        <v>736</v>
      </c>
      <c r="E301" s="1" t="s">
        <v>825</v>
      </c>
      <c r="F301" s="1" t="s">
        <v>112</v>
      </c>
      <c r="G301" s="1">
        <v>647923</v>
      </c>
    </row>
    <row r="302" spans="1:9" x14ac:dyDescent="0.35">
      <c r="A302" s="1" t="str">
        <f t="shared" si="4"/>
        <v>10 Pro 111</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826</v>
      </c>
      <c r="D302" s="1" t="s">
        <v>779</v>
      </c>
      <c r="E302" s="1" t="s">
        <v>827</v>
      </c>
      <c r="F302" s="1" t="s">
        <v>112</v>
      </c>
      <c r="G302" s="1">
        <v>30174</v>
      </c>
    </row>
    <row r="303" spans="1:9" x14ac:dyDescent="0.35">
      <c r="A303" s="1" t="str">
        <f t="shared" si="4"/>
        <v>10 Pro 111</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828</v>
      </c>
    </row>
    <row r="304" spans="1:9" x14ac:dyDescent="0.35">
      <c r="A304" s="1" t="str">
        <f t="shared" si="4"/>
        <v>10 Pro 111</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829</v>
      </c>
    </row>
    <row r="305" spans="1:7" x14ac:dyDescent="0.35">
      <c r="A305" s="1" t="str">
        <f t="shared" si="4"/>
        <v>10 Pro 111</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830</v>
      </c>
    </row>
    <row r="306" spans="1:7" x14ac:dyDescent="0.35">
      <c r="A306" s="1" t="str">
        <f t="shared" si="4"/>
        <v>10 Pro 111</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831</v>
      </c>
      <c r="D306" s="1" t="s">
        <v>193</v>
      </c>
      <c r="E306" s="1" t="s">
        <v>832</v>
      </c>
      <c r="F306" s="1" t="s">
        <v>112</v>
      </c>
      <c r="G306" s="1">
        <v>29503</v>
      </c>
    </row>
    <row r="307" spans="1:7" x14ac:dyDescent="0.35">
      <c r="A307" s="1" t="str">
        <f t="shared" si="4"/>
        <v>10 Pro 111</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833</v>
      </c>
      <c r="D307" s="1" t="s">
        <v>726</v>
      </c>
      <c r="E307" s="1" t="s">
        <v>834</v>
      </c>
      <c r="F307" s="1" t="s">
        <v>112</v>
      </c>
      <c r="G307" s="1">
        <v>19186</v>
      </c>
    </row>
    <row r="308" spans="1:7" x14ac:dyDescent="0.35">
      <c r="A308" s="1" t="str">
        <f t="shared" si="4"/>
        <v>10 Pro 111</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835</v>
      </c>
      <c r="D308" s="1" t="s">
        <v>836</v>
      </c>
      <c r="E308" s="1" t="s">
        <v>837</v>
      </c>
      <c r="F308" s="1" t="s">
        <v>112</v>
      </c>
      <c r="G308" s="1">
        <v>178165</v>
      </c>
    </row>
    <row r="309" spans="1:7" x14ac:dyDescent="0.35">
      <c r="A309" s="1" t="str">
        <f t="shared" si="4"/>
        <v>10 Pro 111</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838</v>
      </c>
      <c r="D309" s="1" t="s">
        <v>733</v>
      </c>
      <c r="E309" s="1" t="s">
        <v>839</v>
      </c>
      <c r="F309" s="1" t="s">
        <v>112</v>
      </c>
      <c r="G309" s="1">
        <v>60456</v>
      </c>
    </row>
    <row r="310" spans="1:7" x14ac:dyDescent="0.35">
      <c r="A310" s="1" t="str">
        <f t="shared" si="4"/>
        <v>10 Pro 111</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840</v>
      </c>
      <c r="D310" s="1" t="s">
        <v>841</v>
      </c>
      <c r="E310" s="1" t="s">
        <v>842</v>
      </c>
      <c r="F310" s="1" t="s">
        <v>112</v>
      </c>
      <c r="G310" s="1">
        <v>170725</v>
      </c>
    </row>
    <row r="311" spans="1:7" x14ac:dyDescent="0.35">
      <c r="A311" s="1" t="str">
        <f t="shared" si="4"/>
        <v>10 Pro 111</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843</v>
      </c>
      <c r="D311" s="1" t="s">
        <v>844</v>
      </c>
      <c r="E311" s="1" t="s">
        <v>845</v>
      </c>
      <c r="F311" s="1" t="s">
        <v>112</v>
      </c>
      <c r="G311" s="1">
        <v>116088</v>
      </c>
    </row>
    <row r="312" spans="1:7" x14ac:dyDescent="0.35">
      <c r="A312" s="1" t="str">
        <f t="shared" si="4"/>
        <v>10 Pro 111</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846</v>
      </c>
      <c r="D312" s="1" t="s">
        <v>773</v>
      </c>
      <c r="E312" s="1" t="s">
        <v>847</v>
      </c>
      <c r="F312" s="1" t="s">
        <v>112</v>
      </c>
      <c r="G312" s="1">
        <v>138064</v>
      </c>
    </row>
    <row r="313" spans="1:7" x14ac:dyDescent="0.35">
      <c r="A313" s="1" t="str">
        <f t="shared" si="4"/>
        <v>10 Pro 111</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848</v>
      </c>
    </row>
    <row r="314" spans="1:7" x14ac:dyDescent="0.35">
      <c r="A314" s="1" t="str">
        <f t="shared" si="4"/>
        <v>10 Pro 111</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849</v>
      </c>
      <c r="D314" s="1" t="s">
        <v>850</v>
      </c>
      <c r="E314" s="1" t="s">
        <v>851</v>
      </c>
      <c r="F314" s="1" t="s">
        <v>112</v>
      </c>
      <c r="G314" s="1">
        <v>387716</v>
      </c>
    </row>
    <row r="315" spans="1:7" x14ac:dyDescent="0.35">
      <c r="A315" s="1" t="str">
        <f t="shared" si="4"/>
        <v>10 Pro 111</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852</v>
      </c>
      <c r="D315" s="1" t="s">
        <v>853</v>
      </c>
      <c r="E315" s="1" t="s">
        <v>854</v>
      </c>
      <c r="F315" s="1" t="s">
        <v>112</v>
      </c>
      <c r="G315" s="1">
        <v>330159</v>
      </c>
    </row>
    <row r="316" spans="1:7" x14ac:dyDescent="0.35">
      <c r="A316" s="1" t="str">
        <f t="shared" si="4"/>
        <v>10 Pro 111</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855</v>
      </c>
      <c r="D316" s="1" t="s">
        <v>452</v>
      </c>
      <c r="E316" s="1" t="s">
        <v>856</v>
      </c>
      <c r="F316" s="1" t="s">
        <v>112</v>
      </c>
      <c r="G316" s="1">
        <v>169449</v>
      </c>
    </row>
    <row r="317" spans="1:7" x14ac:dyDescent="0.35">
      <c r="A317" s="1" t="str">
        <f t="shared" si="4"/>
        <v>10 Pro 111</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857</v>
      </c>
      <c r="D317" s="1" t="s">
        <v>858</v>
      </c>
      <c r="E317" s="1" t="s">
        <v>859</v>
      </c>
      <c r="F317" s="1" t="s">
        <v>112</v>
      </c>
      <c r="G317" s="1">
        <v>829506</v>
      </c>
    </row>
    <row r="318" spans="1:7" x14ac:dyDescent="0.35">
      <c r="A318" s="1" t="str">
        <f t="shared" si="4"/>
        <v>10 Pro 111</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860</v>
      </c>
      <c r="D318" s="1" t="s">
        <v>360</v>
      </c>
      <c r="E318" s="1" t="s">
        <v>861</v>
      </c>
      <c r="F318" s="1" t="s">
        <v>112</v>
      </c>
      <c r="G318" s="1">
        <v>123918</v>
      </c>
    </row>
    <row r="319" spans="1:7" x14ac:dyDescent="0.35">
      <c r="A319" s="1" t="str">
        <f t="shared" si="4"/>
        <v>10 Pro 111</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862</v>
      </c>
      <c r="D319" s="1" t="s">
        <v>863</v>
      </c>
      <c r="E319" s="1" t="s">
        <v>864</v>
      </c>
      <c r="F319" s="1" t="s">
        <v>112</v>
      </c>
      <c r="G319" s="1">
        <v>127941</v>
      </c>
    </row>
    <row r="320" spans="1:7" x14ac:dyDescent="0.35">
      <c r="A320" s="1" t="str">
        <f t="shared" si="4"/>
        <v>10 Pro 111</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865</v>
      </c>
      <c r="D320" s="1" t="s">
        <v>866</v>
      </c>
      <c r="E320" s="1" t="s">
        <v>867</v>
      </c>
      <c r="F320" s="1" t="s">
        <v>112</v>
      </c>
      <c r="G320" s="1">
        <v>174488</v>
      </c>
    </row>
    <row r="321" spans="1:9" x14ac:dyDescent="0.35">
      <c r="A321" s="1" t="str">
        <f t="shared" si="4"/>
        <v>10 Pro 111</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868</v>
      </c>
      <c r="D321" s="1" t="s">
        <v>869</v>
      </c>
      <c r="E321" s="1" t="s">
        <v>870</v>
      </c>
      <c r="F321" s="1" t="s">
        <v>112</v>
      </c>
      <c r="G321" s="1">
        <v>119397</v>
      </c>
    </row>
    <row r="322" spans="1:9" x14ac:dyDescent="0.35">
      <c r="A322" s="1" t="str">
        <f t="shared" ref="A322:A385" si="5">IFERROR(LEFT(RIGHT(C322,LEN(C322)-SEARCH("@",C322)),SEARCH("/",RIGHT(C322,LEN(C322)-SEARCH("@",C322)-1))),"")</f>
        <v>10 Pro 111</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871</v>
      </c>
      <c r="D322" s="1" t="s">
        <v>872</v>
      </c>
      <c r="E322" s="1" t="s">
        <v>873</v>
      </c>
      <c r="F322" s="1" t="s">
        <v>112</v>
      </c>
      <c r="G322" s="1">
        <v>158266</v>
      </c>
    </row>
    <row r="323" spans="1:9"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9"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241</v>
      </c>
      <c r="D324" s="1" t="s">
        <v>112</v>
      </c>
      <c r="E324" s="1" t="s">
        <v>242</v>
      </c>
      <c r="F324" s="1" t="s">
        <v>243</v>
      </c>
      <c r="G324" s="1" t="s">
        <v>244</v>
      </c>
      <c r="H324" s="1" t="s">
        <v>245</v>
      </c>
      <c r="I324" s="1" t="s">
        <v>246</v>
      </c>
    </row>
    <row r="325" spans="1:9" x14ac:dyDescent="0.35">
      <c r="A325" s="1" t="str">
        <f t="shared" si="5"/>
        <v>10 Pro 111</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874</v>
      </c>
      <c r="D325" s="1" t="s">
        <v>112</v>
      </c>
      <c r="E325" s="1" t="s">
        <v>875</v>
      </c>
      <c r="F325" s="1" t="s">
        <v>876</v>
      </c>
      <c r="G325" s="1" t="s">
        <v>877</v>
      </c>
      <c r="H325" s="1" t="s">
        <v>878</v>
      </c>
      <c r="I325" s="1">
        <v>24</v>
      </c>
    </row>
    <row r="326" spans="1:9"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9"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9"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9"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9"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9"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252</v>
      </c>
      <c r="D331" s="1" t="s">
        <v>110</v>
      </c>
      <c r="E331" s="1" t="s">
        <v>111</v>
      </c>
      <c r="F331" s="1" t="s">
        <v>112</v>
      </c>
      <c r="G331" s="1" t="s">
        <v>113</v>
      </c>
    </row>
    <row r="332" spans="1:9" x14ac:dyDescent="0.35">
      <c r="A332" s="1" t="str">
        <f t="shared" si="5"/>
        <v>11 Pro 333</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879</v>
      </c>
      <c r="D332" s="1" t="s">
        <v>880</v>
      </c>
      <c r="E332" s="1" t="s">
        <v>881</v>
      </c>
      <c r="F332" s="1" t="s">
        <v>112</v>
      </c>
      <c r="G332" s="1">
        <v>502917</v>
      </c>
    </row>
    <row r="333" spans="1:9" x14ac:dyDescent="0.35">
      <c r="A333" s="1" t="str">
        <f t="shared" si="5"/>
        <v>11 Pro 333</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882</v>
      </c>
      <c r="D333" s="1" t="s">
        <v>883</v>
      </c>
      <c r="E333" s="1" t="s">
        <v>884</v>
      </c>
      <c r="F333" s="1" t="s">
        <v>112</v>
      </c>
      <c r="G333" s="1">
        <v>631009</v>
      </c>
    </row>
    <row r="334" spans="1:9" x14ac:dyDescent="0.35">
      <c r="A334" s="1" t="str">
        <f t="shared" si="5"/>
        <v>11 Pro 333</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885</v>
      </c>
      <c r="D334" s="1" t="s">
        <v>886</v>
      </c>
      <c r="E334" s="1" t="s">
        <v>887</v>
      </c>
      <c r="F334" s="1" t="s">
        <v>112</v>
      </c>
      <c r="G334" s="1">
        <v>476874</v>
      </c>
    </row>
    <row r="335" spans="1:9" x14ac:dyDescent="0.35">
      <c r="A335" s="1" t="str">
        <f t="shared" si="5"/>
        <v>11 Pro 333</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888</v>
      </c>
      <c r="D335" s="1" t="s">
        <v>889</v>
      </c>
      <c r="E335" s="1" t="s">
        <v>890</v>
      </c>
      <c r="F335" s="1" t="s">
        <v>112</v>
      </c>
      <c r="G335" s="1">
        <v>231959</v>
      </c>
    </row>
    <row r="336" spans="1:9" x14ac:dyDescent="0.35">
      <c r="A336" s="1" t="str">
        <f t="shared" si="5"/>
        <v>11 Pro 333</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891</v>
      </c>
      <c r="D336" s="1" t="s">
        <v>892</v>
      </c>
      <c r="E336" s="1" t="s">
        <v>893</v>
      </c>
      <c r="F336" s="1" t="s">
        <v>112</v>
      </c>
      <c r="G336" s="1">
        <v>212124</v>
      </c>
    </row>
    <row r="337" spans="1:7" x14ac:dyDescent="0.35">
      <c r="A337" s="1" t="str">
        <f t="shared" si="5"/>
        <v>11 Pro 333</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894</v>
      </c>
      <c r="D337" s="1" t="s">
        <v>712</v>
      </c>
      <c r="E337" s="1" t="s">
        <v>895</v>
      </c>
      <c r="F337" s="1" t="s">
        <v>112</v>
      </c>
      <c r="G337" s="1">
        <v>65863</v>
      </c>
    </row>
    <row r="338" spans="1:7" x14ac:dyDescent="0.35">
      <c r="A338" s="1" t="str">
        <f t="shared" si="5"/>
        <v>11 Pro 333</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896</v>
      </c>
      <c r="D338" s="1" t="s">
        <v>897</v>
      </c>
      <c r="E338" s="1" t="s">
        <v>898</v>
      </c>
      <c r="F338" s="1" t="s">
        <v>112</v>
      </c>
      <c r="G338" s="1">
        <v>679244</v>
      </c>
    </row>
    <row r="339" spans="1:7" x14ac:dyDescent="0.35">
      <c r="A339" s="1" t="str">
        <f t="shared" si="5"/>
        <v>11 Pro 333</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899</v>
      </c>
      <c r="D339" s="1" t="s">
        <v>900</v>
      </c>
      <c r="E339" s="1" t="s">
        <v>901</v>
      </c>
      <c r="F339" s="1" t="s">
        <v>112</v>
      </c>
      <c r="G339" s="1">
        <v>449231</v>
      </c>
    </row>
    <row r="340" spans="1:7" x14ac:dyDescent="0.35">
      <c r="A340" s="1" t="str">
        <f t="shared" si="5"/>
        <v>11 Pro 333</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902</v>
      </c>
      <c r="D340" s="1" t="s">
        <v>233</v>
      </c>
      <c r="E340" s="1" t="s">
        <v>388</v>
      </c>
      <c r="F340" s="1" t="s">
        <v>112</v>
      </c>
      <c r="G340" s="1">
        <v>16482</v>
      </c>
    </row>
    <row r="341" spans="1:7" x14ac:dyDescent="0.35">
      <c r="A341" s="1" t="str">
        <f t="shared" si="5"/>
        <v>11 Pro 333</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903</v>
      </c>
      <c r="D341" s="1" t="s">
        <v>904</v>
      </c>
      <c r="E341" s="1" t="s">
        <v>905</v>
      </c>
      <c r="F341" s="1" t="s">
        <v>112</v>
      </c>
      <c r="G341" s="1">
        <v>124653</v>
      </c>
    </row>
    <row r="342" spans="1:7" x14ac:dyDescent="0.35">
      <c r="A342" s="1" t="str">
        <f t="shared" si="5"/>
        <v>11 Pro 333</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906</v>
      </c>
      <c r="D342" s="1" t="s">
        <v>907</v>
      </c>
      <c r="E342" s="1" t="s">
        <v>908</v>
      </c>
      <c r="F342" s="1" t="s">
        <v>112</v>
      </c>
      <c r="G342" s="1">
        <v>105532</v>
      </c>
    </row>
    <row r="343" spans="1:7" x14ac:dyDescent="0.35">
      <c r="A343" s="1" t="str">
        <f t="shared" si="5"/>
        <v>11 Pro 333</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909</v>
      </c>
      <c r="D343" s="1" t="s">
        <v>751</v>
      </c>
      <c r="E343" s="1" t="s">
        <v>910</v>
      </c>
      <c r="F343" s="1" t="s">
        <v>112</v>
      </c>
      <c r="G343" s="1">
        <v>33310</v>
      </c>
    </row>
    <row r="344" spans="1:7" x14ac:dyDescent="0.35">
      <c r="A344" s="1" t="str">
        <f t="shared" si="5"/>
        <v>11 Pro 333</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911</v>
      </c>
      <c r="D344" s="1" t="s">
        <v>912</v>
      </c>
      <c r="E344" s="1" t="s">
        <v>913</v>
      </c>
      <c r="F344" s="1" t="s">
        <v>112</v>
      </c>
      <c r="G344" s="1">
        <v>509882</v>
      </c>
    </row>
    <row r="345" spans="1:7" x14ac:dyDescent="0.35">
      <c r="A345" s="1" t="str">
        <f t="shared" si="5"/>
        <v>11 Pro 333</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914</v>
      </c>
      <c r="D345" s="1" t="s">
        <v>418</v>
      </c>
      <c r="E345" s="1" t="s">
        <v>373</v>
      </c>
      <c r="F345" s="1" t="s">
        <v>112</v>
      </c>
      <c r="G345" s="1">
        <v>267930</v>
      </c>
    </row>
    <row r="346" spans="1:7" x14ac:dyDescent="0.35">
      <c r="A346" s="1" t="str">
        <f t="shared" si="5"/>
        <v>11 Pro 333</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915</v>
      </c>
      <c r="D346" s="1" t="s">
        <v>916</v>
      </c>
      <c r="E346" s="1" t="s">
        <v>917</v>
      </c>
      <c r="F346" s="1" t="s">
        <v>112</v>
      </c>
      <c r="G346" s="1">
        <v>438200</v>
      </c>
    </row>
    <row r="347" spans="1:7" x14ac:dyDescent="0.35">
      <c r="A347" s="1" t="str">
        <f t="shared" si="5"/>
        <v>11 Pro 333</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918</v>
      </c>
      <c r="D347" s="1" t="s">
        <v>733</v>
      </c>
      <c r="E347" s="1" t="s">
        <v>919</v>
      </c>
      <c r="F347" s="1" t="s">
        <v>112</v>
      </c>
      <c r="G347" s="1">
        <v>61364</v>
      </c>
    </row>
    <row r="348" spans="1:7" x14ac:dyDescent="0.35">
      <c r="A348" s="1" t="str">
        <f t="shared" si="5"/>
        <v>11 Pro 333</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920</v>
      </c>
      <c r="D348" s="1" t="s">
        <v>921</v>
      </c>
      <c r="E348" s="1" t="s">
        <v>922</v>
      </c>
      <c r="F348" s="1" t="s">
        <v>112</v>
      </c>
      <c r="G348" s="1">
        <v>297952</v>
      </c>
    </row>
    <row r="349" spans="1:7" x14ac:dyDescent="0.35">
      <c r="A349" s="1" t="str">
        <f t="shared" si="5"/>
        <v>11 Pro 333</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923</v>
      </c>
    </row>
    <row r="350" spans="1:7" x14ac:dyDescent="0.35">
      <c r="A350" s="1" t="str">
        <f t="shared" si="5"/>
        <v>11 Pro 333</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924</v>
      </c>
      <c r="D350" s="1" t="s">
        <v>925</v>
      </c>
      <c r="E350" s="1" t="s">
        <v>926</v>
      </c>
      <c r="F350" s="1" t="s">
        <v>112</v>
      </c>
      <c r="G350" s="1">
        <v>49403</v>
      </c>
    </row>
    <row r="351" spans="1:7" x14ac:dyDescent="0.35">
      <c r="A351" s="1" t="str">
        <f t="shared" si="5"/>
        <v>11 Pro 333</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927</v>
      </c>
      <c r="D351" s="1" t="s">
        <v>733</v>
      </c>
      <c r="E351" s="1" t="s">
        <v>928</v>
      </c>
      <c r="F351" s="1" t="s">
        <v>112</v>
      </c>
      <c r="G351" s="1">
        <v>62640</v>
      </c>
    </row>
    <row r="352" spans="1:7" x14ac:dyDescent="0.35">
      <c r="A352" s="1" t="str">
        <f t="shared" si="5"/>
        <v>11 Pro 333</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929</v>
      </c>
      <c r="D352" s="1" t="s">
        <v>930</v>
      </c>
      <c r="E352" s="1" t="s">
        <v>931</v>
      </c>
      <c r="F352" s="1" t="s">
        <v>112</v>
      </c>
      <c r="G352" s="1">
        <v>29244</v>
      </c>
    </row>
    <row r="353" spans="1:9" x14ac:dyDescent="0.35">
      <c r="A353" s="1" t="str">
        <f t="shared" si="5"/>
        <v>11 Pro 333</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932</v>
      </c>
      <c r="D353" s="1" t="s">
        <v>933</v>
      </c>
      <c r="E353" s="1" t="s">
        <v>934</v>
      </c>
      <c r="F353" s="1" t="s">
        <v>112</v>
      </c>
      <c r="G353" s="1">
        <v>241108</v>
      </c>
    </row>
    <row r="354" spans="1:9" x14ac:dyDescent="0.35">
      <c r="A354" s="1" t="str">
        <f t="shared" si="5"/>
        <v>11 Pro 333</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935</v>
      </c>
      <c r="D354" s="1" t="s">
        <v>936</v>
      </c>
      <c r="E354" s="1" t="s">
        <v>937</v>
      </c>
      <c r="F354" s="1" t="s">
        <v>112</v>
      </c>
      <c r="G354" s="1">
        <v>590064</v>
      </c>
    </row>
    <row r="355" spans="1:9" x14ac:dyDescent="0.35">
      <c r="A355" s="1" t="str">
        <f t="shared" si="5"/>
        <v>11 Pro 333</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938</v>
      </c>
      <c r="D355" s="1" t="s">
        <v>939</v>
      </c>
      <c r="E355" s="1" t="s">
        <v>940</v>
      </c>
      <c r="F355" s="1" t="s">
        <v>112</v>
      </c>
      <c r="G355" s="1">
        <v>420399</v>
      </c>
    </row>
    <row r="356" spans="1:9"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9"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241</v>
      </c>
      <c r="D357" s="1" t="s">
        <v>112</v>
      </c>
      <c r="E357" s="1" t="s">
        <v>242</v>
      </c>
      <c r="F357" s="1" t="s">
        <v>243</v>
      </c>
      <c r="G357" s="1" t="s">
        <v>244</v>
      </c>
      <c r="H357" s="1" t="s">
        <v>245</v>
      </c>
      <c r="I357" s="1" t="s">
        <v>246</v>
      </c>
    </row>
    <row r="358" spans="1:9" x14ac:dyDescent="0.35">
      <c r="A358" s="1" t="str">
        <f t="shared" si="5"/>
        <v>11 Pro 333</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941</v>
      </c>
      <c r="D358" s="1" t="s">
        <v>112</v>
      </c>
      <c r="E358" s="1" t="s">
        <v>942</v>
      </c>
      <c r="F358" s="1" t="s">
        <v>943</v>
      </c>
      <c r="G358" s="1" t="s">
        <v>944</v>
      </c>
      <c r="H358" s="1" t="s">
        <v>945</v>
      </c>
      <c r="I358" s="1">
        <v>24</v>
      </c>
    </row>
    <row r="359" spans="1:9"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9"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9"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9"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9"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9"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252</v>
      </c>
      <c r="D364" s="1" t="s">
        <v>110</v>
      </c>
      <c r="E364" s="1" t="s">
        <v>111</v>
      </c>
      <c r="F364" s="1" t="s">
        <v>112</v>
      </c>
      <c r="G364" s="1" t="s">
        <v>113</v>
      </c>
    </row>
    <row r="365" spans="1:9" x14ac:dyDescent="0.35">
      <c r="A365" s="1" t="str">
        <f t="shared" si="5"/>
        <v>12 Pro 1000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946</v>
      </c>
      <c r="D365" s="1" t="s">
        <v>387</v>
      </c>
      <c r="E365" s="1" t="s">
        <v>947</v>
      </c>
      <c r="F365" s="1" t="s">
        <v>112</v>
      </c>
      <c r="G365" s="1">
        <v>22214</v>
      </c>
    </row>
    <row r="366" spans="1:9" x14ac:dyDescent="0.35">
      <c r="A366" s="1" t="str">
        <f t="shared" si="5"/>
        <v>12 Pro 1000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948</v>
      </c>
      <c r="D366" s="1" t="s">
        <v>880</v>
      </c>
      <c r="E366" s="1" t="s">
        <v>949</v>
      </c>
      <c r="F366" s="1" t="s">
        <v>112</v>
      </c>
      <c r="G366" s="1">
        <v>430283</v>
      </c>
    </row>
    <row r="367" spans="1:9" x14ac:dyDescent="0.35">
      <c r="A367" s="1" t="str">
        <f t="shared" si="5"/>
        <v>12 Pro 1000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950</v>
      </c>
      <c r="D367" s="1" t="s">
        <v>951</v>
      </c>
      <c r="E367" s="1" t="s">
        <v>952</v>
      </c>
      <c r="F367" s="1" t="s">
        <v>112</v>
      </c>
      <c r="G367" s="1">
        <v>272991</v>
      </c>
    </row>
    <row r="368" spans="1:9" x14ac:dyDescent="0.35">
      <c r="A368" s="1" t="str">
        <f t="shared" si="5"/>
        <v>12 Pro 1000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953</v>
      </c>
    </row>
    <row r="369" spans="1:7" x14ac:dyDescent="0.35">
      <c r="A369" s="1" t="str">
        <f t="shared" si="5"/>
        <v>12 Pro 1000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954</v>
      </c>
      <c r="D369" s="1" t="s">
        <v>925</v>
      </c>
      <c r="E369" s="1" t="s">
        <v>955</v>
      </c>
      <c r="F369" s="1" t="s">
        <v>112</v>
      </c>
      <c r="G369" s="1">
        <v>48624</v>
      </c>
    </row>
    <row r="370" spans="1:7" x14ac:dyDescent="0.35">
      <c r="A370" s="1" t="str">
        <f t="shared" si="5"/>
        <v>12 Pro 1000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956</v>
      </c>
      <c r="D370" s="1" t="s">
        <v>297</v>
      </c>
      <c r="E370" s="1" t="s">
        <v>957</v>
      </c>
      <c r="F370" s="1" t="s">
        <v>112</v>
      </c>
      <c r="G370" s="1">
        <v>31688</v>
      </c>
    </row>
    <row r="371" spans="1:7" x14ac:dyDescent="0.35">
      <c r="A371" s="1" t="str">
        <f t="shared" si="5"/>
        <v>12 Pro 1000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958</v>
      </c>
      <c r="D371" s="1" t="s">
        <v>959</v>
      </c>
      <c r="E371" s="1" t="s">
        <v>960</v>
      </c>
      <c r="F371" s="1" t="s">
        <v>112</v>
      </c>
      <c r="G371" s="1">
        <v>103823</v>
      </c>
    </row>
    <row r="372" spans="1:7" x14ac:dyDescent="0.35">
      <c r="A372" s="1" t="str">
        <f t="shared" si="5"/>
        <v>12 Pro 1000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961</v>
      </c>
      <c r="D372" s="1" t="s">
        <v>187</v>
      </c>
      <c r="E372" s="1" t="s">
        <v>962</v>
      </c>
      <c r="F372" s="1" t="s">
        <v>112</v>
      </c>
      <c r="G372" s="1">
        <v>57557</v>
      </c>
    </row>
    <row r="373" spans="1:7" x14ac:dyDescent="0.35">
      <c r="A373" s="1" t="str">
        <f t="shared" si="5"/>
        <v>12 Pro 1000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963</v>
      </c>
      <c r="D373" s="1" t="s">
        <v>964</v>
      </c>
      <c r="E373" s="1" t="s">
        <v>965</v>
      </c>
      <c r="F373" s="1" t="s">
        <v>112</v>
      </c>
      <c r="G373" s="1">
        <v>473889</v>
      </c>
    </row>
    <row r="374" spans="1:7" x14ac:dyDescent="0.35">
      <c r="A374" s="1" t="str">
        <f t="shared" si="5"/>
        <v>12 Pro 1000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966</v>
      </c>
      <c r="D374" s="1" t="s">
        <v>967</v>
      </c>
      <c r="E374" s="1" t="s">
        <v>968</v>
      </c>
      <c r="F374" s="1" t="s">
        <v>112</v>
      </c>
      <c r="G374" s="1">
        <v>508000</v>
      </c>
    </row>
    <row r="375" spans="1:7" x14ac:dyDescent="0.35">
      <c r="A375" s="1" t="str">
        <f t="shared" si="5"/>
        <v>12 Pro 1000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969</v>
      </c>
      <c r="D375" s="1" t="s">
        <v>970</v>
      </c>
      <c r="E375" s="1" t="s">
        <v>971</v>
      </c>
      <c r="F375" s="1" t="s">
        <v>112</v>
      </c>
      <c r="G375" s="1">
        <v>632653</v>
      </c>
    </row>
    <row r="376" spans="1:7" x14ac:dyDescent="0.35">
      <c r="A376" s="1" t="str">
        <f t="shared" si="5"/>
        <v>12 Pro 1000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972</v>
      </c>
      <c r="D376" s="1" t="s">
        <v>973</v>
      </c>
      <c r="E376" s="1" t="s">
        <v>974</v>
      </c>
      <c r="F376" s="1" t="s">
        <v>112</v>
      </c>
      <c r="G376" s="1">
        <v>270850</v>
      </c>
    </row>
    <row r="377" spans="1:7" x14ac:dyDescent="0.35">
      <c r="A377" s="1" t="str">
        <f t="shared" si="5"/>
        <v>12 Pro 1000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975</v>
      </c>
      <c r="D377" s="1" t="s">
        <v>976</v>
      </c>
      <c r="E377" s="1" t="s">
        <v>977</v>
      </c>
      <c r="F377" s="1" t="s">
        <v>112</v>
      </c>
      <c r="G377" s="1">
        <v>698905</v>
      </c>
    </row>
    <row r="378" spans="1:7" x14ac:dyDescent="0.35">
      <c r="A378" s="1" t="str">
        <f t="shared" si="5"/>
        <v>12 Pro 1000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978</v>
      </c>
      <c r="D378" s="1" t="s">
        <v>209</v>
      </c>
      <c r="E378" s="1">
        <v>63</v>
      </c>
      <c r="F378" s="1" t="s">
        <v>112</v>
      </c>
      <c r="G378" s="1">
        <v>10901</v>
      </c>
    </row>
    <row r="379" spans="1:7" x14ac:dyDescent="0.35">
      <c r="A379" s="1" t="str">
        <f t="shared" si="5"/>
        <v>12 Pro 1000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979</v>
      </c>
    </row>
    <row r="380" spans="1:7" x14ac:dyDescent="0.35">
      <c r="A380" s="1" t="str">
        <f t="shared" si="5"/>
        <v>12 Pro 1000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980</v>
      </c>
      <c r="D380" s="1" t="s">
        <v>471</v>
      </c>
      <c r="E380" s="1" t="s">
        <v>981</v>
      </c>
      <c r="F380" s="1" t="s">
        <v>112</v>
      </c>
      <c r="G380" s="1">
        <v>756614</v>
      </c>
    </row>
    <row r="381" spans="1:7" x14ac:dyDescent="0.35">
      <c r="A381" s="1" t="str">
        <f t="shared" si="5"/>
        <v>12 Pro 1000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982</v>
      </c>
      <c r="D381" s="1" t="s">
        <v>372</v>
      </c>
      <c r="E381" s="1" t="s">
        <v>983</v>
      </c>
      <c r="F381" s="1" t="s">
        <v>112</v>
      </c>
      <c r="G381" s="1">
        <v>345927</v>
      </c>
    </row>
    <row r="382" spans="1:7" x14ac:dyDescent="0.35">
      <c r="A382" s="1" t="str">
        <f t="shared" si="5"/>
        <v>12 Pro 1000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984</v>
      </c>
      <c r="D382" s="1" t="s">
        <v>907</v>
      </c>
      <c r="E382" s="1" t="s">
        <v>985</v>
      </c>
      <c r="F382" s="1" t="s">
        <v>112</v>
      </c>
      <c r="G382" s="1">
        <v>113514</v>
      </c>
    </row>
    <row r="383" spans="1:7" x14ac:dyDescent="0.35">
      <c r="A383" s="1" t="str">
        <f t="shared" si="5"/>
        <v>12 Pro 1000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986</v>
      </c>
      <c r="D383" s="1" t="s">
        <v>987</v>
      </c>
      <c r="E383" s="1" t="s">
        <v>988</v>
      </c>
      <c r="F383" s="1" t="s">
        <v>112</v>
      </c>
      <c r="G383" s="1">
        <v>1317152</v>
      </c>
    </row>
    <row r="384" spans="1:7" x14ac:dyDescent="0.35">
      <c r="A384" s="1" t="str">
        <f t="shared" si="5"/>
        <v>12 Pro 1000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989</v>
      </c>
      <c r="D384" s="1" t="s">
        <v>990</v>
      </c>
      <c r="E384" s="1" t="s">
        <v>991</v>
      </c>
      <c r="F384" s="1" t="s">
        <v>112</v>
      </c>
      <c r="G384" s="1">
        <v>1029951</v>
      </c>
    </row>
    <row r="385" spans="1:9" x14ac:dyDescent="0.35">
      <c r="A385" s="1" t="str">
        <f t="shared" si="5"/>
        <v>12 Pro 1000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992</v>
      </c>
      <c r="D385" s="1" t="s">
        <v>993</v>
      </c>
      <c r="E385" s="1" t="s">
        <v>994</v>
      </c>
      <c r="F385" s="1" t="s">
        <v>112</v>
      </c>
      <c r="G385" s="1">
        <v>1055063</v>
      </c>
    </row>
    <row r="386" spans="1:9" x14ac:dyDescent="0.35">
      <c r="A386" s="1" t="str">
        <f t="shared" ref="A386:A449" si="6">IFERROR(LEFT(RIGHT(C386,LEN(C386)-SEARCH("@",C386)),SEARCH("/",RIGHT(C386,LEN(C386)-SEARCH("@",C386)-1))),"")</f>
        <v>12 Pro 1000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995</v>
      </c>
      <c r="D386" s="1" t="s">
        <v>996</v>
      </c>
      <c r="E386" s="1" t="s">
        <v>997</v>
      </c>
      <c r="F386" s="1" t="s">
        <v>112</v>
      </c>
      <c r="G386" s="1">
        <v>537178</v>
      </c>
    </row>
    <row r="387" spans="1:9" x14ac:dyDescent="0.35">
      <c r="A387" s="1" t="str">
        <f t="shared" si="6"/>
        <v>12 Pro 1000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998</v>
      </c>
      <c r="D387" s="1" t="s">
        <v>999</v>
      </c>
      <c r="E387" s="1" t="s">
        <v>1000</v>
      </c>
      <c r="F387" s="1" t="s">
        <v>112</v>
      </c>
      <c r="G387" s="1">
        <v>429526</v>
      </c>
    </row>
    <row r="388" spans="1:9" x14ac:dyDescent="0.35">
      <c r="A388" s="1" t="str">
        <f t="shared" si="6"/>
        <v>12 Pro 1000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1001</v>
      </c>
      <c r="D388" s="1" t="s">
        <v>1002</v>
      </c>
      <c r="E388" s="1" t="s">
        <v>1003</v>
      </c>
      <c r="F388" s="1" t="s">
        <v>112</v>
      </c>
      <c r="G388" s="1">
        <v>635897</v>
      </c>
    </row>
    <row r="389" spans="1:9"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9"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241</v>
      </c>
      <c r="D390" s="1" t="s">
        <v>112</v>
      </c>
      <c r="E390" s="1" t="s">
        <v>242</v>
      </c>
      <c r="F390" s="1" t="s">
        <v>243</v>
      </c>
      <c r="G390" s="1" t="s">
        <v>244</v>
      </c>
      <c r="H390" s="1" t="s">
        <v>245</v>
      </c>
      <c r="I390" s="1" t="s">
        <v>246</v>
      </c>
    </row>
    <row r="391" spans="1:9" x14ac:dyDescent="0.35">
      <c r="A391" s="1" t="str">
        <f t="shared" si="6"/>
        <v>12 Pro 1000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1004</v>
      </c>
      <c r="D391" s="1" t="s">
        <v>112</v>
      </c>
      <c r="E391" s="1" t="s">
        <v>1005</v>
      </c>
      <c r="F391" s="1" t="s">
        <v>1006</v>
      </c>
      <c r="G391" s="1" t="s">
        <v>1007</v>
      </c>
      <c r="H391" s="1" t="s">
        <v>1008</v>
      </c>
      <c r="I391" s="1">
        <v>24</v>
      </c>
    </row>
    <row r="392" spans="1:9"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9"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9"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9"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9"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9"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252</v>
      </c>
      <c r="D397" s="1" t="s">
        <v>110</v>
      </c>
      <c r="E397" s="1" t="s">
        <v>111</v>
      </c>
      <c r="F397" s="1" t="s">
        <v>112</v>
      </c>
      <c r="G397" s="1" t="s">
        <v>113</v>
      </c>
    </row>
    <row r="398" spans="1:9" x14ac:dyDescent="0.35">
      <c r="A398" s="1" t="str">
        <f t="shared" si="6"/>
        <v>13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1009</v>
      </c>
      <c r="D398" s="1" t="s">
        <v>1010</v>
      </c>
      <c r="E398" s="1" t="s">
        <v>1011</v>
      </c>
      <c r="F398" s="1" t="s">
        <v>112</v>
      </c>
      <c r="G398" s="1">
        <v>2134525</v>
      </c>
    </row>
    <row r="399" spans="1:9" x14ac:dyDescent="0.35">
      <c r="A399" s="1" t="str">
        <f t="shared" si="6"/>
        <v>13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1012</v>
      </c>
    </row>
    <row r="400" spans="1:9" x14ac:dyDescent="0.35">
      <c r="A400" s="1" t="str">
        <f t="shared" si="6"/>
        <v>13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1013</v>
      </c>
      <c r="D400" s="1" t="s">
        <v>1014</v>
      </c>
      <c r="E400" s="1" t="s">
        <v>1015</v>
      </c>
      <c r="F400" s="1" t="s">
        <v>112</v>
      </c>
      <c r="G400" s="1">
        <v>1513141</v>
      </c>
    </row>
    <row r="401" spans="1:7" x14ac:dyDescent="0.35">
      <c r="A401" s="1" t="str">
        <f t="shared" si="6"/>
        <v>13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1016</v>
      </c>
      <c r="D401" s="1" t="s">
        <v>1017</v>
      </c>
      <c r="E401" s="1" t="s">
        <v>1018</v>
      </c>
      <c r="F401" s="1" t="s">
        <v>112</v>
      </c>
      <c r="G401" s="1">
        <v>5539870</v>
      </c>
    </row>
    <row r="402" spans="1:7" x14ac:dyDescent="0.35">
      <c r="A402" s="1" t="str">
        <f t="shared" si="6"/>
        <v>13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1019</v>
      </c>
      <c r="D402" s="1" t="s">
        <v>1020</v>
      </c>
      <c r="E402" s="1" t="s">
        <v>1021</v>
      </c>
      <c r="F402" s="1" t="s">
        <v>112</v>
      </c>
      <c r="G402" s="1">
        <v>5815781</v>
      </c>
    </row>
    <row r="403" spans="1:7" x14ac:dyDescent="0.35">
      <c r="A403" s="1" t="str">
        <f t="shared" si="6"/>
        <v>13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1022</v>
      </c>
      <c r="D403" s="1" t="s">
        <v>1023</v>
      </c>
      <c r="E403" s="1" t="s">
        <v>1024</v>
      </c>
      <c r="F403" s="1" t="s">
        <v>112</v>
      </c>
      <c r="G403" s="1">
        <v>4819184</v>
      </c>
    </row>
    <row r="404" spans="1:7" x14ac:dyDescent="0.35">
      <c r="A404" s="1" t="str">
        <f t="shared" si="6"/>
        <v>13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1025</v>
      </c>
      <c r="D404" s="1" t="s">
        <v>1026</v>
      </c>
      <c r="E404" s="1" t="s">
        <v>1027</v>
      </c>
      <c r="F404" s="1" t="s">
        <v>112</v>
      </c>
      <c r="G404" s="1">
        <v>2318444</v>
      </c>
    </row>
    <row r="405" spans="1:7" x14ac:dyDescent="0.35">
      <c r="A405" s="1" t="str">
        <f t="shared" si="6"/>
        <v>13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1028</v>
      </c>
      <c r="D405" s="1" t="s">
        <v>1029</v>
      </c>
      <c r="E405" s="1" t="s">
        <v>1030</v>
      </c>
      <c r="F405" s="1" t="s">
        <v>112</v>
      </c>
      <c r="G405" s="1">
        <v>2101020</v>
      </c>
    </row>
    <row r="406" spans="1:7" x14ac:dyDescent="0.35">
      <c r="A406" s="1" t="str">
        <f t="shared" si="6"/>
        <v>13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1031</v>
      </c>
      <c r="D406" s="1" t="s">
        <v>1032</v>
      </c>
      <c r="E406" s="1" t="s">
        <v>1033</v>
      </c>
      <c r="F406" s="1" t="s">
        <v>112</v>
      </c>
      <c r="G406" s="1">
        <v>2392115</v>
      </c>
    </row>
    <row r="407" spans="1:7" x14ac:dyDescent="0.35">
      <c r="A407" s="1" t="str">
        <f t="shared" si="6"/>
        <v>13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1034</v>
      </c>
      <c r="D407" s="1" t="s">
        <v>1035</v>
      </c>
      <c r="E407" s="1" t="s">
        <v>1036</v>
      </c>
      <c r="F407" s="1" t="s">
        <v>112</v>
      </c>
      <c r="G407" s="1">
        <v>3730486</v>
      </c>
    </row>
    <row r="408" spans="1:7" x14ac:dyDescent="0.35">
      <c r="A408" s="1" t="str">
        <f t="shared" si="6"/>
        <v>13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1037</v>
      </c>
    </row>
    <row r="409" spans="1:7" x14ac:dyDescent="0.35">
      <c r="A409" s="1" t="str">
        <f t="shared" si="6"/>
        <v>13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1038</v>
      </c>
      <c r="D409" s="1" t="s">
        <v>1039</v>
      </c>
      <c r="E409" s="1" t="s">
        <v>1040</v>
      </c>
      <c r="F409" s="1" t="s">
        <v>112</v>
      </c>
      <c r="G409" s="1">
        <v>3919964</v>
      </c>
    </row>
    <row r="410" spans="1:7" x14ac:dyDescent="0.35">
      <c r="A410" s="1" t="str">
        <f t="shared" si="6"/>
        <v>13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1041</v>
      </c>
    </row>
    <row r="411" spans="1:7" x14ac:dyDescent="0.35">
      <c r="A411" s="1" t="str">
        <f t="shared" si="6"/>
        <v>13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1042</v>
      </c>
      <c r="D411" s="1" t="s">
        <v>1043</v>
      </c>
      <c r="E411" s="1" t="s">
        <v>1044</v>
      </c>
      <c r="F411" s="1" t="s">
        <v>112</v>
      </c>
      <c r="G411" s="1">
        <v>1087335</v>
      </c>
    </row>
    <row r="412" spans="1:7" x14ac:dyDescent="0.35">
      <c r="A412" s="1" t="str">
        <f t="shared" si="6"/>
        <v>13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1045</v>
      </c>
    </row>
    <row r="413" spans="1:7" x14ac:dyDescent="0.35">
      <c r="A413" s="1" t="str">
        <f t="shared" si="6"/>
        <v>13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1046</v>
      </c>
      <c r="D413" s="1" t="s">
        <v>951</v>
      </c>
      <c r="E413" s="1" t="s">
        <v>1047</v>
      </c>
      <c r="F413" s="1" t="s">
        <v>112</v>
      </c>
      <c r="G413" s="1">
        <v>278096</v>
      </c>
    </row>
    <row r="414" spans="1:7" x14ac:dyDescent="0.35">
      <c r="A414" s="1" t="str">
        <f t="shared" si="6"/>
        <v>13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1048</v>
      </c>
      <c r="D414" s="1" t="s">
        <v>1049</v>
      </c>
      <c r="E414" s="1" t="s">
        <v>1050</v>
      </c>
      <c r="F414" s="1" t="s">
        <v>112</v>
      </c>
      <c r="G414" s="1">
        <v>532528</v>
      </c>
    </row>
    <row r="415" spans="1:7" x14ac:dyDescent="0.35">
      <c r="A415" s="1" t="str">
        <f t="shared" si="6"/>
        <v>13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1051</v>
      </c>
      <c r="D415" s="1" t="s">
        <v>751</v>
      </c>
      <c r="E415" s="1" t="s">
        <v>1052</v>
      </c>
      <c r="F415" s="1" t="s">
        <v>112</v>
      </c>
      <c r="G415" s="1">
        <v>33050</v>
      </c>
    </row>
    <row r="416" spans="1:7" x14ac:dyDescent="0.35">
      <c r="A416" s="1" t="str">
        <f t="shared" si="6"/>
        <v>13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1053</v>
      </c>
      <c r="D416" s="1" t="s">
        <v>221</v>
      </c>
      <c r="E416" s="1">
        <v>64</v>
      </c>
      <c r="F416" s="1" t="s">
        <v>112</v>
      </c>
      <c r="G416" s="1">
        <v>74753</v>
      </c>
    </row>
    <row r="417" spans="1:9" x14ac:dyDescent="0.35">
      <c r="A417" s="1" t="str">
        <f t="shared" si="6"/>
        <v>13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1054</v>
      </c>
      <c r="D417" s="1" t="s">
        <v>1055</v>
      </c>
      <c r="E417" s="1" t="s">
        <v>1056</v>
      </c>
      <c r="F417" s="1" t="s">
        <v>112</v>
      </c>
      <c r="G417" s="1">
        <v>218743</v>
      </c>
    </row>
    <row r="418" spans="1:9" x14ac:dyDescent="0.35">
      <c r="A418" s="1" t="str">
        <f t="shared" si="6"/>
        <v>13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1057</v>
      </c>
      <c r="D418" s="1" t="s">
        <v>1058</v>
      </c>
      <c r="E418" s="1" t="s">
        <v>1059</v>
      </c>
      <c r="F418" s="1" t="s">
        <v>112</v>
      </c>
      <c r="G418" s="1">
        <v>220582</v>
      </c>
    </row>
    <row r="419" spans="1:9" x14ac:dyDescent="0.35">
      <c r="A419" s="1" t="str">
        <f t="shared" si="6"/>
        <v>13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1060</v>
      </c>
      <c r="D419" s="1" t="s">
        <v>1058</v>
      </c>
      <c r="E419" s="1" t="s">
        <v>1061</v>
      </c>
      <c r="F419" s="1" t="s">
        <v>112</v>
      </c>
      <c r="G419" s="1">
        <v>222550</v>
      </c>
    </row>
    <row r="420" spans="1:9" x14ac:dyDescent="0.35">
      <c r="A420" s="1" t="str">
        <f t="shared" si="6"/>
        <v>13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1062</v>
      </c>
      <c r="D420" s="1" t="s">
        <v>1063</v>
      </c>
      <c r="E420" s="1" t="s">
        <v>1064</v>
      </c>
      <c r="F420" s="1" t="s">
        <v>112</v>
      </c>
      <c r="G420" s="1">
        <v>132808</v>
      </c>
    </row>
    <row r="421" spans="1:9" x14ac:dyDescent="0.35">
      <c r="A421" s="1" t="str">
        <f t="shared" si="6"/>
        <v>13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1065</v>
      </c>
      <c r="D421" s="1" t="s">
        <v>841</v>
      </c>
      <c r="E421" s="1" t="s">
        <v>1066</v>
      </c>
      <c r="F421" s="1" t="s">
        <v>112</v>
      </c>
      <c r="G421" s="1">
        <v>163500</v>
      </c>
    </row>
    <row r="422" spans="1:9"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9"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241</v>
      </c>
      <c r="D423" s="1" t="s">
        <v>112</v>
      </c>
      <c r="E423" s="1" t="s">
        <v>242</v>
      </c>
      <c r="F423" s="1" t="s">
        <v>243</v>
      </c>
      <c r="G423" s="1" t="s">
        <v>244</v>
      </c>
      <c r="H423" s="1" t="s">
        <v>245</v>
      </c>
      <c r="I423" s="1" t="s">
        <v>246</v>
      </c>
    </row>
    <row r="424" spans="1:9" x14ac:dyDescent="0.35">
      <c r="A424" s="1" t="str">
        <f t="shared" si="6"/>
        <v>13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1067</v>
      </c>
      <c r="D424" s="1" t="s">
        <v>112</v>
      </c>
      <c r="E424" s="1" t="s">
        <v>1068</v>
      </c>
      <c r="F424" s="1" t="s">
        <v>1069</v>
      </c>
      <c r="G424" s="1" t="s">
        <v>1070</v>
      </c>
      <c r="H424" s="1" t="s">
        <v>1071</v>
      </c>
      <c r="I424" s="1">
        <v>24</v>
      </c>
    </row>
    <row r="425" spans="1:9"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9"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9"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9"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9"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9"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252</v>
      </c>
      <c r="D430" s="1" t="s">
        <v>110</v>
      </c>
      <c r="E430" s="1" t="s">
        <v>111</v>
      </c>
      <c r="F430" s="1" t="s">
        <v>112</v>
      </c>
      <c r="G430" s="1" t="s">
        <v>113</v>
      </c>
    </row>
    <row r="431" spans="1:9" x14ac:dyDescent="0.35">
      <c r="A431" s="1" t="str">
        <f t="shared" si="6"/>
        <v>14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1072</v>
      </c>
      <c r="D431" s="1" t="s">
        <v>1073</v>
      </c>
      <c r="E431" s="1" t="s">
        <v>1074</v>
      </c>
      <c r="F431" s="1" t="s">
        <v>112</v>
      </c>
      <c r="G431" s="1">
        <v>209594</v>
      </c>
    </row>
    <row r="432" spans="1:9" x14ac:dyDescent="0.35">
      <c r="A432" s="1" t="str">
        <f t="shared" si="6"/>
        <v>14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1075</v>
      </c>
      <c r="D432" s="1" t="s">
        <v>193</v>
      </c>
      <c r="E432" s="1" t="s">
        <v>1076</v>
      </c>
      <c r="F432" s="1" t="s">
        <v>112</v>
      </c>
      <c r="G432" s="1">
        <v>25761</v>
      </c>
    </row>
    <row r="433" spans="1:7" x14ac:dyDescent="0.35">
      <c r="A433" s="1" t="str">
        <f t="shared" si="6"/>
        <v>14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1077</v>
      </c>
      <c r="D433" s="1" t="s">
        <v>889</v>
      </c>
      <c r="E433" s="1" t="s">
        <v>1078</v>
      </c>
      <c r="F433" s="1" t="s">
        <v>112</v>
      </c>
      <c r="G433" s="1">
        <v>222139</v>
      </c>
    </row>
    <row r="434" spans="1:7" x14ac:dyDescent="0.35">
      <c r="A434" s="1" t="str">
        <f t="shared" si="6"/>
        <v>14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1079</v>
      </c>
      <c r="D434" s="1" t="s">
        <v>297</v>
      </c>
      <c r="E434" s="1" t="s">
        <v>1080</v>
      </c>
      <c r="F434" s="1" t="s">
        <v>112</v>
      </c>
      <c r="G434" s="1">
        <v>32488</v>
      </c>
    </row>
    <row r="435" spans="1:7" x14ac:dyDescent="0.35">
      <c r="A435" s="1" t="str">
        <f t="shared" si="6"/>
        <v>14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1081</v>
      </c>
      <c r="D435" s="1" t="s">
        <v>930</v>
      </c>
      <c r="E435" s="1" t="s">
        <v>1082</v>
      </c>
      <c r="F435" s="1" t="s">
        <v>112</v>
      </c>
      <c r="G435" s="1">
        <v>29092</v>
      </c>
    </row>
    <row r="436" spans="1:7" x14ac:dyDescent="0.35">
      <c r="A436" s="1" t="str">
        <f t="shared" si="6"/>
        <v>14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1083</v>
      </c>
      <c r="D436" s="1" t="s">
        <v>726</v>
      </c>
      <c r="E436" s="1">
        <v>62</v>
      </c>
      <c r="F436" s="1" t="s">
        <v>112</v>
      </c>
      <c r="G436" s="1">
        <v>18775</v>
      </c>
    </row>
    <row r="437" spans="1:7" x14ac:dyDescent="0.35">
      <c r="A437" s="1" t="str">
        <f t="shared" si="6"/>
        <v>14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1084</v>
      </c>
      <c r="D437" s="1" t="s">
        <v>1085</v>
      </c>
      <c r="E437" s="1" t="s">
        <v>1086</v>
      </c>
      <c r="F437" s="1" t="s">
        <v>112</v>
      </c>
      <c r="G437" s="1">
        <v>1620339</v>
      </c>
    </row>
    <row r="438" spans="1:7" x14ac:dyDescent="0.35">
      <c r="A438" s="1" t="str">
        <f t="shared" si="6"/>
        <v>14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1087</v>
      </c>
      <c r="D438" s="1" t="s">
        <v>1088</v>
      </c>
      <c r="E438" s="1" t="s">
        <v>1089</v>
      </c>
      <c r="F438" s="1" t="s">
        <v>112</v>
      </c>
      <c r="G438" s="1">
        <v>1707096</v>
      </c>
    </row>
    <row r="439" spans="1:7" x14ac:dyDescent="0.35">
      <c r="A439" s="1" t="str">
        <f t="shared" si="6"/>
        <v>14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1090</v>
      </c>
      <c r="D439" s="1" t="s">
        <v>1091</v>
      </c>
      <c r="E439" s="1" t="s">
        <v>1092</v>
      </c>
      <c r="F439" s="1" t="s">
        <v>112</v>
      </c>
      <c r="G439" s="1">
        <v>2203199</v>
      </c>
    </row>
    <row r="440" spans="1:7" x14ac:dyDescent="0.35">
      <c r="A440" s="1" t="str">
        <f t="shared" si="6"/>
        <v>14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1093</v>
      </c>
      <c r="D440" s="1" t="s">
        <v>1094</v>
      </c>
      <c r="E440" s="1" t="s">
        <v>1095</v>
      </c>
      <c r="F440" s="1" t="s">
        <v>112</v>
      </c>
      <c r="G440" s="1">
        <v>775345</v>
      </c>
    </row>
    <row r="441" spans="1:7" x14ac:dyDescent="0.35">
      <c r="A441" s="1" t="str">
        <f t="shared" si="6"/>
        <v>14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1096</v>
      </c>
      <c r="D441" s="1" t="s">
        <v>1097</v>
      </c>
      <c r="E441" s="1" t="s">
        <v>1098</v>
      </c>
      <c r="F441" s="1" t="s">
        <v>112</v>
      </c>
      <c r="G441" s="1">
        <v>449491</v>
      </c>
    </row>
    <row r="442" spans="1:7" x14ac:dyDescent="0.35">
      <c r="A442" s="1" t="str">
        <f t="shared" si="6"/>
        <v>14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1099</v>
      </c>
      <c r="D442" s="1" t="s">
        <v>715</v>
      </c>
      <c r="E442" s="1" t="s">
        <v>1100</v>
      </c>
      <c r="F442" s="1" t="s">
        <v>112</v>
      </c>
      <c r="G442" s="1">
        <v>397060</v>
      </c>
    </row>
    <row r="443" spans="1:7" x14ac:dyDescent="0.35">
      <c r="A443" s="1" t="str">
        <f t="shared" si="6"/>
        <v>14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1101</v>
      </c>
      <c r="D443" s="1" t="s">
        <v>1102</v>
      </c>
      <c r="E443" s="1" t="s">
        <v>1103</v>
      </c>
      <c r="F443" s="1" t="s">
        <v>112</v>
      </c>
      <c r="G443" s="1">
        <v>882889</v>
      </c>
    </row>
    <row r="444" spans="1:7" x14ac:dyDescent="0.35">
      <c r="A444" s="1" t="str">
        <f t="shared" si="6"/>
        <v>14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1104</v>
      </c>
      <c r="D444" s="1" t="s">
        <v>1105</v>
      </c>
      <c r="E444" s="1" t="s">
        <v>1106</v>
      </c>
      <c r="F444" s="1" t="s">
        <v>112</v>
      </c>
      <c r="G444" s="1">
        <v>331435</v>
      </c>
    </row>
    <row r="445" spans="1:7" x14ac:dyDescent="0.35">
      <c r="A445" s="1" t="str">
        <f t="shared" si="6"/>
        <v>14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1107</v>
      </c>
      <c r="D445" s="1" t="s">
        <v>1108</v>
      </c>
      <c r="E445" s="1" t="s">
        <v>1109</v>
      </c>
      <c r="F445" s="1" t="s">
        <v>112</v>
      </c>
      <c r="G445" s="1">
        <v>647210</v>
      </c>
    </row>
    <row r="446" spans="1:7" x14ac:dyDescent="0.35">
      <c r="A446" s="1" t="str">
        <f t="shared" si="6"/>
        <v>14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1110</v>
      </c>
    </row>
    <row r="447" spans="1:7" x14ac:dyDescent="0.35">
      <c r="A447" s="1" t="str">
        <f t="shared" si="6"/>
        <v>14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1111</v>
      </c>
      <c r="D447" s="1" t="s">
        <v>1112</v>
      </c>
      <c r="E447" s="1" t="s">
        <v>1113</v>
      </c>
      <c r="F447" s="1" t="s">
        <v>112</v>
      </c>
      <c r="G447" s="1">
        <v>859421</v>
      </c>
    </row>
    <row r="448" spans="1:7" x14ac:dyDescent="0.35">
      <c r="A448" s="1" t="str">
        <f t="shared" si="6"/>
        <v>14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1114</v>
      </c>
      <c r="D448" s="1" t="s">
        <v>1115</v>
      </c>
      <c r="E448" s="1" t="s">
        <v>1116</v>
      </c>
      <c r="F448" s="1" t="s">
        <v>112</v>
      </c>
      <c r="G448" s="1">
        <v>985393</v>
      </c>
    </row>
    <row r="449" spans="1:9" x14ac:dyDescent="0.35">
      <c r="A449" s="1" t="str">
        <f t="shared" si="6"/>
        <v>14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1117</v>
      </c>
      <c r="D449" s="1" t="s">
        <v>1118</v>
      </c>
      <c r="E449" s="1" t="s">
        <v>1119</v>
      </c>
      <c r="F449" s="1" t="s">
        <v>112</v>
      </c>
      <c r="G449" s="1">
        <v>2511534</v>
      </c>
    </row>
    <row r="450" spans="1:9" x14ac:dyDescent="0.35">
      <c r="A450" s="1" t="str">
        <f t="shared" ref="A450:A513" si="7">IFERROR(LEFT(RIGHT(C450,LEN(C450)-SEARCH("@",C450)),SEARCH("/",RIGHT(C450,LEN(C450)-SEARCH("@",C450)-1))),"")</f>
        <v>14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1120</v>
      </c>
      <c r="D450" s="1" t="s">
        <v>1121</v>
      </c>
      <c r="E450" s="1" t="s">
        <v>1122</v>
      </c>
      <c r="F450" s="1" t="s">
        <v>112</v>
      </c>
      <c r="G450" s="1">
        <v>2521397</v>
      </c>
    </row>
    <row r="451" spans="1:9" x14ac:dyDescent="0.35">
      <c r="A451" s="1" t="str">
        <f t="shared" si="7"/>
        <v>14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1123</v>
      </c>
      <c r="D451" s="1" t="s">
        <v>1124</v>
      </c>
      <c r="E451" s="1" t="s">
        <v>1125</v>
      </c>
      <c r="F451" s="1" t="s">
        <v>112</v>
      </c>
      <c r="G451" s="1">
        <v>2258983</v>
      </c>
    </row>
    <row r="452" spans="1:9" x14ac:dyDescent="0.35">
      <c r="A452" s="1" t="str">
        <f t="shared" si="7"/>
        <v>14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1126</v>
      </c>
      <c r="D452" s="1" t="s">
        <v>1127</v>
      </c>
      <c r="E452" s="1" t="s">
        <v>1128</v>
      </c>
      <c r="F452" s="1" t="s">
        <v>112</v>
      </c>
      <c r="G452" s="1">
        <v>529673</v>
      </c>
    </row>
    <row r="453" spans="1:9" x14ac:dyDescent="0.35">
      <c r="A453" s="1" t="str">
        <f t="shared" si="7"/>
        <v>14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1129</v>
      </c>
      <c r="D453" s="1" t="s">
        <v>1130</v>
      </c>
      <c r="E453" s="1" t="s">
        <v>1131</v>
      </c>
      <c r="F453" s="1" t="s">
        <v>112</v>
      </c>
      <c r="G453" s="1">
        <v>178014</v>
      </c>
    </row>
    <row r="454" spans="1:9" x14ac:dyDescent="0.35">
      <c r="A454" s="1" t="str">
        <f t="shared" si="7"/>
        <v>14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1132</v>
      </c>
      <c r="D454" s="1" t="s">
        <v>883</v>
      </c>
      <c r="E454" s="1" t="s">
        <v>1133</v>
      </c>
      <c r="F454" s="1" t="s">
        <v>112</v>
      </c>
      <c r="G454" s="1">
        <v>564778</v>
      </c>
    </row>
    <row r="455" spans="1:9"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9"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241</v>
      </c>
      <c r="D456" s="1" t="s">
        <v>112</v>
      </c>
      <c r="E456" s="1" t="s">
        <v>242</v>
      </c>
      <c r="F456" s="1" t="s">
        <v>243</v>
      </c>
      <c r="G456" s="1" t="s">
        <v>244</v>
      </c>
      <c r="H456" s="1" t="s">
        <v>245</v>
      </c>
      <c r="I456" s="1" t="s">
        <v>246</v>
      </c>
    </row>
    <row r="457" spans="1:9" x14ac:dyDescent="0.35">
      <c r="A457" s="1" t="str">
        <f t="shared" si="7"/>
        <v>14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1134</v>
      </c>
      <c r="D457" s="1" t="s">
        <v>112</v>
      </c>
      <c r="E457" s="1" t="s">
        <v>1135</v>
      </c>
      <c r="F457" s="1" t="s">
        <v>1136</v>
      </c>
      <c r="G457" s="1" t="s">
        <v>1137</v>
      </c>
      <c r="H457" s="1" t="s">
        <v>1138</v>
      </c>
      <c r="I457" s="1">
        <v>24</v>
      </c>
    </row>
    <row r="458" spans="1:9"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9"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9"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9"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9"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9"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252</v>
      </c>
      <c r="D463" s="1" t="s">
        <v>110</v>
      </c>
      <c r="E463" s="1" t="s">
        <v>111</v>
      </c>
      <c r="F463" s="1" t="s">
        <v>112</v>
      </c>
      <c r="G463" s="1" t="s">
        <v>113</v>
      </c>
    </row>
    <row r="464" spans="1:9" x14ac:dyDescent="0.35">
      <c r="A464" s="1" t="str">
        <f t="shared" si="7"/>
        <v>15 Testo + EE2</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1139</v>
      </c>
    </row>
    <row r="465" spans="1:7" x14ac:dyDescent="0.35">
      <c r="A465" s="1" t="str">
        <f t="shared" si="7"/>
        <v>15 Testo + EE2</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1140</v>
      </c>
      <c r="D465" s="1" t="s">
        <v>1141</v>
      </c>
      <c r="E465" s="1" t="s">
        <v>1142</v>
      </c>
      <c r="F465" s="1" t="s">
        <v>112</v>
      </c>
      <c r="G465" s="1">
        <v>1840012</v>
      </c>
    </row>
    <row r="466" spans="1:7" x14ac:dyDescent="0.35">
      <c r="A466" s="1" t="str">
        <f t="shared" si="7"/>
        <v>15 Testo + EE2</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1143</v>
      </c>
      <c r="D466" s="1" t="s">
        <v>1144</v>
      </c>
      <c r="E466" s="1" t="s">
        <v>1145</v>
      </c>
      <c r="F466" s="1" t="s">
        <v>112</v>
      </c>
      <c r="G466" s="1">
        <v>1697579</v>
      </c>
    </row>
    <row r="467" spans="1:7" x14ac:dyDescent="0.35">
      <c r="A467" s="1" t="str">
        <f t="shared" si="7"/>
        <v>15 Testo + EE2</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1146</v>
      </c>
      <c r="D467" s="1" t="s">
        <v>1147</v>
      </c>
      <c r="E467" s="1" t="s">
        <v>1148</v>
      </c>
      <c r="F467" s="1" t="s">
        <v>112</v>
      </c>
      <c r="G467" s="1">
        <v>1936676</v>
      </c>
    </row>
    <row r="468" spans="1:7" x14ac:dyDescent="0.35">
      <c r="A468" s="1" t="str">
        <f t="shared" si="7"/>
        <v>15 Testo + EE2</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1149</v>
      </c>
    </row>
    <row r="469" spans="1:7" x14ac:dyDescent="0.35">
      <c r="A469" s="1" t="str">
        <f t="shared" si="7"/>
        <v>15 Testo + EE2</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1150</v>
      </c>
      <c r="D469" s="1" t="s">
        <v>1151</v>
      </c>
      <c r="E469" s="1" t="s">
        <v>1152</v>
      </c>
      <c r="F469" s="1" t="s">
        <v>112</v>
      </c>
      <c r="G469" s="1">
        <v>1449333</v>
      </c>
    </row>
    <row r="470" spans="1:7" x14ac:dyDescent="0.35">
      <c r="A470" s="1" t="str">
        <f t="shared" si="7"/>
        <v>15 Testo + EE2</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1153</v>
      </c>
      <c r="D470" s="1" t="s">
        <v>1154</v>
      </c>
      <c r="E470" s="1" t="s">
        <v>1155</v>
      </c>
      <c r="F470" s="1" t="s">
        <v>112</v>
      </c>
      <c r="G470" s="1">
        <v>4521297</v>
      </c>
    </row>
    <row r="471" spans="1:7" x14ac:dyDescent="0.35">
      <c r="A471" s="1" t="str">
        <f t="shared" si="7"/>
        <v>15 Testo + EE2</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1156</v>
      </c>
      <c r="D471" s="1" t="s">
        <v>1157</v>
      </c>
      <c r="E471" s="1" t="s">
        <v>1158</v>
      </c>
      <c r="F471" s="1" t="s">
        <v>112</v>
      </c>
      <c r="G471" s="1">
        <v>4366102</v>
      </c>
    </row>
    <row r="472" spans="1:7" x14ac:dyDescent="0.35">
      <c r="A472" s="1" t="str">
        <f t="shared" si="7"/>
        <v>15 Testo + EE2</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1159</v>
      </c>
      <c r="D472" s="1" t="s">
        <v>1160</v>
      </c>
      <c r="E472" s="1" t="s">
        <v>1161</v>
      </c>
      <c r="F472" s="1" t="s">
        <v>112</v>
      </c>
      <c r="G472" s="1">
        <v>4189538</v>
      </c>
    </row>
    <row r="473" spans="1:7" x14ac:dyDescent="0.35">
      <c r="A473" s="1" t="str">
        <f t="shared" si="7"/>
        <v>15 Testo + EE2</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1162</v>
      </c>
      <c r="D473" s="1" t="s">
        <v>1163</v>
      </c>
      <c r="E473" s="1" t="s">
        <v>1164</v>
      </c>
      <c r="F473" s="1" t="s">
        <v>112</v>
      </c>
      <c r="G473" s="1">
        <v>4012475</v>
      </c>
    </row>
    <row r="474" spans="1:7" x14ac:dyDescent="0.35">
      <c r="A474" s="1" t="str">
        <f t="shared" si="7"/>
        <v>15 Testo + EE2</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1165</v>
      </c>
      <c r="D474" s="1" t="s">
        <v>658</v>
      </c>
      <c r="E474" s="1" t="s">
        <v>1166</v>
      </c>
      <c r="F474" s="1" t="s">
        <v>112</v>
      </c>
      <c r="G474" s="1">
        <v>4103862</v>
      </c>
    </row>
    <row r="475" spans="1:7" x14ac:dyDescent="0.35">
      <c r="A475" s="1" t="str">
        <f t="shared" si="7"/>
        <v>15 Testo + EE2</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1167</v>
      </c>
      <c r="D475" s="1" t="s">
        <v>1168</v>
      </c>
      <c r="E475" s="1" t="s">
        <v>1169</v>
      </c>
      <c r="F475" s="1" t="s">
        <v>112</v>
      </c>
      <c r="G475" s="1">
        <v>3430177</v>
      </c>
    </row>
    <row r="476" spans="1:7" x14ac:dyDescent="0.35">
      <c r="A476" s="1" t="str">
        <f t="shared" si="7"/>
        <v>15 Testo + EE2</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1170</v>
      </c>
      <c r="D476" s="1" t="s">
        <v>1171</v>
      </c>
      <c r="E476" s="1" t="s">
        <v>1172</v>
      </c>
      <c r="F476" s="1" t="s">
        <v>112</v>
      </c>
      <c r="G476" s="1">
        <v>1723167</v>
      </c>
    </row>
    <row r="477" spans="1:7" x14ac:dyDescent="0.35">
      <c r="A477" s="1" t="str">
        <f t="shared" si="7"/>
        <v>15 Testo + EE2</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1173</v>
      </c>
      <c r="D477" s="1" t="s">
        <v>1174</v>
      </c>
      <c r="E477" s="1" t="s">
        <v>1175</v>
      </c>
      <c r="F477" s="1" t="s">
        <v>112</v>
      </c>
      <c r="G477" s="1">
        <v>1801424</v>
      </c>
    </row>
    <row r="478" spans="1:7" x14ac:dyDescent="0.35">
      <c r="A478" s="1" t="str">
        <f t="shared" si="7"/>
        <v>15 Testo + EE2</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1176</v>
      </c>
      <c r="D478" s="1" t="s">
        <v>483</v>
      </c>
      <c r="E478" s="1" t="s">
        <v>1177</v>
      </c>
      <c r="F478" s="1" t="s">
        <v>112</v>
      </c>
      <c r="G478" s="1">
        <v>1873581</v>
      </c>
    </row>
    <row r="479" spans="1:7" x14ac:dyDescent="0.35">
      <c r="A479" s="1" t="str">
        <f t="shared" si="7"/>
        <v>15 Testo + EE2</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1178</v>
      </c>
      <c r="D479" s="1" t="s">
        <v>1179</v>
      </c>
      <c r="E479" s="1" t="s">
        <v>1180</v>
      </c>
      <c r="F479" s="1" t="s">
        <v>112</v>
      </c>
      <c r="G479" s="1">
        <v>4349642</v>
      </c>
    </row>
    <row r="480" spans="1:7" x14ac:dyDescent="0.35">
      <c r="A480" s="1" t="str">
        <f t="shared" si="7"/>
        <v>15 Testo + EE2</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1181</v>
      </c>
      <c r="D480" s="1" t="s">
        <v>1182</v>
      </c>
      <c r="E480" s="1" t="s">
        <v>1183</v>
      </c>
      <c r="F480" s="1" t="s">
        <v>112</v>
      </c>
      <c r="G480" s="1">
        <v>4832205</v>
      </c>
    </row>
    <row r="481" spans="1:9" x14ac:dyDescent="0.35">
      <c r="A481" s="1" t="str">
        <f t="shared" si="7"/>
        <v>15 Testo + EE2</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1184</v>
      </c>
      <c r="D481" s="1" t="s">
        <v>1185</v>
      </c>
      <c r="E481" s="1" t="s">
        <v>1186</v>
      </c>
      <c r="F481" s="1" t="s">
        <v>112</v>
      </c>
      <c r="G481" s="1">
        <v>4350637</v>
      </c>
    </row>
    <row r="482" spans="1:9" x14ac:dyDescent="0.35">
      <c r="A482" s="1" t="str">
        <f t="shared" si="7"/>
        <v>15 Testo + EE2</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1187</v>
      </c>
      <c r="D482" s="1" t="s">
        <v>1188</v>
      </c>
      <c r="E482" s="1" t="s">
        <v>1189</v>
      </c>
      <c r="F482" s="1" t="s">
        <v>112</v>
      </c>
      <c r="G482" s="1">
        <v>2081575</v>
      </c>
    </row>
    <row r="483" spans="1:9" x14ac:dyDescent="0.35">
      <c r="A483" s="1" t="str">
        <f t="shared" si="7"/>
        <v>15 Testo + EE2</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1190</v>
      </c>
      <c r="D483" s="1" t="s">
        <v>1191</v>
      </c>
      <c r="E483" s="1" t="s">
        <v>1192</v>
      </c>
      <c r="F483" s="1" t="s">
        <v>112</v>
      </c>
      <c r="G483" s="1">
        <v>919660</v>
      </c>
    </row>
    <row r="484" spans="1:9" x14ac:dyDescent="0.35">
      <c r="A484" s="1" t="str">
        <f t="shared" si="7"/>
        <v>15 Testo + EE2</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1193</v>
      </c>
      <c r="D484" s="1" t="s">
        <v>1194</v>
      </c>
      <c r="E484" s="1" t="s">
        <v>1195</v>
      </c>
      <c r="F484" s="1" t="s">
        <v>112</v>
      </c>
      <c r="G484" s="1">
        <v>2406109</v>
      </c>
    </row>
    <row r="485" spans="1:9" x14ac:dyDescent="0.35">
      <c r="A485" s="1" t="str">
        <f t="shared" si="7"/>
        <v>15 Testo + EE2</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1196</v>
      </c>
      <c r="D485" s="1" t="s">
        <v>1197</v>
      </c>
      <c r="E485" s="1" t="s">
        <v>1198</v>
      </c>
      <c r="F485" s="1" t="s">
        <v>112</v>
      </c>
      <c r="G485" s="1">
        <v>1530639</v>
      </c>
    </row>
    <row r="486" spans="1:9" x14ac:dyDescent="0.35">
      <c r="A486" s="1" t="str">
        <f t="shared" si="7"/>
        <v>15 Testo + EE2</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1199</v>
      </c>
      <c r="D486" s="1" t="s">
        <v>1200</v>
      </c>
      <c r="E486" s="1" t="s">
        <v>1201</v>
      </c>
      <c r="F486" s="1" t="s">
        <v>112</v>
      </c>
      <c r="G486" s="1">
        <v>1143335</v>
      </c>
    </row>
    <row r="487" spans="1:9" x14ac:dyDescent="0.35">
      <c r="A487" s="1" t="str">
        <f t="shared" si="7"/>
        <v>15 Testo + EE2</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1202</v>
      </c>
      <c r="D487" s="1" t="s">
        <v>1203</v>
      </c>
      <c r="E487" s="1" t="s">
        <v>1204</v>
      </c>
      <c r="F487" s="1" t="s">
        <v>112</v>
      </c>
      <c r="G487" s="1">
        <v>1133147</v>
      </c>
    </row>
    <row r="488" spans="1:9"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9"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241</v>
      </c>
      <c r="D489" s="1" t="s">
        <v>112</v>
      </c>
      <c r="E489" s="1" t="s">
        <v>242</v>
      </c>
      <c r="F489" s="1" t="s">
        <v>243</v>
      </c>
      <c r="G489" s="1" t="s">
        <v>244</v>
      </c>
      <c r="H489" s="1" t="s">
        <v>245</v>
      </c>
      <c r="I489" s="1" t="s">
        <v>246</v>
      </c>
    </row>
    <row r="490" spans="1:9" x14ac:dyDescent="0.35">
      <c r="A490" s="1" t="str">
        <f t="shared" si="7"/>
        <v>15 Testo + EE2</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1205</v>
      </c>
      <c r="D490" s="1" t="s">
        <v>112</v>
      </c>
      <c r="E490" s="1" t="s">
        <v>1206</v>
      </c>
      <c r="F490" s="1" t="s">
        <v>1207</v>
      </c>
      <c r="G490" s="1" t="s">
        <v>1208</v>
      </c>
      <c r="H490" s="1" t="s">
        <v>1209</v>
      </c>
      <c r="I490" s="1">
        <v>24</v>
      </c>
    </row>
    <row r="491" spans="1:9"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9"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9"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9"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9"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9"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252</v>
      </c>
      <c r="D496" s="1" t="s">
        <v>110</v>
      </c>
      <c r="E496" s="1" t="s">
        <v>111</v>
      </c>
      <c r="F496" s="1" t="s">
        <v>112</v>
      </c>
      <c r="G496" s="1" t="s">
        <v>113</v>
      </c>
    </row>
    <row r="497" spans="1:7" x14ac:dyDescent="0.35">
      <c r="A497" s="1" t="str">
        <f t="shared" si="7"/>
        <v>16 Testo +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1210</v>
      </c>
      <c r="D497" s="1" t="s">
        <v>227</v>
      </c>
      <c r="E497" s="1" t="s">
        <v>1211</v>
      </c>
      <c r="F497" s="1" t="s">
        <v>112</v>
      </c>
      <c r="G497" s="1">
        <v>27665</v>
      </c>
    </row>
    <row r="498" spans="1:7" x14ac:dyDescent="0.35">
      <c r="A498" s="1" t="str">
        <f t="shared" si="7"/>
        <v>16 Testo +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1212</v>
      </c>
      <c r="D498" s="1" t="s">
        <v>1213</v>
      </c>
      <c r="E498" s="1">
        <v>64</v>
      </c>
      <c r="F498" s="1" t="s">
        <v>112</v>
      </c>
      <c r="G498" s="1">
        <v>9690</v>
      </c>
    </row>
    <row r="499" spans="1:7" x14ac:dyDescent="0.35">
      <c r="A499" s="1" t="str">
        <f t="shared" si="7"/>
        <v>16 Testo +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1214</v>
      </c>
      <c r="D499" s="1" t="s">
        <v>380</v>
      </c>
      <c r="E499" s="1" t="s">
        <v>1215</v>
      </c>
      <c r="F499" s="1" t="s">
        <v>112</v>
      </c>
      <c r="G499" s="1">
        <v>20959</v>
      </c>
    </row>
    <row r="500" spans="1:7" x14ac:dyDescent="0.35">
      <c r="A500" s="1" t="str">
        <f t="shared" si="7"/>
        <v>16 Testo +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1216</v>
      </c>
    </row>
    <row r="501" spans="1:7" x14ac:dyDescent="0.35">
      <c r="A501" s="1" t="str">
        <f t="shared" si="7"/>
        <v>16 Testo +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1217</v>
      </c>
    </row>
    <row r="502" spans="1:7" x14ac:dyDescent="0.35">
      <c r="A502" s="1" t="str">
        <f t="shared" si="7"/>
        <v>16 Testo +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1218</v>
      </c>
      <c r="D502" s="1" t="s">
        <v>784</v>
      </c>
      <c r="E502" s="1" t="s">
        <v>1219</v>
      </c>
      <c r="F502" s="1" t="s">
        <v>112</v>
      </c>
      <c r="G502" s="1">
        <v>179506</v>
      </c>
    </row>
    <row r="503" spans="1:7" x14ac:dyDescent="0.35">
      <c r="A503" s="1" t="str">
        <f t="shared" si="7"/>
        <v>16 Testo +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1220</v>
      </c>
      <c r="D503" s="1" t="s">
        <v>1221</v>
      </c>
      <c r="E503" s="1" t="s">
        <v>1222</v>
      </c>
      <c r="F503" s="1" t="s">
        <v>112</v>
      </c>
      <c r="G503" s="1">
        <v>309524</v>
      </c>
    </row>
    <row r="504" spans="1:7" x14ac:dyDescent="0.35">
      <c r="A504" s="1" t="str">
        <f t="shared" si="7"/>
        <v>16 Testo +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1223</v>
      </c>
      <c r="D504" s="1" t="s">
        <v>1224</v>
      </c>
      <c r="E504" s="1" t="s">
        <v>1225</v>
      </c>
      <c r="F504" s="1" t="s">
        <v>112</v>
      </c>
      <c r="G504" s="1">
        <v>228498</v>
      </c>
    </row>
    <row r="505" spans="1:7" x14ac:dyDescent="0.35">
      <c r="A505" s="1" t="str">
        <f t="shared" si="7"/>
        <v>16 Testo +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1226</v>
      </c>
      <c r="D505" s="1" t="s">
        <v>773</v>
      </c>
      <c r="E505" s="1" t="s">
        <v>1227</v>
      </c>
      <c r="F505" s="1" t="s">
        <v>112</v>
      </c>
      <c r="G505" s="1">
        <v>139643</v>
      </c>
    </row>
    <row r="506" spans="1:7" x14ac:dyDescent="0.35">
      <c r="A506" s="1" t="str">
        <f t="shared" si="7"/>
        <v>16 Testo +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1228</v>
      </c>
      <c r="D506" s="1" t="s">
        <v>1229</v>
      </c>
      <c r="E506" s="1" t="s">
        <v>1230</v>
      </c>
      <c r="F506" s="1" t="s">
        <v>112</v>
      </c>
      <c r="G506" s="1">
        <v>465994</v>
      </c>
    </row>
    <row r="507" spans="1:7" x14ac:dyDescent="0.35">
      <c r="A507" s="1" t="str">
        <f t="shared" si="7"/>
        <v>16 Testo +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1231</v>
      </c>
      <c r="D507" s="1" t="s">
        <v>1232</v>
      </c>
      <c r="E507" s="1" t="s">
        <v>1233</v>
      </c>
      <c r="F507" s="1" t="s">
        <v>112</v>
      </c>
      <c r="G507" s="1">
        <v>572543</v>
      </c>
    </row>
    <row r="508" spans="1:7" x14ac:dyDescent="0.35">
      <c r="A508" s="1" t="str">
        <f t="shared" si="7"/>
        <v>16 Testo +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1234</v>
      </c>
      <c r="D508" s="1" t="s">
        <v>1235</v>
      </c>
      <c r="E508" s="1" t="s">
        <v>1236</v>
      </c>
      <c r="F508" s="1" t="s">
        <v>112</v>
      </c>
      <c r="G508" s="1">
        <v>569775</v>
      </c>
    </row>
    <row r="509" spans="1:7" x14ac:dyDescent="0.35">
      <c r="A509" s="1" t="str">
        <f t="shared" si="7"/>
        <v>16 Testo +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1237</v>
      </c>
      <c r="D509" s="1" t="s">
        <v>221</v>
      </c>
      <c r="E509" s="1" t="s">
        <v>1238</v>
      </c>
      <c r="F509" s="1" t="s">
        <v>112</v>
      </c>
      <c r="G509" s="1">
        <v>75791</v>
      </c>
    </row>
    <row r="510" spans="1:7" x14ac:dyDescent="0.35">
      <c r="A510" s="1" t="str">
        <f t="shared" si="7"/>
        <v>16 Testo +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1239</v>
      </c>
      <c r="D510" s="1" t="s">
        <v>1240</v>
      </c>
      <c r="E510" s="1" t="s">
        <v>1241</v>
      </c>
      <c r="F510" s="1" t="s">
        <v>112</v>
      </c>
      <c r="G510" s="1">
        <v>80031</v>
      </c>
    </row>
    <row r="511" spans="1:7" x14ac:dyDescent="0.35">
      <c r="A511" s="1" t="str">
        <f t="shared" si="7"/>
        <v>16 Testo +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1242</v>
      </c>
    </row>
    <row r="512" spans="1:7" x14ac:dyDescent="0.35">
      <c r="A512" s="1" t="str">
        <f t="shared" si="7"/>
        <v>16 Testo +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1243</v>
      </c>
      <c r="D512" s="1" t="s">
        <v>728</v>
      </c>
      <c r="E512" s="1" t="s">
        <v>1244</v>
      </c>
      <c r="F512" s="1" t="s">
        <v>112</v>
      </c>
      <c r="G512" s="1">
        <v>72590</v>
      </c>
    </row>
    <row r="513" spans="1:9" x14ac:dyDescent="0.35">
      <c r="A513" s="1" t="str">
        <f t="shared" si="7"/>
        <v>16 Testo +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1245</v>
      </c>
      <c r="D513" s="1" t="s">
        <v>742</v>
      </c>
      <c r="E513" s="1" t="s">
        <v>1246</v>
      </c>
      <c r="F513" s="1" t="s">
        <v>112</v>
      </c>
      <c r="G513" s="1">
        <v>369287</v>
      </c>
    </row>
    <row r="514" spans="1:9" x14ac:dyDescent="0.35">
      <c r="A514" s="1" t="str">
        <f t="shared" ref="A514:A577" si="8">IFERROR(LEFT(RIGHT(C514,LEN(C514)-SEARCH("@",C514)),SEARCH("/",RIGHT(C514,LEN(C514)-SEARCH("@",C514)-1))),"")</f>
        <v>16 Testo +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1247</v>
      </c>
    </row>
    <row r="515" spans="1:9" x14ac:dyDescent="0.35">
      <c r="A515" s="1" t="str">
        <f t="shared" si="8"/>
        <v>16 Testo +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1248</v>
      </c>
      <c r="D515" s="1" t="s">
        <v>1249</v>
      </c>
      <c r="E515" s="1" t="s">
        <v>1250</v>
      </c>
      <c r="F515" s="1" t="s">
        <v>112</v>
      </c>
      <c r="G515" s="1">
        <v>662134</v>
      </c>
    </row>
    <row r="516" spans="1:9" x14ac:dyDescent="0.35">
      <c r="A516" s="1" t="str">
        <f t="shared" si="8"/>
        <v>16 Testo +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1251</v>
      </c>
      <c r="D516" s="1" t="s">
        <v>1049</v>
      </c>
      <c r="E516" s="1" t="s">
        <v>1252</v>
      </c>
      <c r="F516" s="1" t="s">
        <v>112</v>
      </c>
      <c r="G516" s="1">
        <v>515397</v>
      </c>
    </row>
    <row r="517" spans="1:9" x14ac:dyDescent="0.35">
      <c r="A517" s="1" t="str">
        <f t="shared" si="8"/>
        <v>16 Testo +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1253</v>
      </c>
      <c r="D517" s="1" t="s">
        <v>1254</v>
      </c>
      <c r="E517" s="1" t="s">
        <v>1255</v>
      </c>
      <c r="F517" s="1" t="s">
        <v>112</v>
      </c>
      <c r="G517" s="1">
        <v>188980</v>
      </c>
    </row>
    <row r="518" spans="1:9" x14ac:dyDescent="0.35">
      <c r="A518" s="1" t="str">
        <f t="shared" si="8"/>
        <v>16 Testo +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1256</v>
      </c>
      <c r="D518" s="1" t="s">
        <v>1257</v>
      </c>
      <c r="E518" s="1" t="s">
        <v>1258</v>
      </c>
      <c r="F518" s="1" t="s">
        <v>112</v>
      </c>
      <c r="G518" s="1">
        <v>61818</v>
      </c>
    </row>
    <row r="519" spans="1:9" x14ac:dyDescent="0.35">
      <c r="A519" s="1" t="str">
        <f t="shared" si="8"/>
        <v>16 Testo +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1259</v>
      </c>
    </row>
    <row r="520" spans="1:9" x14ac:dyDescent="0.35">
      <c r="A520" s="1" t="str">
        <f t="shared" si="8"/>
        <v>16 Testo +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1260</v>
      </c>
      <c r="D520" s="1" t="s">
        <v>1261</v>
      </c>
      <c r="E520" s="1" t="s">
        <v>1262</v>
      </c>
      <c r="F520" s="1" t="s">
        <v>112</v>
      </c>
      <c r="G520" s="1">
        <v>267627</v>
      </c>
    </row>
    <row r="521" spans="1:9"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9"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241</v>
      </c>
      <c r="D522" s="1" t="s">
        <v>112</v>
      </c>
      <c r="E522" s="1" t="s">
        <v>242</v>
      </c>
      <c r="F522" s="1" t="s">
        <v>243</v>
      </c>
      <c r="G522" s="1" t="s">
        <v>244</v>
      </c>
      <c r="H522" s="1" t="s">
        <v>245</v>
      </c>
      <c r="I522" s="1" t="s">
        <v>246</v>
      </c>
    </row>
    <row r="523" spans="1:9" x14ac:dyDescent="0.35">
      <c r="A523" s="1" t="str">
        <f t="shared" si="8"/>
        <v>16 Testo +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1263</v>
      </c>
      <c r="D523" s="1" t="s">
        <v>112</v>
      </c>
      <c r="E523" s="1" t="s">
        <v>1264</v>
      </c>
      <c r="F523" s="1" t="s">
        <v>1265</v>
      </c>
      <c r="G523" s="1" t="s">
        <v>1266</v>
      </c>
      <c r="H523" s="1" t="s">
        <v>1267</v>
      </c>
      <c r="I523" s="1">
        <v>24</v>
      </c>
    </row>
    <row r="524" spans="1:9"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9"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9"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9"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9"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252</v>
      </c>
      <c r="D529" s="1" t="s">
        <v>110</v>
      </c>
      <c r="E529" s="1" t="s">
        <v>111</v>
      </c>
      <c r="F529" s="1" t="s">
        <v>112</v>
      </c>
      <c r="G529" s="1" t="s">
        <v>113</v>
      </c>
    </row>
    <row r="530" spans="1:7" x14ac:dyDescent="0.35">
      <c r="A530" s="1" t="str">
        <f t="shared" si="8"/>
        <v>17 Testo + Pro 12</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1268</v>
      </c>
      <c r="D530" s="1" t="s">
        <v>1269</v>
      </c>
      <c r="E530" s="1" t="s">
        <v>1270</v>
      </c>
      <c r="F530" s="1" t="s">
        <v>112</v>
      </c>
      <c r="G530" s="1">
        <v>263171</v>
      </c>
    </row>
    <row r="531" spans="1:7" x14ac:dyDescent="0.35">
      <c r="A531" s="1" t="str">
        <f t="shared" si="8"/>
        <v>17 Testo + Pro 12</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1271</v>
      </c>
    </row>
    <row r="532" spans="1:7" x14ac:dyDescent="0.35">
      <c r="A532" s="1" t="str">
        <f t="shared" si="8"/>
        <v>17 Testo + Pro 12</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1272</v>
      </c>
    </row>
    <row r="533" spans="1:7" x14ac:dyDescent="0.35">
      <c r="A533" s="1" t="str">
        <f t="shared" si="8"/>
        <v>17 Testo + Pro 12</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1273</v>
      </c>
      <c r="D533" s="1" t="s">
        <v>1274</v>
      </c>
      <c r="E533" s="1" t="s">
        <v>1275</v>
      </c>
      <c r="F533" s="1" t="s">
        <v>112</v>
      </c>
      <c r="G533" s="1">
        <v>3852695</v>
      </c>
    </row>
    <row r="534" spans="1:7" x14ac:dyDescent="0.35">
      <c r="A534" s="1" t="str">
        <f t="shared" si="8"/>
        <v>17 Testo + Pro 12</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1276</v>
      </c>
      <c r="D534" s="1" t="s">
        <v>520</v>
      </c>
      <c r="E534" s="1" t="s">
        <v>1277</v>
      </c>
      <c r="F534" s="1" t="s">
        <v>112</v>
      </c>
      <c r="G534" s="1">
        <v>4066766</v>
      </c>
    </row>
    <row r="535" spans="1:7" x14ac:dyDescent="0.35">
      <c r="A535" s="1" t="str">
        <f t="shared" si="8"/>
        <v>17 Testo + Pro 12</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1278</v>
      </c>
      <c r="D535" s="1" t="s">
        <v>1279</v>
      </c>
      <c r="E535" s="1" t="s">
        <v>1280</v>
      </c>
      <c r="F535" s="1" t="s">
        <v>112</v>
      </c>
      <c r="G535" s="1">
        <v>3535947</v>
      </c>
    </row>
    <row r="536" spans="1:7" x14ac:dyDescent="0.35">
      <c r="A536" s="1" t="str">
        <f t="shared" si="8"/>
        <v>17 Testo + Pro 12</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1281</v>
      </c>
      <c r="D536" s="1" t="s">
        <v>1282</v>
      </c>
      <c r="E536" s="1" t="s">
        <v>1283</v>
      </c>
      <c r="F536" s="1" t="s">
        <v>112</v>
      </c>
      <c r="G536" s="1">
        <v>2390298</v>
      </c>
    </row>
    <row r="537" spans="1:7" x14ac:dyDescent="0.35">
      <c r="A537" s="1" t="str">
        <f t="shared" si="8"/>
        <v>17 Testo + Pro 12</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1284</v>
      </c>
      <c r="D537" s="1" t="s">
        <v>1285</v>
      </c>
      <c r="E537" s="1" t="s">
        <v>1286</v>
      </c>
      <c r="F537" s="1" t="s">
        <v>112</v>
      </c>
      <c r="G537" s="1">
        <v>1609891</v>
      </c>
    </row>
    <row r="538" spans="1:7" x14ac:dyDescent="0.35">
      <c r="A538" s="1" t="str">
        <f t="shared" si="8"/>
        <v>17 Testo + Pro 12</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1287</v>
      </c>
      <c r="D538" s="1" t="s">
        <v>1288</v>
      </c>
      <c r="E538" s="1" t="s">
        <v>1289</v>
      </c>
      <c r="F538" s="1" t="s">
        <v>112</v>
      </c>
      <c r="G538" s="1">
        <v>1346634</v>
      </c>
    </row>
    <row r="539" spans="1:7" x14ac:dyDescent="0.35">
      <c r="A539" s="1" t="str">
        <f t="shared" si="8"/>
        <v>17 Testo + Pro 12</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1290</v>
      </c>
      <c r="D539" s="1" t="s">
        <v>1291</v>
      </c>
      <c r="E539" s="1" t="s">
        <v>1292</v>
      </c>
      <c r="F539" s="1" t="s">
        <v>112</v>
      </c>
      <c r="G539" s="1">
        <v>5129746</v>
      </c>
    </row>
    <row r="540" spans="1:7" x14ac:dyDescent="0.35">
      <c r="A540" s="1" t="str">
        <f t="shared" si="8"/>
        <v>17 Testo + Pro 12</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1293</v>
      </c>
      <c r="D540" s="1" t="s">
        <v>1294</v>
      </c>
      <c r="E540" s="1" t="s">
        <v>1295</v>
      </c>
      <c r="F540" s="1" t="s">
        <v>112</v>
      </c>
      <c r="G540" s="1">
        <v>4707855</v>
      </c>
    </row>
    <row r="541" spans="1:7" x14ac:dyDescent="0.35">
      <c r="A541" s="1" t="str">
        <f t="shared" si="8"/>
        <v>17 Testo + Pro 12</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1296</v>
      </c>
      <c r="D541" s="1" t="s">
        <v>1297</v>
      </c>
      <c r="E541" s="1" t="s">
        <v>1298</v>
      </c>
      <c r="F541" s="1" t="s">
        <v>112</v>
      </c>
      <c r="G541" s="1">
        <v>3878500</v>
      </c>
    </row>
    <row r="542" spans="1:7" x14ac:dyDescent="0.35">
      <c r="A542" s="1" t="str">
        <f t="shared" si="8"/>
        <v>17 Testo + Pro 12</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1299</v>
      </c>
      <c r="D542" s="1" t="s">
        <v>1300</v>
      </c>
      <c r="E542" s="1" t="s">
        <v>1301</v>
      </c>
      <c r="F542" s="1" t="s">
        <v>112</v>
      </c>
      <c r="G542" s="1">
        <v>649459</v>
      </c>
    </row>
    <row r="543" spans="1:7" x14ac:dyDescent="0.35">
      <c r="A543" s="1" t="str">
        <f t="shared" si="8"/>
        <v>17 Testo + Pro 12</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1302</v>
      </c>
      <c r="D543" s="1" t="s">
        <v>715</v>
      </c>
      <c r="E543" s="1" t="s">
        <v>1303</v>
      </c>
      <c r="F543" s="1" t="s">
        <v>112</v>
      </c>
      <c r="G543" s="1">
        <v>392626</v>
      </c>
    </row>
    <row r="544" spans="1:7" x14ac:dyDescent="0.35">
      <c r="A544" s="1" t="str">
        <f t="shared" si="8"/>
        <v>17 Testo + Pro 12</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1304</v>
      </c>
      <c r="D544" s="1" t="s">
        <v>203</v>
      </c>
      <c r="E544" s="1" t="s">
        <v>1305</v>
      </c>
      <c r="F544" s="1" t="s">
        <v>112</v>
      </c>
      <c r="G544" s="1">
        <v>522275</v>
      </c>
    </row>
    <row r="545" spans="1:9" x14ac:dyDescent="0.35">
      <c r="A545" s="1" t="str">
        <f t="shared" si="8"/>
        <v>17 Testo + Pro 12</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1306</v>
      </c>
      <c r="D545" s="1" t="s">
        <v>1307</v>
      </c>
      <c r="E545" s="1" t="s">
        <v>1308</v>
      </c>
      <c r="F545" s="1" t="s">
        <v>112</v>
      </c>
      <c r="G545" s="1">
        <v>935342</v>
      </c>
    </row>
    <row r="546" spans="1:9" x14ac:dyDescent="0.35">
      <c r="A546" s="1" t="str">
        <f t="shared" si="8"/>
        <v>17 Testo + Pro 12</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1309</v>
      </c>
      <c r="D546" s="1" t="s">
        <v>1310</v>
      </c>
      <c r="E546" s="1" t="s">
        <v>1311</v>
      </c>
      <c r="F546" s="1" t="s">
        <v>112</v>
      </c>
      <c r="G546" s="1">
        <v>1007218</v>
      </c>
    </row>
    <row r="547" spans="1:9" x14ac:dyDescent="0.35">
      <c r="A547" s="1" t="str">
        <f t="shared" si="8"/>
        <v>17 Testo + Pro 12</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1312</v>
      </c>
      <c r="D547" s="1" t="s">
        <v>1313</v>
      </c>
      <c r="E547" s="1" t="s">
        <v>1314</v>
      </c>
      <c r="F547" s="1" t="s">
        <v>112</v>
      </c>
      <c r="G547" s="1">
        <v>1245471</v>
      </c>
    </row>
    <row r="548" spans="1:9" x14ac:dyDescent="0.35">
      <c r="A548" s="1" t="str">
        <f t="shared" si="8"/>
        <v>17 Testo + Pro 12</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1315</v>
      </c>
      <c r="D548" s="1" t="s">
        <v>1316</v>
      </c>
      <c r="E548" s="1" t="s">
        <v>1317</v>
      </c>
      <c r="F548" s="1" t="s">
        <v>112</v>
      </c>
      <c r="G548" s="1">
        <v>1728596</v>
      </c>
    </row>
    <row r="549" spans="1:9" x14ac:dyDescent="0.35">
      <c r="A549" s="1" t="str">
        <f t="shared" si="8"/>
        <v>17 Testo + Pro 12</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1318</v>
      </c>
      <c r="D549" s="1" t="s">
        <v>1319</v>
      </c>
      <c r="E549" s="1" t="s">
        <v>1320</v>
      </c>
      <c r="F549" s="1" t="s">
        <v>112</v>
      </c>
      <c r="G549" s="1">
        <v>1529601</v>
      </c>
    </row>
    <row r="550" spans="1:9" x14ac:dyDescent="0.35">
      <c r="A550" s="1" t="str">
        <f t="shared" si="8"/>
        <v>17 Testo + Pro 12</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1321</v>
      </c>
      <c r="D550" s="1" t="s">
        <v>1322</v>
      </c>
      <c r="E550" s="1" t="s">
        <v>1323</v>
      </c>
      <c r="F550" s="1" t="s">
        <v>112</v>
      </c>
      <c r="G550" s="1">
        <v>1068344</v>
      </c>
    </row>
    <row r="551" spans="1:9" x14ac:dyDescent="0.35">
      <c r="A551" s="1" t="str">
        <f t="shared" si="8"/>
        <v>17 Testo + Pro 12</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1324</v>
      </c>
      <c r="D551" s="1" t="s">
        <v>1325</v>
      </c>
      <c r="E551" s="1" t="s">
        <v>1326</v>
      </c>
      <c r="F551" s="1" t="s">
        <v>112</v>
      </c>
      <c r="G551" s="1">
        <v>803075</v>
      </c>
    </row>
    <row r="552" spans="1:9" x14ac:dyDescent="0.35">
      <c r="A552" s="1" t="str">
        <f t="shared" si="8"/>
        <v>17 Testo + Pro 12</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1327</v>
      </c>
      <c r="D552" s="1" t="s">
        <v>435</v>
      </c>
      <c r="E552" s="1" t="s">
        <v>1328</v>
      </c>
      <c r="F552" s="1" t="s">
        <v>112</v>
      </c>
      <c r="G552" s="1">
        <v>555585</v>
      </c>
    </row>
    <row r="553" spans="1:9" x14ac:dyDescent="0.35">
      <c r="A553" s="1" t="str">
        <f t="shared" si="8"/>
        <v>17 Testo + Pro 12</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1329</v>
      </c>
      <c r="D553" s="1" t="s">
        <v>1058</v>
      </c>
      <c r="E553" s="1" t="s">
        <v>1330</v>
      </c>
      <c r="F553" s="1" t="s">
        <v>112</v>
      </c>
      <c r="G553" s="1">
        <v>217272</v>
      </c>
    </row>
    <row r="554" spans="1:9"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9"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241</v>
      </c>
      <c r="D555" s="1" t="s">
        <v>112</v>
      </c>
      <c r="E555" s="1" t="s">
        <v>242</v>
      </c>
      <c r="F555" s="1" t="s">
        <v>243</v>
      </c>
      <c r="G555" s="1" t="s">
        <v>244</v>
      </c>
      <c r="H555" s="1" t="s">
        <v>245</v>
      </c>
      <c r="I555" s="1" t="s">
        <v>246</v>
      </c>
    </row>
    <row r="556" spans="1:9" x14ac:dyDescent="0.35">
      <c r="A556" s="1" t="str">
        <f t="shared" si="8"/>
        <v>17 Testo + Pro 12</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1331</v>
      </c>
      <c r="D556" s="1" t="s">
        <v>112</v>
      </c>
      <c r="E556" s="1" t="s">
        <v>1332</v>
      </c>
      <c r="F556" s="1" t="s">
        <v>1333</v>
      </c>
      <c r="G556" s="1" t="s">
        <v>1334</v>
      </c>
      <c r="H556" s="1" t="s">
        <v>1335</v>
      </c>
      <c r="I556" s="1">
        <v>24</v>
      </c>
    </row>
    <row r="557" spans="1:9"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9"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9"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9"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252</v>
      </c>
      <c r="D562" s="1" t="s">
        <v>110</v>
      </c>
      <c r="E562" s="1" t="s">
        <v>111</v>
      </c>
      <c r="F562" s="1" t="s">
        <v>112</v>
      </c>
      <c r="G562" s="1" t="s">
        <v>113</v>
      </c>
    </row>
    <row r="563" spans="1:7" x14ac:dyDescent="0.35">
      <c r="A563" s="1" t="str">
        <f t="shared" si="8"/>
        <v>18  Testo + Pro 37</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1336</v>
      </c>
      <c r="D563" s="1" t="s">
        <v>1337</v>
      </c>
      <c r="E563" s="1" t="s">
        <v>1338</v>
      </c>
      <c r="F563" s="1" t="s">
        <v>112</v>
      </c>
      <c r="G563" s="1">
        <v>4162846</v>
      </c>
    </row>
    <row r="564" spans="1:7" x14ac:dyDescent="0.35">
      <c r="A564" s="1" t="str">
        <f t="shared" si="8"/>
        <v>18  Testo + Pro 37</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1339</v>
      </c>
      <c r="D564" s="1" t="s">
        <v>1340</v>
      </c>
      <c r="E564" s="1" t="s">
        <v>1341</v>
      </c>
      <c r="F564" s="1" t="s">
        <v>112</v>
      </c>
      <c r="G564" s="1">
        <v>4229034</v>
      </c>
    </row>
    <row r="565" spans="1:7" x14ac:dyDescent="0.35">
      <c r="A565" s="1" t="str">
        <f t="shared" si="8"/>
        <v>18  Testo + Pro 37</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1342</v>
      </c>
      <c r="D565" s="1" t="s">
        <v>1343</v>
      </c>
      <c r="E565" s="1" t="s">
        <v>1344</v>
      </c>
      <c r="F565" s="1" t="s">
        <v>112</v>
      </c>
      <c r="G565" s="1">
        <v>3841859</v>
      </c>
    </row>
    <row r="566" spans="1:7" x14ac:dyDescent="0.35">
      <c r="A566" s="1" t="str">
        <f t="shared" si="8"/>
        <v>18  Testo + Pro 37</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1345</v>
      </c>
      <c r="D566" s="1" t="s">
        <v>1346</v>
      </c>
      <c r="E566" s="1" t="s">
        <v>1347</v>
      </c>
      <c r="F566" s="1" t="s">
        <v>112</v>
      </c>
      <c r="G566" s="1">
        <v>2785346</v>
      </c>
    </row>
    <row r="567" spans="1:7" x14ac:dyDescent="0.35">
      <c r="A567" s="1" t="str">
        <f t="shared" si="8"/>
        <v>18  Testo + Pro 37</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1348</v>
      </c>
      <c r="D567" s="1" t="s">
        <v>1349</v>
      </c>
      <c r="E567" s="1" t="s">
        <v>1350</v>
      </c>
      <c r="F567" s="1" t="s">
        <v>112</v>
      </c>
      <c r="G567" s="1">
        <v>2423846</v>
      </c>
    </row>
    <row r="568" spans="1:7" x14ac:dyDescent="0.35">
      <c r="A568" s="1" t="str">
        <f t="shared" si="8"/>
        <v>18  Testo + Pro 37</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1351</v>
      </c>
      <c r="D568" s="1" t="s">
        <v>1352</v>
      </c>
      <c r="E568" s="1" t="s">
        <v>1353</v>
      </c>
      <c r="F568" s="1" t="s">
        <v>112</v>
      </c>
      <c r="G568" s="1">
        <v>2464489</v>
      </c>
    </row>
    <row r="569" spans="1:7" x14ac:dyDescent="0.35">
      <c r="A569" s="1" t="str">
        <f t="shared" si="8"/>
        <v>18  Testo + Pro 37</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1354</v>
      </c>
      <c r="D569" s="1" t="s">
        <v>869</v>
      </c>
      <c r="E569" s="1" t="s">
        <v>1355</v>
      </c>
      <c r="F569" s="1" t="s">
        <v>112</v>
      </c>
      <c r="G569" s="1">
        <v>125324</v>
      </c>
    </row>
    <row r="570" spans="1:7" x14ac:dyDescent="0.35">
      <c r="A570" s="1" t="str">
        <f t="shared" si="8"/>
        <v>18  Testo + Pro 37</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1356</v>
      </c>
      <c r="D570" s="1" t="s">
        <v>921</v>
      </c>
      <c r="E570" s="1" t="s">
        <v>1357</v>
      </c>
      <c r="F570" s="1" t="s">
        <v>112</v>
      </c>
      <c r="G570" s="1">
        <v>302948</v>
      </c>
    </row>
    <row r="571" spans="1:7" x14ac:dyDescent="0.35">
      <c r="A571" s="1" t="str">
        <f t="shared" si="8"/>
        <v>18  Testo + Pro 37</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1358</v>
      </c>
      <c r="D571" s="1" t="s">
        <v>1359</v>
      </c>
      <c r="E571" s="1" t="s">
        <v>1360</v>
      </c>
      <c r="F571" s="1" t="s">
        <v>112</v>
      </c>
      <c r="G571" s="1">
        <v>311817</v>
      </c>
    </row>
    <row r="572" spans="1:7" x14ac:dyDescent="0.35">
      <c r="A572" s="1" t="str">
        <f t="shared" si="8"/>
        <v>18  Testo + Pro 37</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1361</v>
      </c>
      <c r="D572" s="1" t="s">
        <v>1362</v>
      </c>
      <c r="E572" s="1" t="s">
        <v>1363</v>
      </c>
      <c r="F572" s="1" t="s">
        <v>112</v>
      </c>
      <c r="G572" s="1">
        <v>155779</v>
      </c>
    </row>
    <row r="573" spans="1:7" x14ac:dyDescent="0.35">
      <c r="A573" s="1" t="str">
        <f t="shared" si="8"/>
        <v>18  Testo + Pro 37</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1364</v>
      </c>
      <c r="D573" s="1" t="s">
        <v>1365</v>
      </c>
      <c r="E573" s="1" t="s">
        <v>1366</v>
      </c>
      <c r="F573" s="1" t="s">
        <v>112</v>
      </c>
      <c r="G573" s="1">
        <v>48732</v>
      </c>
    </row>
    <row r="574" spans="1:7" x14ac:dyDescent="0.35">
      <c r="A574" s="1" t="str">
        <f t="shared" si="8"/>
        <v>18  Testo + Pro 37</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1367</v>
      </c>
      <c r="D574" s="1" t="s">
        <v>1368</v>
      </c>
      <c r="E574" s="1" t="s">
        <v>1369</v>
      </c>
      <c r="F574" s="1" t="s">
        <v>112</v>
      </c>
      <c r="G574" s="1">
        <v>100298</v>
      </c>
    </row>
    <row r="575" spans="1:7" x14ac:dyDescent="0.35">
      <c r="A575" s="1" t="str">
        <f t="shared" si="8"/>
        <v>18  Testo + Pro 37</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1370</v>
      </c>
      <c r="D575" s="1" t="s">
        <v>1371</v>
      </c>
      <c r="E575" s="1" t="s">
        <v>1372</v>
      </c>
      <c r="F575" s="1" t="s">
        <v>112</v>
      </c>
      <c r="G575" s="1">
        <v>655732</v>
      </c>
    </row>
    <row r="576" spans="1:7" x14ac:dyDescent="0.35">
      <c r="A576" s="1" t="str">
        <f t="shared" si="8"/>
        <v>18  Testo + Pro 37</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1373</v>
      </c>
      <c r="D576" s="1" t="s">
        <v>1374</v>
      </c>
      <c r="E576" s="1" t="s">
        <v>1375</v>
      </c>
      <c r="F576" s="1" t="s">
        <v>112</v>
      </c>
      <c r="G576" s="1">
        <v>709374</v>
      </c>
    </row>
    <row r="577" spans="1:9" x14ac:dyDescent="0.35">
      <c r="A577" s="1" t="str">
        <f t="shared" si="8"/>
        <v>18  Testo + Pro 37</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1376</v>
      </c>
    </row>
    <row r="578" spans="1:9" x14ac:dyDescent="0.35">
      <c r="A578" s="1" t="str">
        <f t="shared" ref="A578:A641" si="9">IFERROR(LEFT(RIGHT(C578,LEN(C578)-SEARCH("@",C578)),SEARCH("/",RIGHT(C578,LEN(C578)-SEARCH("@",C578)-1))),"")</f>
        <v>18  Testo + Pro 37</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1377</v>
      </c>
      <c r="D578" s="1" t="s">
        <v>1378</v>
      </c>
      <c r="E578" s="1" t="s">
        <v>1379</v>
      </c>
      <c r="F578" s="1" t="s">
        <v>112</v>
      </c>
      <c r="G578" s="1">
        <v>1240366</v>
      </c>
    </row>
    <row r="579" spans="1:9" x14ac:dyDescent="0.35">
      <c r="A579" s="1" t="str">
        <f t="shared" si="9"/>
        <v>18  Testo + Pro 37</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1380</v>
      </c>
      <c r="D579" s="1" t="s">
        <v>1381</v>
      </c>
      <c r="E579" s="1" t="s">
        <v>1382</v>
      </c>
      <c r="F579" s="1" t="s">
        <v>112</v>
      </c>
      <c r="G579" s="1">
        <v>914490</v>
      </c>
    </row>
    <row r="580" spans="1:9" x14ac:dyDescent="0.35">
      <c r="A580" s="1" t="str">
        <f t="shared" si="9"/>
        <v>18  Testo + Pro 37</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1383</v>
      </c>
      <c r="D580" s="1" t="s">
        <v>1384</v>
      </c>
      <c r="E580" s="1" t="s">
        <v>481</v>
      </c>
      <c r="F580" s="1" t="s">
        <v>112</v>
      </c>
      <c r="G580" s="1">
        <v>1218542</v>
      </c>
    </row>
    <row r="581" spans="1:9" x14ac:dyDescent="0.35">
      <c r="A581" s="1" t="str">
        <f t="shared" si="9"/>
        <v>18  Testo + Pro 37</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1385</v>
      </c>
      <c r="D581" s="1" t="s">
        <v>1055</v>
      </c>
      <c r="E581" s="1" t="s">
        <v>1386</v>
      </c>
      <c r="F581" s="1" t="s">
        <v>112</v>
      </c>
      <c r="G581" s="1">
        <v>221187</v>
      </c>
    </row>
    <row r="582" spans="1:9" x14ac:dyDescent="0.35">
      <c r="A582" s="1" t="str">
        <f t="shared" si="9"/>
        <v>18  Testo + Pro 37</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1387</v>
      </c>
      <c r="D582" s="1" t="s">
        <v>1388</v>
      </c>
      <c r="E582" s="1" t="s">
        <v>1389</v>
      </c>
      <c r="F582" s="1" t="s">
        <v>112</v>
      </c>
      <c r="G582" s="1">
        <v>347052</v>
      </c>
    </row>
    <row r="583" spans="1:9" x14ac:dyDescent="0.35">
      <c r="A583" s="1" t="str">
        <f t="shared" si="9"/>
        <v>18  Testo + Pro 37</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1390</v>
      </c>
      <c r="D583" s="1" t="s">
        <v>1391</v>
      </c>
      <c r="E583" s="1" t="s">
        <v>1392</v>
      </c>
      <c r="F583" s="1" t="s">
        <v>112</v>
      </c>
      <c r="G583" s="1">
        <v>173342</v>
      </c>
    </row>
    <row r="584" spans="1:9" x14ac:dyDescent="0.35">
      <c r="A584" s="1" t="str">
        <f t="shared" si="9"/>
        <v>18  Testo + Pro 37</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1393</v>
      </c>
      <c r="D584" s="1" t="s">
        <v>1394</v>
      </c>
      <c r="E584" s="1" t="s">
        <v>1395</v>
      </c>
      <c r="F584" s="1" t="s">
        <v>112</v>
      </c>
      <c r="G584" s="1">
        <v>3763018</v>
      </c>
    </row>
    <row r="585" spans="1:9" x14ac:dyDescent="0.35">
      <c r="A585" s="1" t="str">
        <f t="shared" si="9"/>
        <v>18  Testo + Pro 37</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1396</v>
      </c>
      <c r="D585" s="1" t="s">
        <v>1397</v>
      </c>
      <c r="E585" s="1" t="s">
        <v>1398</v>
      </c>
      <c r="F585" s="1" t="s">
        <v>112</v>
      </c>
      <c r="G585" s="1">
        <v>3957795</v>
      </c>
    </row>
    <row r="586" spans="1:9" x14ac:dyDescent="0.35">
      <c r="A586" s="1" t="str">
        <f t="shared" si="9"/>
        <v>18  Testo + Pro 37</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1399</v>
      </c>
      <c r="D586" s="1" t="s">
        <v>1400</v>
      </c>
      <c r="E586" s="1" t="s">
        <v>1401</v>
      </c>
      <c r="F586" s="1" t="s">
        <v>112</v>
      </c>
      <c r="G586" s="1">
        <v>4005965</v>
      </c>
    </row>
    <row r="587" spans="1:9"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9"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241</v>
      </c>
      <c r="D588" s="1" t="s">
        <v>112</v>
      </c>
      <c r="E588" s="1" t="s">
        <v>242</v>
      </c>
      <c r="F588" s="1" t="s">
        <v>243</v>
      </c>
      <c r="G588" s="1" t="s">
        <v>244</v>
      </c>
      <c r="H588" s="1" t="s">
        <v>245</v>
      </c>
      <c r="I588" s="1" t="s">
        <v>246</v>
      </c>
    </row>
    <row r="589" spans="1:9" x14ac:dyDescent="0.35">
      <c r="A589" s="1" t="str">
        <f t="shared" si="9"/>
        <v>18  Testo + Pro 37</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1402</v>
      </c>
      <c r="D589" s="1" t="s">
        <v>112</v>
      </c>
      <c r="E589" s="1" t="s">
        <v>1403</v>
      </c>
      <c r="F589" s="1" t="s">
        <v>1404</v>
      </c>
      <c r="G589" s="1" t="s">
        <v>1405</v>
      </c>
      <c r="H589" s="1" t="s">
        <v>1406</v>
      </c>
      <c r="I589" s="1">
        <v>24</v>
      </c>
    </row>
    <row r="590" spans="1:9"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9"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9"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252</v>
      </c>
      <c r="D595" s="1" t="s">
        <v>110</v>
      </c>
      <c r="E595" s="1" t="s">
        <v>111</v>
      </c>
      <c r="F595" s="1" t="s">
        <v>112</v>
      </c>
      <c r="G595" s="1" t="s">
        <v>113</v>
      </c>
    </row>
    <row r="596" spans="1:7" x14ac:dyDescent="0.35">
      <c r="A596" s="1" t="str">
        <f t="shared" si="9"/>
        <v>19 Testo + Pro 111</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1407</v>
      </c>
      <c r="D596" s="1" t="s">
        <v>1408</v>
      </c>
      <c r="E596" s="1" t="s">
        <v>1409</v>
      </c>
      <c r="F596" s="1" t="s">
        <v>112</v>
      </c>
      <c r="G596" s="1">
        <v>1152095</v>
      </c>
    </row>
    <row r="597" spans="1:7" x14ac:dyDescent="0.35">
      <c r="A597" s="1" t="str">
        <f t="shared" si="9"/>
        <v>19 Testo + Pro 111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1410</v>
      </c>
    </row>
    <row r="598" spans="1:7" x14ac:dyDescent="0.35">
      <c r="A598" s="1" t="str">
        <f t="shared" si="9"/>
        <v>19 Testo + Pro 111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1411</v>
      </c>
      <c r="D598" s="1" t="s">
        <v>1412</v>
      </c>
      <c r="E598" s="1" t="s">
        <v>287</v>
      </c>
      <c r="F598" s="1" t="s">
        <v>112</v>
      </c>
      <c r="G598" s="1">
        <v>866321</v>
      </c>
    </row>
    <row r="599" spans="1:7" x14ac:dyDescent="0.35">
      <c r="A599" s="1" t="str">
        <f t="shared" si="9"/>
        <v>19 Testo + Pro 111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1413</v>
      </c>
      <c r="D599" s="1" t="s">
        <v>1124</v>
      </c>
      <c r="E599" s="1" t="s">
        <v>1414</v>
      </c>
      <c r="F599" s="1" t="s">
        <v>112</v>
      </c>
      <c r="G599" s="1">
        <v>2417941</v>
      </c>
    </row>
    <row r="600" spans="1:7" x14ac:dyDescent="0.35">
      <c r="A600" s="1" t="str">
        <f t="shared" si="9"/>
        <v>19 Testo + Pro 111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1415</v>
      </c>
      <c r="D600" s="1" t="s">
        <v>1416</v>
      </c>
      <c r="E600" s="1" t="s">
        <v>1417</v>
      </c>
      <c r="F600" s="1" t="s">
        <v>112</v>
      </c>
      <c r="G600" s="1">
        <v>1896834</v>
      </c>
    </row>
    <row r="601" spans="1:7" x14ac:dyDescent="0.35">
      <c r="A601" s="1" t="str">
        <f t="shared" si="9"/>
        <v>19 Testo + Pro 111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1418</v>
      </c>
    </row>
    <row r="602" spans="1:7" x14ac:dyDescent="0.35">
      <c r="A602" s="1" t="str">
        <f t="shared" si="9"/>
        <v>19 Testo + Pro 111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1419</v>
      </c>
    </row>
    <row r="603" spans="1:7" x14ac:dyDescent="0.35">
      <c r="A603" s="1" t="str">
        <f t="shared" si="9"/>
        <v>19 Testo + Pro 111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1420</v>
      </c>
      <c r="D603" s="1" t="s">
        <v>1421</v>
      </c>
      <c r="E603" s="1" t="s">
        <v>1422</v>
      </c>
      <c r="F603" s="1" t="s">
        <v>112</v>
      </c>
      <c r="G603" s="1">
        <v>182016</v>
      </c>
    </row>
    <row r="604" spans="1:7" x14ac:dyDescent="0.35">
      <c r="A604" s="1" t="str">
        <f t="shared" si="9"/>
        <v>19 Testo + Pro 111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1423</v>
      </c>
      <c r="D604" s="1" t="s">
        <v>1424</v>
      </c>
      <c r="E604" s="1" t="s">
        <v>1425</v>
      </c>
      <c r="F604" s="1" t="s">
        <v>112</v>
      </c>
      <c r="G604" s="1">
        <v>222009</v>
      </c>
    </row>
    <row r="605" spans="1:7" x14ac:dyDescent="0.35">
      <c r="A605" s="1" t="str">
        <f t="shared" si="9"/>
        <v>19 Testo + Pro 111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1426</v>
      </c>
      <c r="D605" s="1" t="s">
        <v>1427</v>
      </c>
      <c r="E605" s="1" t="s">
        <v>1428</v>
      </c>
      <c r="F605" s="1" t="s">
        <v>112</v>
      </c>
      <c r="G605" s="1">
        <v>4091554</v>
      </c>
    </row>
    <row r="606" spans="1:7" x14ac:dyDescent="0.35">
      <c r="A606" s="1" t="str">
        <f t="shared" si="9"/>
        <v>19 Testo + Pro 111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1429</v>
      </c>
      <c r="D606" s="1" t="s">
        <v>1430</v>
      </c>
      <c r="E606" s="1" t="s">
        <v>1431</v>
      </c>
      <c r="F606" s="1" t="s">
        <v>112</v>
      </c>
      <c r="G606" s="1">
        <v>3920202</v>
      </c>
    </row>
    <row r="607" spans="1:7" x14ac:dyDescent="0.35">
      <c r="A607" s="1" t="str">
        <f t="shared" si="9"/>
        <v>19 Testo + Pro 111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1432</v>
      </c>
      <c r="D607" s="1" t="s">
        <v>1433</v>
      </c>
      <c r="E607" s="1" t="s">
        <v>1434</v>
      </c>
      <c r="F607" s="1" t="s">
        <v>112</v>
      </c>
      <c r="G607" s="1">
        <v>4121165</v>
      </c>
    </row>
    <row r="608" spans="1:7" x14ac:dyDescent="0.35">
      <c r="A608" s="1" t="str">
        <f t="shared" si="9"/>
        <v>19 Testo + Pro 111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1435</v>
      </c>
      <c r="D608" s="1" t="s">
        <v>976</v>
      </c>
      <c r="E608" s="1" t="s">
        <v>1436</v>
      </c>
      <c r="F608" s="1" t="s">
        <v>112</v>
      </c>
      <c r="G608" s="1">
        <v>551259</v>
      </c>
    </row>
    <row r="609" spans="1:9" x14ac:dyDescent="0.35">
      <c r="A609" s="1" t="str">
        <f t="shared" si="9"/>
        <v>19 Testo + Pro 111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1437</v>
      </c>
      <c r="D609" s="1" t="s">
        <v>1438</v>
      </c>
      <c r="E609" s="1" t="s">
        <v>1439</v>
      </c>
      <c r="F609" s="1" t="s">
        <v>112</v>
      </c>
      <c r="G609" s="1">
        <v>579508</v>
      </c>
    </row>
    <row r="610" spans="1:9" x14ac:dyDescent="0.35">
      <c r="A610" s="1" t="str">
        <f t="shared" si="9"/>
        <v>19 Testo + Pro 111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1440</v>
      </c>
      <c r="D610" s="1" t="s">
        <v>1441</v>
      </c>
      <c r="E610" s="1" t="s">
        <v>1442</v>
      </c>
      <c r="F610" s="1" t="s">
        <v>112</v>
      </c>
      <c r="G610" s="1">
        <v>673079</v>
      </c>
    </row>
    <row r="611" spans="1:9" x14ac:dyDescent="0.35">
      <c r="A611" s="1" t="str">
        <f t="shared" si="9"/>
        <v>19 Testo + Pro 111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1443</v>
      </c>
      <c r="D611" s="1" t="s">
        <v>1444</v>
      </c>
      <c r="E611" s="1" t="s">
        <v>1445</v>
      </c>
      <c r="F611" s="1" t="s">
        <v>112</v>
      </c>
      <c r="G611" s="1">
        <v>114119</v>
      </c>
    </row>
    <row r="612" spans="1:9" x14ac:dyDescent="0.35">
      <c r="A612" s="1" t="str">
        <f t="shared" si="9"/>
        <v>19 Testo + Pro 111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1446</v>
      </c>
      <c r="D612" s="1" t="s">
        <v>1368</v>
      </c>
      <c r="E612" s="1" t="s">
        <v>1447</v>
      </c>
      <c r="F612" s="1" t="s">
        <v>112</v>
      </c>
      <c r="G612" s="1">
        <v>99649</v>
      </c>
    </row>
    <row r="613" spans="1:9" x14ac:dyDescent="0.35">
      <c r="A613" s="1" t="str">
        <f t="shared" si="9"/>
        <v>19 Testo + Pro 111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1448</v>
      </c>
      <c r="D613" s="1" t="s">
        <v>1449</v>
      </c>
      <c r="E613" s="1" t="s">
        <v>1450</v>
      </c>
      <c r="F613" s="1" t="s">
        <v>112</v>
      </c>
      <c r="G613" s="1">
        <v>67507</v>
      </c>
    </row>
    <row r="614" spans="1:9" x14ac:dyDescent="0.35">
      <c r="A614" s="1" t="str">
        <f t="shared" si="9"/>
        <v>19 Testo + Pro 111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1451</v>
      </c>
      <c r="D614" s="1" t="s">
        <v>1452</v>
      </c>
      <c r="E614" s="1" t="s">
        <v>1453</v>
      </c>
      <c r="F614" s="1" t="s">
        <v>112</v>
      </c>
      <c r="G614" s="1">
        <v>2249747</v>
      </c>
    </row>
    <row r="615" spans="1:9" x14ac:dyDescent="0.35">
      <c r="A615" s="1" t="str">
        <f t="shared" si="9"/>
        <v>19 Testo + Pro 111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1454</v>
      </c>
      <c r="D615" s="1" t="s">
        <v>1455</v>
      </c>
      <c r="E615" s="1" t="s">
        <v>1456</v>
      </c>
      <c r="F615" s="1" t="s">
        <v>112</v>
      </c>
      <c r="G615" s="1">
        <v>1219364</v>
      </c>
    </row>
    <row r="616" spans="1:9" x14ac:dyDescent="0.35">
      <c r="A616" s="1" t="str">
        <f t="shared" si="9"/>
        <v>19 Testo + Pro 111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1457</v>
      </c>
      <c r="D616" s="1" t="s">
        <v>1458</v>
      </c>
      <c r="E616" s="1" t="s">
        <v>1459</v>
      </c>
      <c r="F616" s="1" t="s">
        <v>112</v>
      </c>
      <c r="G616" s="1">
        <v>969517</v>
      </c>
    </row>
    <row r="617" spans="1:9" x14ac:dyDescent="0.35">
      <c r="A617" s="1" t="str">
        <f t="shared" si="9"/>
        <v>19 Testo + Pro 111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1460</v>
      </c>
      <c r="D617" s="1" t="s">
        <v>1461</v>
      </c>
      <c r="E617" s="1" t="s">
        <v>1462</v>
      </c>
      <c r="F617" s="1" t="s">
        <v>112</v>
      </c>
      <c r="G617" s="1">
        <v>842160</v>
      </c>
    </row>
    <row r="618" spans="1:9" x14ac:dyDescent="0.35">
      <c r="A618" s="1" t="str">
        <f t="shared" si="9"/>
        <v>19 Testo + Pro 111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1463</v>
      </c>
      <c r="D618" s="1" t="s">
        <v>1464</v>
      </c>
      <c r="E618" s="1" t="s">
        <v>1465</v>
      </c>
      <c r="F618" s="1" t="s">
        <v>112</v>
      </c>
      <c r="G618" s="1">
        <v>173839</v>
      </c>
    </row>
    <row r="619" spans="1:9" x14ac:dyDescent="0.35">
      <c r="A619" s="1" t="str">
        <f t="shared" si="9"/>
        <v>19 Testo + Pro 111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1466</v>
      </c>
      <c r="D619" s="1" t="s">
        <v>1467</v>
      </c>
      <c r="E619" s="1" t="s">
        <v>1468</v>
      </c>
      <c r="F619" s="1" t="s">
        <v>112</v>
      </c>
      <c r="G619" s="1">
        <v>689042</v>
      </c>
    </row>
    <row r="620" spans="1:9"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9"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241</v>
      </c>
      <c r="D621" s="1" t="s">
        <v>112</v>
      </c>
      <c r="E621" s="1" t="s">
        <v>242</v>
      </c>
      <c r="F621" s="1" t="s">
        <v>243</v>
      </c>
      <c r="G621" s="1" t="s">
        <v>244</v>
      </c>
      <c r="H621" s="1" t="s">
        <v>245</v>
      </c>
      <c r="I621" s="1" t="s">
        <v>246</v>
      </c>
    </row>
    <row r="622" spans="1:9" x14ac:dyDescent="0.35">
      <c r="A622" s="1" t="str">
        <f t="shared" si="9"/>
        <v>19 Testo + Pro 111</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1469</v>
      </c>
      <c r="D622" s="1" t="s">
        <v>112</v>
      </c>
      <c r="E622" s="1" t="s">
        <v>1470</v>
      </c>
      <c r="F622" s="1" t="s">
        <v>1471</v>
      </c>
      <c r="G622" s="1" t="s">
        <v>1472</v>
      </c>
      <c r="H622" s="1" t="s">
        <v>1473</v>
      </c>
      <c r="I622" s="1">
        <v>24</v>
      </c>
    </row>
    <row r="623" spans="1:9"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9"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252</v>
      </c>
      <c r="D628" s="1" t="s">
        <v>110</v>
      </c>
      <c r="E628" s="1" t="s">
        <v>111</v>
      </c>
      <c r="F628" s="1" t="s">
        <v>112</v>
      </c>
      <c r="G628" s="1" t="s">
        <v>113</v>
      </c>
    </row>
    <row r="629" spans="1:7" x14ac:dyDescent="0.35">
      <c r="A629" s="1" t="str">
        <f t="shared" si="9"/>
        <v>20 Testo + Pro 333</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1474</v>
      </c>
      <c r="D629" s="1" t="s">
        <v>380</v>
      </c>
      <c r="E629" s="1" t="s">
        <v>1475</v>
      </c>
      <c r="F629" s="1" t="s">
        <v>112</v>
      </c>
      <c r="G629" s="1">
        <v>21349</v>
      </c>
    </row>
    <row r="630" spans="1:7" x14ac:dyDescent="0.35">
      <c r="A630" s="1" t="str">
        <f t="shared" si="9"/>
        <v>20 Testo + Pro 333</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1476</v>
      </c>
      <c r="D630" s="1" t="s">
        <v>193</v>
      </c>
      <c r="E630" s="1" t="s">
        <v>1477</v>
      </c>
      <c r="F630" s="1" t="s">
        <v>112</v>
      </c>
      <c r="G630" s="1">
        <v>26021</v>
      </c>
    </row>
    <row r="631" spans="1:7" x14ac:dyDescent="0.35">
      <c r="A631" s="1" t="str">
        <f t="shared" si="9"/>
        <v>20 Testo + Pro 333</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1478</v>
      </c>
    </row>
    <row r="632" spans="1:7" x14ac:dyDescent="0.35">
      <c r="A632" s="1" t="str">
        <f t="shared" si="9"/>
        <v>20 Testo + Pro 333</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1479</v>
      </c>
      <c r="D632" s="1" t="s">
        <v>1480</v>
      </c>
      <c r="E632" s="1" t="s">
        <v>1481</v>
      </c>
      <c r="F632" s="1" t="s">
        <v>112</v>
      </c>
      <c r="G632" s="1">
        <v>453233</v>
      </c>
    </row>
    <row r="633" spans="1:7" x14ac:dyDescent="0.35">
      <c r="A633" s="1" t="str">
        <f t="shared" si="9"/>
        <v>20 Testo + Pro 333</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1482</v>
      </c>
      <c r="D633" s="1" t="s">
        <v>254</v>
      </c>
      <c r="E633" s="1" t="s">
        <v>1483</v>
      </c>
      <c r="F633" s="1" t="s">
        <v>112</v>
      </c>
      <c r="G633" s="1">
        <v>84659</v>
      </c>
    </row>
    <row r="634" spans="1:7" x14ac:dyDescent="0.35">
      <c r="A634" s="1" t="str">
        <f t="shared" si="9"/>
        <v>20 Testo + Pro 333</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1484</v>
      </c>
      <c r="D634" s="1" t="s">
        <v>1485</v>
      </c>
      <c r="E634" s="1" t="s">
        <v>1486</v>
      </c>
      <c r="F634" s="1" t="s">
        <v>112</v>
      </c>
      <c r="G634" s="1">
        <v>34478</v>
      </c>
    </row>
    <row r="635" spans="1:7" x14ac:dyDescent="0.35">
      <c r="A635" s="1" t="str">
        <f t="shared" si="9"/>
        <v>20 Testo + Pro 333</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1487</v>
      </c>
      <c r="D635" s="1" t="s">
        <v>339</v>
      </c>
      <c r="E635" s="1" t="s">
        <v>1488</v>
      </c>
      <c r="F635" s="1" t="s">
        <v>112</v>
      </c>
      <c r="G635" s="1">
        <v>472700</v>
      </c>
    </row>
    <row r="636" spans="1:7" x14ac:dyDescent="0.35">
      <c r="A636" s="1" t="str">
        <f t="shared" si="9"/>
        <v>20 Testo + Pro 333</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1489</v>
      </c>
      <c r="D636" s="1" t="s">
        <v>1490</v>
      </c>
      <c r="E636" s="1" t="s">
        <v>1491</v>
      </c>
      <c r="F636" s="1" t="s">
        <v>112</v>
      </c>
      <c r="G636" s="1">
        <v>569667</v>
      </c>
    </row>
    <row r="637" spans="1:7" x14ac:dyDescent="0.35">
      <c r="A637" s="1" t="str">
        <f t="shared" si="9"/>
        <v>20 Testo + Pro 333</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1492</v>
      </c>
      <c r="D637" s="1" t="s">
        <v>1493</v>
      </c>
      <c r="E637" s="1" t="s">
        <v>1494</v>
      </c>
      <c r="F637" s="1" t="s">
        <v>112</v>
      </c>
      <c r="G637" s="1">
        <v>779736</v>
      </c>
    </row>
    <row r="638" spans="1:7" x14ac:dyDescent="0.35">
      <c r="A638" s="1" t="str">
        <f t="shared" si="9"/>
        <v>20 Testo + Pro 333</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1495</v>
      </c>
      <c r="D638" s="1" t="s">
        <v>1496</v>
      </c>
      <c r="E638" s="1" t="s">
        <v>1497</v>
      </c>
      <c r="F638" s="1" t="s">
        <v>112</v>
      </c>
      <c r="G638" s="1">
        <v>1112274</v>
      </c>
    </row>
    <row r="639" spans="1:7" x14ac:dyDescent="0.35">
      <c r="A639" s="1" t="str">
        <f t="shared" si="9"/>
        <v>20 Testo + Pro 333</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1498</v>
      </c>
      <c r="D639" s="1" t="s">
        <v>1499</v>
      </c>
      <c r="E639" s="1" t="s">
        <v>1500</v>
      </c>
      <c r="F639" s="1" t="s">
        <v>112</v>
      </c>
      <c r="G639" s="1">
        <v>872636</v>
      </c>
    </row>
    <row r="640" spans="1:7" x14ac:dyDescent="0.35">
      <c r="A640" s="1" t="str">
        <f t="shared" si="9"/>
        <v>20 Testo + Pro 333</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1501</v>
      </c>
      <c r="D640" s="1" t="s">
        <v>1502</v>
      </c>
      <c r="E640" s="1" t="s">
        <v>1503</v>
      </c>
      <c r="F640" s="1" t="s">
        <v>112</v>
      </c>
      <c r="G640" s="1">
        <v>613294</v>
      </c>
    </row>
    <row r="641" spans="1:9" x14ac:dyDescent="0.35">
      <c r="A641" s="1" t="str">
        <f t="shared" si="9"/>
        <v>20 Testo + Pro 333</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1504</v>
      </c>
      <c r="D641" s="1" t="s">
        <v>1505</v>
      </c>
      <c r="E641" s="1" t="s">
        <v>1506</v>
      </c>
      <c r="F641" s="1" t="s">
        <v>112</v>
      </c>
      <c r="G641" s="1">
        <v>2593619</v>
      </c>
    </row>
    <row r="642" spans="1:9" x14ac:dyDescent="0.35">
      <c r="A642" s="1" t="str">
        <f t="shared" ref="A642:A705" si="10">IFERROR(LEFT(RIGHT(C642,LEN(C642)-SEARCH("@",C642)),SEARCH("/",RIGHT(C642,LEN(C642)-SEARCH("@",C642)-1))),"")</f>
        <v>20 Testo + Pro 333</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1507</v>
      </c>
      <c r="D642" s="1" t="s">
        <v>1508</v>
      </c>
      <c r="E642" s="1" t="s">
        <v>1509</v>
      </c>
      <c r="F642" s="1" t="s">
        <v>112</v>
      </c>
      <c r="G642" s="1">
        <v>2359800</v>
      </c>
    </row>
    <row r="643" spans="1:9" x14ac:dyDescent="0.35">
      <c r="A643" s="1" t="str">
        <f t="shared" si="10"/>
        <v>20 Testo + Pro 333</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1510</v>
      </c>
      <c r="D643" s="1" t="s">
        <v>1511</v>
      </c>
      <c r="E643" s="1" t="s">
        <v>1512</v>
      </c>
      <c r="F643" s="1" t="s">
        <v>112</v>
      </c>
      <c r="G643" s="1">
        <v>2358827</v>
      </c>
    </row>
    <row r="644" spans="1:9" x14ac:dyDescent="0.35">
      <c r="A644" s="1" t="str">
        <f t="shared" si="10"/>
        <v>20 Testo + Pro 333</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1513</v>
      </c>
      <c r="D644" s="1" t="s">
        <v>1514</v>
      </c>
      <c r="E644" s="1" t="s">
        <v>1515</v>
      </c>
      <c r="F644" s="1" t="s">
        <v>112</v>
      </c>
      <c r="G644" s="1">
        <v>141157</v>
      </c>
    </row>
    <row r="645" spans="1:9" x14ac:dyDescent="0.35">
      <c r="A645" s="1" t="str">
        <f t="shared" si="10"/>
        <v>20 Testo + Pro 333</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1516</v>
      </c>
    </row>
    <row r="646" spans="1:9" x14ac:dyDescent="0.35">
      <c r="A646" s="1" t="str">
        <f t="shared" si="10"/>
        <v>20 Testo + Pro 333</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1517</v>
      </c>
    </row>
    <row r="647" spans="1:9" x14ac:dyDescent="0.35">
      <c r="A647" s="1" t="str">
        <f t="shared" si="10"/>
        <v>20 Testo + Pro 333</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1518</v>
      </c>
      <c r="D647" s="1" t="s">
        <v>501</v>
      </c>
      <c r="E647" s="1" t="s">
        <v>1519</v>
      </c>
      <c r="F647" s="1" t="s">
        <v>112</v>
      </c>
      <c r="G647" s="1">
        <v>828079</v>
      </c>
    </row>
    <row r="648" spans="1:9" x14ac:dyDescent="0.35">
      <c r="A648" s="1" t="str">
        <f t="shared" si="10"/>
        <v>20 Testo + Pro 333</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1520</v>
      </c>
      <c r="D648" s="1" t="s">
        <v>1521</v>
      </c>
      <c r="E648" s="1" t="s">
        <v>1522</v>
      </c>
      <c r="F648" s="1" t="s">
        <v>112</v>
      </c>
      <c r="G648" s="1">
        <v>277057</v>
      </c>
    </row>
    <row r="649" spans="1:9" x14ac:dyDescent="0.35">
      <c r="A649" s="1" t="str">
        <f t="shared" si="10"/>
        <v>20 Testo + Pro 333</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1523</v>
      </c>
      <c r="D649" s="1" t="s">
        <v>1524</v>
      </c>
      <c r="E649" s="1" t="s">
        <v>1525</v>
      </c>
      <c r="F649" s="1" t="s">
        <v>112</v>
      </c>
      <c r="G649" s="1">
        <v>698602</v>
      </c>
    </row>
    <row r="650" spans="1:9" x14ac:dyDescent="0.35">
      <c r="A650" s="1" t="str">
        <f t="shared" si="10"/>
        <v>20 Testo + Pro 333</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1526</v>
      </c>
      <c r="D650" s="1" t="s">
        <v>1527</v>
      </c>
      <c r="E650" s="1" t="s">
        <v>1528</v>
      </c>
      <c r="F650" s="1" t="s">
        <v>112</v>
      </c>
      <c r="G650" s="1">
        <v>83297</v>
      </c>
    </row>
    <row r="651" spans="1:9" x14ac:dyDescent="0.35">
      <c r="A651" s="1" t="str">
        <f t="shared" si="10"/>
        <v>20 Testo + Pro 333</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1529</v>
      </c>
      <c r="D651" s="1" t="s">
        <v>289</v>
      </c>
      <c r="E651" s="1" t="s">
        <v>1530</v>
      </c>
      <c r="F651" s="1" t="s">
        <v>112</v>
      </c>
      <c r="G651" s="1">
        <v>8133</v>
      </c>
    </row>
    <row r="652" spans="1:9" x14ac:dyDescent="0.35">
      <c r="A652" s="1" t="str">
        <f t="shared" si="10"/>
        <v>20 Testo + Pro 333</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1531</v>
      </c>
      <c r="D652" s="1" t="s">
        <v>925</v>
      </c>
      <c r="E652" s="1" t="s">
        <v>1532</v>
      </c>
      <c r="F652" s="1" t="s">
        <v>112</v>
      </c>
      <c r="G652" s="1">
        <v>52582</v>
      </c>
    </row>
    <row r="653" spans="1:9"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9"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241</v>
      </c>
      <c r="D654" s="1" t="s">
        <v>112</v>
      </c>
      <c r="E654" s="1" t="s">
        <v>242</v>
      </c>
      <c r="F654" s="1" t="s">
        <v>243</v>
      </c>
      <c r="G654" s="1" t="s">
        <v>244</v>
      </c>
      <c r="H654" s="1" t="s">
        <v>245</v>
      </c>
      <c r="I654" s="1" t="s">
        <v>246</v>
      </c>
    </row>
    <row r="655" spans="1:9" x14ac:dyDescent="0.35">
      <c r="A655" s="1" t="str">
        <f t="shared" si="10"/>
        <v>20 Testo + Pro 333</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1533</v>
      </c>
      <c r="D655" s="1" t="s">
        <v>112</v>
      </c>
      <c r="E655" s="1" t="s">
        <v>1534</v>
      </c>
      <c r="F655" s="1" t="s">
        <v>1535</v>
      </c>
      <c r="G655" s="1" t="s">
        <v>1536</v>
      </c>
      <c r="H655" s="1" t="s">
        <v>1537</v>
      </c>
      <c r="I655" s="1">
        <v>24</v>
      </c>
    </row>
    <row r="656" spans="1:9"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252</v>
      </c>
      <c r="D661" s="1" t="s">
        <v>110</v>
      </c>
      <c r="E661" s="1" t="s">
        <v>111</v>
      </c>
      <c r="F661" s="1" t="s">
        <v>112</v>
      </c>
      <c r="G661" s="1" t="s">
        <v>113</v>
      </c>
    </row>
    <row r="662" spans="1:7" x14ac:dyDescent="0.35">
      <c r="A662" s="1" t="str">
        <f t="shared" si="10"/>
        <v>21 Testo +  Pro 1000</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1538</v>
      </c>
    </row>
    <row r="663" spans="1:7" x14ac:dyDescent="0.35">
      <c r="A663" s="1" t="str">
        <f t="shared" si="10"/>
        <v>21 Testo +  Pro 1000</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1539</v>
      </c>
    </row>
    <row r="664" spans="1:7" x14ac:dyDescent="0.35">
      <c r="A664" s="1" t="str">
        <f t="shared" si="10"/>
        <v>21 Testo +  Pro 1000</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1540</v>
      </c>
    </row>
    <row r="665" spans="1:7" x14ac:dyDescent="0.35">
      <c r="A665" s="1" t="str">
        <f t="shared" si="10"/>
        <v>21 Testo +  Pro 1000</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1541</v>
      </c>
      <c r="D665" s="1" t="s">
        <v>294</v>
      </c>
      <c r="E665" s="1" t="s">
        <v>1542</v>
      </c>
      <c r="F665" s="1" t="s">
        <v>112</v>
      </c>
      <c r="G665" s="1">
        <v>147948</v>
      </c>
    </row>
    <row r="666" spans="1:7" x14ac:dyDescent="0.35">
      <c r="A666" s="1" t="str">
        <f t="shared" si="10"/>
        <v>21 Testo +  Pro 1000</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1543</v>
      </c>
      <c r="D666" s="1" t="s">
        <v>233</v>
      </c>
      <c r="E666" s="1">
        <v>63</v>
      </c>
      <c r="F666" s="1" t="s">
        <v>112</v>
      </c>
      <c r="G666" s="1">
        <v>16352</v>
      </c>
    </row>
    <row r="667" spans="1:7" x14ac:dyDescent="0.35">
      <c r="A667" s="1" t="str">
        <f t="shared" si="10"/>
        <v>21 Testo +  Pro 1000</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1544</v>
      </c>
      <c r="D667" s="1" t="s">
        <v>1545</v>
      </c>
      <c r="E667" s="1" t="s">
        <v>1546</v>
      </c>
      <c r="F667" s="1" t="s">
        <v>112</v>
      </c>
      <c r="G667" s="1">
        <v>224778</v>
      </c>
    </row>
    <row r="668" spans="1:7" x14ac:dyDescent="0.35">
      <c r="A668" s="1" t="str">
        <f t="shared" si="10"/>
        <v>21 Testo +  Pro 1000</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1547</v>
      </c>
      <c r="D668" s="1" t="s">
        <v>1548</v>
      </c>
      <c r="E668" s="1" t="s">
        <v>1549</v>
      </c>
      <c r="F668" s="1" t="s">
        <v>112</v>
      </c>
      <c r="G668" s="1">
        <v>364572</v>
      </c>
    </row>
    <row r="669" spans="1:7" x14ac:dyDescent="0.35">
      <c r="A669" s="1" t="str">
        <f t="shared" si="10"/>
        <v>21 Testo +  Pro 1000</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1550</v>
      </c>
      <c r="D669" s="1" t="s">
        <v>1551</v>
      </c>
      <c r="E669" s="1" t="s">
        <v>1552</v>
      </c>
      <c r="F669" s="1" t="s">
        <v>112</v>
      </c>
      <c r="G669" s="1">
        <v>562183</v>
      </c>
    </row>
    <row r="670" spans="1:7" x14ac:dyDescent="0.35">
      <c r="A670" s="1" t="str">
        <f t="shared" si="10"/>
        <v>21 Testo +  Pro 1000</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1553</v>
      </c>
      <c r="D670" s="1" t="s">
        <v>1130</v>
      </c>
      <c r="E670" s="1" t="s">
        <v>1554</v>
      </c>
      <c r="F670" s="1" t="s">
        <v>112</v>
      </c>
      <c r="G670" s="1">
        <v>178252</v>
      </c>
    </row>
    <row r="671" spans="1:7" x14ac:dyDescent="0.35">
      <c r="A671" s="1" t="str">
        <f t="shared" si="10"/>
        <v>21 Testo +  Pro 1000</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1555</v>
      </c>
      <c r="D671" s="1" t="s">
        <v>889</v>
      </c>
      <c r="E671" s="1" t="s">
        <v>1556</v>
      </c>
      <c r="F671" s="1" t="s">
        <v>112</v>
      </c>
      <c r="G671" s="1">
        <v>228931</v>
      </c>
    </row>
    <row r="672" spans="1:7" x14ac:dyDescent="0.35">
      <c r="A672" s="1" t="str">
        <f t="shared" si="10"/>
        <v>21 Testo +  Pro 1000</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1557</v>
      </c>
      <c r="D672" s="1" t="s">
        <v>1558</v>
      </c>
      <c r="E672" s="1" t="s">
        <v>1559</v>
      </c>
      <c r="F672" s="1" t="s">
        <v>112</v>
      </c>
      <c r="G672" s="1">
        <v>115590</v>
      </c>
    </row>
    <row r="673" spans="1:9" x14ac:dyDescent="0.35">
      <c r="A673" s="1" t="str">
        <f t="shared" si="10"/>
        <v>21 Testo +  Pro 1000</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1560</v>
      </c>
      <c r="D673" s="1" t="s">
        <v>1561</v>
      </c>
      <c r="E673" s="1" t="s">
        <v>1562</v>
      </c>
      <c r="F673" s="1" t="s">
        <v>112</v>
      </c>
      <c r="G673" s="1">
        <v>180610</v>
      </c>
    </row>
    <row r="674" spans="1:9" x14ac:dyDescent="0.35">
      <c r="A674" s="1" t="str">
        <f t="shared" si="10"/>
        <v>21 Testo +  Pro 1000</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1563</v>
      </c>
      <c r="D674" s="1" t="s">
        <v>1564</v>
      </c>
      <c r="E674" s="1" t="s">
        <v>1565</v>
      </c>
      <c r="F674" s="1" t="s">
        <v>112</v>
      </c>
      <c r="G674" s="1">
        <v>761026</v>
      </c>
    </row>
    <row r="675" spans="1:9" x14ac:dyDescent="0.35">
      <c r="A675" s="1" t="str">
        <f t="shared" si="10"/>
        <v>21 Testo +  Pro 1000</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1566</v>
      </c>
      <c r="D675" s="1" t="s">
        <v>1490</v>
      </c>
      <c r="E675" s="1" t="s">
        <v>1567</v>
      </c>
      <c r="F675" s="1" t="s">
        <v>112</v>
      </c>
      <c r="G675" s="1">
        <v>513883</v>
      </c>
    </row>
    <row r="676" spans="1:9" x14ac:dyDescent="0.35">
      <c r="A676" s="1" t="str">
        <f t="shared" si="10"/>
        <v>21 Testo +  Pro 1000</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1568</v>
      </c>
      <c r="D676" s="1" t="s">
        <v>1569</v>
      </c>
      <c r="E676" s="1" t="s">
        <v>1570</v>
      </c>
      <c r="F676" s="1" t="s">
        <v>112</v>
      </c>
      <c r="G676" s="1">
        <v>726462</v>
      </c>
    </row>
    <row r="677" spans="1:9" x14ac:dyDescent="0.35">
      <c r="A677" s="1" t="str">
        <f t="shared" si="10"/>
        <v>21 Testo +  Pro 1000</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1571</v>
      </c>
      <c r="D677" s="1" t="s">
        <v>1572</v>
      </c>
      <c r="E677" s="1" t="s">
        <v>1573</v>
      </c>
      <c r="F677" s="1" t="s">
        <v>112</v>
      </c>
      <c r="G677" s="1">
        <v>93160</v>
      </c>
    </row>
    <row r="678" spans="1:9" x14ac:dyDescent="0.35">
      <c r="A678" s="1" t="str">
        <f t="shared" si="10"/>
        <v>21 Testo +  Pro 1000</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1574</v>
      </c>
    </row>
    <row r="679" spans="1:9" x14ac:dyDescent="0.35">
      <c r="A679" s="1" t="str">
        <f t="shared" si="10"/>
        <v>21 Testo +  Pro 1000</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1575</v>
      </c>
      <c r="D679" s="1" t="s">
        <v>1576</v>
      </c>
      <c r="E679" s="1" t="s">
        <v>1577</v>
      </c>
      <c r="F679" s="1" t="s">
        <v>112</v>
      </c>
      <c r="G679" s="1">
        <v>350988</v>
      </c>
    </row>
    <row r="680" spans="1:9" x14ac:dyDescent="0.35">
      <c r="A680" s="1" t="str">
        <f t="shared" si="10"/>
        <v>21 Testo +  Pro 1000</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1578</v>
      </c>
      <c r="D680" s="1" t="s">
        <v>1579</v>
      </c>
      <c r="E680" s="1" t="s">
        <v>1580</v>
      </c>
      <c r="F680" s="1" t="s">
        <v>112</v>
      </c>
      <c r="G680" s="1">
        <v>684824</v>
      </c>
    </row>
    <row r="681" spans="1:9" x14ac:dyDescent="0.35">
      <c r="A681" s="1" t="str">
        <f t="shared" si="10"/>
        <v>21 Testo +  Pro 1000</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1581</v>
      </c>
      <c r="D681" s="1" t="s">
        <v>1582</v>
      </c>
      <c r="E681" s="1" t="s">
        <v>1583</v>
      </c>
      <c r="F681" s="1" t="s">
        <v>112</v>
      </c>
      <c r="G681" s="1">
        <v>558095</v>
      </c>
    </row>
    <row r="682" spans="1:9" x14ac:dyDescent="0.35">
      <c r="A682" s="1" t="str">
        <f t="shared" si="10"/>
        <v>21 Testo +  Pro 1000</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1584</v>
      </c>
      <c r="D682" s="1" t="s">
        <v>1585</v>
      </c>
      <c r="E682" s="1" t="s">
        <v>1586</v>
      </c>
      <c r="F682" s="1" t="s">
        <v>112</v>
      </c>
      <c r="G682" s="1">
        <v>948709</v>
      </c>
    </row>
    <row r="683" spans="1:9" x14ac:dyDescent="0.35">
      <c r="A683" s="1" t="str">
        <f t="shared" si="10"/>
        <v>21 Testo +  Pro 1000</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1587</v>
      </c>
      <c r="D683" s="1" t="s">
        <v>1588</v>
      </c>
      <c r="E683" s="1" t="s">
        <v>1589</v>
      </c>
      <c r="F683" s="1" t="s">
        <v>112</v>
      </c>
      <c r="G683" s="1">
        <v>440103</v>
      </c>
    </row>
    <row r="684" spans="1:9" x14ac:dyDescent="0.35">
      <c r="A684" s="1" t="str">
        <f t="shared" si="10"/>
        <v>21 Testo +  Pro 1000</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1590</v>
      </c>
    </row>
    <row r="685" spans="1:9" x14ac:dyDescent="0.35">
      <c r="A685" s="1" t="str">
        <f t="shared" si="10"/>
        <v>21 Testo +  Pro 1000</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1591</v>
      </c>
    </row>
    <row r="686" spans="1:9"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9"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241</v>
      </c>
      <c r="D687" s="1" t="s">
        <v>112</v>
      </c>
      <c r="E687" s="1" t="s">
        <v>242</v>
      </c>
      <c r="F687" s="1" t="s">
        <v>243</v>
      </c>
      <c r="G687" s="1" t="s">
        <v>244</v>
      </c>
      <c r="H687" s="1" t="s">
        <v>245</v>
      </c>
      <c r="I687" s="1" t="s">
        <v>246</v>
      </c>
    </row>
    <row r="688" spans="1:9" x14ac:dyDescent="0.35">
      <c r="A688" s="1" t="str">
        <f t="shared" si="10"/>
        <v>21 Testo +  Pro 1000</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1592</v>
      </c>
      <c r="D688" s="1" t="s">
        <v>112</v>
      </c>
      <c r="E688" s="1" t="s">
        <v>1593</v>
      </c>
      <c r="F688" s="1" t="s">
        <v>1594</v>
      </c>
      <c r="G688" s="1" t="s">
        <v>1595</v>
      </c>
      <c r="H688" s="1" t="s">
        <v>1596</v>
      </c>
      <c r="I688" s="1">
        <v>24</v>
      </c>
    </row>
    <row r="689" spans="1:4"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4"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4"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112</v>
      </c>
    </row>
    <row r="692" spans="1:4"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2" s="1" t="s">
        <v>112</v>
      </c>
    </row>
    <row r="693" spans="1:4"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3" s="1" t="s">
        <v>112</v>
      </c>
    </row>
    <row r="694" spans="1:4"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4" s="1" t="s">
        <v>112</v>
      </c>
    </row>
    <row r="695" spans="1:4"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695" s="1" t="s">
        <v>1597</v>
      </c>
    </row>
    <row r="696" spans="1:4"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696" s="1">
        <v>504</v>
      </c>
    </row>
    <row r="697" spans="1:4"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4"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4"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4"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4"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4"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4"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4"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opLeftCell="A27" zoomScale="85" zoomScaleNormal="85" zoomScaleSheetLayoutView="40" zoomScalePageLayoutView="30" workbookViewId="0">
      <pane xSplit="1" topLeftCell="N1" activePane="topRight" state="frozen"/>
      <selection pane="topRight" activeCell="AB13" sqref="AB13"/>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7" width="30.81640625" customWidth="1"/>
    <col min="18" max="18" width="28.453125" customWidth="1"/>
    <col min="19" max="21" width="25.81640625" style="1" customWidth="1"/>
    <col min="22" max="22" width="32.26953125" style="1" customWidth="1"/>
  </cols>
  <sheetData>
    <row r="1" spans="1:22" s="1" customFormat="1" ht="26.5" thickBot="1" x14ac:dyDescent="0.65">
      <c r="A1" s="210" t="s">
        <v>40</v>
      </c>
      <c r="B1" s="211"/>
      <c r="C1" s="211"/>
      <c r="D1" s="211"/>
      <c r="E1" s="211"/>
      <c r="F1" s="211"/>
      <c r="G1" s="211"/>
      <c r="H1" s="211"/>
      <c r="I1" s="211"/>
      <c r="J1" s="211"/>
      <c r="K1" s="211"/>
      <c r="L1" s="211"/>
      <c r="M1" s="211"/>
      <c r="N1" s="211"/>
      <c r="O1" s="211"/>
      <c r="P1" s="211"/>
      <c r="Q1" s="211"/>
      <c r="R1" s="211"/>
      <c r="S1" s="211"/>
      <c r="T1" s="211"/>
      <c r="U1" s="211"/>
      <c r="V1" s="211"/>
    </row>
    <row r="2" spans="1:22" ht="15" thickBot="1" x14ac:dyDescent="0.4">
      <c r="A2"/>
      <c r="B2"/>
      <c r="C2"/>
      <c r="D2"/>
      <c r="E2"/>
      <c r="F2"/>
      <c r="G2"/>
      <c r="H2"/>
      <c r="I2"/>
      <c r="J2"/>
      <c r="K2"/>
      <c r="L2"/>
      <c r="M2"/>
      <c r="S2"/>
      <c r="T2"/>
      <c r="U2"/>
      <c r="V2"/>
    </row>
    <row r="3" spans="1:22" ht="15" thickBot="1" x14ac:dyDescent="0.4">
      <c r="A3" s="51" t="s">
        <v>17</v>
      </c>
      <c r="B3" s="218" t="s">
        <v>6</v>
      </c>
      <c r="C3" s="219"/>
      <c r="D3" s="219"/>
      <c r="E3" s="219"/>
      <c r="F3" s="219"/>
      <c r="G3" s="219"/>
      <c r="H3" s="219"/>
      <c r="I3" s="219"/>
      <c r="J3" s="219"/>
      <c r="K3" s="219"/>
      <c r="L3" s="219"/>
      <c r="M3" s="219"/>
      <c r="O3" s="218" t="s">
        <v>3</v>
      </c>
      <c r="P3" s="219"/>
      <c r="Q3" s="219"/>
      <c r="R3" s="219"/>
      <c r="S3" s="219"/>
      <c r="T3" s="219"/>
      <c r="U3" s="219"/>
      <c r="V3" s="219"/>
    </row>
    <row r="4" spans="1:22" x14ac:dyDescent="0.3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Prochloraz-12µg/L</v>
      </c>
      <c r="J4" s="35" t="str">
        <f>'Page de garde'!A15</f>
        <v>Prochloraz-37µg/L</v>
      </c>
      <c r="K4" s="35" t="str">
        <f>'Page de garde'!A16</f>
        <v>Prochloraz-111µg/L</v>
      </c>
      <c r="L4" s="35" t="str">
        <f>'Page de garde'!A17</f>
        <v>Prochloraz-333µg/L</v>
      </c>
      <c r="M4" s="35" t="str">
        <f>'Page de garde'!A18</f>
        <v>Prochloraz-1000µg/L</v>
      </c>
      <c r="N4" s="3"/>
      <c r="O4" s="36" t="str">
        <f>'Page de garde'!A35</f>
        <v>Testo -30µg/L</v>
      </c>
      <c r="P4" s="36" t="str">
        <f>'Page de garde'!A36</f>
        <v>Testo 30µg/L + EE2 -64ng/L</v>
      </c>
      <c r="Q4" s="36" t="str">
        <f>'Page de garde'!A37</f>
        <v>Testo 30µg/L + FAD-10mg/L</v>
      </c>
      <c r="R4" s="36" t="str">
        <f>'Page de garde'!A38</f>
        <v>Prochloraz-12µg/L + Testostérone</v>
      </c>
      <c r="S4" s="36" t="str">
        <f>'Page de garde'!A39</f>
        <v>Prochloraz-37µg/L + Testostérone</v>
      </c>
      <c r="T4" s="36" t="str">
        <f>'Page de garde'!A40</f>
        <v>Prochloraz-111µg/L + Testostérone</v>
      </c>
      <c r="U4" s="36" t="str">
        <f>'Page de garde'!A41</f>
        <v>Prochloraz-333µg/L + Testostérone</v>
      </c>
      <c r="V4" s="36" t="str">
        <f>'Page de garde'!A42</f>
        <v>Prochloraz-1000µg/L + Testostérone</v>
      </c>
    </row>
    <row r="5" spans="1:22" ht="16.5" x14ac:dyDescent="0.35">
      <c r="A5" s="214" t="s">
        <v>33</v>
      </c>
      <c r="B5" s="73">
        <v>736743.33333333337</v>
      </c>
      <c r="C5" s="13">
        <v>94212.666666666672</v>
      </c>
      <c r="D5" s="32">
        <v>140449.66666666666</v>
      </c>
      <c r="E5" s="32">
        <v>415395</v>
      </c>
      <c r="F5" s="32">
        <v>951556.66666666663</v>
      </c>
      <c r="G5" s="32">
        <v>3847035.3333333335</v>
      </c>
      <c r="H5" s="32">
        <v>4425238.5</v>
      </c>
      <c r="I5" s="32">
        <v>141373.33333333334</v>
      </c>
      <c r="J5" s="16">
        <v>121019</v>
      </c>
      <c r="K5" s="13">
        <v>656250.66666666663</v>
      </c>
      <c r="L5" s="13">
        <v>536933.33333333337</v>
      </c>
      <c r="M5" s="13">
        <v>241829.33333333334</v>
      </c>
      <c r="N5" s="3"/>
      <c r="O5" s="32">
        <v>1823833</v>
      </c>
      <c r="P5" s="13">
        <v>1768795.5</v>
      </c>
      <c r="Q5" s="13">
        <v>19438</v>
      </c>
      <c r="R5" s="4">
        <v>263171</v>
      </c>
      <c r="S5" s="32">
        <v>4077913</v>
      </c>
      <c r="T5" s="32">
        <v>1009208</v>
      </c>
      <c r="U5" s="32">
        <v>23685</v>
      </c>
      <c r="V5" s="32"/>
    </row>
    <row r="6" spans="1:22" ht="16.5" x14ac:dyDescent="0.35">
      <c r="A6" s="215"/>
      <c r="B6" s="73">
        <v>55632</v>
      </c>
      <c r="C6" s="13">
        <v>403635</v>
      </c>
      <c r="D6" s="32">
        <v>140969.66666666666</v>
      </c>
      <c r="E6" s="32">
        <v>281037.33333333331</v>
      </c>
      <c r="F6" s="32">
        <v>1861743</v>
      </c>
      <c r="G6" s="32">
        <v>4068979.6666666665</v>
      </c>
      <c r="H6" s="32">
        <v>5773264</v>
      </c>
      <c r="I6" s="32">
        <v>80131.333333333328</v>
      </c>
      <c r="J6" s="16">
        <v>25725.333333333332</v>
      </c>
      <c r="K6" s="13">
        <v>30174</v>
      </c>
      <c r="L6" s="13">
        <v>169982</v>
      </c>
      <c r="M6" s="13">
        <v>40156</v>
      </c>
      <c r="N6" s="3"/>
      <c r="O6" s="32">
        <v>5391611.666666667</v>
      </c>
      <c r="P6" s="13">
        <v>1693004.5</v>
      </c>
      <c r="Q6" s="13">
        <v>179506</v>
      </c>
      <c r="R6" s="4">
        <v>3818469.3333333335</v>
      </c>
      <c r="S6" s="32">
        <v>2557893.6666666665</v>
      </c>
      <c r="T6" s="32">
        <v>2157387.5</v>
      </c>
      <c r="U6" s="32">
        <v>190790</v>
      </c>
      <c r="V6" s="32">
        <v>129692.66666666667</v>
      </c>
    </row>
    <row r="7" spans="1:22" ht="16.5" x14ac:dyDescent="0.35">
      <c r="A7" s="215"/>
      <c r="B7" s="73">
        <v>131228.5</v>
      </c>
      <c r="C7" s="13">
        <v>123218.33333333333</v>
      </c>
      <c r="D7" s="32">
        <v>562867.66666666663</v>
      </c>
      <c r="E7" s="32">
        <v>242644.5</v>
      </c>
      <c r="F7" s="32">
        <v>1937483.3333333333</v>
      </c>
      <c r="G7" s="32">
        <v>3052875.5</v>
      </c>
      <c r="H7" s="32">
        <v>4220136.666666667</v>
      </c>
      <c r="I7" s="32">
        <v>15920</v>
      </c>
      <c r="J7" s="16">
        <v>113239.66666666667</v>
      </c>
      <c r="K7" s="13">
        <v>24344.5</v>
      </c>
      <c r="L7" s="13">
        <v>381652.33333333331</v>
      </c>
      <c r="M7" s="13">
        <v>211756.33333333334</v>
      </c>
      <c r="N7" s="3"/>
      <c r="O7" s="32">
        <v>2270526.3333333335</v>
      </c>
      <c r="P7" s="13">
        <v>4358979</v>
      </c>
      <c r="Q7" s="13">
        <v>225888.33333333334</v>
      </c>
      <c r="R7" s="4">
        <v>1782274.3333333333</v>
      </c>
      <c r="S7" s="32">
        <v>246696.33333333334</v>
      </c>
      <c r="T7" s="32">
        <v>202012.5</v>
      </c>
      <c r="U7" s="32">
        <v>607367.66666666663</v>
      </c>
      <c r="V7" s="32">
        <v>368335.66666666669</v>
      </c>
    </row>
    <row r="8" spans="1:22" ht="16.5" x14ac:dyDescent="0.35">
      <c r="A8" s="215"/>
      <c r="B8" s="73">
        <v>440154</v>
      </c>
      <c r="C8" s="13">
        <v>604483.66666666663</v>
      </c>
      <c r="D8" s="32">
        <v>270251</v>
      </c>
      <c r="E8" s="32">
        <v>269804</v>
      </c>
      <c r="F8" s="32">
        <v>531201.33333333337</v>
      </c>
      <c r="G8" s="32">
        <v>4293829.666666667</v>
      </c>
      <c r="H8" s="32">
        <v>2963951.6666666665</v>
      </c>
      <c r="I8" s="32">
        <v>285384.66666666669</v>
      </c>
      <c r="J8" s="16">
        <v>110968.33333333333</v>
      </c>
      <c r="K8" s="13">
        <v>136448.66666666666</v>
      </c>
      <c r="L8" s="13">
        <v>87831.666666666672</v>
      </c>
      <c r="M8" s="13">
        <v>470501</v>
      </c>
      <c r="N8" s="3"/>
      <c r="O8" s="32">
        <v>3825225</v>
      </c>
      <c r="P8" s="13">
        <v>3848838</v>
      </c>
      <c r="Q8" s="13">
        <v>536104</v>
      </c>
      <c r="R8" s="4">
        <v>4572033.666666667</v>
      </c>
      <c r="S8" s="32">
        <v>101603</v>
      </c>
      <c r="T8" s="32">
        <v>4044307</v>
      </c>
      <c r="U8" s="32">
        <v>866068</v>
      </c>
      <c r="V8" s="32">
        <v>175043.66666666666</v>
      </c>
    </row>
    <row r="9" spans="1:22" ht="16.5" x14ac:dyDescent="0.35">
      <c r="A9" s="215"/>
      <c r="B9" s="73">
        <v>36583.333333333336</v>
      </c>
      <c r="C9" s="13">
        <v>141704.33333333334</v>
      </c>
      <c r="D9" s="32">
        <v>319005</v>
      </c>
      <c r="E9" s="32">
        <v>368551.66666666669</v>
      </c>
      <c r="F9" s="32">
        <v>632537.33333333337</v>
      </c>
      <c r="G9" s="32">
        <v>2723326.3333333335</v>
      </c>
      <c r="H9" s="32">
        <v>3391452</v>
      </c>
      <c r="I9" s="32">
        <v>48523</v>
      </c>
      <c r="J9" s="16"/>
      <c r="K9" s="13">
        <v>127076</v>
      </c>
      <c r="L9" s="13">
        <v>405337.33333333331</v>
      </c>
      <c r="M9" s="13">
        <v>354903</v>
      </c>
      <c r="N9" s="3"/>
      <c r="O9" s="32">
        <v>1087335</v>
      </c>
      <c r="P9" s="13">
        <v>1799390.6666666667</v>
      </c>
      <c r="Q9" s="13">
        <v>77911</v>
      </c>
      <c r="R9" s="4">
        <v>521453.33333333331</v>
      </c>
      <c r="S9" s="32">
        <v>682553</v>
      </c>
      <c r="T9" s="32">
        <v>601282</v>
      </c>
      <c r="U9" s="32">
        <v>2437415.3333333335</v>
      </c>
      <c r="V9" s="32">
        <v>667123.66666666663</v>
      </c>
    </row>
    <row r="10" spans="1:22" ht="16.5" x14ac:dyDescent="0.35">
      <c r="A10" s="215"/>
      <c r="B10" s="73">
        <v>81516</v>
      </c>
      <c r="C10" s="13">
        <v>91743</v>
      </c>
      <c r="D10" s="32">
        <v>372740.66666666669</v>
      </c>
      <c r="E10" s="32">
        <v>394068</v>
      </c>
      <c r="F10" s="32">
        <v>2655837</v>
      </c>
      <c r="G10" s="32">
        <v>2977535</v>
      </c>
      <c r="H10" s="32">
        <v>3617362</v>
      </c>
      <c r="I10" s="32">
        <v>78170.333333333328</v>
      </c>
      <c r="J10" s="16">
        <v>475317</v>
      </c>
      <c r="K10" s="13">
        <v>295774.66666666669</v>
      </c>
      <c r="L10" s="13">
        <v>179658</v>
      </c>
      <c r="M10" s="13">
        <v>405351.66666666669</v>
      </c>
      <c r="N10" s="3"/>
      <c r="O10" s="32">
        <v>281224.66666666669</v>
      </c>
      <c r="P10" s="13">
        <v>4510828</v>
      </c>
      <c r="Q10" s="13">
        <v>220938.5</v>
      </c>
      <c r="R10" s="4">
        <v>1062677</v>
      </c>
      <c r="S10" s="32">
        <v>1124466</v>
      </c>
      <c r="T10" s="32">
        <v>93758.333333333328</v>
      </c>
      <c r="U10" s="32">
        <v>141157</v>
      </c>
      <c r="V10" s="32">
        <v>222074</v>
      </c>
    </row>
    <row r="11" spans="1:22" ht="16.5" x14ac:dyDescent="0.35">
      <c r="A11" s="215"/>
      <c r="B11" s="73">
        <v>99281.333333333328</v>
      </c>
      <c r="C11" s="13">
        <v>182794.33333333334</v>
      </c>
      <c r="D11" s="32">
        <v>28313.666666666668</v>
      </c>
      <c r="E11" s="32">
        <v>239976.33333333334</v>
      </c>
      <c r="F11" s="32">
        <v>5082564</v>
      </c>
      <c r="G11" s="32">
        <v>3780574</v>
      </c>
      <c r="H11" s="32">
        <v>6348049.666666667</v>
      </c>
      <c r="I11" s="32">
        <v>518894</v>
      </c>
      <c r="J11" s="16">
        <v>78458.666666666672</v>
      </c>
      <c r="K11" s="13">
        <v>360455</v>
      </c>
      <c r="L11" s="13">
        <v>47095.666666666664</v>
      </c>
      <c r="M11" s="13">
        <v>1134055.3333333333</v>
      </c>
      <c r="N11" s="3"/>
      <c r="O11" s="32">
        <v>171359.33333333334</v>
      </c>
      <c r="P11" s="13">
        <v>1802448</v>
      </c>
      <c r="Q11" s="13">
        <v>455503.66666666669</v>
      </c>
      <c r="R11" s="4">
        <v>1442180.3333333333</v>
      </c>
      <c r="S11" s="32">
        <v>247193.66666666666</v>
      </c>
      <c r="T11" s="32">
        <v>1479542.6666666667</v>
      </c>
      <c r="U11" s="32">
        <v>601246</v>
      </c>
      <c r="V11" s="32">
        <v>730542.66666666663</v>
      </c>
    </row>
    <row r="12" spans="1:22" ht="16.5" x14ac:dyDescent="0.35">
      <c r="A12" s="215"/>
      <c r="B12" s="73">
        <v>139383</v>
      </c>
      <c r="C12" s="13">
        <v>297901.66666666669</v>
      </c>
      <c r="D12" s="32">
        <v>37455.666666666664</v>
      </c>
      <c r="E12" s="32">
        <v>260157</v>
      </c>
      <c r="F12" s="32">
        <v>2303577</v>
      </c>
      <c r="G12" s="32">
        <v>4178773</v>
      </c>
      <c r="H12" s="32">
        <v>7314112.666666667</v>
      </c>
      <c r="I12" s="32">
        <v>153478.66666666666</v>
      </c>
      <c r="J12" s="16">
        <v>229760.33333333334</v>
      </c>
      <c r="K12" s="13">
        <v>150717</v>
      </c>
      <c r="L12" s="13">
        <v>417190.33333333331</v>
      </c>
      <c r="M12" s="13">
        <v>534200.33333333337</v>
      </c>
      <c r="N12" s="3"/>
      <c r="O12" s="32">
        <v>172952.66666666666</v>
      </c>
      <c r="P12" s="13">
        <v>1269040.3333333333</v>
      </c>
      <c r="Q12" s="13">
        <v>164722.5</v>
      </c>
      <c r="R12" s="4">
        <v>525310.66666666663</v>
      </c>
      <c r="S12" s="32">
        <v>3908926</v>
      </c>
      <c r="T12" s="32">
        <v>568347</v>
      </c>
      <c r="U12" s="32">
        <v>48004</v>
      </c>
      <c r="V12" s="32">
        <v>440103</v>
      </c>
    </row>
    <row r="13" spans="1:22" ht="16.5" x14ac:dyDescent="0.35">
      <c r="A13" s="215"/>
      <c r="B13" s="14"/>
      <c r="C13" s="13"/>
      <c r="D13" s="16"/>
      <c r="E13" s="16"/>
      <c r="F13" s="16"/>
      <c r="G13" s="16"/>
      <c r="H13" s="16"/>
      <c r="I13" s="32"/>
      <c r="J13" s="16"/>
      <c r="K13" s="13"/>
      <c r="L13" s="13"/>
      <c r="M13" s="13"/>
      <c r="N13" s="3"/>
      <c r="O13" s="32">
        <v>152498</v>
      </c>
      <c r="P13" s="13"/>
      <c r="Q13" s="13"/>
      <c r="R13" s="4"/>
      <c r="S13" s="32"/>
      <c r="T13" s="32"/>
      <c r="U13" s="32"/>
      <c r="V13" s="32"/>
    </row>
    <row r="14" spans="1:22" ht="16.5" x14ac:dyDescent="0.35">
      <c r="A14" s="215"/>
      <c r="B14" s="14"/>
      <c r="C14" s="16"/>
      <c r="D14" s="16"/>
      <c r="E14" s="16"/>
      <c r="F14" s="16"/>
      <c r="G14" s="16"/>
      <c r="H14" s="16"/>
      <c r="I14" s="32"/>
      <c r="J14" s="16"/>
      <c r="K14" s="13"/>
      <c r="L14" s="13"/>
      <c r="M14" s="13"/>
      <c r="N14" s="3"/>
      <c r="O14" s="32">
        <v>26785</v>
      </c>
      <c r="P14" s="13"/>
      <c r="Q14" s="13"/>
      <c r="R14" s="4"/>
      <c r="S14" s="32"/>
      <c r="T14" s="32"/>
      <c r="U14" s="32"/>
      <c r="V14" s="32"/>
    </row>
    <row r="15" spans="1:22" ht="16.5" x14ac:dyDescent="0.35">
      <c r="A15" s="215"/>
      <c r="B15" s="14"/>
      <c r="C15" s="16"/>
      <c r="D15" s="16"/>
      <c r="E15" s="16"/>
      <c r="F15" s="16"/>
      <c r="G15" s="16"/>
      <c r="H15" s="16"/>
      <c r="I15" s="32"/>
      <c r="J15" s="16"/>
      <c r="K15" s="13"/>
      <c r="L15" s="13"/>
      <c r="M15" s="13"/>
      <c r="N15" s="3"/>
      <c r="O15" s="32">
        <v>1843544.6666666667</v>
      </c>
      <c r="P15" s="13"/>
      <c r="Q15" s="13"/>
      <c r="R15" s="4"/>
      <c r="S15" s="32"/>
      <c r="T15" s="32"/>
      <c r="U15" s="32"/>
      <c r="V15" s="32"/>
    </row>
    <row r="16" spans="1:22" ht="16.5" x14ac:dyDescent="0.35">
      <c r="A16" s="215"/>
      <c r="B16" s="14"/>
      <c r="C16" s="16"/>
      <c r="D16" s="16"/>
      <c r="E16" s="16"/>
      <c r="F16" s="16"/>
      <c r="G16" s="16"/>
      <c r="H16" s="16"/>
      <c r="I16" s="32"/>
      <c r="J16" s="16"/>
      <c r="K16" s="13"/>
      <c r="L16" s="13"/>
      <c r="M16" s="13"/>
      <c r="N16" s="3"/>
      <c r="O16" s="32">
        <v>540632</v>
      </c>
      <c r="P16" s="13"/>
      <c r="Q16" s="13"/>
      <c r="R16" s="4"/>
      <c r="S16" s="32"/>
      <c r="T16" s="32"/>
      <c r="U16" s="32"/>
      <c r="V16" s="32"/>
    </row>
    <row r="17" spans="1:22" s="1" customFormat="1" ht="16.5" x14ac:dyDescent="0.35">
      <c r="A17" s="215"/>
      <c r="B17" s="14"/>
      <c r="C17" s="32"/>
      <c r="D17" s="32"/>
      <c r="E17" s="32"/>
      <c r="F17" s="32"/>
      <c r="G17" s="32"/>
      <c r="H17" s="32"/>
      <c r="I17" s="32"/>
      <c r="J17" s="32"/>
      <c r="K17" s="13"/>
      <c r="L17" s="13"/>
      <c r="M17" s="13"/>
      <c r="N17" s="3"/>
      <c r="O17" s="32">
        <v>620511.33333333337</v>
      </c>
      <c r="P17" s="13"/>
      <c r="Q17" s="13"/>
      <c r="R17" s="32"/>
      <c r="S17" s="32"/>
      <c r="T17" s="32"/>
      <c r="U17" s="32"/>
      <c r="V17" s="32"/>
    </row>
    <row r="18" spans="1:22" s="1" customFormat="1" ht="16.5" x14ac:dyDescent="0.35">
      <c r="A18" s="215"/>
      <c r="B18" s="14"/>
      <c r="C18" s="32"/>
      <c r="D18" s="32"/>
      <c r="E18" s="32"/>
      <c r="F18" s="32"/>
      <c r="G18" s="32"/>
      <c r="H18" s="32"/>
      <c r="I18" s="32"/>
      <c r="J18" s="32"/>
      <c r="K18" s="13"/>
      <c r="L18" s="13"/>
      <c r="M18" s="13"/>
      <c r="N18" s="3"/>
      <c r="O18" s="32">
        <v>922407</v>
      </c>
      <c r="P18" s="13"/>
      <c r="Q18" s="13"/>
      <c r="R18" s="32"/>
      <c r="S18" s="32"/>
      <c r="T18" s="32"/>
      <c r="U18" s="32"/>
      <c r="V18" s="32"/>
    </row>
    <row r="19" spans="1:22" s="1" customFormat="1" ht="16.5" x14ac:dyDescent="0.35">
      <c r="A19" s="215"/>
      <c r="B19" s="14"/>
      <c r="C19" s="32"/>
      <c r="D19" s="32"/>
      <c r="E19" s="32"/>
      <c r="F19" s="32"/>
      <c r="G19" s="32"/>
      <c r="H19" s="32"/>
      <c r="I19" s="32"/>
      <c r="J19" s="32"/>
      <c r="K19" s="13"/>
      <c r="L19" s="13"/>
      <c r="M19" s="13"/>
      <c r="N19" s="3"/>
      <c r="O19" s="32">
        <v>2430638</v>
      </c>
      <c r="P19" s="13"/>
      <c r="Q19" s="13"/>
      <c r="R19" s="32"/>
      <c r="S19" s="32"/>
      <c r="T19" s="32"/>
      <c r="U19" s="32"/>
      <c r="V19" s="32"/>
    </row>
    <row r="20" spans="1:22" ht="16.5" x14ac:dyDescent="0.35">
      <c r="A20" s="215"/>
      <c r="B20" s="14"/>
      <c r="C20" s="16"/>
      <c r="D20" s="16"/>
      <c r="E20" s="16"/>
      <c r="F20" s="16"/>
      <c r="G20" s="16"/>
      <c r="H20" s="16"/>
      <c r="I20" s="32"/>
      <c r="J20" s="16"/>
      <c r="K20" s="13"/>
      <c r="L20" s="13"/>
      <c r="M20" s="13"/>
      <c r="N20" s="3"/>
      <c r="O20" s="32">
        <v>424155</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Prochloraz-12µg/L</v>
      </c>
      <c r="J22" s="68" t="str">
        <f t="shared" si="0"/>
        <v>Prochloraz-37µg/L</v>
      </c>
      <c r="K22" s="68" t="str">
        <f t="shared" si="0"/>
        <v>Prochloraz-111µg/L</v>
      </c>
      <c r="L22" s="68" t="str">
        <f t="shared" si="0"/>
        <v>Prochloraz-333µg/L</v>
      </c>
      <c r="M22" s="68" t="str">
        <f t="shared" si="0"/>
        <v>Prochloraz-1000µg/L</v>
      </c>
      <c r="N22" s="68" t="s">
        <v>47</v>
      </c>
      <c r="O22" s="68" t="str">
        <f t="shared" ref="O22:V22" si="1">O4</f>
        <v>Testo -30µg/L</v>
      </c>
      <c r="P22" s="68" t="str">
        <f t="shared" si="1"/>
        <v>Testo 30µg/L + EE2 -64ng/L</v>
      </c>
      <c r="Q22" s="68" t="str">
        <f t="shared" si="1"/>
        <v>Testo 30µg/L + FAD-10mg/L</v>
      </c>
      <c r="R22" s="68" t="str">
        <f t="shared" si="1"/>
        <v>Prochloraz-12µg/L + Testostérone</v>
      </c>
      <c r="S22" s="68" t="str">
        <f t="shared" si="1"/>
        <v>Prochloraz-37µg/L + Testostérone</v>
      </c>
      <c r="T22" s="68" t="str">
        <f t="shared" si="1"/>
        <v>Prochloraz-111µg/L + Testostérone</v>
      </c>
      <c r="U22" s="68" t="str">
        <f t="shared" si="1"/>
        <v>Prochloraz-333µg/L + Testostérone</v>
      </c>
      <c r="V22" s="68" t="str">
        <f t="shared" si="1"/>
        <v>Prochloraz-1000µg/L + Testostérone</v>
      </c>
    </row>
    <row r="23" spans="1:22" x14ac:dyDescent="0.35">
      <c r="A23" s="5" t="s">
        <v>0</v>
      </c>
      <c r="B23" s="5">
        <f t="shared" ref="B23:M23" si="2">AVERAGE(B5:B20)</f>
        <v>215065.1875</v>
      </c>
      <c r="C23" s="5">
        <f t="shared" si="2"/>
        <v>242461.62499999997</v>
      </c>
      <c r="D23" s="5">
        <f t="shared" si="2"/>
        <v>234006.62500000003</v>
      </c>
      <c r="E23" s="5">
        <f t="shared" si="2"/>
        <v>308954.22916666669</v>
      </c>
      <c r="F23" s="5">
        <f t="shared" si="2"/>
        <v>1994562.4583333333</v>
      </c>
      <c r="G23" s="5">
        <f t="shared" si="2"/>
        <v>3615366.0625</v>
      </c>
      <c r="H23" s="5">
        <f t="shared" si="2"/>
        <v>4756695.895833334</v>
      </c>
      <c r="I23" s="5">
        <f t="shared" si="2"/>
        <v>165234.41666666669</v>
      </c>
      <c r="J23" s="5">
        <f t="shared" si="2"/>
        <v>164926.90476190476</v>
      </c>
      <c r="K23" s="5">
        <f t="shared" si="2"/>
        <v>222655.0625</v>
      </c>
      <c r="L23" s="5">
        <f t="shared" si="2"/>
        <v>278210.08333333337</v>
      </c>
      <c r="M23" s="5">
        <f t="shared" si="2"/>
        <v>424094.12500000006</v>
      </c>
      <c r="N23" s="5" t="s">
        <v>0</v>
      </c>
      <c r="O23" s="5">
        <f t="shared" ref="O23:V23" si="3">AVERAGE(O5:O20)</f>
        <v>1374077.4166666665</v>
      </c>
      <c r="P23" s="5">
        <f t="shared" si="3"/>
        <v>2631415.4999999995</v>
      </c>
      <c r="Q23" s="5">
        <f t="shared" si="3"/>
        <v>235001.50000000003</v>
      </c>
      <c r="R23" s="5">
        <f t="shared" si="3"/>
        <v>1748446.2083333335</v>
      </c>
      <c r="S23" s="5">
        <f t="shared" si="3"/>
        <v>1618405.5833333333</v>
      </c>
      <c r="T23" s="5">
        <f t="shared" si="3"/>
        <v>1269480.625</v>
      </c>
      <c r="U23" s="5">
        <f t="shared" si="3"/>
        <v>614466.625</v>
      </c>
      <c r="V23" s="5">
        <f t="shared" si="3"/>
        <v>390416.47619047615</v>
      </c>
    </row>
    <row r="24" spans="1:22" x14ac:dyDescent="0.35">
      <c r="A24" s="3" t="s">
        <v>1</v>
      </c>
      <c r="B24" s="3">
        <f t="shared" ref="B24:M24" si="4">STDEV(B5:B20)</f>
        <v>246137.43110573181</v>
      </c>
      <c r="C24" s="3">
        <f t="shared" si="4"/>
        <v>182340.12620709758</v>
      </c>
      <c r="D24" s="3">
        <f t="shared" si="4"/>
        <v>182946.4206939945</v>
      </c>
      <c r="E24" s="3">
        <f t="shared" si="4"/>
        <v>71687.854743918855</v>
      </c>
      <c r="F24" s="3">
        <f t="shared" si="4"/>
        <v>1472307.5119164425</v>
      </c>
      <c r="G24" s="3">
        <f t="shared" si="4"/>
        <v>607504.124683431</v>
      </c>
      <c r="H24" s="3">
        <f t="shared" si="4"/>
        <v>1552871.1830608614</v>
      </c>
      <c r="I24" s="3">
        <f t="shared" si="4"/>
        <v>165165.61887945482</v>
      </c>
      <c r="J24" s="3">
        <f t="shared" si="4"/>
        <v>149950.11419514683</v>
      </c>
      <c r="K24" s="3">
        <f t="shared" si="4"/>
        <v>210597.26988074114</v>
      </c>
      <c r="L24" s="3">
        <f t="shared" si="4"/>
        <v>178964.68647404699</v>
      </c>
      <c r="M24" s="3">
        <f t="shared" si="4"/>
        <v>327147.16214610799</v>
      </c>
      <c r="N24" s="3" t="s">
        <v>1</v>
      </c>
      <c r="O24" s="3">
        <f t="shared" ref="O24:V24" si="5">STDEV(O5:O20)</f>
        <v>1512909.1453151298</v>
      </c>
      <c r="P24" s="3">
        <f t="shared" si="5"/>
        <v>1355361.3929557898</v>
      </c>
      <c r="Q24" s="3">
        <f t="shared" si="5"/>
        <v>176768.07843304935</v>
      </c>
      <c r="R24" s="3">
        <f t="shared" si="5"/>
        <v>1604924.5163068455</v>
      </c>
      <c r="S24" s="3">
        <f t="shared" si="5"/>
        <v>1663069.1594586114</v>
      </c>
      <c r="T24" s="3">
        <f t="shared" si="5"/>
        <v>1312565.4703840725</v>
      </c>
      <c r="U24" s="3">
        <f t="shared" si="5"/>
        <v>798220.98111983924</v>
      </c>
      <c r="V24" s="3">
        <f t="shared" si="5"/>
        <v>237315.0327909092</v>
      </c>
    </row>
    <row r="25" spans="1:22" ht="15" thickBot="1" x14ac:dyDescent="0.4"/>
    <row r="26" spans="1:22" ht="15" thickBot="1" x14ac:dyDescent="0.4">
      <c r="B26" s="218" t="s">
        <v>6</v>
      </c>
      <c r="C26" s="219"/>
      <c r="D26" s="219"/>
      <c r="E26" s="219"/>
      <c r="F26" s="219"/>
      <c r="G26" s="219"/>
      <c r="H26" s="219"/>
      <c r="I26" s="219"/>
      <c r="J26" s="219"/>
      <c r="K26" s="219"/>
      <c r="L26" s="219"/>
      <c r="M26" s="219"/>
      <c r="N26" s="1"/>
      <c r="O26" s="218" t="s">
        <v>3</v>
      </c>
      <c r="P26" s="219"/>
      <c r="Q26" s="219"/>
      <c r="R26" s="219"/>
      <c r="S26" s="219"/>
      <c r="T26" s="219"/>
      <c r="U26" s="219"/>
      <c r="V26" s="219"/>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Prochloraz-12µg/L</v>
      </c>
      <c r="J27" s="35" t="str">
        <f t="shared" si="6"/>
        <v>Prochloraz-37µg/L</v>
      </c>
      <c r="K27" s="35" t="str">
        <f t="shared" si="6"/>
        <v>Prochloraz-111µg/L</v>
      </c>
      <c r="L27" s="35" t="str">
        <f t="shared" si="6"/>
        <v>Prochloraz-333µg/L</v>
      </c>
      <c r="M27" s="35" t="str">
        <f t="shared" si="6"/>
        <v>Prochloraz-1000µg/L</v>
      </c>
      <c r="N27" s="3"/>
      <c r="O27" s="36" t="str">
        <f t="shared" ref="O27:V27" si="7">O4</f>
        <v>Testo -30µg/L</v>
      </c>
      <c r="P27" s="36" t="str">
        <f t="shared" si="7"/>
        <v>Testo 30µg/L + EE2 -64ng/L</v>
      </c>
      <c r="Q27" s="36" t="str">
        <f t="shared" si="7"/>
        <v>Testo 30µg/L + FAD-10mg/L</v>
      </c>
      <c r="R27" s="36" t="str">
        <f t="shared" si="7"/>
        <v>Prochloraz-12µg/L + Testostérone</v>
      </c>
      <c r="S27" s="36" t="str">
        <f t="shared" si="7"/>
        <v>Prochloraz-37µg/L + Testostérone</v>
      </c>
      <c r="T27" s="36" t="str">
        <f t="shared" si="7"/>
        <v>Prochloraz-111µg/L + Testostérone</v>
      </c>
      <c r="U27" s="36" t="str">
        <f t="shared" si="7"/>
        <v>Prochloraz-333µg/L + Testostérone</v>
      </c>
      <c r="V27" s="36" t="str">
        <f t="shared" si="7"/>
        <v>Prochloraz-1000µg/L + Testostérone</v>
      </c>
    </row>
    <row r="28" spans="1:22" x14ac:dyDescent="0.35">
      <c r="A28" s="216" t="s">
        <v>34</v>
      </c>
      <c r="B28" s="11">
        <f t="shared" ref="B28:M28" si="8">IF(B5="","",(B5/$O$23))</f>
        <v>0.53617308922853635</v>
      </c>
      <c r="C28" s="11">
        <f t="shared" si="8"/>
        <v>6.8564307602998364E-2</v>
      </c>
      <c r="D28" s="11">
        <f t="shared" si="8"/>
        <v>0.10221379447992045</v>
      </c>
      <c r="E28" s="11">
        <f t="shared" si="8"/>
        <v>0.30230829425003897</v>
      </c>
      <c r="F28" s="11">
        <f t="shared" si="8"/>
        <v>0.69250586256997049</v>
      </c>
      <c r="G28" s="11">
        <f t="shared" si="8"/>
        <v>2.7997224076833618</v>
      </c>
      <c r="H28" s="11">
        <f t="shared" si="8"/>
        <v>3.2205161414667991</v>
      </c>
      <c r="I28" s="11">
        <f t="shared" si="8"/>
        <v>0.10288600308728361</v>
      </c>
      <c r="J28" s="11">
        <f t="shared" si="8"/>
        <v>8.8072912437187414E-2</v>
      </c>
      <c r="K28" s="11">
        <f t="shared" si="8"/>
        <v>0.4775936629965476</v>
      </c>
      <c r="L28" s="11">
        <f t="shared" si="8"/>
        <v>0.39075915725029814</v>
      </c>
      <c r="M28" s="11">
        <f t="shared" si="8"/>
        <v>0.17599396540551546</v>
      </c>
      <c r="N28" s="6"/>
      <c r="O28" s="11">
        <f t="shared" ref="O28:V28" si="9">IF(O5="","",(O5/$O$23))</f>
        <v>1.3273145878668047</v>
      </c>
      <c r="P28" s="11">
        <f t="shared" si="9"/>
        <v>1.2872604400200889</v>
      </c>
      <c r="Q28" s="11">
        <f t="shared" si="9"/>
        <v>1.4146218956974103E-2</v>
      </c>
      <c r="R28" s="11">
        <f t="shared" si="9"/>
        <v>0.19152559878206768</v>
      </c>
      <c r="S28" s="11">
        <f t="shared" si="9"/>
        <v>2.9677461768438693</v>
      </c>
      <c r="T28" s="11">
        <f t="shared" si="9"/>
        <v>0.73446225646310936</v>
      </c>
      <c r="U28" s="11">
        <f t="shared" si="9"/>
        <v>1.7237020063583269E-2</v>
      </c>
      <c r="V28" s="11" t="str">
        <f t="shared" si="9"/>
        <v/>
      </c>
    </row>
    <row r="29" spans="1:22" x14ac:dyDescent="0.35">
      <c r="A29" s="217"/>
      <c r="B29" s="11">
        <f t="shared" ref="B29:M29" si="10">IF(B6="","",(B6/$O$23))</f>
        <v>4.0486801780758475E-2</v>
      </c>
      <c r="C29" s="11">
        <f t="shared" si="10"/>
        <v>0.29374982450345927</v>
      </c>
      <c r="D29" s="11">
        <f t="shared" si="10"/>
        <v>0.10259223021701409</v>
      </c>
      <c r="E29" s="11">
        <f t="shared" si="10"/>
        <v>0.20452801998237727</v>
      </c>
      <c r="F29" s="11">
        <f t="shared" si="10"/>
        <v>1.354904008622998</v>
      </c>
      <c r="G29" s="11">
        <f t="shared" si="10"/>
        <v>2.9612448449502091</v>
      </c>
      <c r="H29" s="11">
        <f t="shared" si="10"/>
        <v>4.2015565716851597</v>
      </c>
      <c r="I29" s="11">
        <f t="shared" si="10"/>
        <v>5.8316461912110852E-2</v>
      </c>
      <c r="J29" s="11">
        <f t="shared" si="10"/>
        <v>1.8721895157653965E-2</v>
      </c>
      <c r="K29" s="11">
        <f t="shared" si="10"/>
        <v>2.1959461405892406E-2</v>
      </c>
      <c r="L29" s="11">
        <f t="shared" si="10"/>
        <v>0.12370627588971972</v>
      </c>
      <c r="M29" s="11">
        <f t="shared" si="10"/>
        <v>2.9223972036024903E-2</v>
      </c>
      <c r="N29" s="6"/>
      <c r="O29" s="11">
        <f t="shared" ref="O29:V29" si="11">IF(O6="","",(O6/$O$23))</f>
        <v>3.9238048753803239</v>
      </c>
      <c r="P29" s="11">
        <f t="shared" si="11"/>
        <v>1.2321027035776553</v>
      </c>
      <c r="Q29" s="11">
        <f t="shared" si="11"/>
        <v>0.13063747196679665</v>
      </c>
      <c r="R29" s="11">
        <f t="shared" si="11"/>
        <v>2.7789331860183282</v>
      </c>
      <c r="S29" s="11">
        <f t="shared" si="11"/>
        <v>1.8615353368311551</v>
      </c>
      <c r="T29" s="11">
        <f t="shared" si="11"/>
        <v>1.5700625553060483</v>
      </c>
      <c r="U29" s="11">
        <f t="shared" si="11"/>
        <v>0.13884952746172904</v>
      </c>
      <c r="V29" s="11">
        <f t="shared" si="11"/>
        <v>9.4385269049311826E-2</v>
      </c>
    </row>
    <row r="30" spans="1:22" x14ac:dyDescent="0.35">
      <c r="A30" s="217"/>
      <c r="B30" s="11">
        <f t="shared" ref="B30:M30" si="12">IF(B7="","",(B7/$O$23))</f>
        <v>9.5502988702298383E-2</v>
      </c>
      <c r="C30" s="11">
        <f t="shared" si="12"/>
        <v>8.9673501535484812E-2</v>
      </c>
      <c r="D30" s="11">
        <f t="shared" si="12"/>
        <v>0.40963315446382237</v>
      </c>
      <c r="E30" s="11">
        <f t="shared" si="12"/>
        <v>0.17658721194081195</v>
      </c>
      <c r="F30" s="11">
        <f t="shared" si="12"/>
        <v>1.4100248718397661</v>
      </c>
      <c r="G30" s="11">
        <f t="shared" si="12"/>
        <v>2.2217638271109061</v>
      </c>
      <c r="H30" s="11">
        <f t="shared" si="12"/>
        <v>3.0712510193961058</v>
      </c>
      <c r="I30" s="11">
        <f t="shared" si="12"/>
        <v>1.1585955643328929E-2</v>
      </c>
      <c r="J30" s="11">
        <f t="shared" si="12"/>
        <v>8.2411416775461904E-2</v>
      </c>
      <c r="K30" s="11">
        <f t="shared" si="12"/>
        <v>1.7716978464762632E-2</v>
      </c>
      <c r="L30" s="11">
        <f t="shared" si="12"/>
        <v>0.27775169630483582</v>
      </c>
      <c r="M30" s="11">
        <f t="shared" si="12"/>
        <v>0.15410800786394316</v>
      </c>
      <c r="N30" s="6"/>
      <c r="O30" s="11">
        <f t="shared" ref="O30:V30" si="13">IF(O7="","",(O7/$O$23))</f>
        <v>1.6524005895106957</v>
      </c>
      <c r="P30" s="11">
        <f t="shared" si="13"/>
        <v>3.1722950593091888</v>
      </c>
      <c r="Q30" s="11">
        <f t="shared" si="13"/>
        <v>0.16439272678049621</v>
      </c>
      <c r="R30" s="11">
        <f t="shared" si="13"/>
        <v>1.2970698096886706</v>
      </c>
      <c r="S30" s="11">
        <f t="shared" si="13"/>
        <v>0.17953597835250551</v>
      </c>
      <c r="T30" s="11">
        <f t="shared" si="13"/>
        <v>0.14701682565313978</v>
      </c>
      <c r="U30" s="11">
        <f t="shared" si="13"/>
        <v>0.44201852042664508</v>
      </c>
      <c r="V30" s="11">
        <f t="shared" si="13"/>
        <v>0.26806034521708477</v>
      </c>
    </row>
    <row r="31" spans="1:22" x14ac:dyDescent="0.35">
      <c r="A31" s="217"/>
      <c r="B31" s="11">
        <f t="shared" ref="B31:M31" si="14">IF(B8="","",(B8/$O$23))</f>
        <v>0.3203269296629272</v>
      </c>
      <c r="C31" s="11">
        <f t="shared" si="14"/>
        <v>0.43991965760784102</v>
      </c>
      <c r="D31" s="11">
        <f t="shared" si="14"/>
        <v>0.1966781468948044</v>
      </c>
      <c r="E31" s="11">
        <f t="shared" si="14"/>
        <v>0.19635283771311043</v>
      </c>
      <c r="F31" s="11">
        <f t="shared" si="14"/>
        <v>0.38658763100987342</v>
      </c>
      <c r="G31" s="11">
        <f t="shared" si="14"/>
        <v>3.1248819131915728</v>
      </c>
      <c r="H31" s="11">
        <f t="shared" si="14"/>
        <v>2.1570485263172641</v>
      </c>
      <c r="I31" s="11">
        <f t="shared" si="14"/>
        <v>0.20769183977928468</v>
      </c>
      <c r="J31" s="11">
        <f t="shared" si="14"/>
        <v>8.0758428882797675E-2</v>
      </c>
      <c r="K31" s="11">
        <f t="shared" si="14"/>
        <v>9.9302022587397884E-2</v>
      </c>
      <c r="L31" s="11">
        <f t="shared" si="14"/>
        <v>6.3920464452239451E-2</v>
      </c>
      <c r="M31" s="11">
        <f t="shared" si="14"/>
        <v>0.34241229372750653</v>
      </c>
      <c r="N31" s="6"/>
      <c r="O31" s="11">
        <f t="shared" ref="O31:V31" si="15">IF(O8="","",(O8/$O$23))</f>
        <v>2.7838496969694031</v>
      </c>
      <c r="P31" s="11">
        <f t="shared" si="15"/>
        <v>2.8010343182386195</v>
      </c>
      <c r="Q31" s="11">
        <f t="shared" si="15"/>
        <v>0.39015560076703593</v>
      </c>
      <c r="R31" s="11">
        <f t="shared" si="15"/>
        <v>3.3273479435808118</v>
      </c>
      <c r="S31" s="11">
        <f t="shared" si="15"/>
        <v>7.3942704222936501E-2</v>
      </c>
      <c r="T31" s="11">
        <f t="shared" si="15"/>
        <v>2.9432890395731586</v>
      </c>
      <c r="U31" s="11">
        <f t="shared" si="15"/>
        <v>0.63029054221775116</v>
      </c>
      <c r="V31" s="11">
        <f t="shared" si="15"/>
        <v>0.12738995965110894</v>
      </c>
    </row>
    <row r="32" spans="1:22" x14ac:dyDescent="0.35">
      <c r="A32" s="217"/>
      <c r="B32" s="11">
        <f t="shared" ref="B32:M32" si="16">IF(B9="","",(B9/$O$23))</f>
        <v>2.6623924452582704E-2</v>
      </c>
      <c r="C32" s="11">
        <f t="shared" si="16"/>
        <v>0.10312689198916439</v>
      </c>
      <c r="D32" s="11">
        <f t="shared" si="16"/>
        <v>0.23215940829146639</v>
      </c>
      <c r="E32" s="11">
        <f t="shared" si="16"/>
        <v>0.26821754160018524</v>
      </c>
      <c r="F32" s="11">
        <f t="shared" si="16"/>
        <v>0.46033602303703297</v>
      </c>
      <c r="G32" s="11">
        <f t="shared" si="16"/>
        <v>1.9819307851953274</v>
      </c>
      <c r="H32" s="11">
        <f t="shared" si="16"/>
        <v>2.4681666104572351</v>
      </c>
      <c r="I32" s="11">
        <f t="shared" si="16"/>
        <v>3.5313148598068445E-2</v>
      </c>
      <c r="J32" s="11" t="str">
        <f t="shared" si="16"/>
        <v/>
      </c>
      <c r="K32" s="11">
        <f t="shared" si="16"/>
        <v>9.2480961013295657E-2</v>
      </c>
      <c r="L32" s="11">
        <f t="shared" si="16"/>
        <v>0.29498871636841911</v>
      </c>
      <c r="M32" s="11">
        <f t="shared" si="16"/>
        <v>0.25828457384952053</v>
      </c>
      <c r="N32" s="6"/>
      <c r="O32" s="11">
        <f t="shared" ref="O32:V32" si="17">IF(O9="","",(O9/$O$23))</f>
        <v>0.79132004267833289</v>
      </c>
      <c r="P32" s="11">
        <f t="shared" si="17"/>
        <v>1.309526410114326</v>
      </c>
      <c r="Q32" s="11">
        <f t="shared" si="17"/>
        <v>5.6700589832123123E-2</v>
      </c>
      <c r="R32" s="11">
        <f t="shared" si="17"/>
        <v>0.37949341646143303</v>
      </c>
      <c r="S32" s="11">
        <f t="shared" si="17"/>
        <v>0.49673547627016895</v>
      </c>
      <c r="T32" s="11">
        <f t="shared" si="17"/>
        <v>0.4375896093675945</v>
      </c>
      <c r="U32" s="11">
        <f t="shared" si="17"/>
        <v>1.773855900525741</v>
      </c>
      <c r="V32" s="11">
        <f t="shared" si="17"/>
        <v>0.48550660870696943</v>
      </c>
    </row>
    <row r="33" spans="1:22" x14ac:dyDescent="0.35">
      <c r="A33" s="217"/>
      <c r="B33" s="11">
        <f t="shared" ref="B33:M33" si="18">IF(B10="","",(B10/$O$23))</f>
        <v>5.9324168355628197E-2</v>
      </c>
      <c r="C33" s="11">
        <f t="shared" si="18"/>
        <v>6.6766980438814433E-2</v>
      </c>
      <c r="D33" s="11">
        <f t="shared" si="18"/>
        <v>0.27126613256688781</v>
      </c>
      <c r="E33" s="11">
        <f t="shared" si="18"/>
        <v>0.28678733470196888</v>
      </c>
      <c r="F33" s="11">
        <f t="shared" si="18"/>
        <v>1.9328146782607896</v>
      </c>
      <c r="G33" s="11">
        <f t="shared" si="18"/>
        <v>2.1669339470137814</v>
      </c>
      <c r="H33" s="11">
        <f t="shared" si="18"/>
        <v>2.6325751053934434</v>
      </c>
      <c r="I33" s="11">
        <f t="shared" si="18"/>
        <v>5.6889322526648037E-2</v>
      </c>
      <c r="J33" s="11">
        <f t="shared" si="18"/>
        <v>0.3459171908618201</v>
      </c>
      <c r="K33" s="11">
        <f t="shared" si="18"/>
        <v>0.21525327691082913</v>
      </c>
      <c r="L33" s="11">
        <f t="shared" si="18"/>
        <v>0.13074809164379325</v>
      </c>
      <c r="M33" s="11">
        <f t="shared" si="18"/>
        <v>0.29499914760989032</v>
      </c>
      <c r="N33" s="6"/>
      <c r="O33" s="11">
        <f t="shared" ref="O33:V33" si="19">IF(O10="","",(O10/$O$23))</f>
        <v>0.2046643538825354</v>
      </c>
      <c r="P33" s="11">
        <f t="shared" si="19"/>
        <v>3.2828048443898332</v>
      </c>
      <c r="Q33" s="11">
        <f t="shared" si="19"/>
        <v>0.1607904309612832</v>
      </c>
      <c r="R33" s="11">
        <f t="shared" si="19"/>
        <v>0.77337491112976475</v>
      </c>
      <c r="S33" s="11">
        <f t="shared" si="19"/>
        <v>0.81834253758991871</v>
      </c>
      <c r="T33" s="11">
        <f t="shared" si="19"/>
        <v>6.8233661507063323E-2</v>
      </c>
      <c r="U33" s="11">
        <f t="shared" si="19"/>
        <v>0.10272856411717221</v>
      </c>
      <c r="V33" s="11">
        <f t="shared" si="19"/>
        <v>0.16161680361410982</v>
      </c>
    </row>
    <row r="34" spans="1:22" x14ac:dyDescent="0.35">
      <c r="A34" s="217"/>
      <c r="B34" s="11">
        <f t="shared" ref="B34:M34" si="20">IF(B11="","",(B11/$O$23))</f>
        <v>7.2253085691617702E-2</v>
      </c>
      <c r="C34" s="11">
        <f t="shared" si="20"/>
        <v>0.13303059282989213</v>
      </c>
      <c r="D34" s="11">
        <f t="shared" si="20"/>
        <v>2.0605583297738747E-2</v>
      </c>
      <c r="E34" s="11">
        <f t="shared" si="20"/>
        <v>0.17464542421160287</v>
      </c>
      <c r="F34" s="11">
        <f t="shared" si="20"/>
        <v>3.6988920262801792</v>
      </c>
      <c r="G34" s="11">
        <f t="shared" si="20"/>
        <v>2.7513544390906168</v>
      </c>
      <c r="H34" s="11">
        <f t="shared" si="20"/>
        <v>4.6198631821387561</v>
      </c>
      <c r="I34" s="11">
        <f t="shared" si="20"/>
        <v>0.37763083339130155</v>
      </c>
      <c r="J34" s="11">
        <f t="shared" si="20"/>
        <v>5.7099160291126258E-2</v>
      </c>
      <c r="K34" s="11">
        <f t="shared" si="20"/>
        <v>0.26232510310402818</v>
      </c>
      <c r="L34" s="11">
        <f t="shared" si="20"/>
        <v>3.4274391017148541E-2</v>
      </c>
      <c r="M34" s="11">
        <f t="shared" si="20"/>
        <v>0.8253212807211433</v>
      </c>
      <c r="N34" s="6"/>
      <c r="O34" s="11">
        <f t="shared" ref="O34:V34" si="21">IF(O11="","",(O11/$O$23))</f>
        <v>0.124708645418996</v>
      </c>
      <c r="P34" s="11">
        <f t="shared" si="21"/>
        <v>1.3117514181788279</v>
      </c>
      <c r="Q34" s="11">
        <f t="shared" si="21"/>
        <v>0.33149781893050789</v>
      </c>
      <c r="R34" s="11">
        <f t="shared" si="21"/>
        <v>1.0495626489749577</v>
      </c>
      <c r="S34" s="11">
        <f t="shared" si="21"/>
        <v>0.17989791817285405</v>
      </c>
      <c r="T34" s="11">
        <f t="shared" si="21"/>
        <v>1.0767534992721481</v>
      </c>
      <c r="U34" s="11">
        <f t="shared" si="21"/>
        <v>0.4375634099704111</v>
      </c>
      <c r="V34" s="11">
        <f t="shared" si="21"/>
        <v>0.53166048565070545</v>
      </c>
    </row>
    <row r="35" spans="1:22" x14ac:dyDescent="0.35">
      <c r="A35" s="217"/>
      <c r="B35" s="11">
        <f t="shared" ref="B35:M35" si="22">IF(B12="","",(B12/$O$23))</f>
        <v>0.10143751604485653</v>
      </c>
      <c r="C35" s="11">
        <f t="shared" si="22"/>
        <v>0.21680122462774876</v>
      </c>
      <c r="D35" s="11">
        <f t="shared" si="22"/>
        <v>2.725877466025841E-2</v>
      </c>
      <c r="E35" s="11">
        <f t="shared" si="22"/>
        <v>0.18933212702899019</v>
      </c>
      <c r="F35" s="11">
        <f t="shared" si="22"/>
        <v>1.6764535768211508</v>
      </c>
      <c r="G35" s="11">
        <f t="shared" si="22"/>
        <v>3.0411481546193815</v>
      </c>
      <c r="H35" s="11">
        <f t="shared" si="22"/>
        <v>5.3229261888385846</v>
      </c>
      <c r="I35" s="11">
        <f t="shared" si="22"/>
        <v>0.1116957929772152</v>
      </c>
      <c r="J35" s="11">
        <f t="shared" si="22"/>
        <v>0.1672106174997782</v>
      </c>
      <c r="K35" s="11">
        <f t="shared" si="22"/>
        <v>0.10968595959143254</v>
      </c>
      <c r="L35" s="11">
        <f t="shared" si="22"/>
        <v>0.30361486789105591</v>
      </c>
      <c r="M35" s="11">
        <f t="shared" si="22"/>
        <v>0.3887701863474578</v>
      </c>
      <c r="N35" s="6"/>
      <c r="O35" s="11">
        <f t="shared" ref="O35:V35" si="23">IF(O12="","",(O12/$O$23))</f>
        <v>0.12586821133137271</v>
      </c>
      <c r="P35" s="11">
        <f t="shared" si="23"/>
        <v>0.92355810374342695</v>
      </c>
      <c r="Q35" s="11">
        <f t="shared" si="23"/>
        <v>0.11987861673732722</v>
      </c>
      <c r="R35" s="11">
        <f t="shared" si="23"/>
        <v>0.38230063335223291</v>
      </c>
      <c r="S35" s="11">
        <f t="shared" si="23"/>
        <v>2.8447640231818578</v>
      </c>
      <c r="T35" s="11">
        <f t="shared" si="23"/>
        <v>0.41362079974994137</v>
      </c>
      <c r="U35" s="11">
        <f t="shared" si="23"/>
        <v>3.4935440622007652E-2</v>
      </c>
      <c r="V35" s="11">
        <f t="shared" si="23"/>
        <v>0.32028981385025074</v>
      </c>
    </row>
    <row r="36" spans="1:22" s="1" customFormat="1" x14ac:dyDescent="0.35">
      <c r="A36" s="217"/>
      <c r="B36" s="11" t="str">
        <f t="shared" ref="B36:M36" si="24">IF(B13="","",(B13/$O$23))</f>
        <v/>
      </c>
      <c r="C36" s="11" t="str">
        <f t="shared" si="24"/>
        <v/>
      </c>
      <c r="D36" s="11" t="str">
        <f t="shared" si="24"/>
        <v/>
      </c>
      <c r="E36" s="11" t="str">
        <f t="shared" si="24"/>
        <v/>
      </c>
      <c r="F36" s="11" t="str">
        <f t="shared" si="24"/>
        <v/>
      </c>
      <c r="G36" s="11" t="str">
        <f t="shared" si="24"/>
        <v/>
      </c>
      <c r="H36" s="11" t="str">
        <f t="shared" si="24"/>
        <v/>
      </c>
      <c r="I36" s="11" t="str">
        <f t="shared" si="24"/>
        <v/>
      </c>
      <c r="J36" s="11" t="str">
        <f t="shared" si="24"/>
        <v/>
      </c>
      <c r="K36" s="11" t="str">
        <f t="shared" si="24"/>
        <v/>
      </c>
      <c r="L36" s="11" t="str">
        <f t="shared" si="24"/>
        <v/>
      </c>
      <c r="M36" s="11" t="str">
        <f t="shared" si="24"/>
        <v/>
      </c>
      <c r="N36" s="6"/>
      <c r="O36" s="11">
        <f t="shared" ref="O36:V36" si="25">IF(O13="","",(O13/$O$23))</f>
        <v>0.11098210199097833</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5">
      <c r="A37" s="217"/>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1.9493079265487774E-2</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5">
      <c r="A38" s="217"/>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1.3416599707597749</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5">
      <c r="A39" s="217"/>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0.39345090272388222</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5">
      <c r="A40" s="217"/>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0.45158396885570928</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5">
      <c r="A41" s="217"/>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0.67129187104875043</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5">
      <c r="A42" s="217"/>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1.7689236214189534</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5">
      <c r="A43" s="217"/>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0.30868348089800135</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Prochloraz-12µg/L</v>
      </c>
      <c r="J45" s="70" t="str">
        <f t="shared" si="46"/>
        <v>Prochloraz-37µg/L</v>
      </c>
      <c r="K45" s="70" t="str">
        <f t="shared" si="46"/>
        <v>Prochloraz-111µg/L</v>
      </c>
      <c r="L45" s="70" t="str">
        <f t="shared" si="46"/>
        <v>Prochloraz-333µg/L</v>
      </c>
      <c r="M45" s="70" t="str">
        <f t="shared" si="46"/>
        <v>Prochloraz-1000µg/L</v>
      </c>
      <c r="N45" s="70" t="str">
        <f>N22</f>
        <v>Nom des groupes</v>
      </c>
      <c r="O45" s="70" t="str">
        <f t="shared" ref="O45:V45" si="47">O4</f>
        <v>Testo -30µg/L</v>
      </c>
      <c r="P45" s="70" t="str">
        <f t="shared" si="47"/>
        <v>Testo 30µg/L + EE2 -64ng/L</v>
      </c>
      <c r="Q45" s="70" t="str">
        <f t="shared" si="47"/>
        <v>Testo 30µg/L + FAD-10mg/L</v>
      </c>
      <c r="R45" s="70" t="str">
        <f t="shared" si="47"/>
        <v>Prochloraz-12µg/L + Testostérone</v>
      </c>
      <c r="S45" s="70" t="str">
        <f t="shared" si="47"/>
        <v>Prochloraz-37µg/L + Testostérone</v>
      </c>
      <c r="T45" s="70" t="str">
        <f t="shared" si="47"/>
        <v>Prochloraz-111µg/L + Testostérone</v>
      </c>
      <c r="U45" s="70" t="str">
        <f t="shared" si="47"/>
        <v>Prochloraz-333µg/L + Testostérone</v>
      </c>
      <c r="V45" s="70" t="str">
        <f t="shared" si="47"/>
        <v>Prochloraz-1000µg/L + Testostérone</v>
      </c>
    </row>
    <row r="46" spans="1:22" x14ac:dyDescent="0.35">
      <c r="A46" s="8" t="s">
        <v>0</v>
      </c>
      <c r="B46" s="10">
        <f t="shared" ref="B46:H46" si="48">AVERAGE(B28:B43)</f>
        <v>0.1565160629899007</v>
      </c>
      <c r="C46" s="10">
        <f t="shared" si="48"/>
        <v>0.17645412264192539</v>
      </c>
      <c r="D46" s="10">
        <f t="shared" si="48"/>
        <v>0.1703009031089891</v>
      </c>
      <c r="E46" s="10">
        <f t="shared" si="48"/>
        <v>0.22484484892863574</v>
      </c>
      <c r="F46" s="10">
        <f t="shared" si="48"/>
        <v>1.4515648348052201</v>
      </c>
      <c r="G46" s="10">
        <f t="shared" si="48"/>
        <v>2.6311225398568947</v>
      </c>
      <c r="H46" s="10">
        <f t="shared" si="48"/>
        <v>3.4617379182116688</v>
      </c>
      <c r="I46" s="10">
        <f>AVERAGE(I28:I43)</f>
        <v>0.12025116973940517</v>
      </c>
      <c r="J46" s="9">
        <f>AVERAGE(J28:J43)</f>
        <v>0.12002737455797506</v>
      </c>
      <c r="K46" s="9">
        <f>AVERAGE(K28:K43)</f>
        <v>0.16203967825927323</v>
      </c>
      <c r="L46" s="9">
        <f t="shared" ref="L46:M46" si="49">AVERAGE(L28:L43)</f>
        <v>0.20247045760218876</v>
      </c>
      <c r="M46" s="9">
        <f t="shared" si="49"/>
        <v>0.30863917844512528</v>
      </c>
      <c r="N46" s="8" t="s">
        <v>0</v>
      </c>
      <c r="O46" s="10">
        <f>AVERAGE(O28:O43)</f>
        <v>1.0000000000000002</v>
      </c>
      <c r="P46" s="10">
        <f>AVERAGE(P28:P43)</f>
        <v>1.9150416621964956</v>
      </c>
      <c r="Q46" s="10">
        <f>AVERAGE(Q28:Q43)</f>
        <v>0.17102493436656804</v>
      </c>
      <c r="R46" s="10">
        <f>AVERAGE(R28:R43)</f>
        <v>1.2724510184985334</v>
      </c>
      <c r="S46" s="10">
        <f t="shared" ref="S46:V46" si="50">AVERAGE(S28:S43)</f>
        <v>1.1778125189331581</v>
      </c>
      <c r="T46" s="10">
        <f t="shared" si="50"/>
        <v>0.92387853086152549</v>
      </c>
      <c r="U46" s="10">
        <f t="shared" si="50"/>
        <v>0.44718486567563004</v>
      </c>
      <c r="V46" s="10">
        <f t="shared" si="50"/>
        <v>0.28412989796279159</v>
      </c>
    </row>
    <row r="47" spans="1:22" x14ac:dyDescent="0.35">
      <c r="A47" s="8" t="s">
        <v>1</v>
      </c>
      <c r="B47" s="8">
        <f t="shared" ref="B47:K47" si="51">STDEV(B28:B43)</f>
        <v>0.17912923109007153</v>
      </c>
      <c r="C47" s="8">
        <f t="shared" si="51"/>
        <v>0.13270003858256471</v>
      </c>
      <c r="D47" s="8">
        <f t="shared" si="51"/>
        <v>0.13314127608457377</v>
      </c>
      <c r="E47" s="8">
        <f t="shared" si="51"/>
        <v>5.2171627212842443E-2</v>
      </c>
      <c r="F47" s="8">
        <f t="shared" si="51"/>
        <v>1.0714880355781329</v>
      </c>
      <c r="G47" s="8">
        <f t="shared" si="51"/>
        <v>0.44211782925386794</v>
      </c>
      <c r="H47" s="8">
        <f t="shared" si="51"/>
        <v>1.1301191361021914</v>
      </c>
      <c r="I47" s="8">
        <f>STDEV(I28:I43)</f>
        <v>0.12020110139072457</v>
      </c>
      <c r="J47" s="8">
        <f t="shared" si="51"/>
        <v>0.10912784998599739</v>
      </c>
      <c r="K47" s="8">
        <f t="shared" si="51"/>
        <v>0.15326448664851999</v>
      </c>
      <c r="L47" s="8">
        <f t="shared" ref="L47:M47" si="52">STDEV(L28:L43)</f>
        <v>0.13024352507604131</v>
      </c>
      <c r="M47" s="8">
        <f t="shared" si="52"/>
        <v>0.23808495662473272</v>
      </c>
      <c r="N47" s="8" t="s">
        <v>1</v>
      </c>
      <c r="O47" s="8">
        <f>STDEV(O28:O43)</f>
        <v>1.101036322236669</v>
      </c>
      <c r="P47" s="8">
        <f>STDEV(P28:P43)</f>
        <v>0.98637920725290751</v>
      </c>
      <c r="Q47" s="8">
        <f>STDEV(Q28:Q43)</f>
        <v>0.12864491933930902</v>
      </c>
      <c r="R47" s="8">
        <f>STDEV(R28:R43)</f>
        <v>1.1680015236697385</v>
      </c>
      <c r="S47" s="8">
        <f t="shared" ref="S47:V47" si="53">STDEV(S28:S43)</f>
        <v>1.2103169292258669</v>
      </c>
      <c r="T47" s="8">
        <f t="shared" si="53"/>
        <v>0.9552340024393865</v>
      </c>
      <c r="U47" s="8">
        <f t="shared" si="53"/>
        <v>0.58091412568021072</v>
      </c>
      <c r="V47" s="8">
        <f t="shared" si="53"/>
        <v>0.17270863338006417</v>
      </c>
    </row>
    <row r="48" spans="1:22" x14ac:dyDescent="0.35">
      <c r="A48" s="8" t="s">
        <v>2</v>
      </c>
      <c r="B48" s="8">
        <f t="shared" ref="B48:K48" si="54" xml:space="preserve"> B47/SQRT(COUNT(B28:B43))</f>
        <v>6.3331747006260861E-2</v>
      </c>
      <c r="C48" s="8">
        <f t="shared" si="54"/>
        <v>4.6916548572723996E-2</v>
      </c>
      <c r="D48" s="8">
        <f t="shared" si="54"/>
        <v>4.7072549587616204E-2</v>
      </c>
      <c r="E48" s="8">
        <f t="shared" si="54"/>
        <v>1.8445455693868754E-2</v>
      </c>
      <c r="F48" s="8">
        <f t="shared" si="54"/>
        <v>0.37882822795877519</v>
      </c>
      <c r="G48" s="8">
        <f t="shared" si="54"/>
        <v>0.15631225757444309</v>
      </c>
      <c r="H48" s="8">
        <f t="shared" si="54"/>
        <v>0.39955745234327117</v>
      </c>
      <c r="I48" s="8">
        <f xml:space="preserve"> I47/SQRT(COUNT(I28:I43))</f>
        <v>4.2497506949736544E-2</v>
      </c>
      <c r="J48" s="8">
        <f t="shared" si="54"/>
        <v>4.1246450310587511E-2</v>
      </c>
      <c r="K48" s="8">
        <f t="shared" si="54"/>
        <v>5.4187178912121776E-2</v>
      </c>
      <c r="L48" s="8">
        <f t="shared" ref="L48:M48" si="55" xml:space="preserve"> L47/SQRT(COUNT(L28:L43))</f>
        <v>4.6048039893454476E-2</v>
      </c>
      <c r="M48" s="8">
        <f t="shared" si="55"/>
        <v>8.4175743663926758E-2</v>
      </c>
      <c r="N48" s="8" t="s">
        <v>2</v>
      </c>
      <c r="O48" s="8">
        <f xml:space="preserve"> O47/SQRT(COUNT(O28:O43))</f>
        <v>0.27525908055916726</v>
      </c>
      <c r="P48" s="8">
        <f xml:space="preserve"> P47/SQRT(COUNT(P28:P43))</f>
        <v>0.34873771313497093</v>
      </c>
      <c r="Q48" s="8">
        <f xml:space="preserve"> Q47/SQRT(COUNT(Q28:Q43))</f>
        <v>4.5482847415010914E-2</v>
      </c>
      <c r="R48" s="8">
        <f xml:space="preserve"> R47/SQRT(COUNT(R28:R43))</f>
        <v>0.41295089891154591</v>
      </c>
      <c r="S48" s="8">
        <f t="shared" ref="S48:V48" si="56" xml:space="preserve"> S47/SQRT(COUNT(S28:S43))</f>
        <v>0.42791165402024456</v>
      </c>
      <c r="T48" s="8">
        <f t="shared" si="56"/>
        <v>0.33772622037242861</v>
      </c>
      <c r="U48" s="8">
        <f t="shared" si="56"/>
        <v>0.20538415877776564</v>
      </c>
      <c r="V48" s="8">
        <f t="shared" si="56"/>
        <v>6.527772759963979E-2</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2" t="s">
        <v>38</v>
      </c>
      <c r="B50" s="213"/>
      <c r="C50" s="213"/>
      <c r="D50" s="213"/>
      <c r="E50" s="213"/>
      <c r="F50" s="213"/>
      <c r="G50" s="213"/>
      <c r="H50" s="213"/>
      <c r="I50" s="213"/>
      <c r="J50" s="213"/>
      <c r="K50" s="213"/>
      <c r="L50" s="213"/>
      <c r="M50" s="213"/>
      <c r="N50" s="213"/>
      <c r="O50" s="213"/>
      <c r="P50" s="213"/>
      <c r="Q50" s="213"/>
      <c r="R50" s="213"/>
      <c r="S50" s="213"/>
      <c r="T50" s="213"/>
      <c r="U50" s="213"/>
      <c r="V50" s="213"/>
    </row>
    <row r="51" spans="1:22" ht="15" thickBot="1" x14ac:dyDescent="0.4">
      <c r="A51"/>
      <c r="B51"/>
      <c r="C51"/>
      <c r="D51"/>
      <c r="E51"/>
      <c r="F51"/>
      <c r="G51"/>
      <c r="H51"/>
      <c r="I51"/>
      <c r="J51"/>
      <c r="K51"/>
      <c r="L51"/>
      <c r="M51"/>
      <c r="S51"/>
      <c r="T51"/>
      <c r="U51"/>
      <c r="V51"/>
    </row>
    <row r="52" spans="1:22" x14ac:dyDescent="0.35">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Prochloraz-12µg/L</v>
      </c>
      <c r="J52" s="46" t="str">
        <f>J4</f>
        <v>Prochloraz-37µg/L</v>
      </c>
      <c r="K52" s="46" t="str">
        <f>K27</f>
        <v>Prochloraz-111µg/L</v>
      </c>
      <c r="L52" s="46" t="str">
        <f t="shared" ref="L52:M52" si="58">L27</f>
        <v>Prochloraz-333µg/L</v>
      </c>
      <c r="M52" s="46" t="str">
        <f t="shared" si="58"/>
        <v>Prochloraz-1000µg/L</v>
      </c>
      <c r="N52" s="47"/>
      <c r="O52" s="46" t="str">
        <f>O27</f>
        <v>Testo -30µg/L</v>
      </c>
      <c r="P52" s="46" t="str">
        <f>P27</f>
        <v>Testo 30µg/L + EE2 -64ng/L</v>
      </c>
      <c r="Q52" s="46" t="str">
        <f>Q27</f>
        <v>Testo 30µg/L + FAD-10mg/L</v>
      </c>
      <c r="R52" s="46" t="str">
        <f>R27</f>
        <v>Prochloraz-12µg/L + Testostérone</v>
      </c>
      <c r="S52" s="46" t="str">
        <f t="shared" ref="S52:V52" si="59">S27</f>
        <v>Prochloraz-37µg/L + Testostérone</v>
      </c>
      <c r="T52" s="46" t="str">
        <f t="shared" si="59"/>
        <v>Prochloraz-111µg/L + Testostérone</v>
      </c>
      <c r="U52" s="46" t="str">
        <f t="shared" si="59"/>
        <v>Prochloraz-333µg/L + Testostérone</v>
      </c>
      <c r="V52" s="46" t="str">
        <f t="shared" si="59"/>
        <v>Prochloraz-1000µg/L + Testostérone</v>
      </c>
    </row>
    <row r="53" spans="1:22" s="3" customFormat="1" x14ac:dyDescent="0.35">
      <c r="A53" s="61" t="s">
        <v>32</v>
      </c>
      <c r="B53" s="142">
        <f t="shared" ref="B53:M53" si="60">B46</f>
        <v>0.1565160629899007</v>
      </c>
      <c r="C53" s="142">
        <f t="shared" si="60"/>
        <v>0.17645412264192539</v>
      </c>
      <c r="D53" s="142">
        <f t="shared" si="60"/>
        <v>0.1703009031089891</v>
      </c>
      <c r="E53" s="142">
        <f t="shared" si="60"/>
        <v>0.22484484892863574</v>
      </c>
      <c r="F53" s="142">
        <f t="shared" si="60"/>
        <v>1.4515648348052201</v>
      </c>
      <c r="G53" s="142">
        <f t="shared" si="60"/>
        <v>2.6311225398568947</v>
      </c>
      <c r="H53" s="142">
        <f t="shared" si="60"/>
        <v>3.4617379182116688</v>
      </c>
      <c r="I53" s="142">
        <f t="shared" si="60"/>
        <v>0.12025116973940517</v>
      </c>
      <c r="J53" s="142">
        <f t="shared" si="60"/>
        <v>0.12002737455797506</v>
      </c>
      <c r="K53" s="142">
        <f t="shared" si="60"/>
        <v>0.16203967825927323</v>
      </c>
      <c r="L53" s="142">
        <f t="shared" si="60"/>
        <v>0.20247045760218876</v>
      </c>
      <c r="M53" s="142">
        <f t="shared" si="60"/>
        <v>0.30863917844512528</v>
      </c>
      <c r="N53" s="142"/>
      <c r="O53" s="142">
        <f t="shared" ref="O53:V53" si="61">O46</f>
        <v>1.0000000000000002</v>
      </c>
      <c r="P53" s="142">
        <f t="shared" si="61"/>
        <v>1.9150416621964956</v>
      </c>
      <c r="Q53" s="142">
        <f t="shared" si="61"/>
        <v>0.17102493436656804</v>
      </c>
      <c r="R53" s="142">
        <f t="shared" si="61"/>
        <v>1.2724510184985334</v>
      </c>
      <c r="S53" s="142">
        <f t="shared" si="61"/>
        <v>1.1778125189331581</v>
      </c>
      <c r="T53" s="142">
        <f t="shared" si="61"/>
        <v>0.92387853086152549</v>
      </c>
      <c r="U53" s="142">
        <f t="shared" si="61"/>
        <v>0.44718486567563004</v>
      </c>
      <c r="V53" s="142">
        <f t="shared" si="61"/>
        <v>0.28412989796279159</v>
      </c>
    </row>
    <row r="54" spans="1:22" s="3" customFormat="1" x14ac:dyDescent="0.35">
      <c r="A54" s="61" t="s">
        <v>2</v>
      </c>
      <c r="B54" s="142">
        <f t="shared" ref="B54:M54" si="62">B48</f>
        <v>6.3331747006260861E-2</v>
      </c>
      <c r="C54" s="142">
        <f t="shared" si="62"/>
        <v>4.6916548572723996E-2</v>
      </c>
      <c r="D54" s="142">
        <f t="shared" si="62"/>
        <v>4.7072549587616204E-2</v>
      </c>
      <c r="E54" s="142">
        <f t="shared" si="62"/>
        <v>1.8445455693868754E-2</v>
      </c>
      <c r="F54" s="142">
        <f t="shared" si="62"/>
        <v>0.37882822795877519</v>
      </c>
      <c r="G54" s="142">
        <f t="shared" si="62"/>
        <v>0.15631225757444309</v>
      </c>
      <c r="H54" s="142">
        <f t="shared" si="62"/>
        <v>0.39955745234327117</v>
      </c>
      <c r="I54" s="142">
        <f t="shared" si="62"/>
        <v>4.2497506949736544E-2</v>
      </c>
      <c r="J54" s="142">
        <f t="shared" si="62"/>
        <v>4.1246450310587511E-2</v>
      </c>
      <c r="K54" s="142">
        <f t="shared" si="62"/>
        <v>5.4187178912121776E-2</v>
      </c>
      <c r="L54" s="142">
        <f t="shared" si="62"/>
        <v>4.6048039893454476E-2</v>
      </c>
      <c r="M54" s="142">
        <f t="shared" si="62"/>
        <v>8.4175743663926758E-2</v>
      </c>
      <c r="N54" s="142"/>
      <c r="O54" s="142">
        <f t="shared" ref="O54:V54" si="63">O48</f>
        <v>0.27525908055916726</v>
      </c>
      <c r="P54" s="142">
        <f t="shared" si="63"/>
        <v>0.34873771313497093</v>
      </c>
      <c r="Q54" s="142">
        <f t="shared" si="63"/>
        <v>4.5482847415010914E-2</v>
      </c>
      <c r="R54" s="142">
        <f t="shared" si="63"/>
        <v>0.41295089891154591</v>
      </c>
      <c r="S54" s="142">
        <f t="shared" si="63"/>
        <v>0.42791165402024456</v>
      </c>
      <c r="T54" s="142">
        <f t="shared" si="63"/>
        <v>0.33772622037242861</v>
      </c>
      <c r="U54" s="142">
        <f t="shared" si="63"/>
        <v>0.20538415877776564</v>
      </c>
      <c r="V54" s="142">
        <f t="shared" si="63"/>
        <v>6.527772759963979E-2</v>
      </c>
    </row>
    <row r="55" spans="1:22" s="3" customFormat="1" x14ac:dyDescent="0.35">
      <c r="A55" s="61" t="s">
        <v>79</v>
      </c>
      <c r="B55" s="142">
        <f t="shared" ref="B55:M55" si="64">(B53*100/$B$53)-100</f>
        <v>0</v>
      </c>
      <c r="C55" s="142">
        <f t="shared" si="64"/>
        <v>12.738666735638006</v>
      </c>
      <c r="D55" s="142">
        <f t="shared" si="64"/>
        <v>8.8073005771796602</v>
      </c>
      <c r="E55" s="142">
        <f t="shared" si="64"/>
        <v>43.656085281894661</v>
      </c>
      <c r="F55" s="142">
        <f t="shared" si="64"/>
        <v>827.42227671474416</v>
      </c>
      <c r="G55" s="142">
        <f t="shared" si="64"/>
        <v>1581.0559182201441</v>
      </c>
      <c r="H55" s="142">
        <f t="shared" si="64"/>
        <v>2111.7460994626731</v>
      </c>
      <c r="I55" s="142">
        <f t="shared" si="64"/>
        <v>-23.170077599534025</v>
      </c>
      <c r="J55" s="142">
        <f t="shared" si="64"/>
        <v>-23.313063039593644</v>
      </c>
      <c r="K55" s="142">
        <f t="shared" si="64"/>
        <v>3.5291044023570493</v>
      </c>
      <c r="L55" s="142">
        <f t="shared" si="64"/>
        <v>29.360816860856829</v>
      </c>
      <c r="M55" s="142">
        <f t="shared" si="64"/>
        <v>97.19329284754653</v>
      </c>
      <c r="N55" s="142"/>
      <c r="O55" s="142">
        <f t="shared" ref="O55:V55" si="65">(O53*100/$B$53)-100</f>
        <v>538.91205854349016</v>
      </c>
      <c r="P55" s="142">
        <f t="shared" si="65"/>
        <v>1123.5432105905097</v>
      </c>
      <c r="Q55" s="142">
        <f t="shared" si="65"/>
        <v>9.2698928784092516</v>
      </c>
      <c r="R55" s="142">
        <f t="shared" si="65"/>
        <v>712.98429962465843</v>
      </c>
      <c r="S55" s="142">
        <f t="shared" si="65"/>
        <v>652.51862104987731</v>
      </c>
      <c r="T55" s="142">
        <f t="shared" si="65"/>
        <v>490.27713399687241</v>
      </c>
      <c r="U55" s="142">
        <f t="shared" si="65"/>
        <v>185.71180307831082</v>
      </c>
      <c r="V55" s="142">
        <f t="shared" si="65"/>
        <v>81.534018001158927</v>
      </c>
    </row>
    <row r="56" spans="1:22" s="3" customFormat="1" x14ac:dyDescent="0.35">
      <c r="A56" s="61" t="s">
        <v>81</v>
      </c>
      <c r="B56" s="142">
        <f>[1]!SWTEST(B28:B43)</f>
        <v>5.1683686351717828E-3</v>
      </c>
      <c r="C56" s="142">
        <f>[1]!SWTEST(C28:C43)</f>
        <v>6.8030676719087801E-2</v>
      </c>
      <c r="D56" s="142">
        <f>[1]!SWTEST(D28:D43)</f>
        <v>0.56352476271070462</v>
      </c>
      <c r="E56" s="142">
        <f>[1]!SWTEST(E28:E43)</f>
        <v>7.2222641614314687E-2</v>
      </c>
      <c r="F56" s="142">
        <f>[1]!SWTEST(F28:F43)</f>
        <v>0.15319796213749581</v>
      </c>
      <c r="G56" s="142">
        <f>[1]!SWTEST(G28:G43)</f>
        <v>0.20916474808980257</v>
      </c>
      <c r="H56" s="142">
        <f>[1]!SWTEST(H28:H43)</f>
        <v>0.49203171323568085</v>
      </c>
      <c r="I56" s="142">
        <f>[1]!SWTEST(I28:I43)</f>
        <v>4.7550273531598686E-2</v>
      </c>
      <c r="J56" s="142">
        <f>[1]!SWTEST(J28:J43)</f>
        <v>3.6190874758615599E-2</v>
      </c>
      <c r="K56" s="142">
        <f>[1]!SWTEST(K28:K43)</f>
        <v>0.124197560003243</v>
      </c>
      <c r="L56" s="142">
        <f>[1]!SWTEST(L28:L43)</f>
        <v>0.39850786895801993</v>
      </c>
      <c r="M56" s="142">
        <f>[1]!SWTEST(M28:M43)</f>
        <v>0.14658876887062022</v>
      </c>
      <c r="N56" s="142"/>
      <c r="O56" s="142">
        <f>[1]!SWTEST(O28:O43)</f>
        <v>4.9250933371739469E-3</v>
      </c>
      <c r="P56" s="142">
        <f>[1]!SWTEST(P28:P43)</f>
        <v>1.7880157887139481E-2</v>
      </c>
      <c r="Q56" s="142">
        <f>[1]!SWTEST(Q28:Q43)</f>
        <v>0.32509287118019159</v>
      </c>
      <c r="R56" s="142">
        <f>[1]!SWTEST(R28:R43)</f>
        <v>7.5158506937620606E-2</v>
      </c>
      <c r="S56" s="142">
        <f>[1]!SWTEST(S28:S43)</f>
        <v>5.1261323888347254E-2</v>
      </c>
      <c r="T56" s="142">
        <f>[1]!SWTEST(T28:T43)</f>
        <v>8.3857138139369458E-2</v>
      </c>
      <c r="U56" s="142">
        <f>[1]!SWTEST(U28:U43)</f>
        <v>7.3707923688181021E-3</v>
      </c>
      <c r="V56" s="142">
        <f>[1]!SWTEST(V28:V43)</f>
        <v>0.39018690392564936</v>
      </c>
    </row>
    <row r="57" spans="1:22" s="3" customFormat="1" x14ac:dyDescent="0.35">
      <c r="A57" s="61" t="s">
        <v>85</v>
      </c>
      <c r="B57" s="142" t="str">
        <f t="shared" ref="B57:M57" si="66">IF(B56&gt;0.05,"Oui","Non")</f>
        <v>Non</v>
      </c>
      <c r="C57" s="142" t="str">
        <f t="shared" si="66"/>
        <v>Oui</v>
      </c>
      <c r="D57" s="142" t="str">
        <f t="shared" si="66"/>
        <v>Oui</v>
      </c>
      <c r="E57" s="142" t="str">
        <f t="shared" si="66"/>
        <v>Oui</v>
      </c>
      <c r="F57" s="142" t="str">
        <f t="shared" si="66"/>
        <v>Oui</v>
      </c>
      <c r="G57" s="142" t="str">
        <f t="shared" si="66"/>
        <v>Oui</v>
      </c>
      <c r="H57" s="142" t="str">
        <f t="shared" si="66"/>
        <v>Oui</v>
      </c>
      <c r="I57" s="142" t="str">
        <f t="shared" si="66"/>
        <v>Non</v>
      </c>
      <c r="J57" s="142" t="str">
        <f t="shared" si="66"/>
        <v>Non</v>
      </c>
      <c r="K57" s="142" t="str">
        <f t="shared" si="66"/>
        <v>Oui</v>
      </c>
      <c r="L57" s="142" t="str">
        <f t="shared" si="66"/>
        <v>Oui</v>
      </c>
      <c r="M57" s="142" t="str">
        <f t="shared" si="66"/>
        <v>Oui</v>
      </c>
      <c r="N57" s="142"/>
      <c r="O57" s="142" t="str">
        <f t="shared" ref="O57:V57" si="67">IF(O56&gt;0.05,"Oui","Non")</f>
        <v>Non</v>
      </c>
      <c r="P57" s="142" t="str">
        <f t="shared" si="67"/>
        <v>Non</v>
      </c>
      <c r="Q57" s="142" t="str">
        <f t="shared" si="67"/>
        <v>Oui</v>
      </c>
      <c r="R57" s="142" t="str">
        <f t="shared" si="67"/>
        <v>Oui</v>
      </c>
      <c r="S57" s="142" t="str">
        <f t="shared" si="67"/>
        <v>Oui</v>
      </c>
      <c r="T57" s="142" t="str">
        <f t="shared" si="67"/>
        <v>Oui</v>
      </c>
      <c r="U57" s="142" t="str">
        <f t="shared" si="67"/>
        <v>Non</v>
      </c>
      <c r="V57" s="142" t="str">
        <f t="shared" si="67"/>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M59" si="68">IF($B57="Non",IF(C$57="Non","Mann Withney",IF(C$57="Oui","Mann Withney","")),IF($B$57="Oui",IF(C$57="Oui","T-Test Welch",IF(C$57="Non","Mann Withney",""))))</f>
        <v>Mann Withney</v>
      </c>
      <c r="D59" s="151" t="str">
        <f t="shared" si="68"/>
        <v>Mann Withney</v>
      </c>
      <c r="E59" s="151" t="str">
        <f t="shared" si="68"/>
        <v>Mann Withney</v>
      </c>
      <c r="F59" s="151" t="str">
        <f t="shared" si="68"/>
        <v>Mann Withney</v>
      </c>
      <c r="G59" s="151" t="str">
        <f t="shared" si="68"/>
        <v>Mann Withney</v>
      </c>
      <c r="H59" s="151" t="str">
        <f t="shared" si="68"/>
        <v>Mann Withney</v>
      </c>
      <c r="I59" s="151" t="str">
        <f t="shared" si="68"/>
        <v>Mann Withney</v>
      </c>
      <c r="J59" s="151" t="str">
        <f t="shared" si="68"/>
        <v>Mann Withney</v>
      </c>
      <c r="K59" s="151" t="str">
        <f t="shared" si="68"/>
        <v>Mann Withney</v>
      </c>
      <c r="L59" s="151" t="str">
        <f t="shared" si="68"/>
        <v>Mann Withney</v>
      </c>
      <c r="M59" s="151" t="str">
        <f t="shared" si="68"/>
        <v>Mann Withney</v>
      </c>
      <c r="N59" s="151"/>
      <c r="O59" s="151" t="str">
        <f>IF($B57="Non",IF(O$57="Non","Mann Withney",IF(O$57="Oui","Mann Withney","")),IF($B$57="Oui",IF(O$57="Oui","T-Test Welch",IF(O$57="Non","Mann Withney",""))))</f>
        <v>Mann Withney</v>
      </c>
      <c r="P59" s="151" t="str">
        <f>IF($O57="Non",IF(P$57="Non","Mann Withney",IF(P$57="Oui","Mann Withney","")),IF($O$57="Oui",IF(P$57="Oui","T-Test Welch",IF(P$57="Non","Mann Withney",""))))</f>
        <v>Mann Withney</v>
      </c>
      <c r="Q59" s="151" t="str">
        <f t="shared" ref="Q59:V59" si="69">IF($O57="Non",IF(Q$57="Non","Mann Withney",IF(Q$57="Oui","Mann Withney","")),IF($O$57="Oui",IF(Q$57="Oui","T-Test Welch",IF(Q$57="Non","Mann Withney",""))))</f>
        <v>Mann Withney</v>
      </c>
      <c r="R59" s="151" t="str">
        <f t="shared" si="69"/>
        <v>Mann Withney</v>
      </c>
      <c r="S59" s="151" t="str">
        <f t="shared" si="69"/>
        <v>Mann Withney</v>
      </c>
      <c r="T59" s="151" t="str">
        <f t="shared" si="69"/>
        <v>Mann Withney</v>
      </c>
      <c r="U59" s="151" t="str">
        <f t="shared" si="69"/>
        <v>Mann Withney</v>
      </c>
      <c r="V59" s="151" t="str">
        <f t="shared" si="69"/>
        <v>Mann Withney</v>
      </c>
    </row>
    <row r="60" spans="1:22" s="3" customFormat="1" x14ac:dyDescent="0.35">
      <c r="A60" s="61" t="s">
        <v>83</v>
      </c>
      <c r="B60" s="152"/>
      <c r="C60" s="152">
        <f>IF(C59="Mann Withney",[1]!MTEST($B28:$B43,C28:C43,2), IF(C59="T-Test Welch",_xlfn.T.TEST($B28:$B43,C28:C43,2,3),""))</f>
        <v>0.34456236532569795</v>
      </c>
      <c r="D60" s="152">
        <f>IF(D59="Mann Withney",[1]!MTEST($B28:$B43,D28:D43,2), IF(D59="T-Test Welch",_xlfn.T.TEST($B28:$B43,D28:D43,2,3),""))</f>
        <v>0.52861212525568768</v>
      </c>
      <c r="E60" s="152">
        <f>IF(E59="Mann Withney",[1]!MTEST($B28:$B43,E28:E43,2), IF(E59="T-Test Welch",_xlfn.T.TEST($B28:$B43,E28:E43,2,3),""))</f>
        <v>9.2891940883705226E-2</v>
      </c>
      <c r="F60" s="152">
        <f>IF(F59="Mann Withney",[1]!MTEST($B28:$B43,F28:F43,2), IF(F59="T-Test Welch",_xlfn.T.TEST($B28:$B43,F28:F43,2,3),""))</f>
        <v>1.6291862969701754E-3</v>
      </c>
      <c r="G60" s="152">
        <f>IF(G59="Mann Withney",[1]!MTEST($B28:$B43,G28:G43,2), IF(G59="T-Test Welch",_xlfn.T.TEST($B28:$B43,G28:G43,2,3),""))</f>
        <v>7.7753044694039986E-4</v>
      </c>
      <c r="H60" s="152">
        <f>IF(H59="Mann Withney",[1]!MTEST($B28:$B43,H28:H43,2), IF(H59="T-Test Welch",_xlfn.T.TEST($B28:$B43,H28:H43,2,3),""))</f>
        <v>7.7753044694039986E-4</v>
      </c>
      <c r="I60" s="152">
        <f>IF(I59="Mann Withney",[1]!MTEST($B28:$B43,I28:I43,2), IF(I59="T-Test Welch",_xlfn.T.TEST($B28:$B43,I28:I43,2,3),""))</f>
        <v>0.83363488302468225</v>
      </c>
      <c r="J60" s="152">
        <f>IF(J59="Mann Withney",[1]!MTEST($B28:$B43,J28:J43,2), IF(J59="T-Test Welch",_xlfn.T.TEST($B28:$B43,J28:J43,2,3),""))</f>
        <v>0.90786850094953597</v>
      </c>
      <c r="K60" s="152">
        <f>IF(K59="Mann Withney",[1]!MTEST($B28:$B43,K28:K43,2), IF(K59="T-Test Welch",_xlfn.T.TEST($B28:$B43,K28:K43,2,3),""))</f>
        <v>0.83363488302468225</v>
      </c>
      <c r="L60" s="152">
        <f>IF(L59="Mann Withney",[1]!MTEST($B28:$B43,L28:L43,2), IF(L59="T-Test Welch",_xlfn.T.TEST($B28:$B43,L28:L43,2,3),""))</f>
        <v>0.34456236532569795</v>
      </c>
      <c r="M60" s="152">
        <f>IF(M59="Mann Withney",[1]!MTEST($B28:$B43,M28:M43,2), IF(M59="T-Test Welch",_xlfn.T.TEST($B28:$B43,M28:M43,2,3),""))</f>
        <v>0.11518373151505124</v>
      </c>
      <c r="N60" s="152"/>
      <c r="O60" s="152">
        <f>IF(O59="Mann Withney",[1]!MTEST($B28:$B43,O28:O43,2), IF(O59="T-Test Welch",_xlfn.T.TEST($B28:$B43,O28:O43,2,3),""))</f>
        <v>7.0507291104227043E-3</v>
      </c>
      <c r="P60" s="152">
        <f>IF(P59="Mann Withney",[1]!MTEST($O28:$O43,P28:P43,2), IF(P59="T-Test Welch",_xlfn.T.TEST($O28:$O43,P28:P43,2,3),""))</f>
        <v>5.7649392429594659E-2</v>
      </c>
      <c r="Q60" s="152">
        <f>IF(Q59="Mann Withney",[1]!MTEST($O28:$O43,Q28:Q43,2), IF(Q59="T-Test Welch",_xlfn.T.TEST($O28:$O43,Q28:Q43,2,3),""))</f>
        <v>2.3464978288685545E-2</v>
      </c>
      <c r="R60" s="152">
        <f>IF(R59="Mann Withney",[1]!MTEST($O28:$O43,R28:R43,2), IF(R59="T-Test Welch",_xlfn.T.TEST($O28:$O43,R28:R43,2,3),""))</f>
        <v>0.54029137460741983</v>
      </c>
      <c r="S60" s="152">
        <f>IF(S59="Mann Withney",[1]!MTEST($O28:$O43,S28:S43,2), IF(S59="T-Test Welch",_xlfn.T.TEST($O28:$O43,S28:S43,2,3),""))</f>
        <v>0.66817016110640703</v>
      </c>
      <c r="T60" s="152">
        <f>IF(T59="Mann Withney",[1]!MTEST($O28:$O43,T28:T43,2), IF(T59="T-Test Welch",_xlfn.T.TEST($O28:$O43,T28:T43,2,3),""))</f>
        <v>0.95117026929693571</v>
      </c>
      <c r="U60" s="152">
        <f>IF(U59="Mann Withney",[1]!MTEST($O28:$O43,U28:U43,2), IF(U59="T-Test Welch",_xlfn.T.TEST($O28:$O43,U28:U43,2,3),""))</f>
        <v>0.17790959498698244</v>
      </c>
      <c r="V60" s="152">
        <f>IF(V59="Mann Withney",[1]!MTEST($O28:$O43,V28:V43,2), IF(V59="T-Test Welch",_xlfn.T.TEST($O28:$O43,V28:V43,2,3),""))</f>
        <v>0.18144920772142026</v>
      </c>
    </row>
    <row r="61" spans="1:22" s="3" customFormat="1" ht="15" thickBot="1" x14ac:dyDescent="0.4">
      <c r="A61" s="62" t="s">
        <v>84</v>
      </c>
      <c r="B61" s="143"/>
      <c r="C61" s="143" t="str">
        <f t="shared" ref="C61:M61" si="70">IF(C60&gt;0.05,"NS",IF(C60&gt;0.01,"*",IF(C60&gt;0.001,"**","***")))</f>
        <v>NS</v>
      </c>
      <c r="D61" s="143" t="str">
        <f t="shared" si="70"/>
        <v>NS</v>
      </c>
      <c r="E61" s="143" t="str">
        <f t="shared" si="70"/>
        <v>NS</v>
      </c>
      <c r="F61" s="143" t="str">
        <f t="shared" si="70"/>
        <v>**</v>
      </c>
      <c r="G61" s="143" t="str">
        <f t="shared" si="70"/>
        <v>***</v>
      </c>
      <c r="H61" s="143" t="str">
        <f t="shared" si="70"/>
        <v>***</v>
      </c>
      <c r="I61" s="143" t="str">
        <f t="shared" si="70"/>
        <v>NS</v>
      </c>
      <c r="J61" s="143" t="str">
        <f t="shared" si="70"/>
        <v>NS</v>
      </c>
      <c r="K61" s="143" t="str">
        <f t="shared" si="70"/>
        <v>NS</v>
      </c>
      <c r="L61" s="143" t="str">
        <f t="shared" si="70"/>
        <v>NS</v>
      </c>
      <c r="M61" s="143" t="str">
        <f t="shared" si="70"/>
        <v>NS</v>
      </c>
      <c r="N61" s="143"/>
      <c r="O61" s="143" t="str">
        <f>IF(O60&gt;0.05,"NS",IF(O60&gt;0.01,"*",IF(O60&gt;0.001,"**","***")))</f>
        <v>**</v>
      </c>
      <c r="P61" s="143" t="str">
        <f>IF(P60&gt;0.05,"NS",IF(P60&gt;0.01,"*",IF(P60&gt;0.001,"**","***")))</f>
        <v>NS</v>
      </c>
      <c r="Q61" s="143" t="str">
        <f t="shared" ref="Q61" si="71">IF(Q60&gt;0.05,"NS",IF(Q60&gt;0.01,"*",IF(Q60&gt;0.001,"**","***")))</f>
        <v>*</v>
      </c>
      <c r="R61" s="143" t="str">
        <f t="shared" ref="R61" si="72">IF(R60&gt;0.05,"NS",IF(R60&gt;0.01,"*",IF(R60&gt;0.001,"**","***")))</f>
        <v>NS</v>
      </c>
      <c r="S61" s="143" t="str">
        <f t="shared" ref="S61" si="73">IF(S60&gt;0.05,"NS",IF(S60&gt;0.01,"*",IF(S60&gt;0.001,"**","***")))</f>
        <v>NS</v>
      </c>
      <c r="T61" s="143" t="str">
        <f t="shared" ref="T61" si="74">IF(T60&gt;0.05,"NS",IF(T60&gt;0.01,"*",IF(T60&gt;0.001,"**","***")))</f>
        <v>NS</v>
      </c>
      <c r="U61" s="143" t="str">
        <f t="shared" ref="U61" si="75">IF(U60&gt;0.05,"NS",IF(U60&gt;0.01,"*",IF(U60&gt;0.001,"**","***")))</f>
        <v>NS</v>
      </c>
      <c r="V61" s="143" t="str">
        <f t="shared" ref="V61" si="76">IF(V60&gt;0.05,"NS",IF(V60&gt;0.01,"*",IF(V60&gt;0.001,"**","***")))</f>
        <v>NS</v>
      </c>
    </row>
    <row r="63" spans="1:22" x14ac:dyDescent="0.35">
      <c r="A63" s="2" t="s">
        <v>39</v>
      </c>
    </row>
    <row r="64" spans="1:22" x14ac:dyDescent="0.35">
      <c r="A64" s="1" t="s">
        <v>23</v>
      </c>
      <c r="B64" s="1">
        <f>B46+(3*B47)</f>
        <v>0.69390375626011536</v>
      </c>
    </row>
    <row r="65" spans="1:22" x14ac:dyDescent="0.35">
      <c r="A65" s="1" t="s">
        <v>24</v>
      </c>
      <c r="B65" s="1">
        <f>B46+(10*B47)</f>
        <v>1.947808373890616</v>
      </c>
    </row>
    <row r="66" spans="1:22" ht="15" thickBot="1" x14ac:dyDescent="0.4"/>
    <row r="67" spans="1:22" s="1" customFormat="1" ht="26.5" thickBot="1" x14ac:dyDescent="0.65">
      <c r="A67" s="212" t="s">
        <v>52</v>
      </c>
      <c r="B67" s="213"/>
      <c r="C67" s="213"/>
      <c r="D67" s="213"/>
      <c r="E67" s="213"/>
      <c r="F67" s="213"/>
      <c r="G67" s="213"/>
      <c r="H67" s="213"/>
      <c r="I67" s="213"/>
      <c r="J67" s="213"/>
      <c r="K67" s="213"/>
      <c r="L67" s="213"/>
      <c r="M67" s="213"/>
      <c r="N67" s="213"/>
      <c r="O67" s="213"/>
      <c r="P67" s="213"/>
      <c r="Q67" s="213"/>
      <c r="R67" s="213"/>
      <c r="S67" s="213"/>
      <c r="T67" s="213"/>
      <c r="U67" s="213"/>
      <c r="V67" s="213"/>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J1" zoomScale="80" zoomScaleNormal="80" workbookViewId="0">
      <selection activeCell="Z5" sqref="Z5:AF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TS</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1626</v>
      </c>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TS</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1627</v>
      </c>
      <c r="D3" s="1" t="s">
        <v>209</v>
      </c>
      <c r="E3" s="1">
        <v>62</v>
      </c>
      <c r="F3" s="1" t="s">
        <v>112</v>
      </c>
      <c r="G3" s="1">
        <v>10728</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TS</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1628</v>
      </c>
      <c r="D4" s="1" t="s">
        <v>1629</v>
      </c>
      <c r="E4" s="1" t="s">
        <v>1630</v>
      </c>
      <c r="F4" s="1" t="s">
        <v>112</v>
      </c>
      <c r="G4" s="1">
        <v>190862</v>
      </c>
      <c r="K4" s="119" t="s">
        <v>100</v>
      </c>
      <c r="L4" s="1" t="s">
        <v>1598</v>
      </c>
      <c r="M4" s="1" t="s">
        <v>1599</v>
      </c>
      <c r="N4" s="1" t="s">
        <v>1600</v>
      </c>
      <c r="O4" s="1" t="s">
        <v>1601</v>
      </c>
      <c r="P4" s="1" t="s">
        <v>1602</v>
      </c>
      <c r="Q4" s="1" t="s">
        <v>1603</v>
      </c>
      <c r="R4" s="1" t="s">
        <v>1604</v>
      </c>
      <c r="S4" s="1" t="s">
        <v>1605</v>
      </c>
      <c r="T4" s="1" t="s">
        <v>1606</v>
      </c>
      <c r="U4" s="1" t="s">
        <v>1607</v>
      </c>
      <c r="V4" s="1" t="s">
        <v>1608</v>
      </c>
      <c r="W4" s="1" t="s">
        <v>1609</v>
      </c>
      <c r="X4" s="1" t="s">
        <v>1610</v>
      </c>
      <c r="Y4" s="1" t="s">
        <v>1611</v>
      </c>
      <c r="Z4" s="1" t="s">
        <v>1612</v>
      </c>
      <c r="AA4" s="1" t="s">
        <v>1613</v>
      </c>
      <c r="AB4" s="1" t="s">
        <v>1614</v>
      </c>
      <c r="AC4" s="1" t="s">
        <v>1615</v>
      </c>
      <c r="AD4" s="1" t="s">
        <v>1616</v>
      </c>
      <c r="AE4" s="1" t="s">
        <v>1617</v>
      </c>
      <c r="AF4" s="1" t="s">
        <v>1618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TS</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1631</v>
      </c>
      <c r="K5" s="146" t="s">
        <v>164</v>
      </c>
      <c r="L5" s="44">
        <v>100795</v>
      </c>
      <c r="M5" s="44">
        <v>38472.333333333336</v>
      </c>
      <c r="N5" s="44">
        <v>387773.66666666669</v>
      </c>
      <c r="O5" s="44">
        <v>2790898.3333333335</v>
      </c>
      <c r="P5" s="44">
        <v>3771842.6666666665</v>
      </c>
      <c r="Q5" s="44">
        <v>3354443.6666666665</v>
      </c>
      <c r="R5" s="44">
        <v>7240506.333333333</v>
      </c>
      <c r="S5" s="44">
        <v>203797</v>
      </c>
      <c r="T5" s="44">
        <v>85546</v>
      </c>
      <c r="U5" s="44">
        <v>332300</v>
      </c>
      <c r="V5" s="44">
        <v>370253.33333333331</v>
      </c>
      <c r="W5" s="44">
        <v>552016.33333333337</v>
      </c>
      <c r="X5" s="44">
        <v>3190921.3333333335</v>
      </c>
      <c r="Y5" s="44">
        <v>4340514.333333333</v>
      </c>
      <c r="Z5" s="44">
        <v>6689896</v>
      </c>
      <c r="AA5" s="44">
        <v>272677</v>
      </c>
      <c r="AB5" s="44">
        <v>571022</v>
      </c>
      <c r="AC5" s="44">
        <v>2541317.6666666665</v>
      </c>
      <c r="AD5" s="44">
        <v>1854569</v>
      </c>
      <c r="AE5" s="44">
        <v>353577</v>
      </c>
      <c r="AF5" s="44">
        <v>110334</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TS</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1632</v>
      </c>
      <c r="D6" s="1" t="s">
        <v>712</v>
      </c>
      <c r="E6" s="1" t="s">
        <v>1633</v>
      </c>
      <c r="F6" s="1" t="s">
        <v>112</v>
      </c>
      <c r="G6" s="1">
        <v>65950</v>
      </c>
      <c r="K6" s="146" t="s">
        <v>1619</v>
      </c>
      <c r="L6" s="44">
        <v>69475.5</v>
      </c>
      <c r="M6" s="44">
        <v>180977.33333333334</v>
      </c>
      <c r="N6" s="44">
        <v>167318</v>
      </c>
      <c r="O6" s="44">
        <v>134833.66666666666</v>
      </c>
      <c r="P6" s="44">
        <v>1054580</v>
      </c>
      <c r="Q6" s="44">
        <v>1708985</v>
      </c>
      <c r="R6" s="44">
        <v>6693630.333333333</v>
      </c>
      <c r="S6" s="44">
        <v>258917</v>
      </c>
      <c r="T6" s="44">
        <v>226400</v>
      </c>
      <c r="U6" s="44">
        <v>38667</v>
      </c>
      <c r="V6" s="44">
        <v>112497</v>
      </c>
      <c r="W6" s="44">
        <v>307642</v>
      </c>
      <c r="X6" s="44">
        <v>3760660</v>
      </c>
      <c r="Y6" s="44">
        <v>561879.5</v>
      </c>
      <c r="Z6" s="44">
        <v>4479630.666666667</v>
      </c>
      <c r="AA6" s="44">
        <v>504394.66666666669</v>
      </c>
      <c r="AB6" s="44"/>
      <c r="AC6" s="44">
        <v>1463233.3333333333</v>
      </c>
      <c r="AD6" s="44">
        <v>1752821.6666666667</v>
      </c>
      <c r="AE6" s="44">
        <v>1730709</v>
      </c>
      <c r="AF6" s="44">
        <v>30966.666666666668</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TS</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1634</v>
      </c>
      <c r="D7" s="1" t="s">
        <v>1635</v>
      </c>
      <c r="E7" s="1" t="s">
        <v>1636</v>
      </c>
      <c r="F7" s="1" t="s">
        <v>112</v>
      </c>
      <c r="G7" s="1">
        <v>73001</v>
      </c>
      <c r="K7" s="146" t="s">
        <v>1620</v>
      </c>
      <c r="L7" s="44">
        <v>150836</v>
      </c>
      <c r="M7" s="44">
        <v>70816.333333333328</v>
      </c>
      <c r="N7" s="44">
        <v>200747</v>
      </c>
      <c r="O7" s="44">
        <v>128042</v>
      </c>
      <c r="P7" s="44">
        <v>497487.66666666669</v>
      </c>
      <c r="Q7" s="44">
        <v>3908533</v>
      </c>
      <c r="R7" s="44">
        <v>4643383</v>
      </c>
      <c r="S7" s="44">
        <v>398303.5</v>
      </c>
      <c r="T7" s="44">
        <v>272010</v>
      </c>
      <c r="U7" s="44">
        <v>186731</v>
      </c>
      <c r="V7" s="44">
        <v>419519</v>
      </c>
      <c r="W7" s="44">
        <v>596242.33333333337</v>
      </c>
      <c r="X7" s="44">
        <v>830414.66666666663</v>
      </c>
      <c r="Y7" s="44">
        <v>3329605</v>
      </c>
      <c r="Z7" s="44">
        <v>4464778</v>
      </c>
      <c r="AA7" s="44">
        <v>292905</v>
      </c>
      <c r="AB7" s="44">
        <v>504041.33333333331</v>
      </c>
      <c r="AC7" s="44">
        <v>3504266.6666666665</v>
      </c>
      <c r="AD7" s="44">
        <v>989986</v>
      </c>
      <c r="AE7" s="44">
        <v>913571</v>
      </c>
      <c r="AF7" s="44">
        <v>186168.66666666666</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TS</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1637</v>
      </c>
      <c r="K8" s="146" t="s">
        <v>1621</v>
      </c>
      <c r="L8" s="44">
        <v>365840.66666666669</v>
      </c>
      <c r="M8" s="44">
        <v>173594.33333333334</v>
      </c>
      <c r="N8" s="44">
        <v>284555.66666666669</v>
      </c>
      <c r="O8" s="44">
        <v>2422079.3333333335</v>
      </c>
      <c r="P8" s="44">
        <v>2425518.6666666665</v>
      </c>
      <c r="Q8" s="44">
        <v>4122669</v>
      </c>
      <c r="R8" s="44">
        <v>2828851.3333333335</v>
      </c>
      <c r="S8" s="44">
        <v>181208</v>
      </c>
      <c r="T8" s="44">
        <v>70318.666666666672</v>
      </c>
      <c r="U8" s="44">
        <v>345451</v>
      </c>
      <c r="V8" s="44">
        <v>202333</v>
      </c>
      <c r="W8" s="44">
        <v>49673</v>
      </c>
      <c r="X8" s="44">
        <v>2118547.3333333335</v>
      </c>
      <c r="Y8" s="44">
        <v>4569099</v>
      </c>
      <c r="Z8" s="44">
        <v>4838088.333333333</v>
      </c>
      <c r="AA8" s="44">
        <v>120139.66666666667</v>
      </c>
      <c r="AB8" s="44">
        <v>2239263.6666666665</v>
      </c>
      <c r="AC8" s="44">
        <v>2642762</v>
      </c>
      <c r="AD8" s="44">
        <v>3960441</v>
      </c>
      <c r="AE8" s="44">
        <v>1717341.6666666667</v>
      </c>
      <c r="AF8" s="44">
        <v>335847.33333333331</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TS</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1638</v>
      </c>
      <c r="D9" s="1" t="s">
        <v>1639</v>
      </c>
      <c r="E9" s="1" t="s">
        <v>1640</v>
      </c>
      <c r="F9" s="1" t="s">
        <v>112</v>
      </c>
      <c r="G9" s="1">
        <v>45401</v>
      </c>
      <c r="K9" s="146" t="s">
        <v>1622</v>
      </c>
      <c r="L9" s="44">
        <v>56735</v>
      </c>
      <c r="M9" s="44">
        <v>462108.33333333331</v>
      </c>
      <c r="N9" s="44">
        <v>327963.5</v>
      </c>
      <c r="O9" s="44">
        <v>204648</v>
      </c>
      <c r="P9" s="44">
        <v>1949632.3333333333</v>
      </c>
      <c r="Q9" s="44">
        <v>4333664.666666667</v>
      </c>
      <c r="R9" s="44">
        <v>8323695</v>
      </c>
      <c r="S9" s="44">
        <v>174135</v>
      </c>
      <c r="T9" s="44">
        <v>417507.33333333331</v>
      </c>
      <c r="U9" s="44">
        <v>17679</v>
      </c>
      <c r="V9" s="44">
        <v>256639</v>
      </c>
      <c r="W9" s="44">
        <v>567273</v>
      </c>
      <c r="X9" s="44">
        <v>2036162.5</v>
      </c>
      <c r="Y9" s="44">
        <v>4453991.666666667</v>
      </c>
      <c r="Z9" s="44">
        <v>3926907.3333333335</v>
      </c>
      <c r="AA9" s="44">
        <v>292501</v>
      </c>
      <c r="AB9" s="44">
        <v>1217244</v>
      </c>
      <c r="AC9" s="44">
        <v>3642214.5</v>
      </c>
      <c r="AD9" s="44">
        <v>1815909</v>
      </c>
      <c r="AE9" s="44">
        <v>2524677.3333333335</v>
      </c>
      <c r="AF9" s="44">
        <v>143392</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TS</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1641</v>
      </c>
      <c r="D10" s="1" t="s">
        <v>1642</v>
      </c>
      <c r="E10" s="1" t="s">
        <v>1643</v>
      </c>
      <c r="F10" s="1" t="s">
        <v>112</v>
      </c>
      <c r="G10" s="1">
        <v>256271</v>
      </c>
      <c r="K10" s="146" t="s">
        <v>1623</v>
      </c>
      <c r="L10" s="44">
        <v>222117.5</v>
      </c>
      <c r="M10" s="44">
        <v>113809.66666666667</v>
      </c>
      <c r="N10" s="44">
        <v>112663</v>
      </c>
      <c r="O10" s="44">
        <v>297519.33333333331</v>
      </c>
      <c r="P10" s="44">
        <v>950460.5</v>
      </c>
      <c r="Q10" s="44">
        <v>2676450.5</v>
      </c>
      <c r="R10" s="44">
        <v>5279158</v>
      </c>
      <c r="S10" s="44">
        <v>229839.5</v>
      </c>
      <c r="T10" s="44">
        <v>295529</v>
      </c>
      <c r="U10" s="44">
        <v>88495</v>
      </c>
      <c r="V10" s="44">
        <v>475684.66666666669</v>
      </c>
      <c r="W10" s="44">
        <v>87356</v>
      </c>
      <c r="X10" s="44">
        <v>964520.33333333337</v>
      </c>
      <c r="Y10" s="44">
        <v>2283608.5</v>
      </c>
      <c r="Z10" s="44">
        <v>3671480.3333333335</v>
      </c>
      <c r="AA10" s="44">
        <v>52734</v>
      </c>
      <c r="AB10" s="44">
        <v>1410932.6666666667</v>
      </c>
      <c r="AC10" s="44">
        <v>4941436</v>
      </c>
      <c r="AD10" s="44">
        <v>155403.66666666666</v>
      </c>
      <c r="AE10" s="44">
        <v>147548.5</v>
      </c>
      <c r="AF10" s="44">
        <v>158100</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TS</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1644</v>
      </c>
      <c r="D11" s="1" t="s">
        <v>1645</v>
      </c>
      <c r="E11" s="1" t="s">
        <v>1646</v>
      </c>
      <c r="F11" s="1" t="s">
        <v>112</v>
      </c>
      <c r="G11" s="1">
        <v>318132</v>
      </c>
      <c r="K11" s="146" t="s">
        <v>1624</v>
      </c>
      <c r="L11" s="44">
        <v>42084.666666666664</v>
      </c>
      <c r="M11" s="44">
        <v>357066.5</v>
      </c>
      <c r="N11" s="44">
        <v>210451.33333333334</v>
      </c>
      <c r="O11" s="44">
        <v>448611.33333333331</v>
      </c>
      <c r="P11" s="44">
        <v>3484943.6666666665</v>
      </c>
      <c r="Q11" s="44">
        <v>5598343</v>
      </c>
      <c r="R11" s="44">
        <v>6559034.666666667</v>
      </c>
      <c r="S11" s="44">
        <v>308723.33333333331</v>
      </c>
      <c r="T11" s="44">
        <v>242449.66666666666</v>
      </c>
      <c r="U11" s="44">
        <v>124379.33333333333</v>
      </c>
      <c r="V11" s="44">
        <v>46515</v>
      </c>
      <c r="W11" s="44">
        <v>337599.66666666669</v>
      </c>
      <c r="X11" s="44">
        <v>517257.5</v>
      </c>
      <c r="Y11" s="44">
        <v>642559.33333333337</v>
      </c>
      <c r="Z11" s="44">
        <v>5128996</v>
      </c>
      <c r="AA11" s="44">
        <v>25858.5</v>
      </c>
      <c r="AB11" s="44">
        <v>2258053</v>
      </c>
      <c r="AC11" s="44">
        <v>2086405.3333333333</v>
      </c>
      <c r="AD11" s="44">
        <v>400333.33333333331</v>
      </c>
      <c r="AE11" s="44">
        <v>241184.5</v>
      </c>
      <c r="AF11" s="44">
        <v>196796.33333333334</v>
      </c>
      <c r="AG11"/>
    </row>
    <row r="12" spans="1:144" x14ac:dyDescent="0.35">
      <c r="A12" s="1" t="str">
        <f t="shared" si="0"/>
        <v>01 TS</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1647</v>
      </c>
      <c r="D12" s="1" t="s">
        <v>939</v>
      </c>
      <c r="E12" s="1" t="s">
        <v>1648</v>
      </c>
      <c r="F12" s="1" t="s">
        <v>112</v>
      </c>
      <c r="G12" s="1">
        <v>420442</v>
      </c>
      <c r="K12" s="146" t="s">
        <v>1625</v>
      </c>
      <c r="L12" s="44">
        <v>166348</v>
      </c>
      <c r="M12" s="44">
        <v>204813.5</v>
      </c>
      <c r="N12" s="44"/>
      <c r="O12" s="44">
        <v>542831</v>
      </c>
      <c r="P12" s="44">
        <v>2836919.3333333335</v>
      </c>
      <c r="Q12" s="44">
        <v>3766933</v>
      </c>
      <c r="R12" s="44">
        <v>8007350.666666667</v>
      </c>
      <c r="S12" s="44">
        <v>432273.66666666669</v>
      </c>
      <c r="T12" s="44">
        <v>327477</v>
      </c>
      <c r="U12" s="44">
        <v>119526.5</v>
      </c>
      <c r="V12" s="44">
        <v>194373.66666666666</v>
      </c>
      <c r="W12" s="44">
        <v>324535</v>
      </c>
      <c r="X12" s="44">
        <v>3669220</v>
      </c>
      <c r="Y12" s="44">
        <v>6051558</v>
      </c>
      <c r="Z12" s="44">
        <v>2957022.6666666665</v>
      </c>
      <c r="AA12" s="44">
        <v>234716.5</v>
      </c>
      <c r="AB12" s="44">
        <v>2160949</v>
      </c>
      <c r="AC12" s="44">
        <v>155021.33333333334</v>
      </c>
      <c r="AD12" s="44">
        <v>229687.66666666666</v>
      </c>
      <c r="AE12" s="44">
        <v>659221.33333333337</v>
      </c>
      <c r="AF12" s="44">
        <v>296892</v>
      </c>
      <c r="AG12"/>
    </row>
    <row r="13" spans="1:144" x14ac:dyDescent="0.35">
      <c r="A13" s="1" t="str">
        <f t="shared" si="0"/>
        <v>01 TS</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1649</v>
      </c>
      <c r="D13" s="1" t="s">
        <v>1650</v>
      </c>
      <c r="E13" s="1" t="s">
        <v>1651</v>
      </c>
      <c r="F13" s="1" t="s">
        <v>112</v>
      </c>
      <c r="G13" s="1">
        <v>358948</v>
      </c>
      <c r="K13"/>
      <c r="L13"/>
      <c r="M13"/>
      <c r="N13"/>
      <c r="O13"/>
      <c r="P13"/>
      <c r="Q13"/>
      <c r="R13"/>
      <c r="S13"/>
      <c r="T13"/>
      <c r="U13"/>
      <c r="V13"/>
      <c r="W13"/>
      <c r="X13"/>
      <c r="Y13"/>
      <c r="Z13"/>
      <c r="AA13"/>
      <c r="AB13"/>
      <c r="AC13"/>
      <c r="AD13"/>
      <c r="AE13"/>
      <c r="AF13"/>
      <c r="AG13"/>
    </row>
    <row r="14" spans="1:144" x14ac:dyDescent="0.35">
      <c r="A14" s="1" t="str">
        <f t="shared" si="0"/>
        <v>01 TS</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1652</v>
      </c>
      <c r="K14"/>
      <c r="L14"/>
      <c r="M14"/>
      <c r="N14"/>
      <c r="O14"/>
      <c r="P14"/>
      <c r="Q14"/>
      <c r="R14"/>
      <c r="S14"/>
      <c r="T14"/>
      <c r="U14"/>
      <c r="V14"/>
      <c r="W14"/>
      <c r="X14"/>
      <c r="Y14"/>
      <c r="Z14"/>
      <c r="AA14"/>
      <c r="AB14"/>
      <c r="AC14"/>
      <c r="AD14"/>
      <c r="AE14"/>
      <c r="AF14"/>
      <c r="AG14"/>
    </row>
    <row r="15" spans="1:144" x14ac:dyDescent="0.35">
      <c r="A15" s="1" t="str">
        <f t="shared" si="0"/>
        <v>01 TS</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1653</v>
      </c>
      <c r="D15" s="1" t="s">
        <v>218</v>
      </c>
      <c r="E15" s="1" t="s">
        <v>1654</v>
      </c>
      <c r="F15" s="1" t="s">
        <v>112</v>
      </c>
      <c r="G15" s="1">
        <v>56735</v>
      </c>
    </row>
    <row r="16" spans="1:144" x14ac:dyDescent="0.35">
      <c r="A16" s="1" t="str">
        <f t="shared" si="0"/>
        <v>01 TS</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1655</v>
      </c>
    </row>
    <row r="17" spans="1:9" x14ac:dyDescent="0.35">
      <c r="A17" s="1" t="str">
        <f t="shared" si="0"/>
        <v>01 TS</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1656</v>
      </c>
      <c r="D17" s="1" t="s">
        <v>1657</v>
      </c>
      <c r="E17" s="1" t="s">
        <v>1658</v>
      </c>
      <c r="F17" s="1" t="s">
        <v>112</v>
      </c>
      <c r="G17" s="1">
        <v>279437</v>
      </c>
    </row>
    <row r="18" spans="1:9" x14ac:dyDescent="0.35">
      <c r="A18" s="1" t="str">
        <f t="shared" si="0"/>
        <v>01 TS</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1659</v>
      </c>
      <c r="D18" s="1" t="s">
        <v>257</v>
      </c>
      <c r="E18" s="1" t="s">
        <v>1660</v>
      </c>
      <c r="F18" s="1" t="s">
        <v>112</v>
      </c>
      <c r="G18" s="1">
        <v>164798</v>
      </c>
    </row>
    <row r="19" spans="1:9" x14ac:dyDescent="0.35">
      <c r="A19" s="1" t="str">
        <f t="shared" si="0"/>
        <v>01 TS</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1661</v>
      </c>
    </row>
    <row r="20" spans="1:9" x14ac:dyDescent="0.35">
      <c r="A20" s="1" t="str">
        <f t="shared" si="0"/>
        <v>01 TS</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1662</v>
      </c>
      <c r="D20" s="1" t="s">
        <v>304</v>
      </c>
      <c r="E20" s="1" t="s">
        <v>1663</v>
      </c>
      <c r="F20" s="1" t="s">
        <v>112</v>
      </c>
      <c r="G20" s="1">
        <v>39366</v>
      </c>
    </row>
    <row r="21" spans="1:9" x14ac:dyDescent="0.35">
      <c r="A21" s="1" t="str">
        <f t="shared" si="0"/>
        <v>01 TS</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1664</v>
      </c>
      <c r="D21" s="1" t="s">
        <v>313</v>
      </c>
      <c r="E21" s="1" t="s">
        <v>1665</v>
      </c>
      <c r="F21" s="1" t="s">
        <v>112</v>
      </c>
      <c r="G21" s="1">
        <v>43498</v>
      </c>
    </row>
    <row r="22" spans="1:9" x14ac:dyDescent="0.35">
      <c r="A22" s="1" t="str">
        <f t="shared" si="0"/>
        <v>01 TS</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1666</v>
      </c>
      <c r="D22" s="1" t="s">
        <v>313</v>
      </c>
      <c r="E22" s="1" t="s">
        <v>1667</v>
      </c>
      <c r="F22" s="1" t="s">
        <v>112</v>
      </c>
      <c r="G22" s="1">
        <v>43390</v>
      </c>
    </row>
    <row r="23" spans="1:9" x14ac:dyDescent="0.35">
      <c r="A23" s="1" t="str">
        <f t="shared" si="0"/>
        <v>01 TS</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1668</v>
      </c>
      <c r="D23" s="1" t="s">
        <v>1669</v>
      </c>
      <c r="E23" s="1" t="s">
        <v>1670</v>
      </c>
      <c r="F23" s="1" t="s">
        <v>112</v>
      </c>
      <c r="G23" s="1">
        <v>13324</v>
      </c>
    </row>
    <row r="24" spans="1:9" x14ac:dyDescent="0.35">
      <c r="A24" s="1" t="str">
        <f t="shared" si="0"/>
        <v>01 TS</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1671</v>
      </c>
      <c r="D24" s="1" t="s">
        <v>1672</v>
      </c>
      <c r="E24" s="1" t="s">
        <v>1673</v>
      </c>
      <c r="F24" s="1" t="s">
        <v>112</v>
      </c>
      <c r="G24" s="1">
        <v>105986</v>
      </c>
    </row>
    <row r="25" spans="1:9" x14ac:dyDescent="0.35">
      <c r="A25" s="1" t="str">
        <f t="shared" si="0"/>
        <v>01 TS</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1674</v>
      </c>
      <c r="D25" s="1" t="s">
        <v>1388</v>
      </c>
      <c r="E25" s="1" t="s">
        <v>1675</v>
      </c>
      <c r="F25" s="1" t="s">
        <v>112</v>
      </c>
      <c r="G25" s="1">
        <v>379734</v>
      </c>
    </row>
    <row r="26" spans="1:9" x14ac:dyDescent="0.3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9"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241</v>
      </c>
      <c r="D27" s="1" t="s">
        <v>112</v>
      </c>
      <c r="E27" s="1" t="s">
        <v>242</v>
      </c>
      <c r="F27" s="1" t="s">
        <v>243</v>
      </c>
      <c r="G27" s="1" t="s">
        <v>244</v>
      </c>
      <c r="H27" s="1" t="s">
        <v>245</v>
      </c>
      <c r="I27" s="1" t="s">
        <v>246</v>
      </c>
    </row>
    <row r="28" spans="1:9" x14ac:dyDescent="0.35">
      <c r="A28" s="1" t="str">
        <f t="shared" si="0"/>
        <v>01 TS</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1676</v>
      </c>
      <c r="D28" s="1" t="s">
        <v>112</v>
      </c>
      <c r="E28" s="1" t="s">
        <v>1677</v>
      </c>
      <c r="F28" s="1" t="s">
        <v>1678</v>
      </c>
      <c r="G28" s="1" t="s">
        <v>1679</v>
      </c>
      <c r="H28" s="1" t="s">
        <v>1680</v>
      </c>
      <c r="I28" s="1">
        <v>24</v>
      </c>
    </row>
    <row r="29" spans="1:9" x14ac:dyDescent="0.3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9"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9"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9"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252</v>
      </c>
      <c r="D34" s="1" t="s">
        <v>110</v>
      </c>
      <c r="E34" s="1" t="s">
        <v>111</v>
      </c>
      <c r="F34" s="1" t="s">
        <v>112</v>
      </c>
      <c r="G34" s="1" t="s">
        <v>113</v>
      </c>
    </row>
    <row r="35" spans="1:7" x14ac:dyDescent="0.35">
      <c r="A35" s="1" t="str">
        <f t="shared" si="0"/>
        <v>02 EE2 34</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1681</v>
      </c>
      <c r="D35" s="1" t="s">
        <v>304</v>
      </c>
      <c r="E35" s="1" t="s">
        <v>1682</v>
      </c>
      <c r="F35" s="1" t="s">
        <v>112</v>
      </c>
      <c r="G35" s="1">
        <v>39604</v>
      </c>
    </row>
    <row r="36" spans="1:7" x14ac:dyDescent="0.35">
      <c r="A36" s="1" t="str">
        <f t="shared" si="0"/>
        <v>02 EE2 34</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1683</v>
      </c>
      <c r="D36" s="1" t="s">
        <v>227</v>
      </c>
      <c r="E36" s="1" t="s">
        <v>1684</v>
      </c>
      <c r="F36" s="1" t="s">
        <v>112</v>
      </c>
      <c r="G36" s="1">
        <v>27102</v>
      </c>
    </row>
    <row r="37" spans="1:7" x14ac:dyDescent="0.35">
      <c r="A37" s="1" t="str">
        <f t="shared" si="0"/>
        <v>02 EE2 34</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1685</v>
      </c>
      <c r="D37" s="1" t="s">
        <v>925</v>
      </c>
      <c r="E37" s="1" t="s">
        <v>1686</v>
      </c>
      <c r="F37" s="1" t="s">
        <v>112</v>
      </c>
      <c r="G37" s="1">
        <v>48711</v>
      </c>
    </row>
    <row r="38" spans="1:7" x14ac:dyDescent="0.35">
      <c r="A38" s="1" t="str">
        <f t="shared" si="0"/>
        <v>02 EE2 34</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1687</v>
      </c>
      <c r="D38" s="1" t="s">
        <v>187</v>
      </c>
      <c r="E38" s="1" t="s">
        <v>1688</v>
      </c>
      <c r="F38" s="1" t="s">
        <v>112</v>
      </c>
      <c r="G38" s="1">
        <v>55567</v>
      </c>
    </row>
    <row r="39" spans="1:7" x14ac:dyDescent="0.35">
      <c r="A39" s="1" t="str">
        <f t="shared" si="0"/>
        <v>02 EE2 34</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1689</v>
      </c>
      <c r="D39" s="1" t="s">
        <v>1073</v>
      </c>
      <c r="E39" s="1" t="s">
        <v>1690</v>
      </c>
      <c r="F39" s="1" t="s">
        <v>112</v>
      </c>
      <c r="G39" s="1">
        <v>216732</v>
      </c>
    </row>
    <row r="40" spans="1:7" x14ac:dyDescent="0.35">
      <c r="A40" s="1" t="str">
        <f t="shared" si="0"/>
        <v>02 EE2 34</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1691</v>
      </c>
      <c r="D40" s="1" t="s">
        <v>301</v>
      </c>
      <c r="E40" s="1" t="s">
        <v>1692</v>
      </c>
      <c r="F40" s="1" t="s">
        <v>112</v>
      </c>
      <c r="G40" s="1">
        <v>270633</v>
      </c>
    </row>
    <row r="41" spans="1:7" x14ac:dyDescent="0.35">
      <c r="A41" s="1" t="str">
        <f t="shared" si="0"/>
        <v>02 EE2 34</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1693</v>
      </c>
      <c r="D41" s="1" t="s">
        <v>959</v>
      </c>
      <c r="E41" s="1" t="s">
        <v>1694</v>
      </c>
      <c r="F41" s="1" t="s">
        <v>112</v>
      </c>
      <c r="G41" s="1">
        <v>101985</v>
      </c>
    </row>
    <row r="42" spans="1:7" x14ac:dyDescent="0.35">
      <c r="A42" s="1" t="str">
        <f t="shared" si="0"/>
        <v>02 EE2 34</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1695</v>
      </c>
      <c r="D42" s="1" t="s">
        <v>751</v>
      </c>
      <c r="E42" s="1" t="s">
        <v>707</v>
      </c>
      <c r="F42" s="1" t="s">
        <v>112</v>
      </c>
      <c r="G42" s="1">
        <v>33007</v>
      </c>
    </row>
    <row r="43" spans="1:7" x14ac:dyDescent="0.35">
      <c r="A43" s="1" t="str">
        <f t="shared" si="0"/>
        <v>02 EE2 34</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1696</v>
      </c>
      <c r="D43" s="1" t="s">
        <v>1697</v>
      </c>
      <c r="E43" s="1" t="s">
        <v>1698</v>
      </c>
      <c r="F43" s="1" t="s">
        <v>112</v>
      </c>
      <c r="G43" s="1">
        <v>77457</v>
      </c>
    </row>
    <row r="44" spans="1:7" x14ac:dyDescent="0.35">
      <c r="A44" s="1" t="str">
        <f t="shared" si="0"/>
        <v>02 EE2 34</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1699</v>
      </c>
      <c r="D44" s="1" t="s">
        <v>227</v>
      </c>
      <c r="E44" s="1" t="s">
        <v>1700</v>
      </c>
      <c r="F44" s="1" t="s">
        <v>112</v>
      </c>
      <c r="G44" s="1">
        <v>26886</v>
      </c>
    </row>
    <row r="45" spans="1:7" x14ac:dyDescent="0.35">
      <c r="A45" s="1" t="str">
        <f t="shared" si="0"/>
        <v>02 EE2 34</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1701</v>
      </c>
      <c r="D45" s="1" t="s">
        <v>1702</v>
      </c>
      <c r="E45" s="1" t="s">
        <v>1703</v>
      </c>
      <c r="F45" s="1" t="s">
        <v>112</v>
      </c>
      <c r="G45" s="1">
        <v>341514</v>
      </c>
    </row>
    <row r="46" spans="1:7" x14ac:dyDescent="0.35">
      <c r="A46" s="1" t="str">
        <f t="shared" si="0"/>
        <v>02 EE2 34</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1704</v>
      </c>
      <c r="D46" s="1" t="s">
        <v>268</v>
      </c>
      <c r="E46" s="1" t="s">
        <v>1705</v>
      </c>
      <c r="F46" s="1" t="s">
        <v>112</v>
      </c>
      <c r="G46" s="1">
        <v>152383</v>
      </c>
    </row>
    <row r="47" spans="1:7" x14ac:dyDescent="0.35">
      <c r="A47" s="1" t="str">
        <f t="shared" si="0"/>
        <v>02 EE2 34</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1706</v>
      </c>
      <c r="D47" s="1" t="s">
        <v>1707</v>
      </c>
      <c r="E47" s="1" t="s">
        <v>1708</v>
      </c>
      <c r="F47" s="1" t="s">
        <v>112</v>
      </c>
      <c r="G47" s="1">
        <v>654283</v>
      </c>
    </row>
    <row r="48" spans="1:7" x14ac:dyDescent="0.35">
      <c r="A48" s="1" t="str">
        <f t="shared" si="0"/>
        <v>02 EE2 34</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1709</v>
      </c>
      <c r="D48" s="1" t="s">
        <v>1710</v>
      </c>
      <c r="E48" s="1" t="s">
        <v>1711</v>
      </c>
      <c r="F48" s="1" t="s">
        <v>112</v>
      </c>
      <c r="G48" s="1">
        <v>372077</v>
      </c>
    </row>
    <row r="49" spans="1:9" x14ac:dyDescent="0.35">
      <c r="A49" s="1" t="str">
        <f t="shared" si="0"/>
        <v>02 EE2 34</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1712</v>
      </c>
      <c r="D49" s="1" t="s">
        <v>1702</v>
      </c>
      <c r="E49" s="1" t="s">
        <v>1713</v>
      </c>
      <c r="F49" s="1" t="s">
        <v>112</v>
      </c>
      <c r="G49" s="1">
        <v>359965</v>
      </c>
    </row>
    <row r="50" spans="1:9" x14ac:dyDescent="0.35">
      <c r="A50" s="1" t="str">
        <f t="shared" si="0"/>
        <v>02 EE2 34</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1714</v>
      </c>
      <c r="D50" s="1" t="s">
        <v>759</v>
      </c>
      <c r="E50" s="1" t="s">
        <v>1715</v>
      </c>
      <c r="F50" s="1" t="s">
        <v>112</v>
      </c>
      <c r="G50" s="1">
        <v>126081</v>
      </c>
    </row>
    <row r="51" spans="1:9" x14ac:dyDescent="0.35">
      <c r="A51" s="1" t="str">
        <f t="shared" si="0"/>
        <v>02 EE2 34</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1716</v>
      </c>
      <c r="D51" s="1" t="s">
        <v>1717</v>
      </c>
      <c r="E51" s="1" t="s">
        <v>1718</v>
      </c>
      <c r="F51" s="1" t="s">
        <v>112</v>
      </c>
      <c r="G51" s="1">
        <v>159218</v>
      </c>
    </row>
    <row r="52" spans="1:9" x14ac:dyDescent="0.35">
      <c r="A52" s="1" t="str">
        <f t="shared" si="0"/>
        <v>02 EE2 34</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1719</v>
      </c>
      <c r="D52" s="1" t="s">
        <v>187</v>
      </c>
      <c r="E52" s="1" t="s">
        <v>1720</v>
      </c>
      <c r="F52" s="1" t="s">
        <v>112</v>
      </c>
      <c r="G52" s="1">
        <v>56130</v>
      </c>
    </row>
    <row r="53" spans="1:9" x14ac:dyDescent="0.35">
      <c r="A53" s="1" t="str">
        <f t="shared" si="0"/>
        <v>02 EE2 34</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1721</v>
      </c>
      <c r="D53" s="1" t="s">
        <v>999</v>
      </c>
      <c r="E53" s="1" t="s">
        <v>1722</v>
      </c>
      <c r="F53" s="1" t="s">
        <v>112</v>
      </c>
      <c r="G53" s="1">
        <v>399418</v>
      </c>
    </row>
    <row r="54" spans="1:9" x14ac:dyDescent="0.35">
      <c r="A54" s="1" t="str">
        <f t="shared" si="0"/>
        <v>02 EE2 34</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1723</v>
      </c>
      <c r="D54" s="1" t="s">
        <v>1724</v>
      </c>
      <c r="E54" s="1" t="s">
        <v>1725</v>
      </c>
      <c r="F54" s="1" t="s">
        <v>112</v>
      </c>
      <c r="G54" s="1">
        <v>314715</v>
      </c>
    </row>
    <row r="55" spans="1:9" x14ac:dyDescent="0.35">
      <c r="A55" s="1" t="str">
        <f t="shared" si="0"/>
        <v>02 EE2 34</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1726</v>
      </c>
    </row>
    <row r="56" spans="1:9" x14ac:dyDescent="0.35">
      <c r="A56" s="1" t="str">
        <f t="shared" si="0"/>
        <v>02 EE2 34</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1727</v>
      </c>
      <c r="D56" s="1" t="s">
        <v>791</v>
      </c>
      <c r="E56" s="1" t="s">
        <v>1728</v>
      </c>
      <c r="F56" s="1" t="s">
        <v>112</v>
      </c>
      <c r="G56" s="1">
        <v>214179</v>
      </c>
    </row>
    <row r="57" spans="1:9" x14ac:dyDescent="0.35">
      <c r="A57" s="1" t="str">
        <f t="shared" si="0"/>
        <v>02 EE2 34</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1729</v>
      </c>
      <c r="D57" s="1" t="s">
        <v>1254</v>
      </c>
      <c r="E57" s="1" t="s">
        <v>1730</v>
      </c>
      <c r="F57" s="1" t="s">
        <v>112</v>
      </c>
      <c r="G57" s="1">
        <v>195448</v>
      </c>
    </row>
    <row r="58" spans="1:9" x14ac:dyDescent="0.35">
      <c r="A58" s="1" t="str">
        <f t="shared" si="0"/>
        <v>02 EE2 34</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1731</v>
      </c>
    </row>
    <row r="59" spans="1:9" x14ac:dyDescent="0.3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9"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241</v>
      </c>
      <c r="D60" s="1" t="s">
        <v>112</v>
      </c>
      <c r="E60" s="1" t="s">
        <v>242</v>
      </c>
      <c r="F60" s="1" t="s">
        <v>243</v>
      </c>
      <c r="G60" s="1" t="s">
        <v>244</v>
      </c>
      <c r="H60" s="1" t="s">
        <v>245</v>
      </c>
      <c r="I60" s="1" t="s">
        <v>246</v>
      </c>
    </row>
    <row r="61" spans="1:9" x14ac:dyDescent="0.35">
      <c r="A61" s="1" t="str">
        <f t="shared" si="0"/>
        <v>02 EE2 34</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1732</v>
      </c>
      <c r="D61" s="1" t="s">
        <v>112</v>
      </c>
      <c r="E61" s="1" t="s">
        <v>1733</v>
      </c>
      <c r="F61" s="1" t="s">
        <v>1734</v>
      </c>
      <c r="G61" s="1" t="s">
        <v>1735</v>
      </c>
      <c r="H61" s="1" t="s">
        <v>1736</v>
      </c>
      <c r="I61" s="1">
        <v>24</v>
      </c>
    </row>
    <row r="62" spans="1:9" x14ac:dyDescent="0.3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9"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9"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252</v>
      </c>
      <c r="D67" s="1" t="s">
        <v>110</v>
      </c>
      <c r="E67" s="1" t="s">
        <v>111</v>
      </c>
      <c r="F67" s="1" t="s">
        <v>112</v>
      </c>
      <c r="G67" s="1" t="s">
        <v>113</v>
      </c>
    </row>
    <row r="68" spans="1:7" x14ac:dyDescent="0.35">
      <c r="A68" s="1" t="str">
        <f t="shared" si="1"/>
        <v>03 EE2 51</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1737</v>
      </c>
      <c r="D68" s="1" t="s">
        <v>283</v>
      </c>
      <c r="E68" s="1" t="s">
        <v>1738</v>
      </c>
      <c r="F68" s="1" t="s">
        <v>112</v>
      </c>
      <c r="G68" s="1">
        <v>672279</v>
      </c>
    </row>
    <row r="69" spans="1:7" x14ac:dyDescent="0.35">
      <c r="A69" s="1" t="str">
        <f t="shared" si="1"/>
        <v>03 EE2 51</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1739</v>
      </c>
      <c r="D69" s="1" t="s">
        <v>1740</v>
      </c>
      <c r="E69" s="1" t="s">
        <v>1741</v>
      </c>
      <c r="F69" s="1" t="s">
        <v>112</v>
      </c>
      <c r="G69" s="1">
        <v>439671</v>
      </c>
    </row>
    <row r="70" spans="1:7" x14ac:dyDescent="0.35">
      <c r="A70" s="1" t="str">
        <f t="shared" si="1"/>
        <v>03 EE2 51</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1742</v>
      </c>
      <c r="D70" s="1" t="s">
        <v>797</v>
      </c>
      <c r="E70" s="1" t="s">
        <v>1743</v>
      </c>
      <c r="F70" s="1" t="s">
        <v>112</v>
      </c>
      <c r="G70" s="1">
        <v>51371</v>
      </c>
    </row>
    <row r="71" spans="1:7" x14ac:dyDescent="0.35">
      <c r="A71" s="1" t="str">
        <f t="shared" si="1"/>
        <v>03 EE2 51</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1744</v>
      </c>
    </row>
    <row r="72" spans="1:7" x14ac:dyDescent="0.35">
      <c r="A72" s="1" t="str">
        <f t="shared" si="1"/>
        <v>03 EE2 51</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1745</v>
      </c>
      <c r="D72" s="1" t="s">
        <v>452</v>
      </c>
      <c r="E72" s="1" t="s">
        <v>1746</v>
      </c>
      <c r="F72" s="1" t="s">
        <v>112</v>
      </c>
      <c r="G72" s="1">
        <v>170595</v>
      </c>
    </row>
    <row r="73" spans="1:7" x14ac:dyDescent="0.35">
      <c r="A73" s="1" t="str">
        <f t="shared" si="1"/>
        <v>03 EE2 51</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1747</v>
      </c>
      <c r="D73" s="1" t="s">
        <v>841</v>
      </c>
      <c r="E73" s="1" t="s">
        <v>1748</v>
      </c>
      <c r="F73" s="1" t="s">
        <v>112</v>
      </c>
      <c r="G73" s="1">
        <v>164041</v>
      </c>
    </row>
    <row r="74" spans="1:7" x14ac:dyDescent="0.35">
      <c r="A74" s="1" t="str">
        <f t="shared" si="1"/>
        <v>03 EE2 51</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1749</v>
      </c>
      <c r="D74" s="1" t="s">
        <v>1750</v>
      </c>
      <c r="E74" s="1" t="s">
        <v>1751</v>
      </c>
      <c r="F74" s="1" t="s">
        <v>112</v>
      </c>
      <c r="G74" s="1">
        <v>200747</v>
      </c>
    </row>
    <row r="75" spans="1:7" x14ac:dyDescent="0.35">
      <c r="A75" s="1" t="str">
        <f t="shared" si="1"/>
        <v>03 EE2 51</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1752</v>
      </c>
    </row>
    <row r="76" spans="1:7" x14ac:dyDescent="0.35">
      <c r="A76" s="1" t="str">
        <f t="shared" si="1"/>
        <v>03 EE2 51</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1753</v>
      </c>
    </row>
    <row r="77" spans="1:7" x14ac:dyDescent="0.35">
      <c r="A77" s="1" t="str">
        <f t="shared" si="1"/>
        <v>03 EE2 51</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1754</v>
      </c>
      <c r="D77" s="1" t="s">
        <v>301</v>
      </c>
      <c r="E77" s="1" t="s">
        <v>1755</v>
      </c>
      <c r="F77" s="1" t="s">
        <v>112</v>
      </c>
      <c r="G77" s="1">
        <v>250950</v>
      </c>
    </row>
    <row r="78" spans="1:7" x14ac:dyDescent="0.35">
      <c r="A78" s="1" t="str">
        <f t="shared" si="1"/>
        <v>03 EE2 51</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1756</v>
      </c>
      <c r="D78" s="1" t="s">
        <v>1724</v>
      </c>
      <c r="E78" s="1" t="s">
        <v>1757</v>
      </c>
      <c r="F78" s="1" t="s">
        <v>112</v>
      </c>
      <c r="G78" s="1">
        <v>304484</v>
      </c>
    </row>
    <row r="79" spans="1:7" x14ac:dyDescent="0.35">
      <c r="A79" s="1" t="str">
        <f t="shared" si="1"/>
        <v>03 EE2 51</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1758</v>
      </c>
      <c r="D79" s="1" t="s">
        <v>1521</v>
      </c>
      <c r="E79" s="1" t="s">
        <v>1759</v>
      </c>
      <c r="F79" s="1" t="s">
        <v>112</v>
      </c>
      <c r="G79" s="1">
        <v>298233</v>
      </c>
    </row>
    <row r="80" spans="1:7" x14ac:dyDescent="0.35">
      <c r="A80" s="1" t="str">
        <f t="shared" si="1"/>
        <v>03 EE2 51</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1760</v>
      </c>
      <c r="D80" s="1" t="s">
        <v>1761</v>
      </c>
      <c r="E80" s="1" t="s">
        <v>1762</v>
      </c>
      <c r="F80" s="1" t="s">
        <v>112</v>
      </c>
      <c r="G80" s="1">
        <v>529954</v>
      </c>
    </row>
    <row r="81" spans="1:9" x14ac:dyDescent="0.35">
      <c r="A81" s="1" t="str">
        <f t="shared" si="1"/>
        <v>03 EE2 51</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1763</v>
      </c>
    </row>
    <row r="82" spans="1:9" x14ac:dyDescent="0.35">
      <c r="A82" s="1" t="str">
        <f t="shared" si="1"/>
        <v>03 EE2 51</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1764</v>
      </c>
      <c r="D82" s="1" t="s">
        <v>360</v>
      </c>
      <c r="E82" s="1" t="s">
        <v>1765</v>
      </c>
      <c r="F82" s="1" t="s">
        <v>112</v>
      </c>
      <c r="G82" s="1">
        <v>125973</v>
      </c>
    </row>
    <row r="83" spans="1:9" x14ac:dyDescent="0.35">
      <c r="A83" s="1" t="str">
        <f t="shared" si="1"/>
        <v>03 EE2 51</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1766</v>
      </c>
      <c r="D83" s="1" t="s">
        <v>224</v>
      </c>
      <c r="E83" s="1" t="s">
        <v>1767</v>
      </c>
      <c r="F83" s="1" t="s">
        <v>112</v>
      </c>
      <c r="G83" s="1">
        <v>141957</v>
      </c>
    </row>
    <row r="84" spans="1:9" x14ac:dyDescent="0.35">
      <c r="A84" s="1" t="str">
        <f t="shared" si="1"/>
        <v>03 EE2 51</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1768</v>
      </c>
      <c r="D84" s="1" t="s">
        <v>271</v>
      </c>
      <c r="E84" s="1">
        <v>70</v>
      </c>
      <c r="F84" s="1" t="s">
        <v>112</v>
      </c>
      <c r="G84" s="1">
        <v>162008</v>
      </c>
    </row>
    <row r="85" spans="1:9" x14ac:dyDescent="0.35">
      <c r="A85" s="1" t="str">
        <f t="shared" si="1"/>
        <v>03 EE2 51</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1769</v>
      </c>
      <c r="D85" s="1" t="s">
        <v>1485</v>
      </c>
      <c r="E85" s="1" t="s">
        <v>1770</v>
      </c>
      <c r="F85" s="1" t="s">
        <v>112</v>
      </c>
      <c r="G85" s="1">
        <v>34024</v>
      </c>
    </row>
    <row r="86" spans="1:9" x14ac:dyDescent="0.35">
      <c r="A86" s="1" t="str">
        <f t="shared" si="1"/>
        <v>03 EE2 51</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1771</v>
      </c>
      <c r="D86" s="1" t="s">
        <v>1772</v>
      </c>
      <c r="E86" s="1" t="s">
        <v>1773</v>
      </c>
      <c r="F86" s="1" t="s">
        <v>112</v>
      </c>
      <c r="G86" s="1">
        <v>239529</v>
      </c>
    </row>
    <row r="87" spans="1:9" x14ac:dyDescent="0.35">
      <c r="A87" s="1" t="str">
        <f t="shared" si="1"/>
        <v>03 EE2 51</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1774</v>
      </c>
      <c r="D87" s="1" t="s">
        <v>1775</v>
      </c>
      <c r="E87" s="1" t="s">
        <v>1776</v>
      </c>
      <c r="F87" s="1" t="s">
        <v>112</v>
      </c>
      <c r="G87" s="1">
        <v>307447</v>
      </c>
    </row>
    <row r="88" spans="1:9" x14ac:dyDescent="0.35">
      <c r="A88" s="1" t="str">
        <f t="shared" si="1"/>
        <v>03 EE2 51</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1777</v>
      </c>
      <c r="D88" s="1" t="s">
        <v>414</v>
      </c>
      <c r="E88" s="1" t="s">
        <v>1778</v>
      </c>
      <c r="F88" s="1" t="s">
        <v>112</v>
      </c>
      <c r="G88" s="1">
        <v>84378</v>
      </c>
    </row>
    <row r="89" spans="1:9" x14ac:dyDescent="0.35">
      <c r="A89" s="1" t="str">
        <f t="shared" si="1"/>
        <v>03 EE2 51</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1779</v>
      </c>
    </row>
    <row r="90" spans="1:9" x14ac:dyDescent="0.35">
      <c r="A90" s="1" t="str">
        <f t="shared" si="1"/>
        <v>03 EE2 51</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1780</v>
      </c>
    </row>
    <row r="91" spans="1:9" x14ac:dyDescent="0.35">
      <c r="A91" s="1" t="str">
        <f t="shared" si="1"/>
        <v>03 EE2 51</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1781</v>
      </c>
    </row>
    <row r="92" spans="1:9" x14ac:dyDescent="0.3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9"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241</v>
      </c>
      <c r="D93" s="1" t="s">
        <v>112</v>
      </c>
      <c r="E93" s="1" t="s">
        <v>242</v>
      </c>
      <c r="F93" s="1" t="s">
        <v>243</v>
      </c>
      <c r="G93" s="1" t="s">
        <v>244</v>
      </c>
      <c r="H93" s="1" t="s">
        <v>245</v>
      </c>
      <c r="I93" s="1" t="s">
        <v>246</v>
      </c>
    </row>
    <row r="94" spans="1:9" x14ac:dyDescent="0.35">
      <c r="A94" s="1" t="str">
        <f t="shared" si="1"/>
        <v>03 EE2 51</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1782</v>
      </c>
      <c r="D94" s="1" t="s">
        <v>112</v>
      </c>
      <c r="E94" s="1" t="s">
        <v>1783</v>
      </c>
      <c r="F94" s="1" t="s">
        <v>1784</v>
      </c>
      <c r="G94" s="1" t="s">
        <v>1785</v>
      </c>
      <c r="H94" s="1" t="s">
        <v>1786</v>
      </c>
      <c r="I94" s="1">
        <v>24</v>
      </c>
    </row>
    <row r="95" spans="1:9" x14ac:dyDescent="0.3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9"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252</v>
      </c>
      <c r="D100" s="1" t="s">
        <v>110</v>
      </c>
      <c r="E100" s="1" t="s">
        <v>111</v>
      </c>
      <c r="F100" s="1" t="s">
        <v>112</v>
      </c>
      <c r="G100" s="1" t="s">
        <v>113</v>
      </c>
    </row>
    <row r="101" spans="1:7" x14ac:dyDescent="0.35">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1787</v>
      </c>
      <c r="D101" s="1" t="s">
        <v>1788</v>
      </c>
      <c r="E101" s="1" t="s">
        <v>1789</v>
      </c>
      <c r="F101" s="1" t="s">
        <v>112</v>
      </c>
      <c r="G101" s="1">
        <v>3209963</v>
      </c>
    </row>
    <row r="102" spans="1:7" x14ac:dyDescent="0.3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1790</v>
      </c>
      <c r="D102" s="1" t="s">
        <v>1791</v>
      </c>
      <c r="E102" s="1" t="s">
        <v>1792</v>
      </c>
      <c r="F102" s="1" t="s">
        <v>112</v>
      </c>
      <c r="G102" s="1">
        <v>3075728</v>
      </c>
    </row>
    <row r="103" spans="1:7" x14ac:dyDescent="0.3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1793</v>
      </c>
      <c r="D103" s="1" t="s">
        <v>1794</v>
      </c>
      <c r="E103" s="1" t="s">
        <v>1795</v>
      </c>
      <c r="F103" s="1" t="s">
        <v>112</v>
      </c>
      <c r="G103" s="1">
        <v>2087004</v>
      </c>
    </row>
    <row r="104" spans="1:7" x14ac:dyDescent="0.3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1796</v>
      </c>
      <c r="D104" s="1" t="s">
        <v>1797</v>
      </c>
      <c r="E104" s="1" t="s">
        <v>1798</v>
      </c>
      <c r="F104" s="1" t="s">
        <v>112</v>
      </c>
      <c r="G104" s="1">
        <v>183854</v>
      </c>
    </row>
    <row r="105" spans="1:7" x14ac:dyDescent="0.3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1799</v>
      </c>
      <c r="D105" s="1" t="s">
        <v>745</v>
      </c>
      <c r="E105" s="1" t="s">
        <v>1800</v>
      </c>
      <c r="F105" s="1" t="s">
        <v>112</v>
      </c>
      <c r="G105" s="1">
        <v>124156</v>
      </c>
    </row>
    <row r="106" spans="1:7" x14ac:dyDescent="0.3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1801</v>
      </c>
      <c r="D106" s="1" t="s">
        <v>1802</v>
      </c>
      <c r="E106" s="1" t="s">
        <v>1803</v>
      </c>
      <c r="F106" s="1" t="s">
        <v>112</v>
      </c>
      <c r="G106" s="1">
        <v>96491</v>
      </c>
    </row>
    <row r="107" spans="1:7" x14ac:dyDescent="0.3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1804</v>
      </c>
      <c r="D107" s="1" t="s">
        <v>1805</v>
      </c>
      <c r="E107" s="1" t="s">
        <v>1806</v>
      </c>
      <c r="F107" s="1" t="s">
        <v>112</v>
      </c>
      <c r="G107" s="1">
        <v>156536</v>
      </c>
    </row>
    <row r="108" spans="1:7" x14ac:dyDescent="0.3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1807</v>
      </c>
      <c r="D108" s="1" t="s">
        <v>294</v>
      </c>
      <c r="E108" s="1" t="s">
        <v>1808</v>
      </c>
      <c r="F108" s="1" t="s">
        <v>112</v>
      </c>
      <c r="G108" s="1">
        <v>145418</v>
      </c>
    </row>
    <row r="109" spans="1:7" x14ac:dyDescent="0.3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1809</v>
      </c>
      <c r="D109" s="1" t="s">
        <v>1810</v>
      </c>
      <c r="E109" s="1" t="s">
        <v>1811</v>
      </c>
      <c r="F109" s="1" t="s">
        <v>112</v>
      </c>
      <c r="G109" s="1">
        <v>82172</v>
      </c>
    </row>
    <row r="110" spans="1:7" x14ac:dyDescent="0.3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1812</v>
      </c>
      <c r="D110" s="1" t="s">
        <v>1813</v>
      </c>
      <c r="E110" s="1" t="s">
        <v>1814</v>
      </c>
      <c r="F110" s="1" t="s">
        <v>112</v>
      </c>
      <c r="G110" s="1">
        <v>2862846</v>
      </c>
    </row>
    <row r="111" spans="1:7" x14ac:dyDescent="0.3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1815</v>
      </c>
      <c r="D111" s="1" t="s">
        <v>1816</v>
      </c>
      <c r="E111" s="1" t="s">
        <v>1817</v>
      </c>
      <c r="F111" s="1" t="s">
        <v>112</v>
      </c>
      <c r="G111" s="1">
        <v>2619034</v>
      </c>
    </row>
    <row r="112" spans="1:7" x14ac:dyDescent="0.3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1818</v>
      </c>
      <c r="D112" s="1" t="s">
        <v>1819</v>
      </c>
      <c r="E112" s="1" t="s">
        <v>1820</v>
      </c>
      <c r="F112" s="1" t="s">
        <v>112</v>
      </c>
      <c r="G112" s="1">
        <v>1784358</v>
      </c>
    </row>
    <row r="113" spans="1:9" x14ac:dyDescent="0.3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1821</v>
      </c>
      <c r="D113" s="1" t="s">
        <v>892</v>
      </c>
      <c r="E113" s="1" t="s">
        <v>1822</v>
      </c>
      <c r="F113" s="1" t="s">
        <v>112</v>
      </c>
      <c r="G113" s="1">
        <v>207193</v>
      </c>
    </row>
    <row r="114" spans="1:9" x14ac:dyDescent="0.3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1823</v>
      </c>
      <c r="D114" s="1" t="s">
        <v>426</v>
      </c>
      <c r="E114" s="1" t="s">
        <v>1824</v>
      </c>
      <c r="F114" s="1" t="s">
        <v>112</v>
      </c>
      <c r="G114" s="1">
        <v>320577</v>
      </c>
    </row>
    <row r="115" spans="1:9" x14ac:dyDescent="0.3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1825</v>
      </c>
      <c r="D115" s="1" t="s">
        <v>342</v>
      </c>
      <c r="E115" s="1" t="s">
        <v>1826</v>
      </c>
      <c r="F115" s="1" t="s">
        <v>112</v>
      </c>
      <c r="G115" s="1">
        <v>86174</v>
      </c>
    </row>
    <row r="116" spans="1:9" x14ac:dyDescent="0.3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1827</v>
      </c>
      <c r="D116" s="1" t="s">
        <v>471</v>
      </c>
      <c r="E116" s="1" t="s">
        <v>1828</v>
      </c>
      <c r="F116" s="1" t="s">
        <v>112</v>
      </c>
      <c r="G116" s="1">
        <v>717507</v>
      </c>
    </row>
    <row r="117" spans="1:9" x14ac:dyDescent="0.3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1829</v>
      </c>
      <c r="D117" s="1" t="s">
        <v>1717</v>
      </c>
      <c r="E117" s="1" t="s">
        <v>1830</v>
      </c>
      <c r="F117" s="1" t="s">
        <v>112</v>
      </c>
      <c r="G117" s="1">
        <v>155973</v>
      </c>
    </row>
    <row r="118" spans="1:9" x14ac:dyDescent="0.3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1831</v>
      </c>
      <c r="D118" s="1" t="s">
        <v>726</v>
      </c>
      <c r="E118" s="1">
        <v>63</v>
      </c>
      <c r="F118" s="1" t="s">
        <v>112</v>
      </c>
      <c r="G118" s="1">
        <v>19078</v>
      </c>
    </row>
    <row r="119" spans="1:9" x14ac:dyDescent="0.3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1832</v>
      </c>
      <c r="D119" s="1" t="s">
        <v>880</v>
      </c>
      <c r="E119" s="1" t="s">
        <v>1833</v>
      </c>
      <c r="F119" s="1" t="s">
        <v>112</v>
      </c>
      <c r="G119" s="1">
        <v>419836</v>
      </c>
    </row>
    <row r="120" spans="1:9" x14ac:dyDescent="0.3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1834</v>
      </c>
      <c r="D120" s="1" t="s">
        <v>886</v>
      </c>
      <c r="E120" s="1" t="s">
        <v>1835</v>
      </c>
      <c r="F120" s="1" t="s">
        <v>112</v>
      </c>
      <c r="G120" s="1">
        <v>447739</v>
      </c>
    </row>
    <row r="121" spans="1:9" x14ac:dyDescent="0.3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1836</v>
      </c>
      <c r="D121" s="1" t="s">
        <v>1837</v>
      </c>
      <c r="E121" s="1" t="s">
        <v>1838</v>
      </c>
      <c r="F121" s="1" t="s">
        <v>112</v>
      </c>
      <c r="G121" s="1">
        <v>478259</v>
      </c>
    </row>
    <row r="122" spans="1:9" x14ac:dyDescent="0.3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1839</v>
      </c>
      <c r="D122" s="1" t="s">
        <v>1232</v>
      </c>
      <c r="E122" s="1" t="s">
        <v>1840</v>
      </c>
      <c r="F122" s="1" t="s">
        <v>112</v>
      </c>
      <c r="G122" s="1">
        <v>499694</v>
      </c>
    </row>
    <row r="123" spans="1:9" x14ac:dyDescent="0.3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1841</v>
      </c>
      <c r="D123" s="1" t="s">
        <v>1842</v>
      </c>
      <c r="E123" s="1" t="s">
        <v>1843</v>
      </c>
      <c r="F123" s="1" t="s">
        <v>112</v>
      </c>
      <c r="G123" s="1">
        <v>821828</v>
      </c>
    </row>
    <row r="124" spans="1:9" x14ac:dyDescent="0.3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1844</v>
      </c>
      <c r="D124" s="1" t="s">
        <v>1845</v>
      </c>
      <c r="E124" s="1" t="s">
        <v>1846</v>
      </c>
      <c r="F124" s="1" t="s">
        <v>112</v>
      </c>
      <c r="G124" s="1">
        <v>306971</v>
      </c>
    </row>
    <row r="125" spans="1:9"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9"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241</v>
      </c>
      <c r="D126" s="1" t="s">
        <v>112</v>
      </c>
      <c r="E126" s="1" t="s">
        <v>242</v>
      </c>
      <c r="F126" s="1" t="s">
        <v>243</v>
      </c>
      <c r="G126" s="1" t="s">
        <v>244</v>
      </c>
      <c r="H126" s="1" t="s">
        <v>245</v>
      </c>
      <c r="I126" s="1" t="s">
        <v>246</v>
      </c>
    </row>
    <row r="127" spans="1:9" x14ac:dyDescent="0.35">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1847</v>
      </c>
      <c r="D127" s="1" t="s">
        <v>112</v>
      </c>
      <c r="E127" s="1" t="s">
        <v>1848</v>
      </c>
      <c r="F127" s="1" t="s">
        <v>1849</v>
      </c>
      <c r="G127" s="1" t="s">
        <v>1850</v>
      </c>
      <c r="H127" s="1" t="s">
        <v>1851</v>
      </c>
      <c r="I127" s="1">
        <v>24</v>
      </c>
    </row>
    <row r="128" spans="1:9" x14ac:dyDescent="0.3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252</v>
      </c>
      <c r="D133" s="1" t="s">
        <v>110</v>
      </c>
      <c r="E133" s="1" t="s">
        <v>111</v>
      </c>
      <c r="F133" s="1" t="s">
        <v>112</v>
      </c>
      <c r="G133" s="1" t="s">
        <v>113</v>
      </c>
    </row>
    <row r="134" spans="1:7" x14ac:dyDescent="0.35">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1852</v>
      </c>
      <c r="D134" s="1" t="s">
        <v>1853</v>
      </c>
      <c r="E134" s="1" t="s">
        <v>1854</v>
      </c>
      <c r="F134" s="1" t="s">
        <v>112</v>
      </c>
      <c r="G134" s="1">
        <v>4094063</v>
      </c>
    </row>
    <row r="135" spans="1:7" x14ac:dyDescent="0.3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1855</v>
      </c>
      <c r="D135" s="1" t="s">
        <v>1856</v>
      </c>
      <c r="E135" s="1" t="s">
        <v>1857</v>
      </c>
      <c r="F135" s="1" t="s">
        <v>112</v>
      </c>
      <c r="G135" s="1">
        <v>3500517</v>
      </c>
    </row>
    <row r="136" spans="1:7" x14ac:dyDescent="0.3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1858</v>
      </c>
      <c r="D136" s="1" t="s">
        <v>1859</v>
      </c>
      <c r="E136" s="1" t="s">
        <v>1860</v>
      </c>
      <c r="F136" s="1" t="s">
        <v>112</v>
      </c>
      <c r="G136" s="1">
        <v>3720948</v>
      </c>
    </row>
    <row r="137" spans="1:7" x14ac:dyDescent="0.3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1861</v>
      </c>
      <c r="D137" s="1" t="s">
        <v>1862</v>
      </c>
      <c r="E137" s="1" t="s">
        <v>1863</v>
      </c>
      <c r="F137" s="1" t="s">
        <v>112</v>
      </c>
      <c r="G137" s="1">
        <v>1261023</v>
      </c>
    </row>
    <row r="138" spans="1:7" x14ac:dyDescent="0.3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1864</v>
      </c>
      <c r="D138" s="1" t="s">
        <v>1865</v>
      </c>
      <c r="E138" s="1" t="s">
        <v>1866</v>
      </c>
      <c r="F138" s="1" t="s">
        <v>112</v>
      </c>
      <c r="G138" s="1">
        <v>723304</v>
      </c>
    </row>
    <row r="139" spans="1:7" x14ac:dyDescent="0.3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1867</v>
      </c>
      <c r="D139" s="1" t="s">
        <v>1868</v>
      </c>
      <c r="E139" s="1" t="s">
        <v>1869</v>
      </c>
      <c r="F139" s="1" t="s">
        <v>112</v>
      </c>
      <c r="G139" s="1">
        <v>1179413</v>
      </c>
    </row>
    <row r="140" spans="1:7" x14ac:dyDescent="0.3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1870</v>
      </c>
      <c r="D140" s="1" t="s">
        <v>1871</v>
      </c>
      <c r="E140" s="1" t="s">
        <v>1872</v>
      </c>
      <c r="F140" s="1" t="s">
        <v>112</v>
      </c>
      <c r="G140" s="1">
        <v>969863</v>
      </c>
    </row>
    <row r="141" spans="1:7" x14ac:dyDescent="0.3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1873</v>
      </c>
      <c r="D141" s="1" t="s">
        <v>1874</v>
      </c>
      <c r="E141" s="1" t="s">
        <v>1875</v>
      </c>
      <c r="F141" s="1" t="s">
        <v>112</v>
      </c>
      <c r="G141" s="1">
        <v>347809</v>
      </c>
    </row>
    <row r="142" spans="1:7" x14ac:dyDescent="0.3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1876</v>
      </c>
      <c r="D142" s="1" t="s">
        <v>1877</v>
      </c>
      <c r="E142" s="1" t="s">
        <v>1878</v>
      </c>
      <c r="F142" s="1" t="s">
        <v>112</v>
      </c>
      <c r="G142" s="1">
        <v>174791</v>
      </c>
    </row>
    <row r="143" spans="1:7" x14ac:dyDescent="0.3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1879</v>
      </c>
      <c r="D143" s="1" t="s">
        <v>1880</v>
      </c>
      <c r="E143" s="1" t="s">
        <v>1881</v>
      </c>
      <c r="F143" s="1" t="s">
        <v>112</v>
      </c>
      <c r="G143" s="1">
        <v>3174382</v>
      </c>
    </row>
    <row r="144" spans="1:7" x14ac:dyDescent="0.3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1882</v>
      </c>
      <c r="D144" s="1" t="s">
        <v>1883</v>
      </c>
      <c r="E144" s="1" t="s">
        <v>1884</v>
      </c>
      <c r="F144" s="1" t="s">
        <v>112</v>
      </c>
      <c r="G144" s="1">
        <v>2419109</v>
      </c>
    </row>
    <row r="145" spans="1:9" x14ac:dyDescent="0.3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1885</v>
      </c>
      <c r="D145" s="1" t="s">
        <v>1886</v>
      </c>
      <c r="E145" s="1" t="s">
        <v>1887</v>
      </c>
      <c r="F145" s="1" t="s">
        <v>112</v>
      </c>
      <c r="G145" s="1">
        <v>1683065</v>
      </c>
    </row>
    <row r="146" spans="1:9" x14ac:dyDescent="0.3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1888</v>
      </c>
      <c r="D146" s="1" t="s">
        <v>1889</v>
      </c>
      <c r="E146" s="1" t="s">
        <v>1890</v>
      </c>
      <c r="F146" s="1" t="s">
        <v>112</v>
      </c>
      <c r="G146" s="1">
        <v>2539436</v>
      </c>
    </row>
    <row r="147" spans="1:9" x14ac:dyDescent="0.3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1891</v>
      </c>
      <c r="D147" s="1" t="s">
        <v>1892</v>
      </c>
      <c r="E147" s="1" t="s">
        <v>1893</v>
      </c>
      <c r="F147" s="1" t="s">
        <v>112</v>
      </c>
      <c r="G147" s="1">
        <v>1653822</v>
      </c>
    </row>
    <row r="148" spans="1:9" x14ac:dyDescent="0.3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1894</v>
      </c>
      <c r="D148" s="1" t="s">
        <v>1895</v>
      </c>
      <c r="E148" s="1" t="s">
        <v>1896</v>
      </c>
      <c r="F148" s="1" t="s">
        <v>112</v>
      </c>
      <c r="G148" s="1">
        <v>1655639</v>
      </c>
    </row>
    <row r="149" spans="1:9" x14ac:dyDescent="0.3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1897</v>
      </c>
      <c r="D149" s="1" t="s">
        <v>1898</v>
      </c>
      <c r="E149" s="1" t="s">
        <v>1899</v>
      </c>
      <c r="F149" s="1" t="s">
        <v>112</v>
      </c>
      <c r="G149" s="1">
        <v>939732</v>
      </c>
    </row>
    <row r="150" spans="1:9" x14ac:dyDescent="0.3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1900</v>
      </c>
      <c r="D150" s="1" t="s">
        <v>1901</v>
      </c>
      <c r="E150" s="1" t="s">
        <v>1902</v>
      </c>
      <c r="F150" s="1" t="s">
        <v>112</v>
      </c>
      <c r="G150" s="1">
        <v>961189</v>
      </c>
    </row>
    <row r="151" spans="1:9" x14ac:dyDescent="0.3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1903</v>
      </c>
    </row>
    <row r="152" spans="1:9" x14ac:dyDescent="0.3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1904</v>
      </c>
      <c r="D152" s="1" t="s">
        <v>1905</v>
      </c>
      <c r="E152" s="1" t="s">
        <v>1906</v>
      </c>
      <c r="F152" s="1" t="s">
        <v>112</v>
      </c>
      <c r="G152" s="1">
        <v>3657010</v>
      </c>
    </row>
    <row r="153" spans="1:9" x14ac:dyDescent="0.3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1907</v>
      </c>
      <c r="D153" s="1" t="s">
        <v>1908</v>
      </c>
      <c r="E153" s="1" t="s">
        <v>1909</v>
      </c>
      <c r="F153" s="1" t="s">
        <v>112</v>
      </c>
      <c r="G153" s="1">
        <v>3887627</v>
      </c>
    </row>
    <row r="154" spans="1:9" x14ac:dyDescent="0.3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1910</v>
      </c>
      <c r="D154" s="1" t="s">
        <v>1911</v>
      </c>
      <c r="E154" s="1" t="s">
        <v>1912</v>
      </c>
      <c r="F154" s="1" t="s">
        <v>112</v>
      </c>
      <c r="G154" s="1">
        <v>2910194</v>
      </c>
    </row>
    <row r="155" spans="1:9" x14ac:dyDescent="0.3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1913</v>
      </c>
      <c r="D155" s="1" t="s">
        <v>1914</v>
      </c>
      <c r="E155" s="1" t="s">
        <v>1915</v>
      </c>
      <c r="F155" s="1" t="s">
        <v>112</v>
      </c>
      <c r="G155" s="1">
        <v>2564008</v>
      </c>
    </row>
    <row r="156" spans="1:9" x14ac:dyDescent="0.3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1916</v>
      </c>
      <c r="D156" s="1" t="s">
        <v>1917</v>
      </c>
      <c r="E156" s="1" t="s">
        <v>1918</v>
      </c>
      <c r="F156" s="1" t="s">
        <v>112</v>
      </c>
      <c r="G156" s="1">
        <v>2947376</v>
      </c>
    </row>
    <row r="157" spans="1:9" x14ac:dyDescent="0.3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1919</v>
      </c>
      <c r="D157" s="1" t="s">
        <v>1920</v>
      </c>
      <c r="E157" s="1" t="s">
        <v>1921</v>
      </c>
      <c r="F157" s="1" t="s">
        <v>112</v>
      </c>
      <c r="G157" s="1">
        <v>2999374</v>
      </c>
    </row>
    <row r="158" spans="1:9"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9"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241</v>
      </c>
      <c r="D159" s="1" t="s">
        <v>112</v>
      </c>
      <c r="E159" s="1" t="s">
        <v>242</v>
      </c>
      <c r="F159" s="1" t="s">
        <v>243</v>
      </c>
      <c r="G159" s="1" t="s">
        <v>244</v>
      </c>
      <c r="H159" s="1" t="s">
        <v>245</v>
      </c>
      <c r="I159" s="1" t="s">
        <v>246</v>
      </c>
    </row>
    <row r="160" spans="1:9" x14ac:dyDescent="0.35">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1922</v>
      </c>
      <c r="D160" s="1" t="s">
        <v>112</v>
      </c>
      <c r="E160" s="1" t="s">
        <v>1923</v>
      </c>
      <c r="F160" s="1" t="s">
        <v>1924</v>
      </c>
      <c r="G160" s="1" t="s">
        <v>1925</v>
      </c>
      <c r="H160" s="1" t="s">
        <v>1926</v>
      </c>
      <c r="I160" s="1">
        <v>24</v>
      </c>
    </row>
    <row r="161" spans="1:7"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252</v>
      </c>
      <c r="D166" s="1" t="s">
        <v>110</v>
      </c>
      <c r="E166" s="1" t="s">
        <v>111</v>
      </c>
      <c r="F166" s="1" t="s">
        <v>112</v>
      </c>
      <c r="G166" s="1" t="s">
        <v>113</v>
      </c>
    </row>
    <row r="167" spans="1:7" x14ac:dyDescent="0.35">
      <c r="A167" s="1" t="str">
        <f t="shared" si="2"/>
        <v>06 EE2 171</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1927</v>
      </c>
      <c r="D167" s="1" t="s">
        <v>1928</v>
      </c>
      <c r="E167" s="1" t="s">
        <v>1929</v>
      </c>
      <c r="F167" s="1" t="s">
        <v>112</v>
      </c>
      <c r="G167" s="1">
        <v>3676931</v>
      </c>
    </row>
    <row r="168" spans="1:7" x14ac:dyDescent="0.35">
      <c r="A168" s="1" t="str">
        <f t="shared" si="2"/>
        <v>06 EE2 171</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1930</v>
      </c>
      <c r="D168" s="1" t="s">
        <v>1931</v>
      </c>
      <c r="E168" s="1" t="s">
        <v>1932</v>
      </c>
      <c r="F168" s="1" t="s">
        <v>112</v>
      </c>
      <c r="G168" s="1">
        <v>2790884</v>
      </c>
    </row>
    <row r="169" spans="1:7" x14ac:dyDescent="0.35">
      <c r="A169" s="1" t="str">
        <f t="shared" si="2"/>
        <v>06 EE2 171</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1933</v>
      </c>
      <c r="D169" s="1" t="s">
        <v>1934</v>
      </c>
      <c r="E169" s="1" t="s">
        <v>1935</v>
      </c>
      <c r="F169" s="1" t="s">
        <v>112</v>
      </c>
      <c r="G169" s="1">
        <v>3595516</v>
      </c>
    </row>
    <row r="170" spans="1:7" x14ac:dyDescent="0.35">
      <c r="A170" s="1" t="str">
        <f t="shared" si="2"/>
        <v>06 EE2 171</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1936</v>
      </c>
      <c r="D170" s="1" t="s">
        <v>1937</v>
      </c>
      <c r="E170" s="1" t="s">
        <v>1938</v>
      </c>
      <c r="F170" s="1" t="s">
        <v>112</v>
      </c>
      <c r="G170" s="1">
        <v>1960079</v>
      </c>
    </row>
    <row r="171" spans="1:7" x14ac:dyDescent="0.35">
      <c r="A171" s="1" t="str">
        <f t="shared" si="2"/>
        <v>06 EE2 171</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1939</v>
      </c>
      <c r="D171" s="1" t="s">
        <v>1940</v>
      </c>
      <c r="E171" s="1" t="s">
        <v>1941</v>
      </c>
      <c r="F171" s="1" t="s">
        <v>112</v>
      </c>
      <c r="G171" s="1">
        <v>1523588</v>
      </c>
    </row>
    <row r="172" spans="1:7" x14ac:dyDescent="0.35">
      <c r="A172" s="1" t="str">
        <f t="shared" si="2"/>
        <v>06 EE2 171</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1942</v>
      </c>
      <c r="D172" s="1" t="s">
        <v>1943</v>
      </c>
      <c r="E172" s="1" t="s">
        <v>1944</v>
      </c>
      <c r="F172" s="1" t="s">
        <v>112</v>
      </c>
      <c r="G172" s="1">
        <v>1643288</v>
      </c>
    </row>
    <row r="173" spans="1:7" x14ac:dyDescent="0.35">
      <c r="A173" s="1" t="str">
        <f t="shared" si="2"/>
        <v>06 EE2 171</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1945</v>
      </c>
      <c r="D173" s="1" t="s">
        <v>1946</v>
      </c>
      <c r="E173" s="1" t="s">
        <v>1947</v>
      </c>
      <c r="F173" s="1" t="s">
        <v>112</v>
      </c>
      <c r="G173" s="1">
        <v>4009880</v>
      </c>
    </row>
    <row r="174" spans="1:7" x14ac:dyDescent="0.35">
      <c r="A174" s="1" t="str">
        <f t="shared" si="2"/>
        <v>06 EE2 171</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1948</v>
      </c>
      <c r="D174" s="1" t="s">
        <v>1949</v>
      </c>
      <c r="E174" s="1" t="s">
        <v>1950</v>
      </c>
      <c r="F174" s="1" t="s">
        <v>112</v>
      </c>
      <c r="G174" s="1">
        <v>3807186</v>
      </c>
    </row>
    <row r="175" spans="1:7" x14ac:dyDescent="0.35">
      <c r="A175" s="1" t="str">
        <f t="shared" si="2"/>
        <v>06 EE2 171</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1951</v>
      </c>
    </row>
    <row r="176" spans="1:7" x14ac:dyDescent="0.35">
      <c r="A176" s="1" t="str">
        <f t="shared" si="2"/>
        <v>06 EE2 171</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1952</v>
      </c>
      <c r="D176" s="1" t="s">
        <v>1953</v>
      </c>
      <c r="E176" s="1" t="s">
        <v>1954</v>
      </c>
      <c r="F176" s="1" t="s">
        <v>112</v>
      </c>
      <c r="G176" s="1">
        <v>4192847</v>
      </c>
    </row>
    <row r="177" spans="1:9" x14ac:dyDescent="0.35">
      <c r="A177" s="1" t="str">
        <f t="shared" si="2"/>
        <v>06 EE2 171</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1955</v>
      </c>
      <c r="D177" s="1" t="s">
        <v>1956</v>
      </c>
      <c r="E177" s="1" t="s">
        <v>1957</v>
      </c>
      <c r="F177" s="1" t="s">
        <v>112</v>
      </c>
      <c r="G177" s="1">
        <v>4052491</v>
      </c>
    </row>
    <row r="178" spans="1:9" x14ac:dyDescent="0.35">
      <c r="A178" s="1" t="str">
        <f t="shared" si="2"/>
        <v>06 EE2 171</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1958</v>
      </c>
    </row>
    <row r="179" spans="1:9" x14ac:dyDescent="0.35">
      <c r="A179" s="1" t="str">
        <f t="shared" si="2"/>
        <v>06 EE2 171</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1959</v>
      </c>
      <c r="D179" s="1" t="s">
        <v>1960</v>
      </c>
      <c r="E179" s="1" t="s">
        <v>1961</v>
      </c>
      <c r="F179" s="1" t="s">
        <v>112</v>
      </c>
      <c r="G179" s="1">
        <v>4387429</v>
      </c>
    </row>
    <row r="180" spans="1:9" x14ac:dyDescent="0.35">
      <c r="A180" s="1" t="str">
        <f t="shared" si="2"/>
        <v>06 EE2 171</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1962</v>
      </c>
      <c r="D180" s="1" t="s">
        <v>1963</v>
      </c>
      <c r="E180" s="1" t="s">
        <v>1964</v>
      </c>
      <c r="F180" s="1" t="s">
        <v>112</v>
      </c>
      <c r="G180" s="1">
        <v>4584846</v>
      </c>
    </row>
    <row r="181" spans="1:9" x14ac:dyDescent="0.35">
      <c r="A181" s="1" t="str">
        <f t="shared" si="2"/>
        <v>06 EE2 171</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1965</v>
      </c>
      <c r="D181" s="1" t="s">
        <v>1966</v>
      </c>
      <c r="E181" s="1" t="s">
        <v>1967</v>
      </c>
      <c r="F181" s="1" t="s">
        <v>112</v>
      </c>
      <c r="G181" s="1">
        <v>4028719</v>
      </c>
    </row>
    <row r="182" spans="1:9" x14ac:dyDescent="0.35">
      <c r="A182" s="1" t="str">
        <f t="shared" si="2"/>
        <v>06 EE2 171</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1968</v>
      </c>
      <c r="D182" s="1" t="s">
        <v>1969</v>
      </c>
      <c r="E182" s="1" t="s">
        <v>1970</v>
      </c>
      <c r="F182" s="1" t="s">
        <v>112</v>
      </c>
      <c r="G182" s="1">
        <v>2591564</v>
      </c>
    </row>
    <row r="183" spans="1:9" x14ac:dyDescent="0.35">
      <c r="A183" s="1" t="str">
        <f t="shared" si="2"/>
        <v>06 EE2 171</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1971</v>
      </c>
      <c r="D183" s="1" t="s">
        <v>1972</v>
      </c>
      <c r="E183" s="1" t="s">
        <v>1973</v>
      </c>
      <c r="F183" s="1" t="s">
        <v>112</v>
      </c>
      <c r="G183" s="1">
        <v>2761337</v>
      </c>
    </row>
    <row r="184" spans="1:9" x14ac:dyDescent="0.35">
      <c r="A184" s="1" t="str">
        <f t="shared" si="2"/>
        <v>06 EE2 171</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1974</v>
      </c>
    </row>
    <row r="185" spans="1:9" x14ac:dyDescent="0.35">
      <c r="A185" s="1" t="str">
        <f t="shared" si="2"/>
        <v>06 EE2 171</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1975</v>
      </c>
      <c r="D185" s="1" t="s">
        <v>1291</v>
      </c>
      <c r="E185" s="1" t="s">
        <v>1976</v>
      </c>
      <c r="F185" s="1" t="s">
        <v>112</v>
      </c>
      <c r="G185" s="1">
        <v>5747496</v>
      </c>
    </row>
    <row r="186" spans="1:9" x14ac:dyDescent="0.35">
      <c r="A186" s="1" t="str">
        <f t="shared" si="2"/>
        <v>06 EE2 171</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1977</v>
      </c>
      <c r="D186" s="1" t="s">
        <v>1978</v>
      </c>
      <c r="E186" s="1" t="s">
        <v>1979</v>
      </c>
      <c r="F186" s="1" t="s">
        <v>112</v>
      </c>
      <c r="G186" s="1">
        <v>5627298</v>
      </c>
    </row>
    <row r="187" spans="1:9" x14ac:dyDescent="0.35">
      <c r="A187" s="1" t="str">
        <f t="shared" si="2"/>
        <v>06 EE2 171</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1980</v>
      </c>
      <c r="D187" s="1" t="s">
        <v>1981</v>
      </c>
      <c r="E187" s="1" t="s">
        <v>1982</v>
      </c>
      <c r="F187" s="1" t="s">
        <v>112</v>
      </c>
      <c r="G187" s="1">
        <v>5420235</v>
      </c>
    </row>
    <row r="188" spans="1:9" x14ac:dyDescent="0.35">
      <c r="A188" s="1" t="str">
        <f t="shared" si="2"/>
        <v>06 EE2 171</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1983</v>
      </c>
      <c r="D188" s="1" t="s">
        <v>555</v>
      </c>
      <c r="E188" s="1" t="s">
        <v>1984</v>
      </c>
      <c r="F188" s="1" t="s">
        <v>112</v>
      </c>
      <c r="G188" s="1">
        <v>3850900</v>
      </c>
    </row>
    <row r="189" spans="1:9" x14ac:dyDescent="0.35">
      <c r="A189" s="1" t="str">
        <f t="shared" si="2"/>
        <v>06 EE2 171</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1985</v>
      </c>
      <c r="D189" s="1" t="s">
        <v>1986</v>
      </c>
      <c r="E189" s="1" t="s">
        <v>1987</v>
      </c>
      <c r="F189" s="1" t="s">
        <v>112</v>
      </c>
      <c r="G189" s="1">
        <v>3558594</v>
      </c>
    </row>
    <row r="190" spans="1:9" x14ac:dyDescent="0.35">
      <c r="A190" s="1" t="str">
        <f t="shared" si="2"/>
        <v>06 EE2 171</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1988</v>
      </c>
      <c r="D190" s="1" t="s">
        <v>1989</v>
      </c>
      <c r="E190" s="1" t="s">
        <v>1990</v>
      </c>
      <c r="F190" s="1" t="s">
        <v>112</v>
      </c>
      <c r="G190" s="1">
        <v>3891305</v>
      </c>
    </row>
    <row r="191" spans="1:9" x14ac:dyDescent="0.3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9"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241</v>
      </c>
      <c r="D192" s="1" t="s">
        <v>112</v>
      </c>
      <c r="E192" s="1" t="s">
        <v>242</v>
      </c>
      <c r="F192" s="1" t="s">
        <v>243</v>
      </c>
      <c r="G192" s="1" t="s">
        <v>244</v>
      </c>
      <c r="H192" s="1" t="s">
        <v>245</v>
      </c>
      <c r="I192" s="1" t="s">
        <v>246</v>
      </c>
    </row>
    <row r="193" spans="1:9" x14ac:dyDescent="0.35">
      <c r="A193" s="1" t="str">
        <f t="shared" si="2"/>
        <v>06 EE2 171</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1991</v>
      </c>
      <c r="D193" s="1" t="s">
        <v>112</v>
      </c>
      <c r="E193" s="1" t="s">
        <v>1992</v>
      </c>
      <c r="F193" s="1" t="s">
        <v>1993</v>
      </c>
      <c r="G193" s="1" t="s">
        <v>1994</v>
      </c>
      <c r="H193" s="1" t="s">
        <v>1995</v>
      </c>
      <c r="I193" s="1">
        <v>24</v>
      </c>
    </row>
    <row r="194" spans="1:9" x14ac:dyDescent="0.3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9"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9"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9"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9"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9"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252</v>
      </c>
      <c r="D199" s="1" t="s">
        <v>110</v>
      </c>
      <c r="E199" s="1" t="s">
        <v>111</v>
      </c>
      <c r="F199" s="1" t="s">
        <v>112</v>
      </c>
      <c r="G199" s="1" t="s">
        <v>113</v>
      </c>
    </row>
    <row r="200" spans="1:9" x14ac:dyDescent="0.35">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1996</v>
      </c>
      <c r="D200" s="1" t="s">
        <v>1997</v>
      </c>
      <c r="E200" s="1" t="s">
        <v>1998</v>
      </c>
      <c r="F200" s="1" t="s">
        <v>112</v>
      </c>
      <c r="G200" s="1">
        <v>7533368</v>
      </c>
    </row>
    <row r="201" spans="1:9" x14ac:dyDescent="0.3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1999</v>
      </c>
      <c r="D201" s="1" t="s">
        <v>2000</v>
      </c>
      <c r="E201" s="1" t="s">
        <v>2001</v>
      </c>
      <c r="F201" s="1" t="s">
        <v>112</v>
      </c>
      <c r="G201" s="1">
        <v>7186619</v>
      </c>
    </row>
    <row r="202" spans="1:9" x14ac:dyDescent="0.3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2002</v>
      </c>
      <c r="D202" s="1" t="s">
        <v>2003</v>
      </c>
      <c r="E202" s="1" t="s">
        <v>2004</v>
      </c>
      <c r="F202" s="1" t="s">
        <v>112</v>
      </c>
      <c r="G202" s="1">
        <v>7001532</v>
      </c>
    </row>
    <row r="203" spans="1:9" x14ac:dyDescent="0.3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2005</v>
      </c>
      <c r="D203" s="1" t="s">
        <v>2006</v>
      </c>
      <c r="E203" s="1" t="s">
        <v>2007</v>
      </c>
      <c r="F203" s="1" t="s">
        <v>112</v>
      </c>
      <c r="G203" s="1">
        <v>6863317</v>
      </c>
    </row>
    <row r="204" spans="1:9" x14ac:dyDescent="0.3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2008</v>
      </c>
      <c r="D204" s="1" t="s">
        <v>2009</v>
      </c>
      <c r="E204" s="1" t="s">
        <v>2010</v>
      </c>
      <c r="F204" s="1" t="s">
        <v>112</v>
      </c>
      <c r="G204" s="1">
        <v>6581198</v>
      </c>
    </row>
    <row r="205" spans="1:9" x14ac:dyDescent="0.3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2011</v>
      </c>
      <c r="D205" s="1" t="s">
        <v>2012</v>
      </c>
      <c r="E205" s="1" t="s">
        <v>2013</v>
      </c>
      <c r="F205" s="1" t="s">
        <v>112</v>
      </c>
      <c r="G205" s="1">
        <v>6636376</v>
      </c>
    </row>
    <row r="206" spans="1:9" x14ac:dyDescent="0.3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2014</v>
      </c>
      <c r="D206" s="1" t="s">
        <v>2015</v>
      </c>
      <c r="E206" s="1" t="s">
        <v>2016</v>
      </c>
      <c r="F206" s="1" t="s">
        <v>112</v>
      </c>
      <c r="G206" s="1">
        <v>4436637</v>
      </c>
    </row>
    <row r="207" spans="1:9" x14ac:dyDescent="0.3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2017</v>
      </c>
      <c r="D207" s="1" t="s">
        <v>2018</v>
      </c>
      <c r="E207" s="1" t="s">
        <v>2019</v>
      </c>
      <c r="F207" s="1" t="s">
        <v>112</v>
      </c>
      <c r="G207" s="1">
        <v>4772355</v>
      </c>
    </row>
    <row r="208" spans="1:9" x14ac:dyDescent="0.3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2020</v>
      </c>
      <c r="D208" s="1" t="s">
        <v>2021</v>
      </c>
      <c r="E208" s="1" t="s">
        <v>2022</v>
      </c>
      <c r="F208" s="1" t="s">
        <v>112</v>
      </c>
      <c r="G208" s="1">
        <v>4721157</v>
      </c>
    </row>
    <row r="209" spans="1:7" x14ac:dyDescent="0.3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2023</v>
      </c>
      <c r="D209" s="1" t="s">
        <v>2024</v>
      </c>
      <c r="E209" s="1" t="s">
        <v>2025</v>
      </c>
      <c r="F209" s="1" t="s">
        <v>112</v>
      </c>
      <c r="G209" s="1">
        <v>3028164</v>
      </c>
    </row>
    <row r="210" spans="1:7" x14ac:dyDescent="0.3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2026</v>
      </c>
      <c r="D210" s="1" t="s">
        <v>2027</v>
      </c>
      <c r="E210" s="1" t="s">
        <v>2028</v>
      </c>
      <c r="F210" s="1" t="s">
        <v>112</v>
      </c>
      <c r="G210" s="1">
        <v>2812124</v>
      </c>
    </row>
    <row r="211" spans="1:7" x14ac:dyDescent="0.3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2029</v>
      </c>
      <c r="D211" s="1" t="s">
        <v>2030</v>
      </c>
      <c r="E211" s="1" t="s">
        <v>2031</v>
      </c>
      <c r="F211" s="1" t="s">
        <v>112</v>
      </c>
      <c r="G211" s="1">
        <v>2646266</v>
      </c>
    </row>
    <row r="212" spans="1:7" x14ac:dyDescent="0.3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2032</v>
      </c>
      <c r="D212" s="1" t="s">
        <v>2033</v>
      </c>
      <c r="E212" s="1" t="s">
        <v>2034</v>
      </c>
      <c r="F212" s="1" t="s">
        <v>112</v>
      </c>
      <c r="G212" s="1">
        <v>8468709</v>
      </c>
    </row>
    <row r="213" spans="1:7" x14ac:dyDescent="0.3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2035</v>
      </c>
      <c r="D213" s="1" t="s">
        <v>2036</v>
      </c>
      <c r="E213" s="1" t="s">
        <v>2037</v>
      </c>
      <c r="F213" s="1" t="s">
        <v>112</v>
      </c>
      <c r="G213" s="1">
        <v>8368606</v>
      </c>
    </row>
    <row r="214" spans="1:7" x14ac:dyDescent="0.3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2038</v>
      </c>
      <c r="D214" s="1" t="s">
        <v>2039</v>
      </c>
      <c r="E214" s="1" t="s">
        <v>2040</v>
      </c>
      <c r="F214" s="1" t="s">
        <v>112</v>
      </c>
      <c r="G214" s="1">
        <v>8133770</v>
      </c>
    </row>
    <row r="215" spans="1:7" x14ac:dyDescent="0.3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2041</v>
      </c>
      <c r="D215" s="1" t="s">
        <v>1337</v>
      </c>
      <c r="E215" s="1" t="s">
        <v>2042</v>
      </c>
      <c r="F215" s="1" t="s">
        <v>112</v>
      </c>
      <c r="G215" s="1">
        <v>5236835</v>
      </c>
    </row>
    <row r="216" spans="1:7" x14ac:dyDescent="0.3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2043</v>
      </c>
      <c r="D216" s="1" t="s">
        <v>2044</v>
      </c>
      <c r="E216" s="1" t="s">
        <v>2045</v>
      </c>
      <c r="F216" s="1" t="s">
        <v>112</v>
      </c>
      <c r="G216" s="1">
        <v>5097604</v>
      </c>
    </row>
    <row r="217" spans="1:7" x14ac:dyDescent="0.3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2046</v>
      </c>
      <c r="D217" s="1" t="s">
        <v>2047</v>
      </c>
      <c r="E217" s="1" t="s">
        <v>2048</v>
      </c>
      <c r="F217" s="1" t="s">
        <v>112</v>
      </c>
      <c r="G217" s="1">
        <v>5503035</v>
      </c>
    </row>
    <row r="218" spans="1:7" x14ac:dyDescent="0.3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2049</v>
      </c>
      <c r="D218" s="1" t="s">
        <v>2050</v>
      </c>
      <c r="E218" s="1" t="s">
        <v>2051</v>
      </c>
      <c r="F218" s="1" t="s">
        <v>112</v>
      </c>
      <c r="G218" s="1">
        <v>6845299</v>
      </c>
    </row>
    <row r="219" spans="1:7" x14ac:dyDescent="0.3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2052</v>
      </c>
      <c r="D219" s="1" t="s">
        <v>667</v>
      </c>
      <c r="E219" s="1" t="s">
        <v>2053</v>
      </c>
      <c r="F219" s="1" t="s">
        <v>112</v>
      </c>
      <c r="G219" s="1">
        <v>6365851</v>
      </c>
    </row>
    <row r="220" spans="1:7" x14ac:dyDescent="0.3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2054</v>
      </c>
      <c r="D220" s="1" t="s">
        <v>2055</v>
      </c>
      <c r="E220" s="1" t="s">
        <v>2056</v>
      </c>
      <c r="F220" s="1" t="s">
        <v>112</v>
      </c>
      <c r="G220" s="1">
        <v>6465954</v>
      </c>
    </row>
    <row r="221" spans="1:7" x14ac:dyDescent="0.3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2057</v>
      </c>
      <c r="D221" s="1" t="s">
        <v>2058</v>
      </c>
      <c r="E221" s="1" t="s">
        <v>2059</v>
      </c>
      <c r="F221" s="1" t="s">
        <v>112</v>
      </c>
      <c r="G221" s="1">
        <v>7941805</v>
      </c>
    </row>
    <row r="222" spans="1:7" x14ac:dyDescent="0.3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2060</v>
      </c>
      <c r="D222" s="1" t="s">
        <v>2061</v>
      </c>
      <c r="E222" s="1" t="s">
        <v>2062</v>
      </c>
      <c r="F222" s="1" t="s">
        <v>112</v>
      </c>
      <c r="G222" s="1">
        <v>8082940</v>
      </c>
    </row>
    <row r="223" spans="1:7" x14ac:dyDescent="0.3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2063</v>
      </c>
      <c r="D223" s="1" t="s">
        <v>2064</v>
      </c>
      <c r="E223" s="1" t="s">
        <v>2065</v>
      </c>
      <c r="F223" s="1" t="s">
        <v>112</v>
      </c>
      <c r="G223" s="1">
        <v>7997307</v>
      </c>
    </row>
    <row r="224" spans="1:7" x14ac:dyDescent="0.3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9"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241</v>
      </c>
      <c r="D225" s="1" t="s">
        <v>112</v>
      </c>
      <c r="E225" s="1" t="s">
        <v>242</v>
      </c>
      <c r="F225" s="1" t="s">
        <v>243</v>
      </c>
      <c r="G225" s="1" t="s">
        <v>244</v>
      </c>
      <c r="H225" s="1" t="s">
        <v>245</v>
      </c>
      <c r="I225" s="1" t="s">
        <v>246</v>
      </c>
    </row>
    <row r="226" spans="1:9" x14ac:dyDescent="0.35">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2066</v>
      </c>
      <c r="D226" s="1" t="s">
        <v>112</v>
      </c>
      <c r="E226" s="1" t="s">
        <v>2067</v>
      </c>
      <c r="F226" s="1" t="s">
        <v>2068</v>
      </c>
      <c r="G226" s="1" t="s">
        <v>2069</v>
      </c>
      <c r="H226" s="1" t="s">
        <v>2070</v>
      </c>
      <c r="I226" s="1">
        <v>24</v>
      </c>
    </row>
    <row r="227" spans="1:9" x14ac:dyDescent="0.3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9"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9"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9"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9"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9"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252</v>
      </c>
      <c r="D232" s="1" t="s">
        <v>110</v>
      </c>
      <c r="E232" s="1" t="s">
        <v>111</v>
      </c>
      <c r="F232" s="1" t="s">
        <v>112</v>
      </c>
      <c r="G232" s="1" t="s">
        <v>113</v>
      </c>
    </row>
    <row r="233" spans="1:9" x14ac:dyDescent="0.35">
      <c r="A233" s="1" t="str">
        <f t="shared" si="3"/>
        <v>08 Pro 12</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2071</v>
      </c>
      <c r="D233" s="1" t="s">
        <v>2072</v>
      </c>
      <c r="E233" s="1" t="s">
        <v>2073</v>
      </c>
      <c r="F233" s="1" t="s">
        <v>112</v>
      </c>
      <c r="G233" s="1">
        <v>266524</v>
      </c>
    </row>
    <row r="234" spans="1:9" x14ac:dyDescent="0.35">
      <c r="A234" s="1" t="str">
        <f t="shared" si="3"/>
        <v>08 Pro 12</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2074</v>
      </c>
      <c r="D234" s="1" t="s">
        <v>1424</v>
      </c>
      <c r="E234" s="1" t="s">
        <v>2075</v>
      </c>
      <c r="F234" s="1" t="s">
        <v>112</v>
      </c>
      <c r="G234" s="1">
        <v>218743</v>
      </c>
    </row>
    <row r="235" spans="1:9" x14ac:dyDescent="0.35">
      <c r="A235" s="1" t="str">
        <f t="shared" si="3"/>
        <v>08 Pro 12</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2076</v>
      </c>
      <c r="D235" s="1" t="s">
        <v>904</v>
      </c>
      <c r="E235" s="1" t="s">
        <v>2077</v>
      </c>
      <c r="F235" s="1" t="s">
        <v>112</v>
      </c>
      <c r="G235" s="1">
        <v>126124</v>
      </c>
    </row>
    <row r="236" spans="1:9" x14ac:dyDescent="0.35">
      <c r="A236" s="1" t="str">
        <f t="shared" si="3"/>
        <v>08 Pro 12</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2078</v>
      </c>
      <c r="D236" s="1" t="s">
        <v>2079</v>
      </c>
      <c r="E236" s="1" t="s">
        <v>2080</v>
      </c>
      <c r="F236" s="1" t="s">
        <v>112</v>
      </c>
      <c r="G236" s="1">
        <v>232824</v>
      </c>
    </row>
    <row r="237" spans="1:9" x14ac:dyDescent="0.35">
      <c r="A237" s="1" t="str">
        <f t="shared" si="3"/>
        <v>08 Pro 12</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2081</v>
      </c>
      <c r="D237" s="1" t="s">
        <v>1710</v>
      </c>
      <c r="E237" s="1" t="s">
        <v>2082</v>
      </c>
      <c r="F237" s="1" t="s">
        <v>112</v>
      </c>
      <c r="G237" s="1">
        <v>352113</v>
      </c>
    </row>
    <row r="238" spans="1:9" x14ac:dyDescent="0.35">
      <c r="A238" s="1" t="str">
        <f t="shared" si="3"/>
        <v>08 Pro 12</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2083</v>
      </c>
      <c r="D238" s="1" t="s">
        <v>2084</v>
      </c>
      <c r="E238" s="1" t="s">
        <v>2085</v>
      </c>
      <c r="F238" s="1" t="s">
        <v>112</v>
      </c>
      <c r="G238" s="1">
        <v>191814</v>
      </c>
    </row>
    <row r="239" spans="1:9" x14ac:dyDescent="0.35">
      <c r="A239" s="1" t="str">
        <f t="shared" si="3"/>
        <v>08 Pro 12</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2086</v>
      </c>
      <c r="D239" s="1" t="s">
        <v>720</v>
      </c>
      <c r="E239" s="1" t="s">
        <v>2087</v>
      </c>
      <c r="F239" s="1" t="s">
        <v>112</v>
      </c>
      <c r="G239" s="1">
        <v>52236</v>
      </c>
    </row>
    <row r="240" spans="1:9" x14ac:dyDescent="0.35">
      <c r="A240" s="1" t="str">
        <f t="shared" si="3"/>
        <v>08 Pro 12</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2088</v>
      </c>
      <c r="D240" s="1" t="s">
        <v>2089</v>
      </c>
      <c r="E240" s="1" t="s">
        <v>2090</v>
      </c>
      <c r="F240" s="1" t="s">
        <v>112</v>
      </c>
      <c r="G240" s="1">
        <v>744371</v>
      </c>
    </row>
    <row r="241" spans="1:7" x14ac:dyDescent="0.35">
      <c r="A241" s="1" t="str">
        <f t="shared" si="3"/>
        <v>08 Pro 12</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2091</v>
      </c>
    </row>
    <row r="242" spans="1:7" x14ac:dyDescent="0.35">
      <c r="A242" s="1" t="str">
        <f t="shared" si="3"/>
        <v>08 Pro 12</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2092</v>
      </c>
      <c r="D242" s="1" t="s">
        <v>2093</v>
      </c>
      <c r="E242" s="1" t="s">
        <v>383</v>
      </c>
      <c r="F242" s="1" t="s">
        <v>112</v>
      </c>
      <c r="G242" s="1">
        <v>18191</v>
      </c>
    </row>
    <row r="243" spans="1:7" x14ac:dyDescent="0.35">
      <c r="A243" s="1" t="str">
        <f t="shared" si="3"/>
        <v>08 Pro 12</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2094</v>
      </c>
      <c r="D243" s="1" t="s">
        <v>2095</v>
      </c>
      <c r="E243" s="1" t="s">
        <v>2096</v>
      </c>
      <c r="F243" s="1" t="s">
        <v>112</v>
      </c>
      <c r="G243" s="1">
        <v>288478</v>
      </c>
    </row>
    <row r="244" spans="1:7" x14ac:dyDescent="0.35">
      <c r="A244" s="1" t="str">
        <f t="shared" si="3"/>
        <v>08 Pro 12</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2097</v>
      </c>
      <c r="D244" s="1" t="s">
        <v>351</v>
      </c>
      <c r="E244" s="1" t="s">
        <v>2098</v>
      </c>
      <c r="F244" s="1" t="s">
        <v>112</v>
      </c>
      <c r="G244" s="1">
        <v>236955</v>
      </c>
    </row>
    <row r="245" spans="1:7" x14ac:dyDescent="0.35">
      <c r="A245" s="1" t="str">
        <f t="shared" si="3"/>
        <v>08 Pro 12</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2099</v>
      </c>
      <c r="D245" s="1" t="s">
        <v>2100</v>
      </c>
      <c r="E245" s="1" t="s">
        <v>2101</v>
      </c>
      <c r="F245" s="1" t="s">
        <v>112</v>
      </c>
      <c r="G245" s="1">
        <v>256768</v>
      </c>
    </row>
    <row r="246" spans="1:7" x14ac:dyDescent="0.35">
      <c r="A246" s="1" t="str">
        <f t="shared" si="3"/>
        <v>08 Pro 12</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2102</v>
      </c>
      <c r="D246" s="1" t="s">
        <v>230</v>
      </c>
      <c r="E246" s="1" t="s">
        <v>2103</v>
      </c>
      <c r="F246" s="1" t="s">
        <v>112</v>
      </c>
      <c r="G246" s="1">
        <v>121322</v>
      </c>
    </row>
    <row r="247" spans="1:7" x14ac:dyDescent="0.35">
      <c r="A247" s="1" t="str">
        <f t="shared" si="3"/>
        <v>08 Pro 12</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2104</v>
      </c>
      <c r="D247" s="1" t="s">
        <v>2105</v>
      </c>
      <c r="E247" s="1" t="s">
        <v>2106</v>
      </c>
      <c r="F247" s="1" t="s">
        <v>112</v>
      </c>
      <c r="G247" s="1">
        <v>144315</v>
      </c>
    </row>
    <row r="248" spans="1:7" x14ac:dyDescent="0.35">
      <c r="A248" s="1" t="str">
        <f t="shared" si="3"/>
        <v>08 Pro 12</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2107</v>
      </c>
    </row>
    <row r="249" spans="1:7" x14ac:dyDescent="0.35">
      <c r="A249" s="1" t="str">
        <f t="shared" si="3"/>
        <v>08 Pro 12</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2108</v>
      </c>
      <c r="D249" s="1" t="s">
        <v>2109</v>
      </c>
      <c r="E249" s="1" t="s">
        <v>2110</v>
      </c>
      <c r="F249" s="1" t="s">
        <v>112</v>
      </c>
      <c r="G249" s="1">
        <v>370780</v>
      </c>
    </row>
    <row r="250" spans="1:7" x14ac:dyDescent="0.35">
      <c r="A250" s="1" t="str">
        <f t="shared" si="3"/>
        <v>08 Pro 12</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2111</v>
      </c>
      <c r="D250" s="1" t="s">
        <v>2112</v>
      </c>
      <c r="E250" s="1" t="s">
        <v>2113</v>
      </c>
      <c r="F250" s="1" t="s">
        <v>112</v>
      </c>
      <c r="G250" s="1">
        <v>88899</v>
      </c>
    </row>
    <row r="251" spans="1:7" x14ac:dyDescent="0.35">
      <c r="A251" s="1" t="str">
        <f t="shared" si="3"/>
        <v>08 Pro 12</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2114</v>
      </c>
      <c r="D251" s="1" t="s">
        <v>2115</v>
      </c>
      <c r="E251" s="1" t="s">
        <v>2116</v>
      </c>
      <c r="F251" s="1" t="s">
        <v>112</v>
      </c>
      <c r="G251" s="1">
        <v>301153</v>
      </c>
    </row>
    <row r="252" spans="1:7" x14ac:dyDescent="0.35">
      <c r="A252" s="1" t="str">
        <f t="shared" si="3"/>
        <v>08 Pro 12</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2117</v>
      </c>
      <c r="D252" s="1" t="s">
        <v>411</v>
      </c>
      <c r="E252" s="1" t="s">
        <v>2118</v>
      </c>
      <c r="F252" s="1" t="s">
        <v>112</v>
      </c>
      <c r="G252" s="1">
        <v>382070</v>
      </c>
    </row>
    <row r="253" spans="1:7" x14ac:dyDescent="0.35">
      <c r="A253" s="1" t="str">
        <f t="shared" si="3"/>
        <v>08 Pro 12</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2119</v>
      </c>
      <c r="D253" s="1" t="s">
        <v>933</v>
      </c>
      <c r="E253" s="1" t="s">
        <v>2120</v>
      </c>
      <c r="F253" s="1" t="s">
        <v>112</v>
      </c>
      <c r="G253" s="1">
        <v>242947</v>
      </c>
    </row>
    <row r="254" spans="1:7" x14ac:dyDescent="0.35">
      <c r="A254" s="1" t="str">
        <f t="shared" si="3"/>
        <v>08 Pro 12</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2121</v>
      </c>
      <c r="D254" s="1" t="s">
        <v>366</v>
      </c>
      <c r="E254" s="1" t="s">
        <v>2122</v>
      </c>
      <c r="F254" s="1" t="s">
        <v>112</v>
      </c>
      <c r="G254" s="1">
        <v>651817</v>
      </c>
    </row>
    <row r="255" spans="1:7" x14ac:dyDescent="0.35">
      <c r="A255" s="1" t="str">
        <f t="shared" si="3"/>
        <v>08 Pro 12</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2123</v>
      </c>
      <c r="D255" s="1" t="s">
        <v>212</v>
      </c>
      <c r="E255" s="1" t="s">
        <v>2124</v>
      </c>
      <c r="F255" s="1" t="s">
        <v>112</v>
      </c>
      <c r="G255" s="1">
        <v>43671</v>
      </c>
    </row>
    <row r="256" spans="1:7" x14ac:dyDescent="0.35">
      <c r="A256" s="1" t="str">
        <f t="shared" si="3"/>
        <v>08 Pro 12</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2125</v>
      </c>
      <c r="D256" s="1" t="s">
        <v>970</v>
      </c>
      <c r="E256" s="1" t="s">
        <v>2126</v>
      </c>
      <c r="F256" s="1" t="s">
        <v>112</v>
      </c>
      <c r="G256" s="1">
        <v>601333</v>
      </c>
    </row>
    <row r="257" spans="1:9" x14ac:dyDescent="0.3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9"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241</v>
      </c>
      <c r="D258" s="1" t="s">
        <v>112</v>
      </c>
      <c r="E258" s="1" t="s">
        <v>242</v>
      </c>
      <c r="F258" s="1" t="s">
        <v>243</v>
      </c>
      <c r="G258" s="1" t="s">
        <v>244</v>
      </c>
      <c r="H258" s="1" t="s">
        <v>245</v>
      </c>
      <c r="I258" s="1" t="s">
        <v>246</v>
      </c>
    </row>
    <row r="259" spans="1:9" x14ac:dyDescent="0.35">
      <c r="A259" s="1" t="str">
        <f t="shared" si="4"/>
        <v>08 Pro 12</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2127</v>
      </c>
      <c r="D259" s="1" t="s">
        <v>112</v>
      </c>
      <c r="E259" s="1" t="s">
        <v>2128</v>
      </c>
      <c r="F259" s="1" t="s">
        <v>2129</v>
      </c>
      <c r="G259" s="1" t="s">
        <v>2130</v>
      </c>
      <c r="H259" s="1" t="s">
        <v>2131</v>
      </c>
      <c r="I259" s="1">
        <v>24</v>
      </c>
    </row>
    <row r="260" spans="1:9" x14ac:dyDescent="0.3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9"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9"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9"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9"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9"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252</v>
      </c>
      <c r="D265" s="1" t="s">
        <v>110</v>
      </c>
      <c r="E265" s="1" t="s">
        <v>111</v>
      </c>
      <c r="F265" s="1" t="s">
        <v>112</v>
      </c>
      <c r="G265" s="1" t="s">
        <v>113</v>
      </c>
    </row>
    <row r="266" spans="1:9" x14ac:dyDescent="0.35">
      <c r="A266" s="1" t="str">
        <f t="shared" si="4"/>
        <v>09 Pro 37</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2132</v>
      </c>
      <c r="D266" s="1" t="s">
        <v>726</v>
      </c>
      <c r="E266" s="1" t="s">
        <v>2133</v>
      </c>
      <c r="F266" s="1" t="s">
        <v>112</v>
      </c>
      <c r="G266" s="1">
        <v>19142</v>
      </c>
    </row>
    <row r="267" spans="1:9" x14ac:dyDescent="0.35">
      <c r="A267" s="1" t="str">
        <f t="shared" si="4"/>
        <v>09 Pro 37</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2134</v>
      </c>
      <c r="D267" s="1" t="s">
        <v>268</v>
      </c>
      <c r="E267" s="1" t="s">
        <v>2135</v>
      </c>
      <c r="F267" s="1" t="s">
        <v>112</v>
      </c>
      <c r="G267" s="1">
        <v>151950</v>
      </c>
    </row>
    <row r="268" spans="1:9" x14ac:dyDescent="0.35">
      <c r="A268" s="1" t="str">
        <f t="shared" si="4"/>
        <v>09 Pro 37</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2136</v>
      </c>
    </row>
    <row r="269" spans="1:9" x14ac:dyDescent="0.35">
      <c r="A269" s="1" t="str">
        <f t="shared" si="4"/>
        <v>09 Pro 37</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2137</v>
      </c>
      <c r="D269" s="1" t="s">
        <v>2138</v>
      </c>
      <c r="E269" s="1" t="s">
        <v>2139</v>
      </c>
      <c r="F269" s="1" t="s">
        <v>112</v>
      </c>
      <c r="G269" s="1">
        <v>332516</v>
      </c>
    </row>
    <row r="270" spans="1:9" x14ac:dyDescent="0.35">
      <c r="A270" s="1" t="str">
        <f t="shared" si="4"/>
        <v>09 Pro 37</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2140</v>
      </c>
      <c r="D270" s="1" t="s">
        <v>1877</v>
      </c>
      <c r="E270" s="1" t="s">
        <v>2141</v>
      </c>
      <c r="F270" s="1" t="s">
        <v>112</v>
      </c>
      <c r="G270" s="1">
        <v>178685</v>
      </c>
    </row>
    <row r="271" spans="1:9" x14ac:dyDescent="0.35">
      <c r="A271" s="1" t="str">
        <f t="shared" si="4"/>
        <v>09 Pro 37</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2142</v>
      </c>
      <c r="D271" s="1" t="s">
        <v>841</v>
      </c>
      <c r="E271" s="1" t="s">
        <v>2143</v>
      </c>
      <c r="F271" s="1" t="s">
        <v>112</v>
      </c>
      <c r="G271" s="1">
        <v>167999</v>
      </c>
    </row>
    <row r="272" spans="1:9" x14ac:dyDescent="0.35">
      <c r="A272" s="1" t="str">
        <f t="shared" si="4"/>
        <v>09 Pro 37</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2144</v>
      </c>
      <c r="D272" s="1" t="s">
        <v>921</v>
      </c>
      <c r="E272" s="1" t="s">
        <v>2145</v>
      </c>
      <c r="F272" s="1" t="s">
        <v>112</v>
      </c>
      <c r="G272" s="1">
        <v>312249</v>
      </c>
    </row>
    <row r="273" spans="1:7" x14ac:dyDescent="0.35">
      <c r="A273" s="1" t="str">
        <f t="shared" si="4"/>
        <v>09 Pro 37</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2146</v>
      </c>
      <c r="D273" s="1" t="s">
        <v>1527</v>
      </c>
      <c r="E273" s="1" t="s">
        <v>2147</v>
      </c>
      <c r="F273" s="1" t="s">
        <v>112</v>
      </c>
      <c r="G273" s="1">
        <v>82669</v>
      </c>
    </row>
    <row r="274" spans="1:7" x14ac:dyDescent="0.35">
      <c r="A274" s="1" t="str">
        <f t="shared" si="4"/>
        <v>09 Pro 37</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2148</v>
      </c>
      <c r="D274" s="1" t="s">
        <v>850</v>
      </c>
      <c r="E274" s="1" t="s">
        <v>2149</v>
      </c>
      <c r="F274" s="1" t="s">
        <v>112</v>
      </c>
      <c r="G274" s="1">
        <v>421112</v>
      </c>
    </row>
    <row r="275" spans="1:7" x14ac:dyDescent="0.35">
      <c r="A275" s="1" t="str">
        <f t="shared" si="4"/>
        <v>09 Pro 37</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2150</v>
      </c>
      <c r="D275" s="1" t="s">
        <v>2151</v>
      </c>
      <c r="E275" s="1" t="s">
        <v>2152</v>
      </c>
      <c r="F275" s="1" t="s">
        <v>112</v>
      </c>
      <c r="G275" s="1">
        <v>68826</v>
      </c>
    </row>
    <row r="276" spans="1:7" x14ac:dyDescent="0.35">
      <c r="A276" s="1" t="str">
        <f t="shared" si="4"/>
        <v>09 Pro 37</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2153</v>
      </c>
      <c r="D276" s="1" t="s">
        <v>776</v>
      </c>
      <c r="E276" s="1" t="s">
        <v>2154</v>
      </c>
      <c r="F276" s="1" t="s">
        <v>112</v>
      </c>
      <c r="G276" s="1">
        <v>109015</v>
      </c>
    </row>
    <row r="277" spans="1:7" x14ac:dyDescent="0.35">
      <c r="A277" s="1" t="str">
        <f t="shared" si="4"/>
        <v>09 Pro 37</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2155</v>
      </c>
      <c r="D277" s="1" t="s">
        <v>751</v>
      </c>
      <c r="E277" s="1" t="s">
        <v>2156</v>
      </c>
      <c r="F277" s="1" t="s">
        <v>112</v>
      </c>
      <c r="G277" s="1">
        <v>33115</v>
      </c>
    </row>
    <row r="278" spans="1:7" x14ac:dyDescent="0.35">
      <c r="A278" s="1" t="str">
        <f t="shared" si="4"/>
        <v>09 Pro 37</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2157</v>
      </c>
      <c r="D278" s="1" t="s">
        <v>1490</v>
      </c>
      <c r="E278" s="1" t="s">
        <v>2158</v>
      </c>
      <c r="F278" s="1" t="s">
        <v>112</v>
      </c>
      <c r="G278" s="1">
        <v>553790</v>
      </c>
    </row>
    <row r="279" spans="1:7" x14ac:dyDescent="0.35">
      <c r="A279" s="1" t="str">
        <f t="shared" si="4"/>
        <v>09 Pro 37</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2159</v>
      </c>
      <c r="D279" s="1" t="s">
        <v>2160</v>
      </c>
      <c r="E279" s="1" t="s">
        <v>2161</v>
      </c>
      <c r="F279" s="1" t="s">
        <v>112</v>
      </c>
      <c r="G279" s="1">
        <v>461214</v>
      </c>
    </row>
    <row r="280" spans="1:7" x14ac:dyDescent="0.35">
      <c r="A280" s="1" t="str">
        <f t="shared" si="4"/>
        <v>09 Pro 37</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2162</v>
      </c>
      <c r="D280" s="1" t="s">
        <v>933</v>
      </c>
      <c r="E280" s="1" t="s">
        <v>2163</v>
      </c>
      <c r="F280" s="1" t="s">
        <v>112</v>
      </c>
      <c r="G280" s="1">
        <v>237518</v>
      </c>
    </row>
    <row r="281" spans="1:7" x14ac:dyDescent="0.35">
      <c r="A281" s="1" t="str">
        <f t="shared" si="4"/>
        <v>09 Pro 37</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2164</v>
      </c>
      <c r="D281" s="1" t="s">
        <v>2165</v>
      </c>
      <c r="E281" s="1" t="s">
        <v>2166</v>
      </c>
      <c r="F281" s="1" t="s">
        <v>112</v>
      </c>
      <c r="G281" s="1">
        <v>326373</v>
      </c>
    </row>
    <row r="282" spans="1:7" x14ac:dyDescent="0.35">
      <c r="A282" s="1" t="str">
        <f t="shared" si="4"/>
        <v>09 Pro 37</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2167</v>
      </c>
      <c r="D282" s="1" t="s">
        <v>748</v>
      </c>
      <c r="E282" s="1" t="s">
        <v>2168</v>
      </c>
      <c r="F282" s="1" t="s">
        <v>112</v>
      </c>
      <c r="G282" s="1">
        <v>310086</v>
      </c>
    </row>
    <row r="283" spans="1:7" x14ac:dyDescent="0.35">
      <c r="A283" s="1" t="str">
        <f t="shared" si="4"/>
        <v>09 Pro 37</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2169</v>
      </c>
      <c r="D283" s="1" t="s">
        <v>696</v>
      </c>
      <c r="E283" s="1" t="s">
        <v>2170</v>
      </c>
      <c r="F283" s="1" t="s">
        <v>112</v>
      </c>
      <c r="G283" s="1">
        <v>250128</v>
      </c>
    </row>
    <row r="284" spans="1:7" x14ac:dyDescent="0.35">
      <c r="A284" s="1" t="str">
        <f t="shared" si="4"/>
        <v>09 Pro 37</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2171</v>
      </c>
      <c r="D284" s="1" t="s">
        <v>2172</v>
      </c>
      <c r="E284" s="1" t="s">
        <v>2173</v>
      </c>
      <c r="F284" s="1" t="s">
        <v>112</v>
      </c>
      <c r="G284" s="1">
        <v>432425</v>
      </c>
    </row>
    <row r="285" spans="1:7" x14ac:dyDescent="0.35">
      <c r="A285" s="1" t="str">
        <f t="shared" si="4"/>
        <v>09 Pro 37</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2174</v>
      </c>
      <c r="D285" s="1" t="s">
        <v>2175</v>
      </c>
      <c r="E285" s="1" t="s">
        <v>1052</v>
      </c>
      <c r="F285" s="1" t="s">
        <v>112</v>
      </c>
      <c r="G285" s="1">
        <v>24788</v>
      </c>
    </row>
    <row r="286" spans="1:7" x14ac:dyDescent="0.35">
      <c r="A286" s="1" t="str">
        <f t="shared" si="4"/>
        <v>09 Pro 37</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2176</v>
      </c>
      <c r="D286" s="1" t="s">
        <v>323</v>
      </c>
      <c r="E286" s="1" t="s">
        <v>2177</v>
      </c>
      <c r="F286" s="1" t="s">
        <v>112</v>
      </c>
      <c r="G286" s="1">
        <v>270136</v>
      </c>
    </row>
    <row r="287" spans="1:7" x14ac:dyDescent="0.35">
      <c r="A287" s="1" t="str">
        <f t="shared" si="4"/>
        <v>09 Pro 37</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2178</v>
      </c>
    </row>
    <row r="288" spans="1:7" x14ac:dyDescent="0.35">
      <c r="A288" s="1" t="str">
        <f t="shared" si="4"/>
        <v>09 Pro 37</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2179</v>
      </c>
      <c r="D288" s="1" t="s">
        <v>2180</v>
      </c>
      <c r="E288" s="1" t="s">
        <v>2181</v>
      </c>
      <c r="F288" s="1" t="s">
        <v>112</v>
      </c>
      <c r="G288" s="1">
        <v>327477</v>
      </c>
    </row>
    <row r="289" spans="1:9" x14ac:dyDescent="0.35">
      <c r="A289" s="1" t="str">
        <f t="shared" si="4"/>
        <v>09 Pro 37</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2182</v>
      </c>
    </row>
    <row r="290" spans="1:9" x14ac:dyDescent="0.3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9"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241</v>
      </c>
      <c r="D291" s="1" t="s">
        <v>112</v>
      </c>
      <c r="E291" s="1" t="s">
        <v>242</v>
      </c>
      <c r="F291" s="1" t="s">
        <v>243</v>
      </c>
      <c r="G291" s="1" t="s">
        <v>244</v>
      </c>
      <c r="H291" s="1" t="s">
        <v>245</v>
      </c>
      <c r="I291" s="1" t="s">
        <v>246</v>
      </c>
    </row>
    <row r="292" spans="1:9" x14ac:dyDescent="0.35">
      <c r="A292" s="1" t="str">
        <f t="shared" si="4"/>
        <v>09 Pro 37</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2183</v>
      </c>
      <c r="D292" s="1" t="s">
        <v>112</v>
      </c>
      <c r="E292" s="1" t="s">
        <v>2184</v>
      </c>
      <c r="F292" s="1" t="s">
        <v>2185</v>
      </c>
      <c r="G292" s="1" t="s">
        <v>2186</v>
      </c>
      <c r="H292" s="1" t="s">
        <v>2187</v>
      </c>
      <c r="I292" s="1">
        <v>24</v>
      </c>
    </row>
    <row r="293" spans="1:9" x14ac:dyDescent="0.3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9"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9"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9"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9"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9"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252</v>
      </c>
      <c r="D298" s="1" t="s">
        <v>110</v>
      </c>
      <c r="E298" s="1" t="s">
        <v>111</v>
      </c>
      <c r="F298" s="1" t="s">
        <v>112</v>
      </c>
      <c r="G298" s="1" t="s">
        <v>113</v>
      </c>
    </row>
    <row r="299" spans="1:9" x14ac:dyDescent="0.35">
      <c r="A299" s="1" t="str">
        <f t="shared" si="4"/>
        <v>10 Pro 111</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2188</v>
      </c>
      <c r="D299" s="1" t="s">
        <v>2189</v>
      </c>
      <c r="E299" s="1" t="s">
        <v>2190</v>
      </c>
      <c r="F299" s="1" t="s">
        <v>112</v>
      </c>
      <c r="G299" s="1">
        <v>204705</v>
      </c>
    </row>
    <row r="300" spans="1:9" x14ac:dyDescent="0.35">
      <c r="A300" s="1" t="str">
        <f t="shared" si="4"/>
        <v>10 Pro 111</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2191</v>
      </c>
      <c r="D300" s="1" t="s">
        <v>2192</v>
      </c>
      <c r="E300" s="1" t="s">
        <v>2193</v>
      </c>
      <c r="F300" s="1" t="s">
        <v>112</v>
      </c>
      <c r="G300" s="1">
        <v>363036</v>
      </c>
    </row>
    <row r="301" spans="1:9" x14ac:dyDescent="0.35">
      <c r="A301" s="1" t="str">
        <f t="shared" si="4"/>
        <v>10 Pro 111</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2194</v>
      </c>
      <c r="D301" s="1" t="s">
        <v>2195</v>
      </c>
      <c r="E301" s="1" t="s">
        <v>2196</v>
      </c>
      <c r="F301" s="1" t="s">
        <v>112</v>
      </c>
      <c r="G301" s="1">
        <v>429159</v>
      </c>
    </row>
    <row r="302" spans="1:9" x14ac:dyDescent="0.35">
      <c r="A302" s="1" t="str">
        <f t="shared" si="4"/>
        <v>10 Pro 111</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2197</v>
      </c>
      <c r="D302" s="1" t="s">
        <v>2198</v>
      </c>
      <c r="E302" s="1">
        <v>64</v>
      </c>
      <c r="F302" s="1" t="s">
        <v>112</v>
      </c>
      <c r="G302" s="1">
        <v>12459</v>
      </c>
    </row>
    <row r="303" spans="1:9" x14ac:dyDescent="0.35">
      <c r="A303" s="1" t="str">
        <f t="shared" si="4"/>
        <v>10 Pro 111</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2199</v>
      </c>
      <c r="D303" s="1" t="s">
        <v>1810</v>
      </c>
      <c r="E303" s="1" t="s">
        <v>2200</v>
      </c>
      <c r="F303" s="1" t="s">
        <v>112</v>
      </c>
      <c r="G303" s="1">
        <v>83080</v>
      </c>
    </row>
    <row r="304" spans="1:9" x14ac:dyDescent="0.35">
      <c r="A304" s="1" t="str">
        <f t="shared" si="4"/>
        <v>10 Pro 111</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2201</v>
      </c>
      <c r="D304" s="1" t="s">
        <v>380</v>
      </c>
      <c r="E304" s="1" t="s">
        <v>2202</v>
      </c>
      <c r="F304" s="1" t="s">
        <v>112</v>
      </c>
      <c r="G304" s="1">
        <v>20462</v>
      </c>
    </row>
    <row r="305" spans="1:7" x14ac:dyDescent="0.35">
      <c r="A305" s="1" t="str">
        <f t="shared" si="4"/>
        <v>10 Pro 111</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2203</v>
      </c>
      <c r="D305" s="1" t="s">
        <v>357</v>
      </c>
      <c r="E305" s="1" t="s">
        <v>2204</v>
      </c>
      <c r="F305" s="1" t="s">
        <v>112</v>
      </c>
      <c r="G305" s="1">
        <v>299574</v>
      </c>
    </row>
    <row r="306" spans="1:7" x14ac:dyDescent="0.35">
      <c r="A306" s="1" t="str">
        <f t="shared" si="4"/>
        <v>10 Pro 111</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2205</v>
      </c>
    </row>
    <row r="307" spans="1:7" x14ac:dyDescent="0.35">
      <c r="A307" s="1" t="str">
        <f t="shared" si="4"/>
        <v>10 Pro 111</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2206</v>
      </c>
      <c r="D307" s="1" t="s">
        <v>221</v>
      </c>
      <c r="E307" s="1" t="s">
        <v>2207</v>
      </c>
      <c r="F307" s="1" t="s">
        <v>112</v>
      </c>
      <c r="G307" s="1">
        <v>73888</v>
      </c>
    </row>
    <row r="308" spans="1:7" x14ac:dyDescent="0.35">
      <c r="A308" s="1" t="str">
        <f t="shared" si="4"/>
        <v>10 Pro 111</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2208</v>
      </c>
      <c r="D308" s="1" t="s">
        <v>2209</v>
      </c>
      <c r="E308" s="1" t="s">
        <v>2210</v>
      </c>
      <c r="F308" s="1" t="s">
        <v>112</v>
      </c>
      <c r="G308" s="1">
        <v>326157</v>
      </c>
    </row>
    <row r="309" spans="1:7" x14ac:dyDescent="0.35">
      <c r="A309" s="1" t="str">
        <f t="shared" si="4"/>
        <v>10 Pro 111</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2211</v>
      </c>
      <c r="D309" s="1" t="s">
        <v>2212</v>
      </c>
      <c r="E309" s="1" t="s">
        <v>2213</v>
      </c>
      <c r="F309" s="1" t="s">
        <v>112</v>
      </c>
      <c r="G309" s="1">
        <v>351464</v>
      </c>
    </row>
    <row r="310" spans="1:7" x14ac:dyDescent="0.35">
      <c r="A310" s="1" t="str">
        <f t="shared" si="4"/>
        <v>10 Pro 111</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2214</v>
      </c>
      <c r="D310" s="1" t="s">
        <v>1105</v>
      </c>
      <c r="E310" s="1" t="s">
        <v>2215</v>
      </c>
      <c r="F310" s="1" t="s">
        <v>112</v>
      </c>
      <c r="G310" s="1">
        <v>358732</v>
      </c>
    </row>
    <row r="311" spans="1:7" x14ac:dyDescent="0.35">
      <c r="A311" s="1" t="str">
        <f t="shared" si="4"/>
        <v>10 Pro 111</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2216</v>
      </c>
      <c r="D311" s="1" t="s">
        <v>2217</v>
      </c>
      <c r="E311" s="1" t="s">
        <v>2218</v>
      </c>
      <c r="F311" s="1" t="s">
        <v>112</v>
      </c>
      <c r="G311" s="1">
        <v>23404</v>
      </c>
    </row>
    <row r="312" spans="1:7" x14ac:dyDescent="0.35">
      <c r="A312" s="1" t="str">
        <f t="shared" si="4"/>
        <v>10 Pro 111</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2219</v>
      </c>
      <c r="D312" s="1" t="s">
        <v>1213</v>
      </c>
      <c r="E312" s="1" t="s">
        <v>2220</v>
      </c>
      <c r="F312" s="1" t="s">
        <v>112</v>
      </c>
      <c r="G312" s="1">
        <v>9712</v>
      </c>
    </row>
    <row r="313" spans="1:7" x14ac:dyDescent="0.35">
      <c r="A313" s="1" t="str">
        <f t="shared" si="4"/>
        <v>10 Pro 111</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2221</v>
      </c>
      <c r="D313" s="1" t="s">
        <v>726</v>
      </c>
      <c r="E313" s="1" t="s">
        <v>2222</v>
      </c>
      <c r="F313" s="1" t="s">
        <v>112</v>
      </c>
      <c r="G313" s="1">
        <v>19921</v>
      </c>
    </row>
    <row r="314" spans="1:7" x14ac:dyDescent="0.35">
      <c r="A314" s="1" t="str">
        <f t="shared" si="4"/>
        <v>10 Pro 111</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2223</v>
      </c>
      <c r="D314" s="1" t="s">
        <v>336</v>
      </c>
      <c r="E314" s="1" t="s">
        <v>2224</v>
      </c>
      <c r="F314" s="1" t="s">
        <v>112</v>
      </c>
      <c r="G314" s="1">
        <v>97940</v>
      </c>
    </row>
    <row r="315" spans="1:7" x14ac:dyDescent="0.35">
      <c r="A315" s="1" t="str">
        <f t="shared" si="4"/>
        <v>10 Pro 111</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2225</v>
      </c>
      <c r="D315" s="1" t="s">
        <v>224</v>
      </c>
      <c r="E315" s="1" t="s">
        <v>2226</v>
      </c>
      <c r="F315" s="1" t="s">
        <v>112</v>
      </c>
      <c r="G315" s="1">
        <v>146067</v>
      </c>
    </row>
    <row r="316" spans="1:7" x14ac:dyDescent="0.35">
      <c r="A316" s="1" t="str">
        <f t="shared" si="4"/>
        <v>10 Pro 111</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2227</v>
      </c>
      <c r="D316" s="1" t="s">
        <v>387</v>
      </c>
      <c r="E316" s="1" t="s">
        <v>2228</v>
      </c>
      <c r="F316" s="1" t="s">
        <v>112</v>
      </c>
      <c r="G316" s="1">
        <v>21478</v>
      </c>
    </row>
    <row r="317" spans="1:7" x14ac:dyDescent="0.35">
      <c r="A317" s="1" t="str">
        <f t="shared" si="4"/>
        <v>10 Pro 111</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2229</v>
      </c>
      <c r="D317" s="1" t="s">
        <v>2189</v>
      </c>
      <c r="E317" s="1" t="s">
        <v>2230</v>
      </c>
      <c r="F317" s="1" t="s">
        <v>112</v>
      </c>
      <c r="G317" s="1">
        <v>215023</v>
      </c>
    </row>
    <row r="318" spans="1:7" x14ac:dyDescent="0.35">
      <c r="A318" s="1" t="str">
        <f t="shared" si="4"/>
        <v>10 Pro 111</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2231</v>
      </c>
      <c r="D318" s="1" t="s">
        <v>904</v>
      </c>
      <c r="E318" s="1" t="s">
        <v>2232</v>
      </c>
      <c r="F318" s="1" t="s">
        <v>112</v>
      </c>
      <c r="G318" s="1">
        <v>128871</v>
      </c>
    </row>
    <row r="319" spans="1:7" x14ac:dyDescent="0.35">
      <c r="A319" s="1" t="str">
        <f t="shared" si="4"/>
        <v>10 Pro 111</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2233</v>
      </c>
      <c r="D319" s="1" t="s">
        <v>227</v>
      </c>
      <c r="E319" s="1" t="s">
        <v>2234</v>
      </c>
      <c r="F319" s="1" t="s">
        <v>112</v>
      </c>
      <c r="G319" s="1">
        <v>29244</v>
      </c>
    </row>
    <row r="320" spans="1:7" x14ac:dyDescent="0.35">
      <c r="A320" s="1" t="str">
        <f t="shared" si="4"/>
        <v>10 Pro 111</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2235</v>
      </c>
      <c r="D320" s="1" t="s">
        <v>2236</v>
      </c>
      <c r="E320" s="1" t="s">
        <v>2237</v>
      </c>
      <c r="F320" s="1" t="s">
        <v>112</v>
      </c>
      <c r="G320" s="1">
        <v>158352</v>
      </c>
    </row>
    <row r="321" spans="1:9" x14ac:dyDescent="0.35">
      <c r="A321" s="1" t="str">
        <f t="shared" si="4"/>
        <v>10 Pro 111</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2238</v>
      </c>
    </row>
    <row r="322" spans="1:9" x14ac:dyDescent="0.35">
      <c r="A322" s="1" t="str">
        <f t="shared" ref="A322:A385" si="5">IFERROR(LEFT(RIGHT(C322,LEN(C322)-SEARCH("@",C322)),SEARCH("/",RIGHT(C322,LEN(C322)-SEARCH("@",C322)-1))),"")</f>
        <v>10 Pro 111</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2239</v>
      </c>
      <c r="D322" s="1" t="s">
        <v>1240</v>
      </c>
      <c r="E322" s="1" t="s">
        <v>2240</v>
      </c>
      <c r="F322" s="1" t="s">
        <v>112</v>
      </c>
      <c r="G322" s="1">
        <v>80701</v>
      </c>
    </row>
    <row r="323" spans="1:9"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9"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241</v>
      </c>
      <c r="D324" s="1" t="s">
        <v>112</v>
      </c>
      <c r="E324" s="1" t="s">
        <v>242</v>
      </c>
      <c r="F324" s="1" t="s">
        <v>243</v>
      </c>
      <c r="G324" s="1" t="s">
        <v>244</v>
      </c>
      <c r="H324" s="1" t="s">
        <v>245</v>
      </c>
      <c r="I324" s="1" t="s">
        <v>246</v>
      </c>
    </row>
    <row r="325" spans="1:9" x14ac:dyDescent="0.35">
      <c r="A325" s="1" t="str">
        <f t="shared" si="5"/>
        <v>10 Pro 111</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2241</v>
      </c>
      <c r="D325" s="1" t="s">
        <v>112</v>
      </c>
      <c r="E325" s="1" t="s">
        <v>2242</v>
      </c>
      <c r="F325" s="1" t="s">
        <v>2243</v>
      </c>
      <c r="G325" s="1" t="s">
        <v>2244</v>
      </c>
      <c r="H325" s="1" t="s">
        <v>2245</v>
      </c>
      <c r="I325" s="1">
        <v>24</v>
      </c>
    </row>
    <row r="326" spans="1:9"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9"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9"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9"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9"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9"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252</v>
      </c>
      <c r="D331" s="1" t="s">
        <v>110</v>
      </c>
      <c r="E331" s="1" t="s">
        <v>111</v>
      </c>
      <c r="F331" s="1" t="s">
        <v>112</v>
      </c>
      <c r="G331" s="1" t="s">
        <v>113</v>
      </c>
    </row>
    <row r="332" spans="1:9" x14ac:dyDescent="0.35">
      <c r="A332" s="1" t="str">
        <f t="shared" si="5"/>
        <v>11 Pro 333</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2246</v>
      </c>
      <c r="D332" s="1" t="s">
        <v>1845</v>
      </c>
      <c r="E332" s="1" t="s">
        <v>2247</v>
      </c>
      <c r="F332" s="1" t="s">
        <v>112</v>
      </c>
      <c r="G332" s="1">
        <v>340844</v>
      </c>
    </row>
    <row r="333" spans="1:9" x14ac:dyDescent="0.35">
      <c r="A333" s="1" t="str">
        <f t="shared" si="5"/>
        <v>11 Pro 333</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2248</v>
      </c>
      <c r="D333" s="1" t="s">
        <v>2249</v>
      </c>
      <c r="E333" s="1" t="s">
        <v>2250</v>
      </c>
      <c r="F333" s="1" t="s">
        <v>112</v>
      </c>
      <c r="G333" s="1">
        <v>389381</v>
      </c>
    </row>
    <row r="334" spans="1:9" x14ac:dyDescent="0.35">
      <c r="A334" s="1" t="str">
        <f t="shared" si="5"/>
        <v>11 Pro 333</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2251</v>
      </c>
      <c r="D334" s="1" t="s">
        <v>264</v>
      </c>
      <c r="E334" s="1" t="s">
        <v>2252</v>
      </c>
      <c r="F334" s="1" t="s">
        <v>112</v>
      </c>
      <c r="G334" s="1">
        <v>380535</v>
      </c>
    </row>
    <row r="335" spans="1:9" x14ac:dyDescent="0.35">
      <c r="A335" s="1" t="str">
        <f t="shared" si="5"/>
        <v>11 Pro 333</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2253</v>
      </c>
      <c r="D335" s="1" t="s">
        <v>2254</v>
      </c>
      <c r="E335" s="1" t="s">
        <v>2255</v>
      </c>
      <c r="F335" s="1" t="s">
        <v>112</v>
      </c>
      <c r="G335" s="1">
        <v>267064</v>
      </c>
    </row>
    <row r="336" spans="1:9" x14ac:dyDescent="0.35">
      <c r="A336" s="1" t="str">
        <f t="shared" si="5"/>
        <v>11 Pro 333</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2256</v>
      </c>
      <c r="D336" s="1" t="s">
        <v>797</v>
      </c>
      <c r="E336" s="1" t="s">
        <v>2257</v>
      </c>
      <c r="F336" s="1" t="s">
        <v>112</v>
      </c>
      <c r="G336" s="1">
        <v>51263</v>
      </c>
    </row>
    <row r="337" spans="1:7" x14ac:dyDescent="0.35">
      <c r="A337" s="1" t="str">
        <f t="shared" si="5"/>
        <v>11 Pro 333</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2258</v>
      </c>
      <c r="D337" s="1" t="s">
        <v>726</v>
      </c>
      <c r="E337" s="1" t="s">
        <v>2259</v>
      </c>
      <c r="F337" s="1" t="s">
        <v>112</v>
      </c>
      <c r="G337" s="1">
        <v>19164</v>
      </c>
    </row>
    <row r="338" spans="1:7" x14ac:dyDescent="0.35">
      <c r="A338" s="1" t="str">
        <f t="shared" si="5"/>
        <v>11 Pro 333</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2260</v>
      </c>
      <c r="D338" s="1" t="s">
        <v>1490</v>
      </c>
      <c r="E338" s="1" t="s">
        <v>2261</v>
      </c>
      <c r="F338" s="1" t="s">
        <v>112</v>
      </c>
      <c r="G338" s="1">
        <v>564886</v>
      </c>
    </row>
    <row r="339" spans="1:7" x14ac:dyDescent="0.35">
      <c r="A339" s="1" t="str">
        <f t="shared" si="5"/>
        <v>11 Pro 333</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2262</v>
      </c>
      <c r="D339" s="1" t="s">
        <v>2263</v>
      </c>
      <c r="E339" s="1" t="s">
        <v>2264</v>
      </c>
      <c r="F339" s="1" t="s">
        <v>112</v>
      </c>
      <c r="G339" s="1">
        <v>481244</v>
      </c>
    </row>
    <row r="340" spans="1:7" x14ac:dyDescent="0.35">
      <c r="A340" s="1" t="str">
        <f t="shared" si="5"/>
        <v>11 Pro 333</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2265</v>
      </c>
      <c r="D340" s="1" t="s">
        <v>1224</v>
      </c>
      <c r="E340" s="1" t="s">
        <v>2266</v>
      </c>
      <c r="F340" s="1" t="s">
        <v>112</v>
      </c>
      <c r="G340" s="1">
        <v>212427</v>
      </c>
    </row>
    <row r="341" spans="1:7" x14ac:dyDescent="0.35">
      <c r="A341" s="1" t="str">
        <f t="shared" si="5"/>
        <v>11 Pro 333</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2267</v>
      </c>
      <c r="D341" s="1" t="s">
        <v>2268</v>
      </c>
      <c r="E341" s="1">
        <v>65</v>
      </c>
      <c r="F341" s="1" t="s">
        <v>112</v>
      </c>
      <c r="G341" s="1">
        <v>236198</v>
      </c>
    </row>
    <row r="342" spans="1:7" x14ac:dyDescent="0.35">
      <c r="A342" s="1" t="str">
        <f t="shared" si="5"/>
        <v>11 Pro 333</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2269</v>
      </c>
      <c r="D342" s="1" t="s">
        <v>2115</v>
      </c>
      <c r="E342" s="1">
        <v>65</v>
      </c>
      <c r="F342" s="1" t="s">
        <v>112</v>
      </c>
      <c r="G342" s="1">
        <v>298060</v>
      </c>
    </row>
    <row r="343" spans="1:7" x14ac:dyDescent="0.35">
      <c r="A343" s="1" t="str">
        <f t="shared" si="5"/>
        <v>11 Pro 333</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2270</v>
      </c>
      <c r="D343" s="1" t="s">
        <v>728</v>
      </c>
      <c r="E343" s="1" t="s">
        <v>2271</v>
      </c>
      <c r="F343" s="1" t="s">
        <v>112</v>
      </c>
      <c r="G343" s="1">
        <v>72741</v>
      </c>
    </row>
    <row r="344" spans="1:7" x14ac:dyDescent="0.35">
      <c r="A344" s="1" t="str">
        <f t="shared" si="5"/>
        <v>11 Pro 333</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2272</v>
      </c>
      <c r="D344" s="1" t="s">
        <v>1055</v>
      </c>
      <c r="E344" s="1" t="s">
        <v>2273</v>
      </c>
      <c r="F344" s="1" t="s">
        <v>112</v>
      </c>
      <c r="G344" s="1">
        <v>223567</v>
      </c>
    </row>
    <row r="345" spans="1:7" x14ac:dyDescent="0.35">
      <c r="A345" s="1" t="str">
        <f t="shared" si="5"/>
        <v>11 Pro 333</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2274</v>
      </c>
      <c r="D345" s="1" t="s">
        <v>357</v>
      </c>
      <c r="E345" s="1" t="s">
        <v>2275</v>
      </c>
      <c r="F345" s="1" t="s">
        <v>112</v>
      </c>
      <c r="G345" s="1">
        <v>289711</v>
      </c>
    </row>
    <row r="346" spans="1:7" x14ac:dyDescent="0.35">
      <c r="A346" s="1" t="str">
        <f t="shared" si="5"/>
        <v>11 Pro 333</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2276</v>
      </c>
    </row>
    <row r="347" spans="1:7" x14ac:dyDescent="0.35">
      <c r="A347" s="1" t="str">
        <f t="shared" si="5"/>
        <v>11 Pro 333</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2277</v>
      </c>
      <c r="D347" s="1" t="s">
        <v>2278</v>
      </c>
      <c r="E347" s="1" t="s">
        <v>2279</v>
      </c>
      <c r="F347" s="1" t="s">
        <v>112</v>
      </c>
      <c r="G347" s="1">
        <v>521021</v>
      </c>
    </row>
    <row r="348" spans="1:7" x14ac:dyDescent="0.35">
      <c r="A348" s="1" t="str">
        <f t="shared" si="5"/>
        <v>11 Pro 333</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2280</v>
      </c>
      <c r="D348" s="1" t="s">
        <v>2281</v>
      </c>
      <c r="E348" s="1" t="s">
        <v>2282</v>
      </c>
      <c r="F348" s="1" t="s">
        <v>112</v>
      </c>
      <c r="G348" s="1">
        <v>522016</v>
      </c>
    </row>
    <row r="349" spans="1:7" x14ac:dyDescent="0.35">
      <c r="A349" s="1" t="str">
        <f t="shared" si="5"/>
        <v>11 Pro 333</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2283</v>
      </c>
      <c r="D349" s="1" t="s">
        <v>1874</v>
      </c>
      <c r="E349" s="1" t="s">
        <v>2284</v>
      </c>
      <c r="F349" s="1" t="s">
        <v>112</v>
      </c>
      <c r="G349" s="1">
        <v>384017</v>
      </c>
    </row>
    <row r="350" spans="1:7" x14ac:dyDescent="0.35">
      <c r="A350" s="1" t="str">
        <f t="shared" si="5"/>
        <v>11 Pro 333</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2285</v>
      </c>
      <c r="D350" s="1" t="s">
        <v>723</v>
      </c>
      <c r="E350" s="1" t="s">
        <v>2286</v>
      </c>
      <c r="F350" s="1" t="s">
        <v>112</v>
      </c>
      <c r="G350" s="1">
        <v>70081</v>
      </c>
    </row>
    <row r="351" spans="1:7" x14ac:dyDescent="0.35">
      <c r="A351" s="1" t="str">
        <f t="shared" si="5"/>
        <v>11 Pro 333</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2287</v>
      </c>
    </row>
    <row r="352" spans="1:7" x14ac:dyDescent="0.35">
      <c r="A352" s="1" t="str">
        <f t="shared" si="5"/>
        <v>11 Pro 333</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2288</v>
      </c>
      <c r="D352" s="1" t="s">
        <v>2217</v>
      </c>
      <c r="E352" s="1" t="s">
        <v>2289</v>
      </c>
      <c r="F352" s="1" t="s">
        <v>112</v>
      </c>
      <c r="G352" s="1">
        <v>22949</v>
      </c>
    </row>
    <row r="353" spans="1:9" x14ac:dyDescent="0.35">
      <c r="A353" s="1" t="str">
        <f t="shared" si="5"/>
        <v>11 Pro 333</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2290</v>
      </c>
      <c r="D353" s="1" t="s">
        <v>357</v>
      </c>
      <c r="E353" s="1" t="s">
        <v>2291</v>
      </c>
      <c r="F353" s="1" t="s">
        <v>112</v>
      </c>
      <c r="G353" s="1">
        <v>316316</v>
      </c>
    </row>
    <row r="354" spans="1:9" x14ac:dyDescent="0.35">
      <c r="A354" s="1" t="str">
        <f t="shared" si="5"/>
        <v>11 Pro 333</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2292</v>
      </c>
      <c r="D354" s="1" t="s">
        <v>1365</v>
      </c>
      <c r="E354" s="1" t="s">
        <v>2293</v>
      </c>
      <c r="F354" s="1" t="s">
        <v>112</v>
      </c>
      <c r="G354" s="1">
        <v>48386</v>
      </c>
    </row>
    <row r="355" spans="1:9" x14ac:dyDescent="0.35">
      <c r="A355" s="1" t="str">
        <f t="shared" si="5"/>
        <v>11 Pro 333</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2294</v>
      </c>
      <c r="D355" s="1" t="s">
        <v>791</v>
      </c>
      <c r="E355" s="1" t="s">
        <v>2295</v>
      </c>
      <c r="F355" s="1" t="s">
        <v>112</v>
      </c>
      <c r="G355" s="1">
        <v>218419</v>
      </c>
    </row>
    <row r="356" spans="1:9" x14ac:dyDescent="0.3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9"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241</v>
      </c>
      <c r="D357" s="1" t="s">
        <v>112</v>
      </c>
      <c r="E357" s="1" t="s">
        <v>242</v>
      </c>
      <c r="F357" s="1" t="s">
        <v>243</v>
      </c>
      <c r="G357" s="1" t="s">
        <v>244</v>
      </c>
      <c r="H357" s="1" t="s">
        <v>245</v>
      </c>
      <c r="I357" s="1" t="s">
        <v>246</v>
      </c>
    </row>
    <row r="358" spans="1:9" x14ac:dyDescent="0.35">
      <c r="A358" s="1" t="str">
        <f t="shared" si="5"/>
        <v>11 Pro 333</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2296</v>
      </c>
      <c r="D358" s="1" t="s">
        <v>112</v>
      </c>
      <c r="E358" s="1" t="s">
        <v>2297</v>
      </c>
      <c r="F358" s="1" t="s">
        <v>2298</v>
      </c>
      <c r="G358" s="1" t="s">
        <v>2299</v>
      </c>
      <c r="H358" s="1" t="s">
        <v>2300</v>
      </c>
      <c r="I358" s="1">
        <v>24</v>
      </c>
    </row>
    <row r="359" spans="1:9" x14ac:dyDescent="0.3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9"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9"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9"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9"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9"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252</v>
      </c>
      <c r="D364" s="1" t="s">
        <v>110</v>
      </c>
      <c r="E364" s="1" t="s">
        <v>111</v>
      </c>
      <c r="F364" s="1" t="s">
        <v>112</v>
      </c>
      <c r="G364" s="1" t="s">
        <v>113</v>
      </c>
    </row>
    <row r="365" spans="1:9" x14ac:dyDescent="0.35">
      <c r="A365" s="1" t="str">
        <f t="shared" si="5"/>
        <v>12 Pro 1000</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2301</v>
      </c>
      <c r="D365" s="1" t="s">
        <v>2302</v>
      </c>
      <c r="E365" s="1" t="s">
        <v>2303</v>
      </c>
      <c r="F365" s="1" t="s">
        <v>112</v>
      </c>
      <c r="G365" s="1">
        <v>504777</v>
      </c>
    </row>
    <row r="366" spans="1:9" x14ac:dyDescent="0.35">
      <c r="A366" s="1" t="str">
        <f t="shared" si="5"/>
        <v>12 Pro 1000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2304</v>
      </c>
      <c r="D366" s="1" t="s">
        <v>492</v>
      </c>
      <c r="E366" s="1" t="s">
        <v>2305</v>
      </c>
      <c r="F366" s="1" t="s">
        <v>112</v>
      </c>
      <c r="G366" s="1">
        <v>632674</v>
      </c>
    </row>
    <row r="367" spans="1:9" x14ac:dyDescent="0.35">
      <c r="A367" s="1" t="str">
        <f t="shared" si="5"/>
        <v>12 Pro 1000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2306</v>
      </c>
      <c r="D367" s="1" t="s">
        <v>2307</v>
      </c>
      <c r="E367" s="1" t="s">
        <v>2308</v>
      </c>
      <c r="F367" s="1" t="s">
        <v>112</v>
      </c>
      <c r="G367" s="1">
        <v>518598</v>
      </c>
    </row>
    <row r="368" spans="1:9" x14ac:dyDescent="0.35">
      <c r="A368" s="1" t="str">
        <f t="shared" si="5"/>
        <v>12 Pro 1000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2309</v>
      </c>
      <c r="D368" s="1" t="s">
        <v>2310</v>
      </c>
      <c r="E368" s="1" t="s">
        <v>2311</v>
      </c>
      <c r="F368" s="1" t="s">
        <v>112</v>
      </c>
      <c r="G368" s="1">
        <v>504366</v>
      </c>
    </row>
    <row r="369" spans="1:7" x14ac:dyDescent="0.35">
      <c r="A369" s="1" t="str">
        <f t="shared" si="5"/>
        <v>12 Pro 1000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2312</v>
      </c>
      <c r="D369" s="1" t="s">
        <v>2313</v>
      </c>
      <c r="E369" s="1" t="s">
        <v>2314</v>
      </c>
      <c r="F369" s="1" t="s">
        <v>112</v>
      </c>
      <c r="G369" s="1">
        <v>282897</v>
      </c>
    </row>
    <row r="370" spans="1:7" x14ac:dyDescent="0.35">
      <c r="A370" s="1" t="str">
        <f t="shared" si="5"/>
        <v>12 Pro 1000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2315</v>
      </c>
      <c r="D370" s="1" t="s">
        <v>1063</v>
      </c>
      <c r="E370" s="1" t="s">
        <v>2316</v>
      </c>
      <c r="F370" s="1" t="s">
        <v>112</v>
      </c>
      <c r="G370" s="1">
        <v>135663</v>
      </c>
    </row>
    <row r="371" spans="1:7" x14ac:dyDescent="0.35">
      <c r="A371" s="1" t="str">
        <f t="shared" si="5"/>
        <v>12 Pro 1000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2317</v>
      </c>
      <c r="D371" s="1" t="s">
        <v>507</v>
      </c>
      <c r="E371" s="1" t="s">
        <v>2318</v>
      </c>
      <c r="F371" s="1" t="s">
        <v>112</v>
      </c>
      <c r="G371" s="1">
        <v>555715</v>
      </c>
    </row>
    <row r="372" spans="1:7" x14ac:dyDescent="0.35">
      <c r="A372" s="1" t="str">
        <f t="shared" si="5"/>
        <v>12 Pro 1000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2319</v>
      </c>
      <c r="D372" s="1" t="s">
        <v>2320</v>
      </c>
      <c r="E372" s="1" t="s">
        <v>2321</v>
      </c>
      <c r="F372" s="1" t="s">
        <v>112</v>
      </c>
      <c r="G372" s="1">
        <v>795180</v>
      </c>
    </row>
    <row r="373" spans="1:7" x14ac:dyDescent="0.35">
      <c r="A373" s="1" t="str">
        <f t="shared" si="5"/>
        <v>12 Pro 1000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2322</v>
      </c>
      <c r="D373" s="1" t="s">
        <v>2310</v>
      </c>
      <c r="E373" s="1" t="s">
        <v>2323</v>
      </c>
      <c r="F373" s="1" t="s">
        <v>112</v>
      </c>
      <c r="G373" s="1">
        <v>437832</v>
      </c>
    </row>
    <row r="374" spans="1:7" x14ac:dyDescent="0.35">
      <c r="A374" s="1" t="str">
        <f t="shared" si="5"/>
        <v>12 Pro 1000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2324</v>
      </c>
      <c r="D374" s="1" t="s">
        <v>720</v>
      </c>
      <c r="E374" s="1" t="s">
        <v>2325</v>
      </c>
      <c r="F374" s="1" t="s">
        <v>112</v>
      </c>
      <c r="G374" s="1">
        <v>52690</v>
      </c>
    </row>
    <row r="375" spans="1:7" x14ac:dyDescent="0.35">
      <c r="A375" s="1" t="str">
        <f t="shared" si="5"/>
        <v>12 Pro 1000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2326</v>
      </c>
    </row>
    <row r="376" spans="1:7" x14ac:dyDescent="0.35">
      <c r="A376" s="1" t="str">
        <f t="shared" si="5"/>
        <v>12 Pro 1000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2327</v>
      </c>
      <c r="D376" s="1" t="s">
        <v>1365</v>
      </c>
      <c r="E376" s="1" t="s">
        <v>2328</v>
      </c>
      <c r="F376" s="1" t="s">
        <v>112</v>
      </c>
      <c r="G376" s="1">
        <v>46656</v>
      </c>
    </row>
    <row r="377" spans="1:7" x14ac:dyDescent="0.35">
      <c r="A377" s="1" t="str">
        <f t="shared" si="5"/>
        <v>12 Pro 1000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2329</v>
      </c>
      <c r="D377" s="1" t="s">
        <v>1441</v>
      </c>
      <c r="E377" s="1" t="s">
        <v>2330</v>
      </c>
      <c r="F377" s="1" t="s">
        <v>112</v>
      </c>
      <c r="G377" s="1">
        <v>739007</v>
      </c>
    </row>
    <row r="378" spans="1:7" x14ac:dyDescent="0.35">
      <c r="A378" s="1" t="str">
        <f t="shared" si="5"/>
        <v>12 Pro 1000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2331</v>
      </c>
      <c r="D378" s="1" t="s">
        <v>2332</v>
      </c>
      <c r="E378" s="1" t="s">
        <v>2333</v>
      </c>
      <c r="F378" s="1" t="s">
        <v>112</v>
      </c>
      <c r="G378" s="1">
        <v>629257</v>
      </c>
    </row>
    <row r="379" spans="1:7" x14ac:dyDescent="0.35">
      <c r="A379" s="1" t="str">
        <f t="shared" si="5"/>
        <v>12 Pro 1000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2334</v>
      </c>
      <c r="D379" s="1" t="s">
        <v>2335</v>
      </c>
      <c r="E379" s="1" t="s">
        <v>2336</v>
      </c>
      <c r="F379" s="1" t="s">
        <v>112</v>
      </c>
      <c r="G379" s="1">
        <v>333555</v>
      </c>
    </row>
    <row r="380" spans="1:7" x14ac:dyDescent="0.35">
      <c r="A380" s="1" t="str">
        <f t="shared" si="5"/>
        <v>12 Pro 1000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2337</v>
      </c>
      <c r="D380" s="1" t="s">
        <v>1810</v>
      </c>
      <c r="E380" s="1" t="s">
        <v>2338</v>
      </c>
      <c r="F380" s="1" t="s">
        <v>112</v>
      </c>
      <c r="G380" s="1">
        <v>84530</v>
      </c>
    </row>
    <row r="381" spans="1:7" x14ac:dyDescent="0.35">
      <c r="A381" s="1" t="str">
        <f t="shared" si="5"/>
        <v>12 Pro 1000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2339</v>
      </c>
      <c r="D381" s="1" t="s">
        <v>803</v>
      </c>
      <c r="E381" s="1" t="s">
        <v>2340</v>
      </c>
      <c r="F381" s="1" t="s">
        <v>112</v>
      </c>
      <c r="G381" s="1">
        <v>91949</v>
      </c>
    </row>
    <row r="382" spans="1:7" x14ac:dyDescent="0.35">
      <c r="A382" s="1" t="str">
        <f t="shared" si="5"/>
        <v>12 Pro 1000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2341</v>
      </c>
      <c r="D382" s="1" t="s">
        <v>254</v>
      </c>
      <c r="E382" s="1" t="s">
        <v>2342</v>
      </c>
      <c r="F382" s="1" t="s">
        <v>112</v>
      </c>
      <c r="G382" s="1">
        <v>85589</v>
      </c>
    </row>
    <row r="383" spans="1:7" x14ac:dyDescent="0.35">
      <c r="A383" s="1" t="str">
        <f t="shared" si="5"/>
        <v>12 Pro 1000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2343</v>
      </c>
      <c r="D383" s="1" t="s">
        <v>1740</v>
      </c>
      <c r="E383" s="1" t="s">
        <v>2344</v>
      </c>
      <c r="F383" s="1" t="s">
        <v>112</v>
      </c>
      <c r="G383" s="1">
        <v>430868</v>
      </c>
    </row>
    <row r="384" spans="1:7" x14ac:dyDescent="0.35">
      <c r="A384" s="1" t="str">
        <f t="shared" si="5"/>
        <v>12 Pro 1000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2345</v>
      </c>
      <c r="D384" s="1" t="s">
        <v>2302</v>
      </c>
      <c r="E384" s="1" t="s">
        <v>2346</v>
      </c>
      <c r="F384" s="1" t="s">
        <v>112</v>
      </c>
      <c r="G384" s="1">
        <v>506356</v>
      </c>
    </row>
    <row r="385" spans="1:9" x14ac:dyDescent="0.35">
      <c r="A385" s="1" t="str">
        <f t="shared" si="5"/>
        <v>12 Pro 1000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2347</v>
      </c>
      <c r="D385" s="1" t="s">
        <v>1697</v>
      </c>
      <c r="E385" s="1" t="s">
        <v>2348</v>
      </c>
      <c r="F385" s="1" t="s">
        <v>112</v>
      </c>
      <c r="G385" s="1">
        <v>75575</v>
      </c>
    </row>
    <row r="386" spans="1:9" x14ac:dyDescent="0.35">
      <c r="A386" s="1" t="str">
        <f t="shared" ref="A386:A449" si="6">IFERROR(LEFT(RIGHT(C386,LEN(C386)-SEARCH("@",C386)),SEARCH("/",RIGHT(C386,LEN(C386)-SEARCH("@",C386)-1))),"")</f>
        <v>12 Pro 1000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2349</v>
      </c>
    </row>
    <row r="387" spans="1:9" x14ac:dyDescent="0.35">
      <c r="A387" s="1" t="str">
        <f t="shared" si="6"/>
        <v>12 Pro 1000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2350</v>
      </c>
      <c r="D387" s="1" t="s">
        <v>2351</v>
      </c>
      <c r="E387" s="1" t="s">
        <v>2352</v>
      </c>
      <c r="F387" s="1" t="s">
        <v>112</v>
      </c>
      <c r="G387" s="1">
        <v>394443</v>
      </c>
    </row>
    <row r="388" spans="1:9" x14ac:dyDescent="0.35">
      <c r="A388" s="1" t="str">
        <f t="shared" si="6"/>
        <v>12 Pro 1000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2353</v>
      </c>
      <c r="D388" s="1" t="s">
        <v>2354</v>
      </c>
      <c r="E388" s="1" t="s">
        <v>2355</v>
      </c>
      <c r="F388" s="1" t="s">
        <v>112</v>
      </c>
      <c r="G388" s="1">
        <v>254627</v>
      </c>
    </row>
    <row r="389" spans="1:9" x14ac:dyDescent="0.3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9"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241</v>
      </c>
      <c r="D390" s="1" t="s">
        <v>112</v>
      </c>
      <c r="E390" s="1" t="s">
        <v>242</v>
      </c>
      <c r="F390" s="1" t="s">
        <v>243</v>
      </c>
      <c r="G390" s="1" t="s">
        <v>244</v>
      </c>
      <c r="H390" s="1" t="s">
        <v>245</v>
      </c>
      <c r="I390" s="1" t="s">
        <v>246</v>
      </c>
    </row>
    <row r="391" spans="1:9" x14ac:dyDescent="0.35">
      <c r="A391" s="1" t="str">
        <f t="shared" si="6"/>
        <v>12 Pro 1000</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2356</v>
      </c>
      <c r="D391" s="1" t="s">
        <v>112</v>
      </c>
      <c r="E391" s="1" t="s">
        <v>2357</v>
      </c>
      <c r="F391" s="1" t="s">
        <v>2358</v>
      </c>
      <c r="G391" s="1" t="s">
        <v>2359</v>
      </c>
      <c r="H391" s="1" t="s">
        <v>2360</v>
      </c>
      <c r="I391" s="1">
        <v>24</v>
      </c>
    </row>
    <row r="392" spans="1:9" x14ac:dyDescent="0.3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9"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9"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9"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9"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9"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252</v>
      </c>
      <c r="D397" s="1" t="s">
        <v>110</v>
      </c>
      <c r="E397" s="1" t="s">
        <v>111</v>
      </c>
      <c r="F397" s="1" t="s">
        <v>112</v>
      </c>
      <c r="G397" s="1" t="s">
        <v>113</v>
      </c>
    </row>
    <row r="398" spans="1:9" x14ac:dyDescent="0.35">
      <c r="A398" s="1" t="str">
        <f t="shared" si="6"/>
        <v>13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2361</v>
      </c>
      <c r="D398" s="1" t="s">
        <v>2362</v>
      </c>
      <c r="E398" s="1" t="s">
        <v>2363</v>
      </c>
      <c r="F398" s="1" t="s">
        <v>112</v>
      </c>
      <c r="G398" s="1">
        <v>3178275</v>
      </c>
    </row>
    <row r="399" spans="1:9" x14ac:dyDescent="0.35">
      <c r="A399" s="1" t="str">
        <f t="shared" si="6"/>
        <v>13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2364</v>
      </c>
      <c r="D399" s="1" t="s">
        <v>2365</v>
      </c>
      <c r="E399" s="1" t="s">
        <v>2366</v>
      </c>
      <c r="F399" s="1" t="s">
        <v>112</v>
      </c>
      <c r="G399" s="1">
        <v>3007853</v>
      </c>
    </row>
    <row r="400" spans="1:9" x14ac:dyDescent="0.35">
      <c r="A400" s="1" t="str">
        <f t="shared" si="6"/>
        <v>13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2367</v>
      </c>
      <c r="D400" s="1" t="s">
        <v>2368</v>
      </c>
      <c r="E400" s="1" t="s">
        <v>2369</v>
      </c>
      <c r="F400" s="1" t="s">
        <v>112</v>
      </c>
      <c r="G400" s="1">
        <v>3386636</v>
      </c>
    </row>
    <row r="401" spans="1:7" x14ac:dyDescent="0.35">
      <c r="A401" s="1" t="str">
        <f t="shared" si="6"/>
        <v>13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2370</v>
      </c>
      <c r="D401" s="1" t="s">
        <v>2371</v>
      </c>
      <c r="E401" s="1" t="s">
        <v>2372</v>
      </c>
      <c r="F401" s="1" t="s">
        <v>112</v>
      </c>
      <c r="G401" s="1">
        <v>3960563</v>
      </c>
    </row>
    <row r="402" spans="1:7" x14ac:dyDescent="0.35">
      <c r="A402" s="1" t="str">
        <f t="shared" si="6"/>
        <v>13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2373</v>
      </c>
      <c r="D402" s="1" t="s">
        <v>2374</v>
      </c>
      <c r="E402" s="1" t="s">
        <v>2375</v>
      </c>
      <c r="F402" s="1" t="s">
        <v>112</v>
      </c>
      <c r="G402" s="1">
        <v>3560757</v>
      </c>
    </row>
    <row r="403" spans="1:7" x14ac:dyDescent="0.35">
      <c r="A403" s="1" t="str">
        <f t="shared" si="6"/>
        <v>13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2376</v>
      </c>
    </row>
    <row r="404" spans="1:7" x14ac:dyDescent="0.35">
      <c r="A404" s="1" t="str">
        <f t="shared" si="6"/>
        <v>13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2377</v>
      </c>
      <c r="D404" s="1" t="s">
        <v>465</v>
      </c>
      <c r="E404" s="1" t="s">
        <v>2378</v>
      </c>
      <c r="F404" s="1" t="s">
        <v>112</v>
      </c>
      <c r="G404" s="1">
        <v>1094559</v>
      </c>
    </row>
    <row r="405" spans="1:7" x14ac:dyDescent="0.35">
      <c r="A405" s="1" t="str">
        <f t="shared" si="6"/>
        <v>13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2379</v>
      </c>
      <c r="D405" s="1" t="s">
        <v>2380</v>
      </c>
      <c r="E405" s="1" t="s">
        <v>2381</v>
      </c>
      <c r="F405" s="1" t="s">
        <v>112</v>
      </c>
      <c r="G405" s="1">
        <v>635140</v>
      </c>
    </row>
    <row r="406" spans="1:7" x14ac:dyDescent="0.35">
      <c r="A406" s="1" t="str">
        <f t="shared" si="6"/>
        <v>13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2382</v>
      </c>
      <c r="D406" s="1" t="s">
        <v>2383</v>
      </c>
      <c r="E406" s="1" t="s">
        <v>2384</v>
      </c>
      <c r="F406" s="1" t="s">
        <v>112</v>
      </c>
      <c r="G406" s="1">
        <v>761545</v>
      </c>
    </row>
    <row r="407" spans="1:7" x14ac:dyDescent="0.35">
      <c r="A407" s="1" t="str">
        <f t="shared" si="6"/>
        <v>13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2385</v>
      </c>
      <c r="D407" s="1" t="s">
        <v>2386</v>
      </c>
      <c r="E407" s="1" t="s">
        <v>2387</v>
      </c>
      <c r="F407" s="1" t="s">
        <v>112</v>
      </c>
      <c r="G407" s="1">
        <v>2078698</v>
      </c>
    </row>
    <row r="408" spans="1:7" x14ac:dyDescent="0.35">
      <c r="A408" s="1" t="str">
        <f t="shared" si="6"/>
        <v>13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2388</v>
      </c>
      <c r="D408" s="1" t="s">
        <v>2389</v>
      </c>
      <c r="E408" s="1" t="s">
        <v>2390</v>
      </c>
      <c r="F408" s="1" t="s">
        <v>112</v>
      </c>
      <c r="G408" s="1">
        <v>2099873</v>
      </c>
    </row>
    <row r="409" spans="1:7" x14ac:dyDescent="0.35">
      <c r="A409" s="1" t="str">
        <f t="shared" si="6"/>
        <v>13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2391</v>
      </c>
      <c r="D409" s="1" t="s">
        <v>2392</v>
      </c>
      <c r="E409" s="1" t="s">
        <v>2393</v>
      </c>
      <c r="F409" s="1" t="s">
        <v>112</v>
      </c>
      <c r="G409" s="1">
        <v>2177071</v>
      </c>
    </row>
    <row r="410" spans="1:7" x14ac:dyDescent="0.35">
      <c r="A410" s="1" t="str">
        <f t="shared" si="6"/>
        <v>13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2394</v>
      </c>
    </row>
    <row r="411" spans="1:7" x14ac:dyDescent="0.35">
      <c r="A411" s="1" t="str">
        <f t="shared" si="6"/>
        <v>13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2395</v>
      </c>
      <c r="D411" s="1" t="s">
        <v>2396</v>
      </c>
      <c r="E411" s="1" t="s">
        <v>2397</v>
      </c>
      <c r="F411" s="1" t="s">
        <v>112</v>
      </c>
      <c r="G411" s="1">
        <v>1868239</v>
      </c>
    </row>
    <row r="412" spans="1:7" x14ac:dyDescent="0.35">
      <c r="A412" s="1" t="str">
        <f t="shared" si="6"/>
        <v>13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2398</v>
      </c>
      <c r="D412" s="1" t="s">
        <v>2399</v>
      </c>
      <c r="E412" s="1" t="s">
        <v>2400</v>
      </c>
      <c r="F412" s="1" t="s">
        <v>112</v>
      </c>
      <c r="G412" s="1">
        <v>2204086</v>
      </c>
    </row>
    <row r="413" spans="1:7" x14ac:dyDescent="0.35">
      <c r="A413" s="1" t="str">
        <f t="shared" si="6"/>
        <v>13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2401</v>
      </c>
      <c r="D413" s="1" t="s">
        <v>182</v>
      </c>
      <c r="E413" s="1" t="s">
        <v>2402</v>
      </c>
      <c r="F413" s="1" t="s">
        <v>112</v>
      </c>
      <c r="G413" s="1">
        <v>809499</v>
      </c>
    </row>
    <row r="414" spans="1:7" x14ac:dyDescent="0.35">
      <c r="A414" s="1" t="str">
        <f t="shared" si="6"/>
        <v>13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2403</v>
      </c>
      <c r="D414" s="1" t="s">
        <v>2404</v>
      </c>
      <c r="E414" s="1" t="s">
        <v>2405</v>
      </c>
      <c r="F414" s="1" t="s">
        <v>112</v>
      </c>
      <c r="G414" s="1">
        <v>1089087</v>
      </c>
    </row>
    <row r="415" spans="1:7" x14ac:dyDescent="0.35">
      <c r="A415" s="1" t="str">
        <f t="shared" si="6"/>
        <v>13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2406</v>
      </c>
      <c r="D415" s="1" t="s">
        <v>1898</v>
      </c>
      <c r="E415" s="1" t="s">
        <v>2407</v>
      </c>
      <c r="F415" s="1" t="s">
        <v>112</v>
      </c>
      <c r="G415" s="1">
        <v>994975</v>
      </c>
    </row>
    <row r="416" spans="1:7" x14ac:dyDescent="0.35">
      <c r="A416" s="1" t="str">
        <f t="shared" si="6"/>
        <v>13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2408</v>
      </c>
      <c r="D416" s="1" t="s">
        <v>1232</v>
      </c>
      <c r="E416" s="1" t="s">
        <v>2409</v>
      </c>
      <c r="F416" s="1" t="s">
        <v>112</v>
      </c>
      <c r="G416" s="1">
        <v>514424</v>
      </c>
    </row>
    <row r="417" spans="1:9" x14ac:dyDescent="0.35">
      <c r="A417" s="1" t="str">
        <f t="shared" si="6"/>
        <v>13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2410</v>
      </c>
    </row>
    <row r="418" spans="1:9" x14ac:dyDescent="0.35">
      <c r="A418" s="1" t="str">
        <f t="shared" si="6"/>
        <v>13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2411</v>
      </c>
      <c r="D418" s="1" t="s">
        <v>2412</v>
      </c>
      <c r="E418" s="1" t="s">
        <v>2413</v>
      </c>
      <c r="F418" s="1" t="s">
        <v>112</v>
      </c>
      <c r="G418" s="1">
        <v>520091</v>
      </c>
    </row>
    <row r="419" spans="1:9" x14ac:dyDescent="0.35">
      <c r="A419" s="1" t="str">
        <f t="shared" si="6"/>
        <v>13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2414</v>
      </c>
      <c r="D419" s="1" t="s">
        <v>2415</v>
      </c>
      <c r="E419" s="1" t="s">
        <v>2416</v>
      </c>
      <c r="F419" s="1" t="s">
        <v>112</v>
      </c>
      <c r="G419" s="1">
        <v>3552862</v>
      </c>
    </row>
    <row r="420" spans="1:9" x14ac:dyDescent="0.35">
      <c r="A420" s="1" t="str">
        <f t="shared" si="6"/>
        <v>13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2417</v>
      </c>
    </row>
    <row r="421" spans="1:9" x14ac:dyDescent="0.35">
      <c r="A421" s="1" t="str">
        <f t="shared" si="6"/>
        <v>13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2418</v>
      </c>
      <c r="D421" s="1" t="s">
        <v>2419</v>
      </c>
      <c r="E421" s="1" t="s">
        <v>2420</v>
      </c>
      <c r="F421" s="1" t="s">
        <v>112</v>
      </c>
      <c r="G421" s="1">
        <v>3785578</v>
      </c>
    </row>
    <row r="422" spans="1:9" x14ac:dyDescent="0.3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9"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241</v>
      </c>
      <c r="D423" s="1" t="s">
        <v>112</v>
      </c>
      <c r="E423" s="1" t="s">
        <v>242</v>
      </c>
      <c r="F423" s="1" t="s">
        <v>243</v>
      </c>
      <c r="G423" s="1" t="s">
        <v>244</v>
      </c>
      <c r="H423" s="1" t="s">
        <v>245</v>
      </c>
      <c r="I423" s="1" t="s">
        <v>246</v>
      </c>
    </row>
    <row r="424" spans="1:9" x14ac:dyDescent="0.35">
      <c r="A424" s="1" t="str">
        <f t="shared" si="6"/>
        <v>13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2421</v>
      </c>
      <c r="D424" s="1" t="s">
        <v>112</v>
      </c>
      <c r="E424" s="1" t="s">
        <v>2422</v>
      </c>
      <c r="F424" s="1" t="s">
        <v>2423</v>
      </c>
      <c r="G424" s="1" t="s">
        <v>2424</v>
      </c>
      <c r="H424" s="1" t="s">
        <v>2425</v>
      </c>
      <c r="I424" s="1">
        <v>24</v>
      </c>
    </row>
    <row r="425" spans="1:9" x14ac:dyDescent="0.3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9"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9"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9"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9"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9"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252</v>
      </c>
      <c r="D430" s="1" t="s">
        <v>110</v>
      </c>
      <c r="E430" s="1" t="s">
        <v>111</v>
      </c>
      <c r="F430" s="1" t="s">
        <v>112</v>
      </c>
      <c r="G430" s="1" t="s">
        <v>113</v>
      </c>
    </row>
    <row r="431" spans="1:9" x14ac:dyDescent="0.35">
      <c r="A431" s="1" t="str">
        <f t="shared" si="6"/>
        <v>14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2426</v>
      </c>
      <c r="D431" s="1" t="s">
        <v>2427</v>
      </c>
      <c r="E431" s="1" t="s">
        <v>2428</v>
      </c>
      <c r="F431" s="1" t="s">
        <v>112</v>
      </c>
      <c r="G431" s="1">
        <v>4560404</v>
      </c>
    </row>
    <row r="432" spans="1:9" x14ac:dyDescent="0.35">
      <c r="A432" s="1" t="str">
        <f t="shared" si="6"/>
        <v>14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2429</v>
      </c>
      <c r="D432" s="1" t="s">
        <v>2430</v>
      </c>
      <c r="E432" s="1" t="s">
        <v>2431</v>
      </c>
      <c r="F432" s="1" t="s">
        <v>112</v>
      </c>
      <c r="G432" s="1">
        <v>4247830</v>
      </c>
    </row>
    <row r="433" spans="1:7" x14ac:dyDescent="0.35">
      <c r="A433" s="1" t="str">
        <f t="shared" si="6"/>
        <v>14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2432</v>
      </c>
      <c r="D433" s="1" t="s">
        <v>2433</v>
      </c>
      <c r="E433" s="1" t="s">
        <v>2434</v>
      </c>
      <c r="F433" s="1" t="s">
        <v>112</v>
      </c>
      <c r="G433" s="1">
        <v>4213309</v>
      </c>
    </row>
    <row r="434" spans="1:7" x14ac:dyDescent="0.35">
      <c r="A434" s="1" t="str">
        <f t="shared" si="6"/>
        <v>14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2435</v>
      </c>
      <c r="D434" s="1" t="s">
        <v>2263</v>
      </c>
      <c r="E434" s="1" t="s">
        <v>2436</v>
      </c>
      <c r="F434" s="1" t="s">
        <v>112</v>
      </c>
      <c r="G434" s="1">
        <v>469044</v>
      </c>
    </row>
    <row r="435" spans="1:7" x14ac:dyDescent="0.35">
      <c r="A435" s="1" t="str">
        <f t="shared" si="6"/>
        <v>14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2437</v>
      </c>
    </row>
    <row r="436" spans="1:7" x14ac:dyDescent="0.35">
      <c r="A436" s="1" t="str">
        <f t="shared" si="6"/>
        <v>14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2438</v>
      </c>
      <c r="D436" s="1" t="s">
        <v>2439</v>
      </c>
      <c r="E436" s="1" t="s">
        <v>2440</v>
      </c>
      <c r="F436" s="1" t="s">
        <v>112</v>
      </c>
      <c r="G436" s="1">
        <v>654715</v>
      </c>
    </row>
    <row r="437" spans="1:7" x14ac:dyDescent="0.35">
      <c r="A437" s="1" t="str">
        <f t="shared" si="6"/>
        <v>14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2441</v>
      </c>
      <c r="D437" s="1" t="s">
        <v>2442</v>
      </c>
      <c r="E437" s="1" t="s">
        <v>2443</v>
      </c>
      <c r="F437" s="1" t="s">
        <v>112</v>
      </c>
      <c r="G437" s="1">
        <v>3462059</v>
      </c>
    </row>
    <row r="438" spans="1:7" x14ac:dyDescent="0.35">
      <c r="A438" s="1" t="str">
        <f t="shared" si="6"/>
        <v>14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2444</v>
      </c>
      <c r="D438" s="1" t="s">
        <v>2445</v>
      </c>
      <c r="E438" s="1" t="s">
        <v>2446</v>
      </c>
      <c r="F438" s="1" t="s">
        <v>112</v>
      </c>
      <c r="G438" s="1">
        <v>3293779</v>
      </c>
    </row>
    <row r="439" spans="1:7" x14ac:dyDescent="0.35">
      <c r="A439" s="1" t="str">
        <f t="shared" si="6"/>
        <v>14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2447</v>
      </c>
      <c r="D439" s="1" t="s">
        <v>2448</v>
      </c>
      <c r="E439" s="1" t="s">
        <v>2449</v>
      </c>
      <c r="F439" s="1" t="s">
        <v>112</v>
      </c>
      <c r="G439" s="1">
        <v>3232977</v>
      </c>
    </row>
    <row r="440" spans="1:7" x14ac:dyDescent="0.35">
      <c r="A440" s="1" t="str">
        <f t="shared" si="6"/>
        <v>14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2450</v>
      </c>
      <c r="D440" s="1" t="s">
        <v>2451</v>
      </c>
      <c r="E440" s="1" t="s">
        <v>2452</v>
      </c>
      <c r="F440" s="1" t="s">
        <v>112</v>
      </c>
      <c r="G440" s="1">
        <v>4871961</v>
      </c>
    </row>
    <row r="441" spans="1:7" x14ac:dyDescent="0.35">
      <c r="A441" s="1" t="str">
        <f t="shared" si="6"/>
        <v>14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2453</v>
      </c>
      <c r="D441" s="1" t="s">
        <v>2454</v>
      </c>
      <c r="E441" s="1" t="s">
        <v>2455</v>
      </c>
      <c r="F441" s="1" t="s">
        <v>112</v>
      </c>
      <c r="G441" s="1">
        <v>4383255</v>
      </c>
    </row>
    <row r="442" spans="1:7" x14ac:dyDescent="0.35">
      <c r="A442" s="1" t="str">
        <f t="shared" si="6"/>
        <v>14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2456</v>
      </c>
      <c r="D442" s="1" t="s">
        <v>1340</v>
      </c>
      <c r="E442" s="1" t="s">
        <v>2457</v>
      </c>
      <c r="F442" s="1" t="s">
        <v>112</v>
      </c>
      <c r="G442" s="1">
        <v>4452081</v>
      </c>
    </row>
    <row r="443" spans="1:7" x14ac:dyDescent="0.35">
      <c r="A443" s="1" t="str">
        <f t="shared" si="6"/>
        <v>14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2458</v>
      </c>
      <c r="D443" s="1" t="s">
        <v>2459</v>
      </c>
      <c r="E443" s="1" t="s">
        <v>2460</v>
      </c>
      <c r="F443" s="1" t="s">
        <v>112</v>
      </c>
      <c r="G443" s="1">
        <v>4655683</v>
      </c>
    </row>
    <row r="444" spans="1:7" x14ac:dyDescent="0.35">
      <c r="A444" s="1" t="str">
        <f t="shared" si="6"/>
        <v>14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2461</v>
      </c>
      <c r="D444" s="1" t="s">
        <v>2462</v>
      </c>
      <c r="E444" s="1" t="s">
        <v>2463</v>
      </c>
      <c r="F444" s="1" t="s">
        <v>112</v>
      </c>
      <c r="G444" s="1">
        <v>4298206</v>
      </c>
    </row>
    <row r="445" spans="1:7" x14ac:dyDescent="0.35">
      <c r="A445" s="1" t="str">
        <f t="shared" si="6"/>
        <v>14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2464</v>
      </c>
      <c r="D445" s="1" t="s">
        <v>2465</v>
      </c>
      <c r="E445" s="1" t="s">
        <v>2466</v>
      </c>
      <c r="F445" s="1" t="s">
        <v>112</v>
      </c>
      <c r="G445" s="1">
        <v>4408086</v>
      </c>
    </row>
    <row r="446" spans="1:7" x14ac:dyDescent="0.35">
      <c r="A446" s="1" t="str">
        <f t="shared" si="6"/>
        <v>14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2467</v>
      </c>
      <c r="D446" s="1" t="s">
        <v>2468</v>
      </c>
      <c r="E446" s="1" t="s">
        <v>2469</v>
      </c>
      <c r="F446" s="1" t="s">
        <v>112</v>
      </c>
      <c r="G446" s="1">
        <v>2506926</v>
      </c>
    </row>
    <row r="447" spans="1:7" x14ac:dyDescent="0.35">
      <c r="A447" s="1" t="str">
        <f t="shared" si="6"/>
        <v>14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2470</v>
      </c>
    </row>
    <row r="448" spans="1:7" x14ac:dyDescent="0.35">
      <c r="A448" s="1" t="str">
        <f t="shared" si="6"/>
        <v>14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2471</v>
      </c>
      <c r="D448" s="1" t="s">
        <v>2472</v>
      </c>
      <c r="E448" s="1" t="s">
        <v>2473</v>
      </c>
      <c r="F448" s="1" t="s">
        <v>112</v>
      </c>
      <c r="G448" s="1">
        <v>2060291</v>
      </c>
    </row>
    <row r="449" spans="1:9" x14ac:dyDescent="0.35">
      <c r="A449" s="1" t="str">
        <f t="shared" si="6"/>
        <v>14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2474</v>
      </c>
      <c r="D449" s="1" t="s">
        <v>2475</v>
      </c>
      <c r="E449" s="1" t="s">
        <v>2476</v>
      </c>
      <c r="F449" s="1" t="s">
        <v>112</v>
      </c>
      <c r="G449" s="1">
        <v>525001</v>
      </c>
    </row>
    <row r="450" spans="1:9" x14ac:dyDescent="0.35">
      <c r="A450" s="1" t="str">
        <f t="shared" ref="A450:A513" si="7">IFERROR(LEFT(RIGHT(C450,LEN(C450)-SEARCH("@",C450)),SEARCH("/",RIGHT(C450,LEN(C450)-SEARCH("@",C450)-1))),"")</f>
        <v>14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2477</v>
      </c>
      <c r="D450" s="1" t="s">
        <v>2478</v>
      </c>
      <c r="E450" s="1" t="s">
        <v>2479</v>
      </c>
      <c r="F450" s="1" t="s">
        <v>112</v>
      </c>
      <c r="G450" s="1">
        <v>690772</v>
      </c>
    </row>
    <row r="451" spans="1:9" x14ac:dyDescent="0.35">
      <c r="A451" s="1" t="str">
        <f t="shared" si="7"/>
        <v>14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2480</v>
      </c>
      <c r="D451" s="1" t="s">
        <v>2481</v>
      </c>
      <c r="E451" s="1" t="s">
        <v>2482</v>
      </c>
      <c r="F451" s="1" t="s">
        <v>112</v>
      </c>
      <c r="G451" s="1">
        <v>711905</v>
      </c>
    </row>
    <row r="452" spans="1:9" x14ac:dyDescent="0.35">
      <c r="A452" s="1" t="str">
        <f t="shared" si="7"/>
        <v>14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2483</v>
      </c>
    </row>
    <row r="453" spans="1:9" x14ac:dyDescent="0.35">
      <c r="A453" s="1" t="str">
        <f t="shared" si="7"/>
        <v>14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2484</v>
      </c>
      <c r="D453" s="1" t="s">
        <v>2485</v>
      </c>
      <c r="E453" s="1" t="s">
        <v>2486</v>
      </c>
      <c r="F453" s="1" t="s">
        <v>112</v>
      </c>
      <c r="G453" s="1">
        <v>6267219</v>
      </c>
    </row>
    <row r="454" spans="1:9" x14ac:dyDescent="0.35">
      <c r="A454" s="1" t="str">
        <f t="shared" si="7"/>
        <v>14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2487</v>
      </c>
      <c r="D454" s="1" t="s">
        <v>2488</v>
      </c>
      <c r="E454" s="1" t="s">
        <v>2489</v>
      </c>
      <c r="F454" s="1" t="s">
        <v>112</v>
      </c>
      <c r="G454" s="1">
        <v>5835897</v>
      </c>
    </row>
    <row r="455" spans="1:9" x14ac:dyDescent="0.3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9"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241</v>
      </c>
      <c r="D456" s="1" t="s">
        <v>112</v>
      </c>
      <c r="E456" s="1" t="s">
        <v>242</v>
      </c>
      <c r="F456" s="1" t="s">
        <v>243</v>
      </c>
      <c r="G456" s="1" t="s">
        <v>244</v>
      </c>
      <c r="H456" s="1" t="s">
        <v>245</v>
      </c>
      <c r="I456" s="1" t="s">
        <v>246</v>
      </c>
    </row>
    <row r="457" spans="1:9" x14ac:dyDescent="0.35">
      <c r="A457" s="1" t="str">
        <f t="shared" si="7"/>
        <v>14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2490</v>
      </c>
      <c r="D457" s="1" t="s">
        <v>112</v>
      </c>
      <c r="E457" s="1" t="s">
        <v>2491</v>
      </c>
      <c r="F457" s="1" t="s">
        <v>2492</v>
      </c>
      <c r="G457" s="1" t="s">
        <v>2493</v>
      </c>
      <c r="H457" s="1" t="s">
        <v>2494</v>
      </c>
      <c r="I457" s="1">
        <v>24</v>
      </c>
    </row>
    <row r="458" spans="1:9" x14ac:dyDescent="0.3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9"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9"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9"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9"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9"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252</v>
      </c>
      <c r="D463" s="1" t="s">
        <v>110</v>
      </c>
      <c r="E463" s="1" t="s">
        <v>111</v>
      </c>
      <c r="F463" s="1" t="s">
        <v>112</v>
      </c>
      <c r="G463" s="1" t="s">
        <v>113</v>
      </c>
    </row>
    <row r="464" spans="1:9" x14ac:dyDescent="0.35">
      <c r="A464" s="1" t="str">
        <f t="shared" si="7"/>
        <v>15 Testo + EE2</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2495</v>
      </c>
      <c r="D464" s="1" t="s">
        <v>2496</v>
      </c>
      <c r="E464" s="1" t="s">
        <v>2497</v>
      </c>
      <c r="F464" s="1" t="s">
        <v>112</v>
      </c>
      <c r="G464" s="1">
        <v>6566966</v>
      </c>
    </row>
    <row r="465" spans="1:7" x14ac:dyDescent="0.35">
      <c r="A465" s="1" t="str">
        <f t="shared" si="7"/>
        <v>15 Testo + EE2</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2498</v>
      </c>
      <c r="D465" s="1" t="s">
        <v>2499</v>
      </c>
      <c r="E465" s="1" t="s">
        <v>2500</v>
      </c>
      <c r="F465" s="1" t="s">
        <v>112</v>
      </c>
      <c r="G465" s="1">
        <v>6953276</v>
      </c>
    </row>
    <row r="466" spans="1:7" x14ac:dyDescent="0.35">
      <c r="A466" s="1" t="str">
        <f t="shared" si="7"/>
        <v>15 Testo + EE2</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2501</v>
      </c>
      <c r="D466" s="1" t="s">
        <v>2502</v>
      </c>
      <c r="E466" s="1" t="s">
        <v>2503</v>
      </c>
      <c r="F466" s="1" t="s">
        <v>112</v>
      </c>
      <c r="G466" s="1">
        <v>6549446</v>
      </c>
    </row>
    <row r="467" spans="1:7" x14ac:dyDescent="0.35">
      <c r="A467" s="1" t="str">
        <f t="shared" si="7"/>
        <v>15 Testo + EE2</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2504</v>
      </c>
      <c r="D467" s="1" t="s">
        <v>2505</v>
      </c>
      <c r="E467" s="1" t="s">
        <v>2506</v>
      </c>
      <c r="F467" s="1" t="s">
        <v>112</v>
      </c>
      <c r="G467" s="1">
        <v>4513294</v>
      </c>
    </row>
    <row r="468" spans="1:7" x14ac:dyDescent="0.35">
      <c r="A468" s="1" t="str">
        <f t="shared" si="7"/>
        <v>15 Testo + EE2</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2507</v>
      </c>
      <c r="D468" s="1" t="s">
        <v>2433</v>
      </c>
      <c r="E468" s="1" t="s">
        <v>2508</v>
      </c>
      <c r="F468" s="1" t="s">
        <v>112</v>
      </c>
      <c r="G468" s="1">
        <v>4540764</v>
      </c>
    </row>
    <row r="469" spans="1:7" x14ac:dyDescent="0.35">
      <c r="A469" s="1" t="str">
        <f t="shared" si="7"/>
        <v>15 Testo + EE2</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2509</v>
      </c>
      <c r="D469" s="1" t="s">
        <v>2510</v>
      </c>
      <c r="E469" s="1" t="s">
        <v>2511</v>
      </c>
      <c r="F469" s="1" t="s">
        <v>112</v>
      </c>
      <c r="G469" s="1">
        <v>4384834</v>
      </c>
    </row>
    <row r="470" spans="1:7" x14ac:dyDescent="0.35">
      <c r="A470" s="1" t="str">
        <f t="shared" si="7"/>
        <v>15 Testo + EE2</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2512</v>
      </c>
      <c r="D470" s="1" t="s">
        <v>2513</v>
      </c>
      <c r="E470" s="1" t="s">
        <v>2514</v>
      </c>
      <c r="F470" s="1" t="s">
        <v>112</v>
      </c>
      <c r="G470" s="1">
        <v>4477907</v>
      </c>
    </row>
    <row r="471" spans="1:7" x14ac:dyDescent="0.35">
      <c r="A471" s="1" t="str">
        <f t="shared" si="7"/>
        <v>15 Testo + EE2</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2515</v>
      </c>
    </row>
    <row r="472" spans="1:7" x14ac:dyDescent="0.35">
      <c r="A472" s="1" t="str">
        <f t="shared" si="7"/>
        <v>15 Testo + EE2</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2516</v>
      </c>
      <c r="D472" s="1" t="s">
        <v>2517</v>
      </c>
      <c r="E472" s="1" t="s">
        <v>2518</v>
      </c>
      <c r="F472" s="1" t="s">
        <v>112</v>
      </c>
      <c r="G472" s="1">
        <v>4451649</v>
      </c>
    </row>
    <row r="473" spans="1:7" x14ac:dyDescent="0.35">
      <c r="A473" s="1" t="str">
        <f t="shared" si="7"/>
        <v>15 Testo + EE2</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2519</v>
      </c>
      <c r="D473" s="1" t="s">
        <v>2520</v>
      </c>
      <c r="E473" s="1" t="s">
        <v>2521</v>
      </c>
      <c r="F473" s="1" t="s">
        <v>112</v>
      </c>
      <c r="G473" s="1">
        <v>5104352</v>
      </c>
    </row>
    <row r="474" spans="1:7" x14ac:dyDescent="0.35">
      <c r="A474" s="1" t="str">
        <f t="shared" si="7"/>
        <v>15 Testo + EE2</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2522</v>
      </c>
      <c r="D474" s="1" t="s">
        <v>2523</v>
      </c>
      <c r="E474" s="1" t="s">
        <v>2524</v>
      </c>
      <c r="F474" s="1" t="s">
        <v>112</v>
      </c>
      <c r="G474" s="1">
        <v>4799003</v>
      </c>
    </row>
    <row r="475" spans="1:7" x14ac:dyDescent="0.35">
      <c r="A475" s="1" t="str">
        <f t="shared" si="7"/>
        <v>15 Testo + EE2</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2525</v>
      </c>
      <c r="D475" s="1" t="s">
        <v>2526</v>
      </c>
      <c r="E475" s="1" t="s">
        <v>2527</v>
      </c>
      <c r="F475" s="1" t="s">
        <v>112</v>
      </c>
      <c r="G475" s="1">
        <v>4610910</v>
      </c>
    </row>
    <row r="476" spans="1:7" x14ac:dyDescent="0.35">
      <c r="A476" s="1" t="str">
        <f t="shared" si="7"/>
        <v>15 Testo + EE2</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2528</v>
      </c>
      <c r="D476" s="1" t="s">
        <v>2529</v>
      </c>
      <c r="E476" s="1" t="s">
        <v>2530</v>
      </c>
      <c r="F476" s="1" t="s">
        <v>112</v>
      </c>
      <c r="G476" s="1">
        <v>4503041</v>
      </c>
    </row>
    <row r="477" spans="1:7" x14ac:dyDescent="0.35">
      <c r="A477" s="1" t="str">
        <f t="shared" si="7"/>
        <v>15 Testo + EE2</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2531</v>
      </c>
      <c r="D477" s="1" t="s">
        <v>2532</v>
      </c>
      <c r="E477" s="1" t="s">
        <v>2533</v>
      </c>
      <c r="F477" s="1" t="s">
        <v>112</v>
      </c>
      <c r="G477" s="1">
        <v>3920938</v>
      </c>
    </row>
    <row r="478" spans="1:7" x14ac:dyDescent="0.35">
      <c r="A478" s="1" t="str">
        <f t="shared" si="7"/>
        <v>15 Testo + EE2</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2534</v>
      </c>
      <c r="D478" s="1" t="s">
        <v>2535</v>
      </c>
      <c r="E478" s="1" t="s">
        <v>2536</v>
      </c>
      <c r="F478" s="1" t="s">
        <v>112</v>
      </c>
      <c r="G478" s="1">
        <v>3356743</v>
      </c>
    </row>
    <row r="479" spans="1:7" x14ac:dyDescent="0.35">
      <c r="A479" s="1" t="str">
        <f t="shared" si="7"/>
        <v>15 Testo + EE2</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2537</v>
      </c>
      <c r="D479" s="1" t="s">
        <v>2538</v>
      </c>
      <c r="E479" s="1" t="s">
        <v>2539</v>
      </c>
      <c r="F479" s="1" t="s">
        <v>112</v>
      </c>
      <c r="G479" s="1">
        <v>3502313</v>
      </c>
    </row>
    <row r="480" spans="1:7" x14ac:dyDescent="0.35">
      <c r="A480" s="1" t="str">
        <f t="shared" si="7"/>
        <v>15 Testo + EE2</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2540</v>
      </c>
      <c r="D480" s="1" t="s">
        <v>2541</v>
      </c>
      <c r="E480" s="1" t="s">
        <v>2542</v>
      </c>
      <c r="F480" s="1" t="s">
        <v>112</v>
      </c>
      <c r="G480" s="1">
        <v>3703406</v>
      </c>
    </row>
    <row r="481" spans="1:9" x14ac:dyDescent="0.35">
      <c r="A481" s="1" t="str">
        <f t="shared" si="7"/>
        <v>15 Testo + EE2</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2543</v>
      </c>
      <c r="D481" s="1" t="s">
        <v>2544</v>
      </c>
      <c r="E481" s="1" t="s">
        <v>2545</v>
      </c>
      <c r="F481" s="1" t="s">
        <v>112</v>
      </c>
      <c r="G481" s="1">
        <v>3808722</v>
      </c>
    </row>
    <row r="482" spans="1:9" x14ac:dyDescent="0.35">
      <c r="A482" s="1" t="str">
        <f t="shared" si="7"/>
        <v>15 Testo + EE2</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2546</v>
      </c>
      <c r="D482" s="1" t="s">
        <v>2547</v>
      </c>
      <c r="E482" s="1" t="s">
        <v>2548</v>
      </c>
      <c r="F482" s="1" t="s">
        <v>112</v>
      </c>
      <c r="G482" s="1">
        <v>5776393</v>
      </c>
    </row>
    <row r="483" spans="1:9" x14ac:dyDescent="0.35">
      <c r="A483" s="1" t="str">
        <f t="shared" si="7"/>
        <v>15 Testo + EE2</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2549</v>
      </c>
      <c r="D483" s="1" t="s">
        <v>2550</v>
      </c>
      <c r="E483" s="1" t="s">
        <v>2551</v>
      </c>
      <c r="F483" s="1" t="s">
        <v>112</v>
      </c>
      <c r="G483" s="1">
        <v>4747632</v>
      </c>
    </row>
    <row r="484" spans="1:9" x14ac:dyDescent="0.35">
      <c r="A484" s="1" t="str">
        <f t="shared" si="7"/>
        <v>15 Testo + EE2</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2552</v>
      </c>
      <c r="D484" s="1" t="s">
        <v>2553</v>
      </c>
      <c r="E484" s="1" t="s">
        <v>2554</v>
      </c>
      <c r="F484" s="1" t="s">
        <v>112</v>
      </c>
      <c r="G484" s="1">
        <v>4862963</v>
      </c>
    </row>
    <row r="485" spans="1:9" x14ac:dyDescent="0.35">
      <c r="A485" s="1" t="str">
        <f t="shared" si="7"/>
        <v>15 Testo + EE2</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2555</v>
      </c>
      <c r="D485" s="1" t="s">
        <v>1883</v>
      </c>
      <c r="E485" s="1" t="s">
        <v>2556</v>
      </c>
      <c r="F485" s="1" t="s">
        <v>112</v>
      </c>
      <c r="G485" s="1">
        <v>2953497</v>
      </c>
    </row>
    <row r="486" spans="1:9" x14ac:dyDescent="0.35">
      <c r="A486" s="1" t="str">
        <f t="shared" si="7"/>
        <v>15 Testo + EE2</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2557</v>
      </c>
      <c r="D486" s="1" t="s">
        <v>2558</v>
      </c>
      <c r="E486" s="1" t="s">
        <v>2559</v>
      </c>
      <c r="F486" s="1" t="s">
        <v>112</v>
      </c>
      <c r="G486" s="1">
        <v>3155542</v>
      </c>
    </row>
    <row r="487" spans="1:9" x14ac:dyDescent="0.35">
      <c r="A487" s="1" t="str">
        <f t="shared" si="7"/>
        <v>15 Testo + EE2</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2560</v>
      </c>
      <c r="D487" s="1" t="s">
        <v>2561</v>
      </c>
      <c r="E487" s="1" t="s">
        <v>2562</v>
      </c>
      <c r="F487" s="1" t="s">
        <v>112</v>
      </c>
      <c r="G487" s="1">
        <v>2762029</v>
      </c>
    </row>
    <row r="488" spans="1:9" x14ac:dyDescent="0.3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9"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241</v>
      </c>
      <c r="D489" s="1" t="s">
        <v>112</v>
      </c>
      <c r="E489" s="1" t="s">
        <v>242</v>
      </c>
      <c r="F489" s="1" t="s">
        <v>243</v>
      </c>
      <c r="G489" s="1" t="s">
        <v>244</v>
      </c>
      <c r="H489" s="1" t="s">
        <v>245</v>
      </c>
      <c r="I489" s="1" t="s">
        <v>246</v>
      </c>
    </row>
    <row r="490" spans="1:9" x14ac:dyDescent="0.35">
      <c r="A490" s="1" t="str">
        <f t="shared" si="7"/>
        <v>15 Testo + EE2</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2563</v>
      </c>
      <c r="D490" s="1" t="s">
        <v>112</v>
      </c>
      <c r="E490" s="1" t="s">
        <v>2564</v>
      </c>
      <c r="F490" s="1" t="s">
        <v>2565</v>
      </c>
      <c r="G490" s="1" t="s">
        <v>2566</v>
      </c>
      <c r="H490" s="1" t="s">
        <v>2567</v>
      </c>
      <c r="I490" s="1">
        <v>24</v>
      </c>
    </row>
    <row r="491" spans="1:9" x14ac:dyDescent="0.3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9"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9"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9"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9"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9"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252</v>
      </c>
      <c r="D496" s="1" t="s">
        <v>110</v>
      </c>
      <c r="E496" s="1" t="s">
        <v>111</v>
      </c>
      <c r="F496" s="1" t="s">
        <v>112</v>
      </c>
      <c r="G496" s="1" t="s">
        <v>113</v>
      </c>
    </row>
    <row r="497" spans="1:7" x14ac:dyDescent="0.35">
      <c r="A497" s="1" t="str">
        <f t="shared" si="7"/>
        <v>16 Testo +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2568</v>
      </c>
      <c r="D497" s="1" t="s">
        <v>1521</v>
      </c>
      <c r="E497" s="1" t="s">
        <v>2569</v>
      </c>
      <c r="F497" s="1" t="s">
        <v>112</v>
      </c>
      <c r="G497" s="1">
        <v>297995</v>
      </c>
    </row>
    <row r="498" spans="1:7" x14ac:dyDescent="0.35">
      <c r="A498" s="1" t="str">
        <f t="shared" si="7"/>
        <v>16 Testo +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2570</v>
      </c>
      <c r="D498" s="1" t="s">
        <v>190</v>
      </c>
      <c r="E498" s="1" t="s">
        <v>2571</v>
      </c>
      <c r="F498" s="1" t="s">
        <v>112</v>
      </c>
      <c r="G498" s="1">
        <v>247359</v>
      </c>
    </row>
    <row r="499" spans="1:7" x14ac:dyDescent="0.35">
      <c r="A499" s="1" t="str">
        <f t="shared" si="7"/>
        <v>16 Testo +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2572</v>
      </c>
    </row>
    <row r="500" spans="1:7" x14ac:dyDescent="0.35">
      <c r="A500" s="1" t="str">
        <f t="shared" si="7"/>
        <v>16 Testo +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2573</v>
      </c>
      <c r="D500" s="1" t="s">
        <v>2574</v>
      </c>
      <c r="E500" s="1" t="s">
        <v>2575</v>
      </c>
      <c r="F500" s="1" t="s">
        <v>112</v>
      </c>
      <c r="G500" s="1">
        <v>1070312</v>
      </c>
    </row>
    <row r="501" spans="1:7" x14ac:dyDescent="0.35">
      <c r="A501" s="1" t="str">
        <f t="shared" si="7"/>
        <v>16 Testo +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2576</v>
      </c>
      <c r="D501" s="1" t="s">
        <v>2577</v>
      </c>
      <c r="E501" s="1" t="s">
        <v>2578</v>
      </c>
      <c r="F501" s="1" t="s">
        <v>112</v>
      </c>
      <c r="G501" s="1">
        <v>372640</v>
      </c>
    </row>
    <row r="502" spans="1:7" x14ac:dyDescent="0.35">
      <c r="A502" s="1" t="str">
        <f t="shared" si="7"/>
        <v>16 Testo +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2579</v>
      </c>
      <c r="D502" s="1" t="s">
        <v>2151</v>
      </c>
      <c r="E502" s="1" t="s">
        <v>2580</v>
      </c>
      <c r="F502" s="1" t="s">
        <v>112</v>
      </c>
      <c r="G502" s="1">
        <v>70232</v>
      </c>
    </row>
    <row r="503" spans="1:7" x14ac:dyDescent="0.35">
      <c r="A503" s="1" t="str">
        <f t="shared" si="7"/>
        <v>16 Testo +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2581</v>
      </c>
      <c r="D503" s="1" t="s">
        <v>2582</v>
      </c>
      <c r="E503" s="1" t="s">
        <v>2583</v>
      </c>
      <c r="F503" s="1" t="s">
        <v>112</v>
      </c>
      <c r="G503" s="1">
        <v>420399</v>
      </c>
    </row>
    <row r="504" spans="1:7" x14ac:dyDescent="0.35">
      <c r="A504" s="1" t="str">
        <f t="shared" si="7"/>
        <v>16 Testo +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2584</v>
      </c>
      <c r="D504" s="1" t="s">
        <v>748</v>
      </c>
      <c r="E504" s="1" t="s">
        <v>2585</v>
      </c>
      <c r="F504" s="1" t="s">
        <v>112</v>
      </c>
      <c r="G504" s="1">
        <v>306777</v>
      </c>
    </row>
    <row r="505" spans="1:7" x14ac:dyDescent="0.35">
      <c r="A505" s="1" t="str">
        <f t="shared" si="7"/>
        <v>16 Testo +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2586</v>
      </c>
      <c r="D505" s="1" t="s">
        <v>2587</v>
      </c>
      <c r="E505" s="1" t="s">
        <v>2588</v>
      </c>
      <c r="F505" s="1" t="s">
        <v>112</v>
      </c>
      <c r="G505" s="1">
        <v>151539</v>
      </c>
    </row>
    <row r="506" spans="1:7" x14ac:dyDescent="0.35">
      <c r="A506" s="1" t="str">
        <f t="shared" si="7"/>
        <v>16 Testo +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2589</v>
      </c>
      <c r="D506" s="1" t="s">
        <v>1485</v>
      </c>
      <c r="E506" s="1" t="s">
        <v>2590</v>
      </c>
      <c r="F506" s="1" t="s">
        <v>112</v>
      </c>
      <c r="G506" s="1">
        <v>35019</v>
      </c>
    </row>
    <row r="507" spans="1:7" x14ac:dyDescent="0.35">
      <c r="A507" s="1" t="str">
        <f t="shared" si="7"/>
        <v>16 Testo +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2591</v>
      </c>
      <c r="D507" s="1" t="s">
        <v>1421</v>
      </c>
      <c r="E507" s="1" t="s">
        <v>2592</v>
      </c>
      <c r="F507" s="1" t="s">
        <v>112</v>
      </c>
      <c r="G507" s="1">
        <v>176738</v>
      </c>
    </row>
    <row r="508" spans="1:7" x14ac:dyDescent="0.35">
      <c r="A508" s="1" t="str">
        <f t="shared" si="7"/>
        <v>16 Testo +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2593</v>
      </c>
      <c r="D508" s="1" t="s">
        <v>294</v>
      </c>
      <c r="E508" s="1" t="s">
        <v>2594</v>
      </c>
      <c r="F508" s="1" t="s">
        <v>112</v>
      </c>
      <c r="G508" s="1">
        <v>148662</v>
      </c>
    </row>
    <row r="509" spans="1:7" x14ac:dyDescent="0.35">
      <c r="A509" s="1" t="str">
        <f t="shared" si="7"/>
        <v>16 Testo +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2595</v>
      </c>
      <c r="D509" s="1" t="s">
        <v>2596</v>
      </c>
      <c r="E509" s="1" t="s">
        <v>2597</v>
      </c>
      <c r="F509" s="1" t="s">
        <v>112</v>
      </c>
      <c r="G509" s="1">
        <v>318327</v>
      </c>
    </row>
    <row r="510" spans="1:7" x14ac:dyDescent="0.35">
      <c r="A510" s="1" t="str">
        <f t="shared" si="7"/>
        <v>16 Testo +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2598</v>
      </c>
    </row>
    <row r="511" spans="1:7" x14ac:dyDescent="0.35">
      <c r="A511" s="1" t="str">
        <f t="shared" si="7"/>
        <v>16 Testo +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2599</v>
      </c>
      <c r="D511" s="1" t="s">
        <v>354</v>
      </c>
      <c r="E511" s="1" t="s">
        <v>2600</v>
      </c>
      <c r="F511" s="1" t="s">
        <v>112</v>
      </c>
      <c r="G511" s="1">
        <v>266675</v>
      </c>
    </row>
    <row r="512" spans="1:7" x14ac:dyDescent="0.35">
      <c r="A512" s="1" t="str">
        <f t="shared" si="7"/>
        <v>16 Testo +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2601</v>
      </c>
    </row>
    <row r="513" spans="1:9" x14ac:dyDescent="0.35">
      <c r="A513" s="1" t="str">
        <f t="shared" si="7"/>
        <v>16 Testo +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2602</v>
      </c>
      <c r="D513" s="1" t="s">
        <v>2175</v>
      </c>
      <c r="E513" s="1" t="s">
        <v>2603</v>
      </c>
      <c r="F513" s="1" t="s">
        <v>112</v>
      </c>
      <c r="G513" s="1">
        <v>24269</v>
      </c>
    </row>
    <row r="514" spans="1:9" x14ac:dyDescent="0.35">
      <c r="A514" s="1" t="str">
        <f t="shared" ref="A514:A577" si="8">IFERROR(LEFT(RIGHT(C514,LEN(C514)-SEARCH("@",C514)),SEARCH("/",RIGHT(C514,LEN(C514)-SEARCH("@",C514)-1))),"")</f>
        <v>16 Testo +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2604</v>
      </c>
      <c r="D514" s="1" t="s">
        <v>1527</v>
      </c>
      <c r="E514" s="1" t="s">
        <v>2605</v>
      </c>
      <c r="F514" s="1" t="s">
        <v>112</v>
      </c>
      <c r="G514" s="1">
        <v>81199</v>
      </c>
    </row>
    <row r="515" spans="1:9" x14ac:dyDescent="0.35">
      <c r="A515" s="1" t="str">
        <f t="shared" si="8"/>
        <v>16 Testo +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2606</v>
      </c>
    </row>
    <row r="516" spans="1:9" x14ac:dyDescent="0.35">
      <c r="A516" s="1" t="str">
        <f t="shared" si="8"/>
        <v>16 Testo +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2607</v>
      </c>
      <c r="D516" s="1" t="s">
        <v>726</v>
      </c>
      <c r="E516" s="1" t="s">
        <v>2608</v>
      </c>
      <c r="F516" s="1" t="s">
        <v>112</v>
      </c>
      <c r="G516" s="1">
        <v>18883</v>
      </c>
    </row>
    <row r="517" spans="1:9" x14ac:dyDescent="0.35">
      <c r="A517" s="1" t="str">
        <f t="shared" si="8"/>
        <v>16 Testo +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2609</v>
      </c>
      <c r="D517" s="1" t="s">
        <v>751</v>
      </c>
      <c r="E517" s="1" t="s">
        <v>2610</v>
      </c>
      <c r="F517" s="1" t="s">
        <v>112</v>
      </c>
      <c r="G517" s="1">
        <v>32834</v>
      </c>
    </row>
    <row r="518" spans="1:9" x14ac:dyDescent="0.35">
      <c r="A518" s="1" t="str">
        <f t="shared" si="8"/>
        <v>16 Testo +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2611</v>
      </c>
      <c r="D518" s="1" t="s">
        <v>2254</v>
      </c>
      <c r="E518" s="1" t="s">
        <v>2612</v>
      </c>
      <c r="F518" s="1" t="s">
        <v>112</v>
      </c>
      <c r="G518" s="1">
        <v>266588</v>
      </c>
    </row>
    <row r="519" spans="1:9" x14ac:dyDescent="0.35">
      <c r="A519" s="1" t="str">
        <f t="shared" si="8"/>
        <v>16 Testo +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2613</v>
      </c>
      <c r="D519" s="1" t="s">
        <v>1750</v>
      </c>
      <c r="E519" s="1" t="s">
        <v>2614</v>
      </c>
      <c r="F519" s="1" t="s">
        <v>112</v>
      </c>
      <c r="G519" s="1">
        <v>202845</v>
      </c>
    </row>
    <row r="520" spans="1:9" x14ac:dyDescent="0.35">
      <c r="A520" s="1" t="str">
        <f t="shared" si="8"/>
        <v>16 Testo +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2615</v>
      </c>
    </row>
    <row r="521" spans="1:9" x14ac:dyDescent="0.3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9"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241</v>
      </c>
      <c r="D522" s="1" t="s">
        <v>112</v>
      </c>
      <c r="E522" s="1" t="s">
        <v>242</v>
      </c>
      <c r="F522" s="1" t="s">
        <v>243</v>
      </c>
      <c r="G522" s="1" t="s">
        <v>244</v>
      </c>
      <c r="H522" s="1" t="s">
        <v>245</v>
      </c>
      <c r="I522" s="1" t="s">
        <v>246</v>
      </c>
    </row>
    <row r="523" spans="1:9" x14ac:dyDescent="0.35">
      <c r="A523" s="1" t="str">
        <f t="shared" si="8"/>
        <v>16 Testo +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2616</v>
      </c>
      <c r="D523" s="1" t="s">
        <v>112</v>
      </c>
      <c r="E523" s="1" t="s">
        <v>2617</v>
      </c>
      <c r="F523" s="1" t="s">
        <v>2618</v>
      </c>
      <c r="G523" s="1" t="s">
        <v>2619</v>
      </c>
      <c r="H523" s="1" t="s">
        <v>2620</v>
      </c>
      <c r="I523" s="1">
        <v>24</v>
      </c>
    </row>
    <row r="524" spans="1:9" x14ac:dyDescent="0.3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9"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9"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9"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9"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252</v>
      </c>
      <c r="D529" s="1" t="s">
        <v>110</v>
      </c>
      <c r="E529" s="1" t="s">
        <v>111</v>
      </c>
      <c r="F529" s="1" t="s">
        <v>112</v>
      </c>
      <c r="G529" s="1" t="s">
        <v>113</v>
      </c>
    </row>
    <row r="530" spans="1:7" x14ac:dyDescent="0.35">
      <c r="A530" s="1" t="str">
        <f t="shared" si="8"/>
        <v>17 Testo + Pro 12</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2621</v>
      </c>
      <c r="D530" s="1" t="s">
        <v>2622</v>
      </c>
      <c r="E530" s="1" t="s">
        <v>2623</v>
      </c>
      <c r="F530" s="1" t="s">
        <v>112</v>
      </c>
      <c r="G530" s="1">
        <v>556797</v>
      </c>
    </row>
    <row r="531" spans="1:7" x14ac:dyDescent="0.35">
      <c r="A531" s="1" t="str">
        <f t="shared" si="8"/>
        <v>17 Testo + Pro 12</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2624</v>
      </c>
      <c r="D531" s="1" t="s">
        <v>897</v>
      </c>
      <c r="E531" s="1" t="s">
        <v>2625</v>
      </c>
      <c r="F531" s="1" t="s">
        <v>112</v>
      </c>
      <c r="G531" s="1">
        <v>594584</v>
      </c>
    </row>
    <row r="532" spans="1:7" x14ac:dyDescent="0.35">
      <c r="A532" s="1" t="str">
        <f t="shared" si="8"/>
        <v>17 Testo + Pro 12</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2626</v>
      </c>
      <c r="D532" s="1" t="s">
        <v>970</v>
      </c>
      <c r="E532" s="1" t="s">
        <v>2627</v>
      </c>
      <c r="F532" s="1" t="s">
        <v>112</v>
      </c>
      <c r="G532" s="1">
        <v>561685</v>
      </c>
    </row>
    <row r="533" spans="1:7" x14ac:dyDescent="0.35">
      <c r="A533" s="1" t="str">
        <f t="shared" si="8"/>
        <v>17 Testo + Pro 12</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2628</v>
      </c>
    </row>
    <row r="534" spans="1:7" x14ac:dyDescent="0.35">
      <c r="A534" s="1" t="str">
        <f t="shared" si="8"/>
        <v>17 Testo + Pro 12</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2629</v>
      </c>
    </row>
    <row r="535" spans="1:7" x14ac:dyDescent="0.35">
      <c r="A535" s="1" t="str">
        <f t="shared" si="8"/>
        <v>17 Testo + Pro 12</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2630</v>
      </c>
    </row>
    <row r="536" spans="1:7" x14ac:dyDescent="0.35">
      <c r="A536" s="1" t="str">
        <f t="shared" si="8"/>
        <v>17 Testo + Pro 12</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2631</v>
      </c>
      <c r="D536" s="1" t="s">
        <v>2632</v>
      </c>
      <c r="E536" s="1" t="s">
        <v>2633</v>
      </c>
      <c r="F536" s="1" t="s">
        <v>112</v>
      </c>
      <c r="G536" s="1">
        <v>541223</v>
      </c>
    </row>
    <row r="537" spans="1:7" x14ac:dyDescent="0.35">
      <c r="A537" s="1" t="str">
        <f t="shared" si="8"/>
        <v>17 Testo + Pro 12</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2634</v>
      </c>
      <c r="D537" s="1" t="s">
        <v>2635</v>
      </c>
      <c r="E537" s="1" t="s">
        <v>2636</v>
      </c>
      <c r="F537" s="1" t="s">
        <v>112</v>
      </c>
      <c r="G537" s="1">
        <v>771755</v>
      </c>
    </row>
    <row r="538" spans="1:7" x14ac:dyDescent="0.35">
      <c r="A538" s="1" t="str">
        <f t="shared" si="8"/>
        <v>17 Testo + Pro 12</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2637</v>
      </c>
      <c r="D538" s="1" t="s">
        <v>2638</v>
      </c>
      <c r="E538" s="1" t="s">
        <v>2639</v>
      </c>
      <c r="F538" s="1" t="s">
        <v>112</v>
      </c>
      <c r="G538" s="1">
        <v>199146</v>
      </c>
    </row>
    <row r="539" spans="1:7" x14ac:dyDescent="0.35">
      <c r="A539" s="1" t="str">
        <f t="shared" si="8"/>
        <v>17 Testo + Pro 12</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2640</v>
      </c>
      <c r="D539" s="1" t="s">
        <v>2641</v>
      </c>
      <c r="E539" s="1" t="s">
        <v>2642</v>
      </c>
      <c r="F539" s="1" t="s">
        <v>112</v>
      </c>
      <c r="G539" s="1">
        <v>2594376</v>
      </c>
    </row>
    <row r="540" spans="1:7" x14ac:dyDescent="0.35">
      <c r="A540" s="1" t="str">
        <f t="shared" si="8"/>
        <v>17 Testo + Pro 12</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2643</v>
      </c>
      <c r="D540" s="1" t="s">
        <v>2644</v>
      </c>
      <c r="E540" s="1" t="s">
        <v>2645</v>
      </c>
      <c r="F540" s="1" t="s">
        <v>112</v>
      </c>
      <c r="G540" s="1">
        <v>1866292</v>
      </c>
    </row>
    <row r="541" spans="1:7" x14ac:dyDescent="0.35">
      <c r="A541" s="1" t="str">
        <f t="shared" si="8"/>
        <v>17 Testo + Pro 12</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2646</v>
      </c>
      <c r="D541" s="1" t="s">
        <v>2647</v>
      </c>
      <c r="E541" s="1" t="s">
        <v>2648</v>
      </c>
      <c r="F541" s="1" t="s">
        <v>112</v>
      </c>
      <c r="G541" s="1">
        <v>2257123</v>
      </c>
    </row>
    <row r="542" spans="1:7" x14ac:dyDescent="0.35">
      <c r="A542" s="1" t="str">
        <f t="shared" si="8"/>
        <v>17 Testo + Pro 12</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2649</v>
      </c>
      <c r="D542" s="1" t="s">
        <v>2650</v>
      </c>
      <c r="E542" s="1" t="s">
        <v>2651</v>
      </c>
      <c r="F542" s="1" t="s">
        <v>112</v>
      </c>
      <c r="G542" s="1">
        <v>1162953</v>
      </c>
    </row>
    <row r="543" spans="1:7" x14ac:dyDescent="0.35">
      <c r="A543" s="1" t="str">
        <f t="shared" si="8"/>
        <v>17 Testo + Pro 12</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2652</v>
      </c>
      <c r="D543" s="1" t="s">
        <v>2653</v>
      </c>
      <c r="E543" s="1" t="s">
        <v>2654</v>
      </c>
      <c r="F543" s="1" t="s">
        <v>112</v>
      </c>
      <c r="G543" s="1">
        <v>1271535</v>
      </c>
    </row>
    <row r="544" spans="1:7" x14ac:dyDescent="0.35">
      <c r="A544" s="1" t="str">
        <f t="shared" si="8"/>
        <v>17 Testo + Pro 12</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2655</v>
      </c>
    </row>
    <row r="545" spans="1:9" x14ac:dyDescent="0.35">
      <c r="A545" s="1" t="str">
        <f t="shared" si="8"/>
        <v>17 Testo + Pro 12</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2656</v>
      </c>
      <c r="D545" s="1" t="s">
        <v>2657</v>
      </c>
      <c r="E545" s="1" t="s">
        <v>2658</v>
      </c>
      <c r="F545" s="1" t="s">
        <v>112</v>
      </c>
      <c r="G545" s="1">
        <v>1628407</v>
      </c>
    </row>
    <row r="546" spans="1:9" x14ac:dyDescent="0.35">
      <c r="A546" s="1" t="str">
        <f t="shared" si="8"/>
        <v>17 Testo + Pro 12</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2659</v>
      </c>
      <c r="D546" s="1" t="s">
        <v>2660</v>
      </c>
      <c r="E546" s="1" t="s">
        <v>2661</v>
      </c>
      <c r="F546" s="1" t="s">
        <v>112</v>
      </c>
      <c r="G546" s="1">
        <v>1088438</v>
      </c>
    </row>
    <row r="547" spans="1:9" x14ac:dyDescent="0.35">
      <c r="A547" s="1" t="str">
        <f t="shared" si="8"/>
        <v>17 Testo + Pro 12</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2662</v>
      </c>
      <c r="D547" s="1" t="s">
        <v>1151</v>
      </c>
      <c r="E547" s="1" t="s">
        <v>2663</v>
      </c>
      <c r="F547" s="1" t="s">
        <v>112</v>
      </c>
      <c r="G547" s="1">
        <v>1515953</v>
      </c>
    </row>
    <row r="548" spans="1:9" x14ac:dyDescent="0.35">
      <c r="A548" s="1" t="str">
        <f t="shared" si="8"/>
        <v>17 Testo + Pro 12</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2664</v>
      </c>
      <c r="D548" s="1" t="s">
        <v>2665</v>
      </c>
      <c r="E548" s="1" t="s">
        <v>2666</v>
      </c>
      <c r="F548" s="1" t="s">
        <v>112</v>
      </c>
      <c r="G548" s="1">
        <v>2631017</v>
      </c>
    </row>
    <row r="549" spans="1:9" x14ac:dyDescent="0.35">
      <c r="A549" s="1" t="str">
        <f t="shared" si="8"/>
        <v>17 Testo + Pro 12</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2667</v>
      </c>
      <c r="D549" s="1" t="s">
        <v>2668</v>
      </c>
      <c r="E549" s="1" t="s">
        <v>2669</v>
      </c>
      <c r="F549" s="1" t="s">
        <v>112</v>
      </c>
      <c r="G549" s="1">
        <v>2477986</v>
      </c>
    </row>
    <row r="550" spans="1:9" x14ac:dyDescent="0.35">
      <c r="A550" s="1" t="str">
        <f t="shared" si="8"/>
        <v>17 Testo + Pro 12</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2670</v>
      </c>
      <c r="D550" s="1" t="s">
        <v>2671</v>
      </c>
      <c r="E550" s="1" t="s">
        <v>2672</v>
      </c>
      <c r="F550" s="1" t="s">
        <v>112</v>
      </c>
      <c r="G550" s="1">
        <v>1665156</v>
      </c>
    </row>
    <row r="551" spans="1:9" x14ac:dyDescent="0.35">
      <c r="A551" s="1" t="str">
        <f t="shared" si="8"/>
        <v>17 Testo + Pro 12</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2673</v>
      </c>
      <c r="D551" s="1" t="s">
        <v>2674</v>
      </c>
      <c r="E551" s="1" t="s">
        <v>2675</v>
      </c>
      <c r="F551" s="1" t="s">
        <v>112</v>
      </c>
      <c r="G551" s="1">
        <v>2489298</v>
      </c>
    </row>
    <row r="552" spans="1:9" x14ac:dyDescent="0.35">
      <c r="A552" s="1" t="str">
        <f t="shared" si="8"/>
        <v>17 Testo + Pro 12</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2676</v>
      </c>
      <c r="D552" s="1" t="s">
        <v>2677</v>
      </c>
      <c r="E552" s="1" t="s">
        <v>2678</v>
      </c>
      <c r="F552" s="1" t="s">
        <v>112</v>
      </c>
      <c r="G552" s="1">
        <v>1962632</v>
      </c>
    </row>
    <row r="553" spans="1:9" x14ac:dyDescent="0.35">
      <c r="A553" s="1" t="str">
        <f t="shared" si="8"/>
        <v>17 Testo + Pro 12</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2679</v>
      </c>
      <c r="D553" s="1" t="s">
        <v>2680</v>
      </c>
      <c r="E553" s="1" t="s">
        <v>2681</v>
      </c>
      <c r="F553" s="1" t="s">
        <v>112</v>
      </c>
      <c r="G553" s="1">
        <v>2030917</v>
      </c>
    </row>
    <row r="554" spans="1:9" x14ac:dyDescent="0.3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9"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241</v>
      </c>
      <c r="D555" s="1" t="s">
        <v>112</v>
      </c>
      <c r="E555" s="1" t="s">
        <v>242</v>
      </c>
      <c r="F555" s="1" t="s">
        <v>243</v>
      </c>
      <c r="G555" s="1" t="s">
        <v>244</v>
      </c>
      <c r="H555" s="1" t="s">
        <v>245</v>
      </c>
      <c r="I555" s="1" t="s">
        <v>246</v>
      </c>
    </row>
    <row r="556" spans="1:9" x14ac:dyDescent="0.35">
      <c r="A556" s="1" t="str">
        <f t="shared" si="8"/>
        <v>17 Testo + Pro 12</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2682</v>
      </c>
      <c r="D556" s="1" t="s">
        <v>112</v>
      </c>
      <c r="E556" s="1" t="s">
        <v>2683</v>
      </c>
      <c r="F556" s="1" t="s">
        <v>2684</v>
      </c>
      <c r="G556" s="1" t="s">
        <v>2685</v>
      </c>
      <c r="H556" s="1" t="s">
        <v>2686</v>
      </c>
      <c r="I556" s="1">
        <v>24</v>
      </c>
    </row>
    <row r="557" spans="1:9" x14ac:dyDescent="0.3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9"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9"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9"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252</v>
      </c>
      <c r="D562" s="1" t="s">
        <v>110</v>
      </c>
      <c r="E562" s="1" t="s">
        <v>111</v>
      </c>
      <c r="F562" s="1" t="s">
        <v>112</v>
      </c>
      <c r="G562" s="1" t="s">
        <v>113</v>
      </c>
    </row>
    <row r="563" spans="1:7" x14ac:dyDescent="0.35">
      <c r="A563" s="1" t="str">
        <f t="shared" si="8"/>
        <v>18  Testo + Pro 37</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2687</v>
      </c>
      <c r="D563" s="1" t="s">
        <v>2688</v>
      </c>
      <c r="E563" s="1" t="s">
        <v>2689</v>
      </c>
      <c r="F563" s="1" t="s">
        <v>112</v>
      </c>
      <c r="G563" s="1">
        <v>2416513</v>
      </c>
    </row>
    <row r="564" spans="1:7" x14ac:dyDescent="0.35">
      <c r="A564" s="1" t="str">
        <f t="shared" si="8"/>
        <v>18  Testo + Pro 37</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2690</v>
      </c>
      <c r="D564" s="1" t="s">
        <v>2691</v>
      </c>
      <c r="E564" s="1" t="s">
        <v>2692</v>
      </c>
      <c r="F564" s="1" t="s">
        <v>112</v>
      </c>
      <c r="G564" s="1">
        <v>2627664</v>
      </c>
    </row>
    <row r="565" spans="1:7" x14ac:dyDescent="0.35">
      <c r="A565" s="1" t="str">
        <f t="shared" si="8"/>
        <v>18  Testo + Pro 37</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2693</v>
      </c>
      <c r="D565" s="1" t="s">
        <v>2694</v>
      </c>
      <c r="E565" s="1" t="s">
        <v>2695</v>
      </c>
      <c r="F565" s="1" t="s">
        <v>112</v>
      </c>
      <c r="G565" s="1">
        <v>2579776</v>
      </c>
    </row>
    <row r="566" spans="1:7" x14ac:dyDescent="0.35">
      <c r="A566" s="1" t="str">
        <f t="shared" si="8"/>
        <v>18  Testo + Pro 37</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2696</v>
      </c>
      <c r="D566" s="1" t="s">
        <v>2697</v>
      </c>
      <c r="E566" s="1" t="s">
        <v>2698</v>
      </c>
      <c r="F566" s="1" t="s">
        <v>112</v>
      </c>
      <c r="G566" s="1">
        <v>1519435</v>
      </c>
    </row>
    <row r="567" spans="1:7" x14ac:dyDescent="0.35">
      <c r="A567" s="1" t="str">
        <f t="shared" si="8"/>
        <v>18  Testo + Pro 37</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2699</v>
      </c>
      <c r="D567" s="1" t="s">
        <v>2700</v>
      </c>
      <c r="E567" s="1" t="s">
        <v>2701</v>
      </c>
      <c r="F567" s="1" t="s">
        <v>112</v>
      </c>
      <c r="G567" s="1">
        <v>1307743</v>
      </c>
    </row>
    <row r="568" spans="1:7" x14ac:dyDescent="0.35">
      <c r="A568" s="1" t="str">
        <f t="shared" si="8"/>
        <v>18  Testo + Pro 37</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2702</v>
      </c>
      <c r="D568" s="1" t="s">
        <v>2703</v>
      </c>
      <c r="E568" s="1" t="s">
        <v>2704</v>
      </c>
      <c r="F568" s="1" t="s">
        <v>112</v>
      </c>
      <c r="G568" s="1">
        <v>1562522</v>
      </c>
    </row>
    <row r="569" spans="1:7" x14ac:dyDescent="0.35">
      <c r="A569" s="1" t="str">
        <f t="shared" si="8"/>
        <v>18  Testo + Pro 37</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2705</v>
      </c>
      <c r="D569" s="1" t="s">
        <v>2706</v>
      </c>
      <c r="E569" s="1" t="s">
        <v>2707</v>
      </c>
      <c r="F569" s="1" t="s">
        <v>112</v>
      </c>
      <c r="G569" s="1">
        <v>3826631</v>
      </c>
    </row>
    <row r="570" spans="1:7" x14ac:dyDescent="0.35">
      <c r="A570" s="1" t="str">
        <f t="shared" si="8"/>
        <v>18  Testo + Pro 37</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2708</v>
      </c>
      <c r="D570" s="1" t="s">
        <v>2709</v>
      </c>
      <c r="E570" s="1" t="s">
        <v>2710</v>
      </c>
      <c r="F570" s="1" t="s">
        <v>112</v>
      </c>
      <c r="G570" s="1">
        <v>3376838</v>
      </c>
    </row>
    <row r="571" spans="1:7" x14ac:dyDescent="0.35">
      <c r="A571" s="1" t="str">
        <f t="shared" si="8"/>
        <v>18  Testo + Pro 37</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2711</v>
      </c>
      <c r="D571" s="1" t="s">
        <v>2374</v>
      </c>
      <c r="E571" s="1" t="s">
        <v>2712</v>
      </c>
      <c r="F571" s="1" t="s">
        <v>112</v>
      </c>
      <c r="G571" s="1">
        <v>3309331</v>
      </c>
    </row>
    <row r="572" spans="1:7" x14ac:dyDescent="0.35">
      <c r="A572" s="1" t="str">
        <f t="shared" si="8"/>
        <v>18  Testo + Pro 37</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2713</v>
      </c>
      <c r="D572" s="1" t="s">
        <v>2714</v>
      </c>
      <c r="E572" s="1" t="s">
        <v>2715</v>
      </c>
      <c r="F572" s="1" t="s">
        <v>112</v>
      </c>
      <c r="G572" s="1">
        <v>2657362</v>
      </c>
    </row>
    <row r="573" spans="1:7" x14ac:dyDescent="0.35">
      <c r="A573" s="1" t="str">
        <f t="shared" si="8"/>
        <v>18  Testo + Pro 37</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2716</v>
      </c>
      <c r="D573" s="1" t="s">
        <v>1282</v>
      </c>
      <c r="E573" s="1" t="s">
        <v>2717</v>
      </c>
      <c r="F573" s="1" t="s">
        <v>112</v>
      </c>
      <c r="G573" s="1">
        <v>2458648</v>
      </c>
    </row>
    <row r="574" spans="1:7" x14ac:dyDescent="0.35">
      <c r="A574" s="1" t="str">
        <f t="shared" si="8"/>
        <v>18  Testo + Pro 37</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2718</v>
      </c>
      <c r="D574" s="1" t="s">
        <v>2719</v>
      </c>
      <c r="E574" s="1" t="s">
        <v>2720</v>
      </c>
      <c r="F574" s="1" t="s">
        <v>112</v>
      </c>
      <c r="G574" s="1">
        <v>2812276</v>
      </c>
    </row>
    <row r="575" spans="1:7" x14ac:dyDescent="0.35">
      <c r="A575" s="1" t="str">
        <f t="shared" si="8"/>
        <v>18  Testo + Pro 37</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2721</v>
      </c>
      <c r="D575" s="1" t="s">
        <v>1400</v>
      </c>
      <c r="E575" s="1" t="s">
        <v>2722</v>
      </c>
      <c r="F575" s="1" t="s">
        <v>112</v>
      </c>
      <c r="G575" s="1">
        <v>3979684</v>
      </c>
    </row>
    <row r="576" spans="1:7" x14ac:dyDescent="0.35">
      <c r="A576" s="1" t="str">
        <f t="shared" si="8"/>
        <v>18  Testo + Pro 37</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2723</v>
      </c>
    </row>
    <row r="577" spans="1:9" x14ac:dyDescent="0.35">
      <c r="A577" s="1" t="str">
        <f t="shared" si="8"/>
        <v>18  Testo + Pro 37</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2724</v>
      </c>
      <c r="D577" s="1" t="s">
        <v>2725</v>
      </c>
      <c r="E577" s="1" t="s">
        <v>2726</v>
      </c>
      <c r="F577" s="1" t="s">
        <v>112</v>
      </c>
      <c r="G577" s="1">
        <v>3304745</v>
      </c>
    </row>
    <row r="578" spans="1:9" x14ac:dyDescent="0.35">
      <c r="A578" s="1" t="str">
        <f t="shared" ref="A578:A641" si="9">IFERROR(LEFT(RIGHT(C578,LEN(C578)-SEARCH("@",C578)),SEARCH("/",RIGHT(C578,LEN(C578)-SEARCH("@",C578)-1))),"")</f>
        <v>18  Testo + Pro 37</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2727</v>
      </c>
      <c r="D578" s="1" t="s">
        <v>2728</v>
      </c>
      <c r="E578" s="1" t="s">
        <v>2729</v>
      </c>
      <c r="F578" s="1" t="s">
        <v>112</v>
      </c>
      <c r="G578" s="1">
        <v>5276483</v>
      </c>
    </row>
    <row r="579" spans="1:9" x14ac:dyDescent="0.35">
      <c r="A579" s="1" t="str">
        <f t="shared" si="9"/>
        <v>18  Testo + Pro 37</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2730</v>
      </c>
      <c r="D579" s="1" t="s">
        <v>2731</v>
      </c>
      <c r="E579" s="1" t="s">
        <v>2732</v>
      </c>
      <c r="F579" s="1" t="s">
        <v>112</v>
      </c>
      <c r="G579" s="1">
        <v>4845161</v>
      </c>
    </row>
    <row r="580" spans="1:9" x14ac:dyDescent="0.35">
      <c r="A580" s="1" t="str">
        <f t="shared" si="9"/>
        <v>18  Testo + Pro 37</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2733</v>
      </c>
      <c r="D580" s="1" t="s">
        <v>2734</v>
      </c>
      <c r="E580" s="1" t="s">
        <v>2735</v>
      </c>
      <c r="F580" s="1" t="s">
        <v>112</v>
      </c>
      <c r="G580" s="1">
        <v>4702664</v>
      </c>
    </row>
    <row r="581" spans="1:9" x14ac:dyDescent="0.35">
      <c r="A581" s="1" t="str">
        <f t="shared" si="9"/>
        <v>18  Testo + Pro 37</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2736</v>
      </c>
      <c r="D581" s="1" t="s">
        <v>2737</v>
      </c>
      <c r="E581" s="1" t="s">
        <v>2738</v>
      </c>
      <c r="F581" s="1" t="s">
        <v>112</v>
      </c>
      <c r="G581" s="1">
        <v>2187496</v>
      </c>
    </row>
    <row r="582" spans="1:9" x14ac:dyDescent="0.35">
      <c r="A582" s="1" t="str">
        <f t="shared" si="9"/>
        <v>18  Testo + Pro 37</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2739</v>
      </c>
      <c r="D582" s="1" t="s">
        <v>2740</v>
      </c>
      <c r="E582" s="1" t="s">
        <v>2741</v>
      </c>
      <c r="F582" s="1" t="s">
        <v>112</v>
      </c>
      <c r="G582" s="1">
        <v>2271853</v>
      </c>
    </row>
    <row r="583" spans="1:9" x14ac:dyDescent="0.35">
      <c r="A583" s="1" t="str">
        <f t="shared" si="9"/>
        <v>18  Testo + Pro 37</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2742</v>
      </c>
      <c r="D583" s="1" t="s">
        <v>2743</v>
      </c>
      <c r="E583" s="1" t="s">
        <v>2744</v>
      </c>
      <c r="F583" s="1" t="s">
        <v>112</v>
      </c>
      <c r="G583" s="1">
        <v>1799867</v>
      </c>
    </row>
    <row r="584" spans="1:9" x14ac:dyDescent="0.35">
      <c r="A584" s="1" t="str">
        <f t="shared" si="9"/>
        <v>18  Testo + Pro 37</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2745</v>
      </c>
      <c r="D584" s="1" t="s">
        <v>1444</v>
      </c>
      <c r="E584" s="1" t="s">
        <v>2746</v>
      </c>
      <c r="F584" s="1" t="s">
        <v>112</v>
      </c>
      <c r="G584" s="1">
        <v>116066</v>
      </c>
    </row>
    <row r="585" spans="1:9" x14ac:dyDescent="0.35">
      <c r="A585" s="1" t="str">
        <f t="shared" si="9"/>
        <v>18  Testo + Pro 37</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2747</v>
      </c>
      <c r="D585" s="1" t="s">
        <v>239</v>
      </c>
      <c r="E585" s="1" t="s">
        <v>2748</v>
      </c>
      <c r="F585" s="1" t="s">
        <v>112</v>
      </c>
      <c r="G585" s="1">
        <v>201893</v>
      </c>
    </row>
    <row r="586" spans="1:9" x14ac:dyDescent="0.35">
      <c r="A586" s="1" t="str">
        <f t="shared" si="9"/>
        <v>18  Testo + Pro 37</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2749</v>
      </c>
      <c r="D586" s="1" t="s">
        <v>2587</v>
      </c>
      <c r="E586" s="1" t="s">
        <v>2750</v>
      </c>
      <c r="F586" s="1" t="s">
        <v>112</v>
      </c>
      <c r="G586" s="1">
        <v>147105</v>
      </c>
    </row>
    <row r="587" spans="1:9" x14ac:dyDescent="0.3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9"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241</v>
      </c>
      <c r="D588" s="1" t="s">
        <v>112</v>
      </c>
      <c r="E588" s="1" t="s">
        <v>242</v>
      </c>
      <c r="F588" s="1" t="s">
        <v>243</v>
      </c>
      <c r="G588" s="1" t="s">
        <v>244</v>
      </c>
      <c r="H588" s="1" t="s">
        <v>245</v>
      </c>
      <c r="I588" s="1" t="s">
        <v>246</v>
      </c>
    </row>
    <row r="589" spans="1:9" x14ac:dyDescent="0.35">
      <c r="A589" s="1" t="str">
        <f t="shared" si="9"/>
        <v>18  Testo + Pro 37</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2751</v>
      </c>
      <c r="D589" s="1" t="s">
        <v>112</v>
      </c>
      <c r="E589" s="1" t="s">
        <v>2752</v>
      </c>
      <c r="F589" s="1" t="s">
        <v>2753</v>
      </c>
      <c r="G589" s="1" t="s">
        <v>2754</v>
      </c>
      <c r="H589" s="1" t="s">
        <v>2755</v>
      </c>
      <c r="I589" s="1">
        <v>24</v>
      </c>
    </row>
    <row r="590" spans="1:9" x14ac:dyDescent="0.3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9"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9"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252</v>
      </c>
      <c r="D595" s="1" t="s">
        <v>110</v>
      </c>
      <c r="E595" s="1" t="s">
        <v>111</v>
      </c>
      <c r="F595" s="1" t="s">
        <v>112</v>
      </c>
      <c r="G595" s="1" t="s">
        <v>113</v>
      </c>
    </row>
    <row r="596" spans="1:7" x14ac:dyDescent="0.35">
      <c r="A596" s="1" t="str">
        <f t="shared" si="9"/>
        <v>19 Testo + Pro 111</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2756</v>
      </c>
      <c r="D596" s="1" t="s">
        <v>2757</v>
      </c>
      <c r="E596" s="1" t="s">
        <v>2758</v>
      </c>
      <c r="F596" s="1" t="s">
        <v>112</v>
      </c>
      <c r="G596" s="1">
        <v>2241809</v>
      </c>
    </row>
    <row r="597" spans="1:7" x14ac:dyDescent="0.35">
      <c r="A597" s="1" t="str">
        <f t="shared" si="9"/>
        <v>19 Testo + Pro 111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2759</v>
      </c>
      <c r="D597" s="1" t="s">
        <v>2760</v>
      </c>
      <c r="E597" s="1" t="s">
        <v>2761</v>
      </c>
      <c r="F597" s="1" t="s">
        <v>112</v>
      </c>
      <c r="G597" s="1">
        <v>1467329</v>
      </c>
    </row>
    <row r="598" spans="1:7" x14ac:dyDescent="0.35">
      <c r="A598" s="1" t="str">
        <f t="shared" si="9"/>
        <v>19 Testo + Pro 111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2762</v>
      </c>
    </row>
    <row r="599" spans="1:7" x14ac:dyDescent="0.35">
      <c r="A599" s="1" t="str">
        <f t="shared" si="9"/>
        <v>19 Testo + Pro 111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2763</v>
      </c>
      <c r="D599" s="1" t="s">
        <v>2764</v>
      </c>
      <c r="E599" s="1" t="s">
        <v>2765</v>
      </c>
      <c r="F599" s="1" t="s">
        <v>112</v>
      </c>
      <c r="G599" s="1">
        <v>1923373</v>
      </c>
    </row>
    <row r="600" spans="1:7" x14ac:dyDescent="0.35">
      <c r="A600" s="1" t="str">
        <f t="shared" si="9"/>
        <v>19 Testo + Pro 111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2766</v>
      </c>
      <c r="D600" s="1" t="s">
        <v>2767</v>
      </c>
      <c r="E600" s="1" t="s">
        <v>2768</v>
      </c>
      <c r="F600" s="1" t="s">
        <v>112</v>
      </c>
      <c r="G600" s="1">
        <v>1655877</v>
      </c>
    </row>
    <row r="601" spans="1:7" x14ac:dyDescent="0.35">
      <c r="A601" s="1" t="str">
        <f t="shared" si="9"/>
        <v>19 Testo + Pro 111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2769</v>
      </c>
      <c r="D601" s="1" t="s">
        <v>2770</v>
      </c>
      <c r="E601" s="1" t="s">
        <v>2771</v>
      </c>
      <c r="F601" s="1" t="s">
        <v>112</v>
      </c>
      <c r="G601" s="1">
        <v>1679215</v>
      </c>
    </row>
    <row r="602" spans="1:7" x14ac:dyDescent="0.35">
      <c r="A602" s="1" t="str">
        <f t="shared" si="9"/>
        <v>19 Testo + Pro 111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2772</v>
      </c>
      <c r="D602" s="1" t="s">
        <v>2773</v>
      </c>
      <c r="E602" s="1" t="s">
        <v>2774</v>
      </c>
      <c r="F602" s="1" t="s">
        <v>112</v>
      </c>
      <c r="G602" s="1">
        <v>928031</v>
      </c>
    </row>
    <row r="603" spans="1:7" x14ac:dyDescent="0.35">
      <c r="A603" s="1" t="str">
        <f t="shared" si="9"/>
        <v>19 Testo + Pro 111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2775</v>
      </c>
      <c r="D603" s="1" t="s">
        <v>2776</v>
      </c>
      <c r="E603" s="1" t="s">
        <v>2777</v>
      </c>
      <c r="F603" s="1" t="s">
        <v>112</v>
      </c>
      <c r="G603" s="1">
        <v>986107</v>
      </c>
    </row>
    <row r="604" spans="1:7" x14ac:dyDescent="0.35">
      <c r="A604" s="1" t="str">
        <f t="shared" si="9"/>
        <v>19 Testo + Pro 111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2778</v>
      </c>
      <c r="D604" s="1" t="s">
        <v>2779</v>
      </c>
      <c r="E604" s="1" t="s">
        <v>2780</v>
      </c>
      <c r="F604" s="1" t="s">
        <v>112</v>
      </c>
      <c r="G604" s="1">
        <v>1055820</v>
      </c>
    </row>
    <row r="605" spans="1:7" x14ac:dyDescent="0.35">
      <c r="A605" s="1" t="str">
        <f t="shared" si="9"/>
        <v>19 Testo + Pro 111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2781</v>
      </c>
      <c r="D605" s="1" t="s">
        <v>1039</v>
      </c>
      <c r="E605" s="1" t="s">
        <v>2782</v>
      </c>
      <c r="F605" s="1" t="s">
        <v>112</v>
      </c>
      <c r="G605" s="1">
        <v>4000298</v>
      </c>
    </row>
    <row r="606" spans="1:7" x14ac:dyDescent="0.35">
      <c r="A606" s="1" t="str">
        <f t="shared" si="9"/>
        <v>19 Testo + Pro 111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2783</v>
      </c>
      <c r="D606" s="1" t="s">
        <v>2784</v>
      </c>
      <c r="E606" s="1" t="s">
        <v>2785</v>
      </c>
      <c r="F606" s="1" t="s">
        <v>112</v>
      </c>
      <c r="G606" s="1">
        <v>4327233</v>
      </c>
    </row>
    <row r="607" spans="1:7" x14ac:dyDescent="0.35">
      <c r="A607" s="1" t="str">
        <f t="shared" si="9"/>
        <v>19 Testo + Pro 111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2786</v>
      </c>
      <c r="D607" s="1" t="s">
        <v>2787</v>
      </c>
      <c r="E607" s="1" t="s">
        <v>2788</v>
      </c>
      <c r="F607" s="1" t="s">
        <v>112</v>
      </c>
      <c r="G607" s="1">
        <v>3553792</v>
      </c>
    </row>
    <row r="608" spans="1:7" x14ac:dyDescent="0.35">
      <c r="A608" s="1" t="str">
        <f t="shared" si="9"/>
        <v>19 Testo + Pro 111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2789</v>
      </c>
      <c r="D608" s="1" t="s">
        <v>2472</v>
      </c>
      <c r="E608" s="1" t="s">
        <v>2790</v>
      </c>
      <c r="F608" s="1" t="s">
        <v>112</v>
      </c>
      <c r="G608" s="1">
        <v>2094098</v>
      </c>
    </row>
    <row r="609" spans="1:9" x14ac:dyDescent="0.35">
      <c r="A609" s="1" t="str">
        <f t="shared" si="9"/>
        <v>19 Testo + Pro 111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2791</v>
      </c>
      <c r="D609" s="1" t="s">
        <v>2792</v>
      </c>
      <c r="E609" s="1" t="s">
        <v>2793</v>
      </c>
      <c r="F609" s="1" t="s">
        <v>112</v>
      </c>
      <c r="G609" s="1">
        <v>1634052</v>
      </c>
    </row>
    <row r="610" spans="1:9" x14ac:dyDescent="0.35">
      <c r="A610" s="1" t="str">
        <f t="shared" si="9"/>
        <v>19 Testo + Pro 111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2794</v>
      </c>
      <c r="D610" s="1" t="s">
        <v>2795</v>
      </c>
      <c r="E610" s="1" t="s">
        <v>2796</v>
      </c>
      <c r="F610" s="1" t="s">
        <v>112</v>
      </c>
      <c r="G610" s="1">
        <v>1719577</v>
      </c>
    </row>
    <row r="611" spans="1:9" x14ac:dyDescent="0.35">
      <c r="A611" s="1" t="str">
        <f t="shared" si="9"/>
        <v>19 Testo + Pro 111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2797</v>
      </c>
      <c r="D611" s="1" t="s">
        <v>369</v>
      </c>
      <c r="E611" s="1" t="s">
        <v>2798</v>
      </c>
      <c r="F611" s="1" t="s">
        <v>112</v>
      </c>
      <c r="G611" s="1">
        <v>136550</v>
      </c>
    </row>
    <row r="612" spans="1:9" x14ac:dyDescent="0.35">
      <c r="A612" s="1" t="str">
        <f t="shared" si="9"/>
        <v>19 Testo + Pro 111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2799</v>
      </c>
      <c r="D612" s="1" t="s">
        <v>2800</v>
      </c>
      <c r="E612" s="1" t="s">
        <v>2801</v>
      </c>
      <c r="F612" s="1" t="s">
        <v>112</v>
      </c>
      <c r="G612" s="1">
        <v>202326</v>
      </c>
    </row>
    <row r="613" spans="1:9" x14ac:dyDescent="0.35">
      <c r="A613" s="1" t="str">
        <f t="shared" si="9"/>
        <v>19 Testo + Pro 111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2802</v>
      </c>
      <c r="D613" s="1" t="s">
        <v>863</v>
      </c>
      <c r="E613" s="1" t="s">
        <v>2803</v>
      </c>
      <c r="F613" s="1" t="s">
        <v>112</v>
      </c>
      <c r="G613" s="1">
        <v>127335</v>
      </c>
    </row>
    <row r="614" spans="1:9" x14ac:dyDescent="0.35">
      <c r="A614" s="1" t="str">
        <f t="shared" si="9"/>
        <v>19 Testo + Pro 111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2804</v>
      </c>
      <c r="D614" s="1" t="s">
        <v>2577</v>
      </c>
      <c r="E614" s="1" t="s">
        <v>2805</v>
      </c>
      <c r="F614" s="1" t="s">
        <v>112</v>
      </c>
      <c r="G614" s="1">
        <v>394248</v>
      </c>
    </row>
    <row r="615" spans="1:9" x14ac:dyDescent="0.35">
      <c r="A615" s="1" t="str">
        <f t="shared" si="9"/>
        <v>19 Testo + Pro 111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2806</v>
      </c>
      <c r="D615" s="1" t="s">
        <v>2195</v>
      </c>
      <c r="E615" s="1" t="s">
        <v>2807</v>
      </c>
      <c r="F615" s="1" t="s">
        <v>112</v>
      </c>
      <c r="G615" s="1">
        <v>436924</v>
      </c>
    </row>
    <row r="616" spans="1:9" x14ac:dyDescent="0.35">
      <c r="A616" s="1" t="str">
        <f t="shared" si="9"/>
        <v>19 Testo + Pro 111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2808</v>
      </c>
      <c r="D616" s="1" t="s">
        <v>2192</v>
      </c>
      <c r="E616" s="1" t="s">
        <v>2809</v>
      </c>
      <c r="F616" s="1" t="s">
        <v>112</v>
      </c>
      <c r="G616" s="1">
        <v>369828</v>
      </c>
    </row>
    <row r="617" spans="1:9" x14ac:dyDescent="0.35">
      <c r="A617" s="1" t="str">
        <f t="shared" si="9"/>
        <v>19 Testo + Pro 111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2810</v>
      </c>
      <c r="D617" s="1" t="s">
        <v>2335</v>
      </c>
      <c r="E617" s="1" t="s">
        <v>2811</v>
      </c>
      <c r="F617" s="1" t="s">
        <v>112</v>
      </c>
      <c r="G617" s="1">
        <v>305349</v>
      </c>
    </row>
    <row r="618" spans="1:9" x14ac:dyDescent="0.35">
      <c r="A618" s="1" t="str">
        <f t="shared" si="9"/>
        <v>19 Testo + Pro 111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2812</v>
      </c>
      <c r="D618" s="1" t="s">
        <v>1444</v>
      </c>
      <c r="E618" s="1" t="s">
        <v>2813</v>
      </c>
      <c r="F618" s="1" t="s">
        <v>112</v>
      </c>
      <c r="G618" s="1">
        <v>114465</v>
      </c>
    </row>
    <row r="619" spans="1:9" x14ac:dyDescent="0.35">
      <c r="A619" s="1" t="str">
        <f t="shared" si="9"/>
        <v>19 Testo + Pro 111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2814</v>
      </c>
      <c r="D619" s="1" t="s">
        <v>2313</v>
      </c>
      <c r="E619" s="1" t="s">
        <v>2815</v>
      </c>
      <c r="F619" s="1" t="s">
        <v>112</v>
      </c>
      <c r="G619" s="1">
        <v>269249</v>
      </c>
    </row>
    <row r="620" spans="1:9" x14ac:dyDescent="0.3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9"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241</v>
      </c>
      <c r="D621" s="1" t="s">
        <v>112</v>
      </c>
      <c r="E621" s="1" t="s">
        <v>242</v>
      </c>
      <c r="F621" s="1" t="s">
        <v>243</v>
      </c>
      <c r="G621" s="1" t="s">
        <v>244</v>
      </c>
      <c r="H621" s="1" t="s">
        <v>245</v>
      </c>
      <c r="I621" s="1" t="s">
        <v>246</v>
      </c>
    </row>
    <row r="622" spans="1:9" x14ac:dyDescent="0.35">
      <c r="A622" s="1" t="str">
        <f t="shared" si="9"/>
        <v>19 Testo + Pro 111</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2816</v>
      </c>
      <c r="D622" s="1" t="s">
        <v>112</v>
      </c>
      <c r="E622" s="1" t="s">
        <v>2817</v>
      </c>
      <c r="F622" s="1" t="s">
        <v>2818</v>
      </c>
      <c r="G622" s="1" t="s">
        <v>2819</v>
      </c>
      <c r="H622" s="1" t="s">
        <v>2820</v>
      </c>
      <c r="I622" s="1">
        <v>24</v>
      </c>
    </row>
    <row r="623" spans="1:9" x14ac:dyDescent="0.3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9"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252</v>
      </c>
      <c r="D628" s="1" t="s">
        <v>110</v>
      </c>
      <c r="E628" s="1" t="s">
        <v>111</v>
      </c>
      <c r="F628" s="1" t="s">
        <v>112</v>
      </c>
      <c r="G628" s="1" t="s">
        <v>113</v>
      </c>
    </row>
    <row r="629" spans="1:7" x14ac:dyDescent="0.35">
      <c r="A629" s="1" t="str">
        <f t="shared" si="9"/>
        <v>20 Testo + Pro 333</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2821</v>
      </c>
      <c r="D629" s="1" t="s">
        <v>1073</v>
      </c>
      <c r="E629" s="1" t="s">
        <v>2822</v>
      </c>
      <c r="F629" s="1" t="s">
        <v>112</v>
      </c>
      <c r="G629" s="1">
        <v>211346</v>
      </c>
    </row>
    <row r="630" spans="1:7" x14ac:dyDescent="0.35">
      <c r="A630" s="1" t="str">
        <f t="shared" si="9"/>
        <v>20 Testo + Pro 333</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2823</v>
      </c>
      <c r="D630" s="1" t="s">
        <v>712</v>
      </c>
      <c r="E630" s="1" t="s">
        <v>2824</v>
      </c>
      <c r="F630" s="1" t="s">
        <v>112</v>
      </c>
      <c r="G630" s="1">
        <v>65993</v>
      </c>
    </row>
    <row r="631" spans="1:7" x14ac:dyDescent="0.35">
      <c r="A631" s="1" t="str">
        <f t="shared" si="9"/>
        <v>20 Testo + Pro 333</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2825</v>
      </c>
      <c r="D631" s="1" t="s">
        <v>2826</v>
      </c>
      <c r="E631" s="1" t="s">
        <v>2827</v>
      </c>
      <c r="F631" s="1" t="s">
        <v>112</v>
      </c>
      <c r="G631" s="1">
        <v>783392</v>
      </c>
    </row>
    <row r="632" spans="1:7" x14ac:dyDescent="0.35">
      <c r="A632" s="1" t="str">
        <f t="shared" si="9"/>
        <v>20 Testo + Pro 333</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2828</v>
      </c>
      <c r="D632" s="1" t="s">
        <v>2829</v>
      </c>
      <c r="E632" s="1" t="s">
        <v>2830</v>
      </c>
      <c r="F632" s="1" t="s">
        <v>112</v>
      </c>
      <c r="G632" s="1">
        <v>2056614</v>
      </c>
    </row>
    <row r="633" spans="1:7" x14ac:dyDescent="0.35">
      <c r="A633" s="1" t="str">
        <f t="shared" si="9"/>
        <v>20 Testo + Pro 333</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2831</v>
      </c>
      <c r="D633" s="1" t="s">
        <v>2832</v>
      </c>
      <c r="E633" s="1" t="s">
        <v>2833</v>
      </c>
      <c r="F633" s="1" t="s">
        <v>112</v>
      </c>
      <c r="G633" s="1">
        <v>1578961</v>
      </c>
    </row>
    <row r="634" spans="1:7" x14ac:dyDescent="0.35">
      <c r="A634" s="1" t="str">
        <f t="shared" si="9"/>
        <v>20 Testo + Pro 333</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2834</v>
      </c>
      <c r="D634" s="1" t="s">
        <v>1144</v>
      </c>
      <c r="E634" s="1" t="s">
        <v>2835</v>
      </c>
      <c r="F634" s="1" t="s">
        <v>112</v>
      </c>
      <c r="G634" s="1">
        <v>1556552</v>
      </c>
    </row>
    <row r="635" spans="1:7" x14ac:dyDescent="0.35">
      <c r="A635" s="1" t="str">
        <f t="shared" si="9"/>
        <v>20 Testo + Pro 333</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2836</v>
      </c>
    </row>
    <row r="636" spans="1:7" x14ac:dyDescent="0.35">
      <c r="A636" s="1" t="str">
        <f t="shared" si="9"/>
        <v>20 Testo + Pro 333</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2837</v>
      </c>
      <c r="D636" s="1" t="s">
        <v>1325</v>
      </c>
      <c r="E636" s="1" t="s">
        <v>2838</v>
      </c>
      <c r="F636" s="1" t="s">
        <v>112</v>
      </c>
      <c r="G636" s="1">
        <v>830934</v>
      </c>
    </row>
    <row r="637" spans="1:7" x14ac:dyDescent="0.35">
      <c r="A637" s="1" t="str">
        <f t="shared" si="9"/>
        <v>20 Testo + Pro 333</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2839</v>
      </c>
      <c r="D637" s="1" t="s">
        <v>2840</v>
      </c>
      <c r="E637" s="1" t="s">
        <v>2841</v>
      </c>
      <c r="F637" s="1" t="s">
        <v>112</v>
      </c>
      <c r="G637" s="1">
        <v>996208</v>
      </c>
    </row>
    <row r="638" spans="1:7" x14ac:dyDescent="0.35">
      <c r="A638" s="1" t="str">
        <f t="shared" si="9"/>
        <v>20 Testo + Pro 333</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2842</v>
      </c>
      <c r="D638" s="1" t="s">
        <v>2843</v>
      </c>
      <c r="E638" s="1" t="s">
        <v>2844</v>
      </c>
      <c r="F638" s="1" t="s">
        <v>112</v>
      </c>
      <c r="G638" s="1">
        <v>1975372</v>
      </c>
    </row>
    <row r="639" spans="1:7" x14ac:dyDescent="0.35">
      <c r="A639" s="1" t="str">
        <f t="shared" si="9"/>
        <v>20 Testo + Pro 333</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2845</v>
      </c>
      <c r="D639" s="1" t="s">
        <v>2846</v>
      </c>
      <c r="E639" s="1" t="s">
        <v>2847</v>
      </c>
      <c r="F639" s="1" t="s">
        <v>112</v>
      </c>
      <c r="G639" s="1">
        <v>1547879</v>
      </c>
    </row>
    <row r="640" spans="1:7" x14ac:dyDescent="0.35">
      <c r="A640" s="1" t="str">
        <f t="shared" si="9"/>
        <v>20 Testo + Pro 333</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2848</v>
      </c>
      <c r="D640" s="1" t="s">
        <v>2849</v>
      </c>
      <c r="E640" s="1" t="s">
        <v>2850</v>
      </c>
      <c r="F640" s="1" t="s">
        <v>112</v>
      </c>
      <c r="G640" s="1">
        <v>1628774</v>
      </c>
    </row>
    <row r="641" spans="1:9" x14ac:dyDescent="0.35">
      <c r="A641" s="1" t="str">
        <f t="shared" si="9"/>
        <v>20 Testo + Pro 333</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2851</v>
      </c>
      <c r="D641" s="1" t="s">
        <v>2852</v>
      </c>
      <c r="E641" s="1" t="s">
        <v>2853</v>
      </c>
      <c r="F641" s="1" t="s">
        <v>112</v>
      </c>
      <c r="G641" s="1">
        <v>2846819</v>
      </c>
    </row>
    <row r="642" spans="1:9" x14ac:dyDescent="0.35">
      <c r="A642" s="1" t="str">
        <f t="shared" ref="A642:A705" si="10">IFERROR(LEFT(RIGHT(C642,LEN(C642)-SEARCH("@",C642)),SEARCH("/",RIGHT(C642,LEN(C642)-SEARCH("@",C642)-1))),"")</f>
        <v>20 Testo + Pro 333</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2854</v>
      </c>
      <c r="D642" s="1" t="s">
        <v>2855</v>
      </c>
      <c r="E642" s="1" t="s">
        <v>2856</v>
      </c>
      <c r="F642" s="1" t="s">
        <v>112</v>
      </c>
      <c r="G642" s="1">
        <v>2082699</v>
      </c>
    </row>
    <row r="643" spans="1:9" x14ac:dyDescent="0.35">
      <c r="A643" s="1" t="str">
        <f t="shared" si="10"/>
        <v>20 Testo + Pro 333</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2857</v>
      </c>
      <c r="D643" s="1" t="s">
        <v>2858</v>
      </c>
      <c r="E643" s="1" t="s">
        <v>2859</v>
      </c>
      <c r="F643" s="1" t="s">
        <v>112</v>
      </c>
      <c r="G643" s="1">
        <v>2644514</v>
      </c>
    </row>
    <row r="644" spans="1:9" x14ac:dyDescent="0.35">
      <c r="A644" s="1" t="str">
        <f t="shared" si="10"/>
        <v>20 Testo + Pro 333</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2860</v>
      </c>
      <c r="D644" s="1" t="s">
        <v>1130</v>
      </c>
      <c r="E644" s="1" t="s">
        <v>2861</v>
      </c>
      <c r="F644" s="1" t="s">
        <v>112</v>
      </c>
      <c r="G644" s="1">
        <v>187207</v>
      </c>
    </row>
    <row r="645" spans="1:9" x14ac:dyDescent="0.35">
      <c r="A645" s="1" t="str">
        <f t="shared" si="10"/>
        <v>20 Testo + Pro 333</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2862</v>
      </c>
      <c r="D645" s="1" t="s">
        <v>1672</v>
      </c>
      <c r="E645" s="1" t="s">
        <v>2863</v>
      </c>
      <c r="F645" s="1" t="s">
        <v>112</v>
      </c>
      <c r="G645" s="1">
        <v>107890</v>
      </c>
    </row>
    <row r="646" spans="1:9" x14ac:dyDescent="0.35">
      <c r="A646" s="1" t="str">
        <f t="shared" si="10"/>
        <v>20 Testo + Pro 333</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2864</v>
      </c>
    </row>
    <row r="647" spans="1:9" x14ac:dyDescent="0.35">
      <c r="A647" s="1" t="str">
        <f t="shared" si="10"/>
        <v>20 Testo + Pro 333</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2865</v>
      </c>
    </row>
    <row r="648" spans="1:9" x14ac:dyDescent="0.35">
      <c r="A648" s="1" t="str">
        <f t="shared" si="10"/>
        <v>20 Testo + Pro 333</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2866</v>
      </c>
      <c r="D648" s="1" t="s">
        <v>2212</v>
      </c>
      <c r="E648" s="1" t="s">
        <v>2867</v>
      </c>
      <c r="F648" s="1" t="s">
        <v>112</v>
      </c>
      <c r="G648" s="1">
        <v>349734</v>
      </c>
    </row>
    <row r="649" spans="1:9" x14ac:dyDescent="0.35">
      <c r="A649" s="1" t="str">
        <f t="shared" si="10"/>
        <v>20 Testo + Pro 333</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2868</v>
      </c>
      <c r="D649" s="1" t="s">
        <v>1063</v>
      </c>
      <c r="E649" s="1" t="s">
        <v>2869</v>
      </c>
      <c r="F649" s="1" t="s">
        <v>112</v>
      </c>
      <c r="G649" s="1">
        <v>132635</v>
      </c>
    </row>
    <row r="650" spans="1:9" x14ac:dyDescent="0.35">
      <c r="A650" s="1" t="str">
        <f t="shared" si="10"/>
        <v>20 Testo + Pro 333</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2870</v>
      </c>
      <c r="D650" s="1" t="s">
        <v>2332</v>
      </c>
      <c r="E650" s="1" t="s">
        <v>2871</v>
      </c>
      <c r="F650" s="1" t="s">
        <v>112</v>
      </c>
      <c r="G650" s="1">
        <v>594995</v>
      </c>
    </row>
    <row r="651" spans="1:9" x14ac:dyDescent="0.35">
      <c r="A651" s="1" t="str">
        <f t="shared" si="10"/>
        <v>20 Testo + Pro 333</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2872</v>
      </c>
      <c r="D651" s="1" t="s">
        <v>2873</v>
      </c>
      <c r="E651" s="1" t="s">
        <v>2874</v>
      </c>
      <c r="F651" s="1" t="s">
        <v>112</v>
      </c>
      <c r="G651" s="1">
        <v>637411</v>
      </c>
    </row>
    <row r="652" spans="1:9" x14ac:dyDescent="0.35">
      <c r="A652" s="1" t="str">
        <f t="shared" si="10"/>
        <v>20 Testo + Pro 333</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2875</v>
      </c>
      <c r="D652" s="1" t="s">
        <v>2876</v>
      </c>
      <c r="E652" s="1" t="s">
        <v>2877</v>
      </c>
      <c r="F652" s="1" t="s">
        <v>112</v>
      </c>
      <c r="G652" s="1">
        <v>745258</v>
      </c>
    </row>
    <row r="653" spans="1:9"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9"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241</v>
      </c>
      <c r="D654" s="1" t="s">
        <v>112</v>
      </c>
      <c r="E654" s="1" t="s">
        <v>242</v>
      </c>
      <c r="F654" s="1" t="s">
        <v>243</v>
      </c>
      <c r="G654" s="1" t="s">
        <v>244</v>
      </c>
      <c r="H654" s="1" t="s">
        <v>245</v>
      </c>
      <c r="I654" s="1" t="s">
        <v>246</v>
      </c>
    </row>
    <row r="655" spans="1:9" x14ac:dyDescent="0.35">
      <c r="A655" s="1" t="str">
        <f t="shared" si="10"/>
        <v>20 Testo + Pro 333</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2878</v>
      </c>
      <c r="D655" s="1" t="s">
        <v>112</v>
      </c>
      <c r="E655" s="1" t="s">
        <v>2879</v>
      </c>
      <c r="F655" s="1" t="s">
        <v>2880</v>
      </c>
      <c r="G655" s="1" t="s">
        <v>2881</v>
      </c>
      <c r="H655" s="1" t="s">
        <v>2882</v>
      </c>
      <c r="I655" s="1">
        <v>24</v>
      </c>
    </row>
    <row r="656" spans="1:9"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252</v>
      </c>
      <c r="D661" s="1" t="s">
        <v>110</v>
      </c>
      <c r="E661" s="1" t="s">
        <v>111</v>
      </c>
      <c r="F661" s="1" t="s">
        <v>112</v>
      </c>
      <c r="G661" s="1" t="s">
        <v>113</v>
      </c>
    </row>
    <row r="662" spans="1:7" x14ac:dyDescent="0.35">
      <c r="A662" s="1" t="str">
        <f t="shared" si="10"/>
        <v>21 Testo +  Pro 1000</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2883</v>
      </c>
    </row>
    <row r="663" spans="1:7" x14ac:dyDescent="0.35">
      <c r="A663" s="1" t="str">
        <f t="shared" si="10"/>
        <v>21 Testo +  Pro 1000</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2884</v>
      </c>
      <c r="D663" s="1" t="s">
        <v>227</v>
      </c>
      <c r="E663" s="1" t="s">
        <v>2885</v>
      </c>
      <c r="F663" s="1" t="s">
        <v>112</v>
      </c>
      <c r="G663" s="1">
        <v>28595</v>
      </c>
    </row>
    <row r="664" spans="1:7" x14ac:dyDescent="0.35">
      <c r="A664" s="1" t="str">
        <f t="shared" si="10"/>
        <v>21 Testo +  Pro 1000</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2886</v>
      </c>
      <c r="D664" s="1" t="s">
        <v>1629</v>
      </c>
      <c r="E664" s="1" t="s">
        <v>2887</v>
      </c>
      <c r="F664" s="1" t="s">
        <v>112</v>
      </c>
      <c r="G664" s="1">
        <v>192073</v>
      </c>
    </row>
    <row r="665" spans="1:7" x14ac:dyDescent="0.35">
      <c r="A665" s="1" t="str">
        <f t="shared" si="10"/>
        <v>21 Testo +  Pro 1000</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2888</v>
      </c>
      <c r="D665" s="1" t="s">
        <v>304</v>
      </c>
      <c r="E665" s="1" t="s">
        <v>2889</v>
      </c>
      <c r="F665" s="1" t="s">
        <v>112</v>
      </c>
      <c r="G665" s="1">
        <v>40102</v>
      </c>
    </row>
    <row r="666" spans="1:7" x14ac:dyDescent="0.35">
      <c r="A666" s="1" t="str">
        <f t="shared" si="10"/>
        <v>21 Testo +  Pro 1000</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2890</v>
      </c>
      <c r="D666" s="1" t="s">
        <v>227</v>
      </c>
      <c r="E666" s="1" t="s">
        <v>2891</v>
      </c>
      <c r="F666" s="1" t="s">
        <v>112</v>
      </c>
      <c r="G666" s="1">
        <v>27513</v>
      </c>
    </row>
    <row r="667" spans="1:7" x14ac:dyDescent="0.35">
      <c r="A667" s="1" t="str">
        <f t="shared" si="10"/>
        <v>21 Testo +  Pro 1000</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2892</v>
      </c>
      <c r="D667" s="1" t="s">
        <v>2217</v>
      </c>
      <c r="E667" s="1" t="s">
        <v>2893</v>
      </c>
      <c r="F667" s="1" t="s">
        <v>112</v>
      </c>
      <c r="G667" s="1">
        <v>25285</v>
      </c>
    </row>
    <row r="668" spans="1:7" x14ac:dyDescent="0.35">
      <c r="A668" s="1" t="str">
        <f t="shared" si="10"/>
        <v>21 Testo +  Pro 1000</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2894</v>
      </c>
      <c r="D668" s="1" t="s">
        <v>2895</v>
      </c>
      <c r="E668" s="1" t="s">
        <v>2896</v>
      </c>
      <c r="F668" s="1" t="s">
        <v>112</v>
      </c>
      <c r="G668" s="1">
        <v>164798</v>
      </c>
    </row>
    <row r="669" spans="1:7" x14ac:dyDescent="0.35">
      <c r="A669" s="1" t="str">
        <f t="shared" si="10"/>
        <v>21 Testo +  Pro 1000</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2897</v>
      </c>
      <c r="D669" s="1" t="s">
        <v>2898</v>
      </c>
      <c r="E669" s="1" t="s">
        <v>2899</v>
      </c>
      <c r="F669" s="1" t="s">
        <v>112</v>
      </c>
      <c r="G669" s="1">
        <v>245824</v>
      </c>
    </row>
    <row r="670" spans="1:7" x14ac:dyDescent="0.35">
      <c r="A670" s="1" t="str">
        <f t="shared" si="10"/>
        <v>21 Testo +  Pro 1000</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2900</v>
      </c>
      <c r="D670" s="1" t="s">
        <v>2105</v>
      </c>
      <c r="E670" s="1" t="s">
        <v>2901</v>
      </c>
      <c r="F670" s="1" t="s">
        <v>112</v>
      </c>
      <c r="G670" s="1">
        <v>147884</v>
      </c>
    </row>
    <row r="671" spans="1:7" x14ac:dyDescent="0.35">
      <c r="A671" s="1" t="str">
        <f t="shared" si="10"/>
        <v>21 Testo +  Pro 1000</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2902</v>
      </c>
      <c r="D671" s="1" t="s">
        <v>2903</v>
      </c>
      <c r="E671" s="1" t="s">
        <v>2904</v>
      </c>
      <c r="F671" s="1" t="s">
        <v>112</v>
      </c>
      <c r="G671" s="1">
        <v>306582</v>
      </c>
    </row>
    <row r="672" spans="1:7" x14ac:dyDescent="0.35">
      <c r="A672" s="1" t="str">
        <f t="shared" si="10"/>
        <v>21 Testo +  Pro 1000</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2905</v>
      </c>
      <c r="D672" s="1" t="s">
        <v>2906</v>
      </c>
      <c r="E672" s="1" t="s">
        <v>2907</v>
      </c>
      <c r="F672" s="1" t="s">
        <v>112</v>
      </c>
      <c r="G672" s="1">
        <v>358126</v>
      </c>
    </row>
    <row r="673" spans="1:9" x14ac:dyDescent="0.35">
      <c r="A673" s="1" t="str">
        <f t="shared" si="10"/>
        <v>21 Testo +  Pro 1000</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2908</v>
      </c>
      <c r="D673" s="1" t="s">
        <v>1650</v>
      </c>
      <c r="E673" s="1" t="s">
        <v>2909</v>
      </c>
      <c r="F673" s="1" t="s">
        <v>112</v>
      </c>
      <c r="G673" s="1">
        <v>342834</v>
      </c>
    </row>
    <row r="674" spans="1:9" x14ac:dyDescent="0.35">
      <c r="A674" s="1" t="str">
        <f t="shared" si="10"/>
        <v>21 Testo +  Pro 1000</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2910</v>
      </c>
      <c r="D674" s="1" t="s">
        <v>2911</v>
      </c>
      <c r="E674" s="1" t="s">
        <v>2912</v>
      </c>
      <c r="F674" s="1" t="s">
        <v>112</v>
      </c>
      <c r="G674" s="1">
        <v>200834</v>
      </c>
    </row>
    <row r="675" spans="1:9" x14ac:dyDescent="0.35">
      <c r="A675" s="1" t="str">
        <f t="shared" si="10"/>
        <v>21 Testo +  Pro 1000</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2913</v>
      </c>
      <c r="D675" s="1" t="s">
        <v>1558</v>
      </c>
      <c r="E675" s="1" t="s">
        <v>2914</v>
      </c>
      <c r="F675" s="1" t="s">
        <v>112</v>
      </c>
      <c r="G675" s="1">
        <v>113860</v>
      </c>
    </row>
    <row r="676" spans="1:9" x14ac:dyDescent="0.35">
      <c r="A676" s="1" t="str">
        <f t="shared" si="10"/>
        <v>21 Testo +  Pro 1000</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2915</v>
      </c>
      <c r="D676" s="1" t="s">
        <v>215</v>
      </c>
      <c r="E676" s="1" t="s">
        <v>2916</v>
      </c>
      <c r="F676" s="1" t="s">
        <v>112</v>
      </c>
      <c r="G676" s="1">
        <v>115482</v>
      </c>
    </row>
    <row r="677" spans="1:9" x14ac:dyDescent="0.35">
      <c r="A677" s="1" t="str">
        <f t="shared" si="10"/>
        <v>21 Testo +  Pro 1000</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2917</v>
      </c>
      <c r="D677" s="1" t="s">
        <v>1254</v>
      </c>
      <c r="E677" s="1" t="s">
        <v>2918</v>
      </c>
      <c r="F677" s="1" t="s">
        <v>112</v>
      </c>
      <c r="G677" s="1">
        <v>191295</v>
      </c>
    </row>
    <row r="678" spans="1:9" x14ac:dyDescent="0.35">
      <c r="A678" s="1" t="str">
        <f t="shared" si="10"/>
        <v>21 Testo +  Pro 1000</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2919</v>
      </c>
      <c r="D678" s="1" t="s">
        <v>959</v>
      </c>
      <c r="E678" s="1" t="s">
        <v>2920</v>
      </c>
      <c r="F678" s="1" t="s">
        <v>112</v>
      </c>
      <c r="G678" s="1">
        <v>102958</v>
      </c>
    </row>
    <row r="679" spans="1:9" x14ac:dyDescent="0.35">
      <c r="A679" s="1" t="str">
        <f t="shared" si="10"/>
        <v>21 Testo +  Pro 1000</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2921</v>
      </c>
      <c r="D679" s="1" t="s">
        <v>784</v>
      </c>
      <c r="E679" s="1" t="s">
        <v>2922</v>
      </c>
      <c r="F679" s="1" t="s">
        <v>112</v>
      </c>
      <c r="G679" s="1">
        <v>180047</v>
      </c>
    </row>
    <row r="680" spans="1:9" x14ac:dyDescent="0.35">
      <c r="A680" s="1" t="str">
        <f t="shared" si="10"/>
        <v>21 Testo +  Pro 1000</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2923</v>
      </c>
      <c r="D680" s="1" t="s">
        <v>1130</v>
      </c>
      <c r="E680" s="1" t="s">
        <v>2924</v>
      </c>
      <c r="F680" s="1" t="s">
        <v>112</v>
      </c>
      <c r="G680" s="1">
        <v>193588</v>
      </c>
    </row>
    <row r="681" spans="1:9" x14ac:dyDescent="0.35">
      <c r="A681" s="1" t="str">
        <f t="shared" si="10"/>
        <v>21 Testo +  Pro 1000</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2925</v>
      </c>
      <c r="D681" s="1" t="s">
        <v>889</v>
      </c>
      <c r="E681" s="1" t="s">
        <v>2926</v>
      </c>
      <c r="F681" s="1" t="s">
        <v>112</v>
      </c>
      <c r="G681" s="1">
        <v>233257</v>
      </c>
    </row>
    <row r="682" spans="1:9" x14ac:dyDescent="0.35">
      <c r="A682" s="1" t="str">
        <f t="shared" si="10"/>
        <v>21 Testo +  Pro 1000</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2927</v>
      </c>
      <c r="D682" s="1" t="s">
        <v>841</v>
      </c>
      <c r="E682" s="1" t="s">
        <v>2928</v>
      </c>
      <c r="F682" s="1" t="s">
        <v>112</v>
      </c>
      <c r="G682" s="1">
        <v>163544</v>
      </c>
    </row>
    <row r="683" spans="1:9" x14ac:dyDescent="0.35">
      <c r="A683" s="1" t="str">
        <f t="shared" si="10"/>
        <v>21 Testo +  Pro 1000</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2929</v>
      </c>
      <c r="D683" s="1" t="s">
        <v>1724</v>
      </c>
      <c r="E683" s="1" t="s">
        <v>2930</v>
      </c>
      <c r="F683" s="1" t="s">
        <v>112</v>
      </c>
      <c r="G683" s="1">
        <v>296892</v>
      </c>
    </row>
    <row r="684" spans="1:9" x14ac:dyDescent="0.35">
      <c r="A684" s="1" t="str">
        <f t="shared" si="10"/>
        <v>21 Testo +  Pro 1000</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2931</v>
      </c>
    </row>
    <row r="685" spans="1:9" x14ac:dyDescent="0.35">
      <c r="A685" s="1" t="str">
        <f t="shared" si="10"/>
        <v>21 Testo +  Pro 1000</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2932</v>
      </c>
    </row>
    <row r="686" spans="1:9" x14ac:dyDescent="0.3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9"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241</v>
      </c>
      <c r="D687" s="1" t="s">
        <v>112</v>
      </c>
      <c r="E687" s="1" t="s">
        <v>242</v>
      </c>
      <c r="F687" s="1" t="s">
        <v>243</v>
      </c>
      <c r="G687" s="1" t="s">
        <v>244</v>
      </c>
      <c r="H687" s="1" t="s">
        <v>245</v>
      </c>
      <c r="I687" s="1" t="s">
        <v>246</v>
      </c>
    </row>
    <row r="688" spans="1:9" x14ac:dyDescent="0.35">
      <c r="A688" s="1" t="str">
        <f t="shared" si="10"/>
        <v>21 Testo +  Pro 1000</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2933</v>
      </c>
      <c r="D688" s="1" t="s">
        <v>112</v>
      </c>
      <c r="E688" s="1" t="s">
        <v>2934</v>
      </c>
      <c r="F688" s="1" t="s">
        <v>2935</v>
      </c>
      <c r="G688" s="1" t="s">
        <v>2936</v>
      </c>
      <c r="H688" s="1" t="s">
        <v>2937</v>
      </c>
      <c r="I688" s="1">
        <v>24</v>
      </c>
    </row>
    <row r="689" spans="1:4"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4"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4"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 t="s">
        <v>112</v>
      </c>
    </row>
    <row r="692" spans="1:4"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2" s="1" t="s">
        <v>112</v>
      </c>
    </row>
    <row r="693" spans="1:4"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3" s="1" t="s">
        <v>112</v>
      </c>
    </row>
    <row r="694" spans="1:4"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4" s="1" t="s">
        <v>112</v>
      </c>
    </row>
    <row r="695" spans="1:4"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D695" s="1" t="s">
        <v>1597</v>
      </c>
    </row>
    <row r="696" spans="1:4"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D696" s="1">
        <v>504</v>
      </c>
    </row>
    <row r="697" spans="1:4"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4"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4"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4"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4"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4"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4"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4"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A16" zoomScale="70" zoomScaleNormal="70" zoomScaleSheetLayoutView="40" zoomScalePageLayoutView="30" workbookViewId="0">
      <selection activeCell="E60" sqref="E60"/>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2" width="26.453125" style="1" customWidth="1"/>
    <col min="13" max="13" width="28.269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0" t="s">
        <v>43</v>
      </c>
      <c r="B1" s="211"/>
      <c r="C1" s="211"/>
      <c r="D1" s="211"/>
      <c r="E1" s="211"/>
      <c r="F1" s="211"/>
      <c r="G1" s="211"/>
      <c r="H1" s="211"/>
      <c r="I1" s="211"/>
      <c r="J1" s="211"/>
      <c r="K1" s="211"/>
      <c r="L1" s="211"/>
      <c r="M1" s="211"/>
      <c r="N1" s="211"/>
      <c r="O1" s="211"/>
      <c r="P1" s="211"/>
      <c r="Q1" s="211"/>
      <c r="R1" s="211"/>
      <c r="S1" s="211"/>
      <c r="T1" s="211"/>
      <c r="U1" s="211"/>
      <c r="V1" s="211"/>
    </row>
    <row r="2" spans="1:22" customFormat="1" ht="15" thickBot="1" x14ac:dyDescent="0.4"/>
    <row r="3" spans="1:22" ht="15" thickBot="1" x14ac:dyDescent="0.4">
      <c r="A3" s="51" t="s">
        <v>18</v>
      </c>
      <c r="B3" s="218" t="s">
        <v>6</v>
      </c>
      <c r="C3" s="219"/>
      <c r="D3" s="219"/>
      <c r="E3" s="219"/>
      <c r="F3" s="219"/>
      <c r="G3" s="219"/>
      <c r="H3" s="219"/>
      <c r="I3" s="219"/>
      <c r="J3" s="219"/>
      <c r="K3" s="219"/>
      <c r="L3" s="219"/>
      <c r="M3" s="219"/>
      <c r="O3" s="218" t="s">
        <v>3</v>
      </c>
      <c r="P3" s="219"/>
      <c r="Q3" s="219"/>
      <c r="R3" s="219"/>
      <c r="S3" s="219"/>
      <c r="T3" s="219"/>
      <c r="U3" s="219"/>
      <c r="V3" s="219"/>
    </row>
    <row r="4" spans="1:22" x14ac:dyDescent="0.3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Prochloraz-12µg/L</v>
      </c>
      <c r="J4" s="35" t="str">
        <f>'Page de garde'!A15</f>
        <v>Prochloraz-37µg/L</v>
      </c>
      <c r="K4" s="35" t="str">
        <f>'Page de garde'!A16</f>
        <v>Prochloraz-111µg/L</v>
      </c>
      <c r="L4" s="35" t="str">
        <f>'Page de garde'!A17</f>
        <v>Prochloraz-333µg/L</v>
      </c>
      <c r="M4" s="35" t="str">
        <f>'Page de garde'!A18</f>
        <v>Prochloraz-1000µg/L</v>
      </c>
      <c r="N4" s="3"/>
      <c r="O4" s="36" t="str">
        <f>'Page de garde'!A35</f>
        <v>Testo -30µg/L</v>
      </c>
      <c r="P4" s="36" t="str">
        <f>'Page de garde'!A36</f>
        <v>Testo 30µg/L + EE2 -64ng/L</v>
      </c>
      <c r="Q4" s="36" t="str">
        <f>'Page de garde'!A37</f>
        <v>Testo 30µg/L + FAD-10mg/L</v>
      </c>
      <c r="R4" s="36" t="str">
        <f>'Page de garde'!A38</f>
        <v>Prochloraz-12µg/L + Testostérone</v>
      </c>
      <c r="S4" s="36" t="str">
        <f>'Page de garde'!A39</f>
        <v>Prochloraz-37µg/L + Testostérone</v>
      </c>
      <c r="T4" s="36" t="str">
        <f>'Page de garde'!A40</f>
        <v>Prochloraz-111µg/L + Testostérone</v>
      </c>
      <c r="U4" s="36" t="str">
        <f>'Page de garde'!A41</f>
        <v>Prochloraz-333µg/L + Testostérone</v>
      </c>
      <c r="V4" s="36" t="str">
        <f>'Page de garde'!A42</f>
        <v>Prochloraz-1000µg/L + Testostérone</v>
      </c>
    </row>
    <row r="5" spans="1:22" x14ac:dyDescent="0.35">
      <c r="A5" s="220" t="s">
        <v>33</v>
      </c>
      <c r="B5" s="32">
        <v>100795</v>
      </c>
      <c r="C5" s="32">
        <v>38472.333333333336</v>
      </c>
      <c r="D5" s="32">
        <v>387773.66666666669</v>
      </c>
      <c r="E5" s="32">
        <v>2790898.3333333335</v>
      </c>
      <c r="F5" s="32">
        <v>3771842.6666666665</v>
      </c>
      <c r="G5" s="32">
        <v>3354443.6666666665</v>
      </c>
      <c r="H5" s="32">
        <v>7240506.333333333</v>
      </c>
      <c r="I5" s="32">
        <v>203797</v>
      </c>
      <c r="J5" s="32">
        <v>85546</v>
      </c>
      <c r="K5" s="13">
        <v>332300</v>
      </c>
      <c r="L5" s="13">
        <v>370253.33333333331</v>
      </c>
      <c r="M5" s="13">
        <v>552016.33333333337</v>
      </c>
      <c r="N5" s="3"/>
      <c r="O5" s="32">
        <v>3190921.3333333335</v>
      </c>
      <c r="P5" s="13">
        <v>6689896</v>
      </c>
      <c r="Q5" s="13">
        <v>272677</v>
      </c>
      <c r="R5" s="32">
        <v>571022</v>
      </c>
      <c r="S5" s="32">
        <v>2541317.6666666665</v>
      </c>
      <c r="T5" s="32">
        <v>1854569</v>
      </c>
      <c r="U5" s="32">
        <v>353577</v>
      </c>
      <c r="V5" s="32">
        <v>110334</v>
      </c>
    </row>
    <row r="6" spans="1:22" ht="16.5" x14ac:dyDescent="0.35">
      <c r="A6" s="220"/>
      <c r="B6" s="14">
        <v>69475.5</v>
      </c>
      <c r="C6" s="13">
        <v>180977.33333333334</v>
      </c>
      <c r="D6" s="32">
        <v>167318</v>
      </c>
      <c r="E6" s="32">
        <v>134833.66666666666</v>
      </c>
      <c r="F6" s="32">
        <v>1054580</v>
      </c>
      <c r="G6" s="32">
        <v>1708985</v>
      </c>
      <c r="H6" s="32">
        <v>6693630.333333333</v>
      </c>
      <c r="I6" s="32">
        <v>258917</v>
      </c>
      <c r="J6" s="32">
        <v>226400</v>
      </c>
      <c r="K6" s="13">
        <v>38667</v>
      </c>
      <c r="L6" s="13">
        <v>112497</v>
      </c>
      <c r="M6" s="13">
        <v>307642</v>
      </c>
      <c r="N6" s="3"/>
      <c r="O6" s="32">
        <v>3760660</v>
      </c>
      <c r="P6" s="13">
        <v>4479630.666666667</v>
      </c>
      <c r="Q6" s="13">
        <v>504394.66666666669</v>
      </c>
      <c r="R6" s="32"/>
      <c r="S6" s="32">
        <v>1463233.3333333333</v>
      </c>
      <c r="T6" s="32">
        <v>1752821.6666666667</v>
      </c>
      <c r="U6" s="32">
        <v>1730709</v>
      </c>
      <c r="V6" s="32">
        <v>30966.666666666668</v>
      </c>
    </row>
    <row r="7" spans="1:22" ht="16.5" x14ac:dyDescent="0.35">
      <c r="A7" s="220"/>
      <c r="B7" s="14">
        <v>150836</v>
      </c>
      <c r="C7" s="13">
        <v>70816.333333333328</v>
      </c>
      <c r="D7" s="32">
        <v>200747</v>
      </c>
      <c r="E7" s="32">
        <v>128042</v>
      </c>
      <c r="F7" s="32">
        <v>497487.66666666669</v>
      </c>
      <c r="G7" s="32">
        <v>3908533</v>
      </c>
      <c r="H7" s="32">
        <v>4643383</v>
      </c>
      <c r="I7" s="32">
        <v>398303.5</v>
      </c>
      <c r="J7" s="32">
        <v>272010</v>
      </c>
      <c r="K7" s="13">
        <v>186731</v>
      </c>
      <c r="L7" s="13">
        <v>419519</v>
      </c>
      <c r="M7" s="13">
        <v>596242.33333333337</v>
      </c>
      <c r="N7" s="3"/>
      <c r="O7" s="32">
        <v>830414.66666666663</v>
      </c>
      <c r="P7" s="13">
        <v>4464778</v>
      </c>
      <c r="Q7" s="13">
        <v>292905</v>
      </c>
      <c r="R7" s="32">
        <v>504041.33333333331</v>
      </c>
      <c r="S7" s="32">
        <v>3504266.6666666665</v>
      </c>
      <c r="T7" s="32">
        <v>989986</v>
      </c>
      <c r="U7" s="32">
        <v>913571</v>
      </c>
      <c r="V7" s="32">
        <v>186168.66666666666</v>
      </c>
    </row>
    <row r="8" spans="1:22" ht="16.5" x14ac:dyDescent="0.35">
      <c r="A8" s="220"/>
      <c r="B8" s="14">
        <v>365840.66666666669</v>
      </c>
      <c r="C8" s="13">
        <v>173594.33333333334</v>
      </c>
      <c r="D8" s="32">
        <v>284555.66666666669</v>
      </c>
      <c r="E8" s="32">
        <v>2422079.3333333335</v>
      </c>
      <c r="F8" s="32">
        <v>2425518.6666666665</v>
      </c>
      <c r="G8" s="32">
        <v>4122669</v>
      </c>
      <c r="H8" s="32">
        <v>2828851.3333333335</v>
      </c>
      <c r="I8" s="32">
        <v>181208</v>
      </c>
      <c r="J8" s="32">
        <v>70318.666666666672</v>
      </c>
      <c r="K8" s="13">
        <v>345451</v>
      </c>
      <c r="L8" s="13">
        <v>202333</v>
      </c>
      <c r="M8" s="13">
        <v>49673</v>
      </c>
      <c r="N8" s="3"/>
      <c r="O8" s="32">
        <v>2118547.3333333335</v>
      </c>
      <c r="P8" s="13">
        <v>4838088.333333333</v>
      </c>
      <c r="Q8" s="13">
        <v>120139.66666666667</v>
      </c>
      <c r="R8" s="32">
        <v>2239263.6666666665</v>
      </c>
      <c r="S8" s="32">
        <v>2642762</v>
      </c>
      <c r="T8" s="32">
        <v>3960441</v>
      </c>
      <c r="U8" s="32">
        <v>1717341.6666666667</v>
      </c>
      <c r="V8" s="32">
        <v>335847.33333333331</v>
      </c>
    </row>
    <row r="9" spans="1:22" ht="16.5" x14ac:dyDescent="0.35">
      <c r="A9" s="220"/>
      <c r="B9" s="14">
        <v>56735</v>
      </c>
      <c r="C9" s="13">
        <v>462108.33333333331</v>
      </c>
      <c r="D9" s="32">
        <v>327963.5</v>
      </c>
      <c r="E9" s="32">
        <v>204648</v>
      </c>
      <c r="F9" s="32">
        <v>1949632.3333333333</v>
      </c>
      <c r="G9" s="32">
        <v>4333664.666666667</v>
      </c>
      <c r="H9" s="32">
        <v>8323695</v>
      </c>
      <c r="I9" s="32">
        <v>174135</v>
      </c>
      <c r="J9" s="32">
        <v>417507.33333333331</v>
      </c>
      <c r="K9" s="13">
        <v>17679</v>
      </c>
      <c r="L9" s="13">
        <v>256639</v>
      </c>
      <c r="M9" s="13">
        <v>567273</v>
      </c>
      <c r="N9" s="3"/>
      <c r="O9" s="32">
        <v>2036162.5</v>
      </c>
      <c r="P9" s="13">
        <v>3926907.3333333335</v>
      </c>
      <c r="Q9" s="13">
        <v>292501</v>
      </c>
      <c r="R9" s="32">
        <v>1217244</v>
      </c>
      <c r="S9" s="32">
        <v>3642214.5</v>
      </c>
      <c r="T9" s="32">
        <v>1815909</v>
      </c>
      <c r="U9" s="32">
        <v>2524677.3333333335</v>
      </c>
      <c r="V9" s="32">
        <v>143392</v>
      </c>
    </row>
    <row r="10" spans="1:22" ht="16.5" x14ac:dyDescent="0.35">
      <c r="A10" s="220"/>
      <c r="B10" s="14">
        <v>222117.5</v>
      </c>
      <c r="C10" s="13">
        <v>113809.66666666667</v>
      </c>
      <c r="D10" s="32">
        <v>112663</v>
      </c>
      <c r="E10" s="32">
        <v>297519.33333333331</v>
      </c>
      <c r="F10" s="32">
        <v>950460.5</v>
      </c>
      <c r="G10" s="32">
        <v>2676450.5</v>
      </c>
      <c r="H10" s="32">
        <v>5279158</v>
      </c>
      <c r="I10" s="32">
        <v>229839.5</v>
      </c>
      <c r="J10" s="32">
        <v>295529</v>
      </c>
      <c r="K10" s="13">
        <v>88495</v>
      </c>
      <c r="L10" s="13">
        <v>475684.66666666669</v>
      </c>
      <c r="M10" s="13">
        <v>87356</v>
      </c>
      <c r="N10" s="3"/>
      <c r="O10" s="32">
        <v>964520.33333333337</v>
      </c>
      <c r="P10" s="13">
        <v>3671480.3333333335</v>
      </c>
      <c r="Q10" s="13">
        <v>52734</v>
      </c>
      <c r="R10" s="32">
        <v>1410932.6666666667</v>
      </c>
      <c r="S10" s="32">
        <v>4941436</v>
      </c>
      <c r="T10" s="32">
        <v>155403.66666666666</v>
      </c>
      <c r="U10" s="32">
        <v>147548.5</v>
      </c>
      <c r="V10" s="32">
        <v>158100</v>
      </c>
    </row>
    <row r="11" spans="1:22" ht="16.5" x14ac:dyDescent="0.35">
      <c r="A11" s="220"/>
      <c r="B11" s="14">
        <v>42084.666666666664</v>
      </c>
      <c r="C11" s="13">
        <v>357066.5</v>
      </c>
      <c r="D11" s="32">
        <v>210451.33333333334</v>
      </c>
      <c r="E11" s="32">
        <v>448611.33333333331</v>
      </c>
      <c r="F11" s="32">
        <v>3484943.6666666665</v>
      </c>
      <c r="G11" s="32">
        <v>5598343</v>
      </c>
      <c r="H11" s="32">
        <v>6559034.666666667</v>
      </c>
      <c r="I11" s="32">
        <v>308723.33333333331</v>
      </c>
      <c r="J11" s="32">
        <v>242449.66666666666</v>
      </c>
      <c r="K11" s="13">
        <v>124379.33333333333</v>
      </c>
      <c r="L11" s="13">
        <v>46515</v>
      </c>
      <c r="M11" s="13">
        <v>337599.66666666669</v>
      </c>
      <c r="N11" s="3"/>
      <c r="O11" s="32">
        <v>517257.5</v>
      </c>
      <c r="P11" s="13">
        <v>5128996</v>
      </c>
      <c r="Q11" s="13">
        <v>25858.5</v>
      </c>
      <c r="R11" s="32">
        <v>2258053</v>
      </c>
      <c r="S11" s="32">
        <v>2086405.3333333333</v>
      </c>
      <c r="T11" s="32">
        <v>400333.33333333331</v>
      </c>
      <c r="U11" s="32">
        <v>241184.5</v>
      </c>
      <c r="V11" s="32">
        <v>196796.33333333334</v>
      </c>
    </row>
    <row r="12" spans="1:22" ht="16.5" x14ac:dyDescent="0.35">
      <c r="A12" s="220"/>
      <c r="B12" s="14">
        <v>166348</v>
      </c>
      <c r="C12" s="13">
        <v>204813.5</v>
      </c>
      <c r="D12" s="32"/>
      <c r="E12" s="32">
        <v>542831</v>
      </c>
      <c r="F12" s="32">
        <v>2836919.3333333335</v>
      </c>
      <c r="G12" s="32">
        <v>3766933</v>
      </c>
      <c r="H12" s="32">
        <v>8007350.666666667</v>
      </c>
      <c r="I12" s="32">
        <v>432273.66666666669</v>
      </c>
      <c r="J12" s="32">
        <v>327477</v>
      </c>
      <c r="K12" s="13">
        <v>119526.5</v>
      </c>
      <c r="L12" s="13">
        <v>194373.66666666666</v>
      </c>
      <c r="M12" s="13">
        <v>324535</v>
      </c>
      <c r="N12" s="3"/>
      <c r="O12" s="32">
        <v>3669220</v>
      </c>
      <c r="P12" s="13">
        <v>2957022.6666666665</v>
      </c>
      <c r="Q12" s="13">
        <v>234716.5</v>
      </c>
      <c r="R12" s="32">
        <v>2160949</v>
      </c>
      <c r="S12" s="32">
        <v>155021.33333333334</v>
      </c>
      <c r="T12" s="32">
        <v>229687.66666666666</v>
      </c>
      <c r="U12" s="32">
        <v>659221.33333333337</v>
      </c>
      <c r="V12" s="32">
        <v>296892</v>
      </c>
    </row>
    <row r="13" spans="1:22" ht="16.5" x14ac:dyDescent="0.35">
      <c r="A13" s="220"/>
      <c r="B13" s="14"/>
      <c r="C13" s="13"/>
      <c r="D13" s="32"/>
      <c r="E13" s="32"/>
      <c r="F13" s="32"/>
      <c r="G13" s="32"/>
      <c r="H13" s="32"/>
      <c r="I13" s="32"/>
      <c r="J13" s="32"/>
      <c r="K13" s="13"/>
      <c r="L13" s="13"/>
      <c r="M13" s="13"/>
      <c r="N13" s="3"/>
      <c r="O13" s="32">
        <v>4340514.333333333</v>
      </c>
      <c r="P13" s="13"/>
      <c r="Q13" s="13"/>
      <c r="R13" s="32"/>
      <c r="S13" s="32"/>
      <c r="T13" s="32"/>
      <c r="U13" s="32"/>
      <c r="V13" s="32"/>
    </row>
    <row r="14" spans="1:22" ht="16.5" x14ac:dyDescent="0.35">
      <c r="A14" s="220"/>
      <c r="B14" s="14"/>
      <c r="C14" s="32"/>
      <c r="D14" s="32"/>
      <c r="E14" s="32"/>
      <c r="F14" s="32"/>
      <c r="G14" s="32"/>
      <c r="H14" s="32"/>
      <c r="I14" s="32"/>
      <c r="J14" s="32"/>
      <c r="K14" s="13"/>
      <c r="L14" s="13"/>
      <c r="M14" s="13"/>
      <c r="N14" s="3"/>
      <c r="O14" s="32">
        <v>561879.5</v>
      </c>
      <c r="P14" s="13"/>
      <c r="Q14" s="13"/>
      <c r="R14" s="32"/>
      <c r="S14" s="32"/>
      <c r="T14" s="32"/>
      <c r="U14" s="32"/>
      <c r="V14" s="32"/>
    </row>
    <row r="15" spans="1:22" ht="16.5" x14ac:dyDescent="0.35">
      <c r="A15" s="220"/>
      <c r="B15" s="14"/>
      <c r="C15" s="32"/>
      <c r="D15" s="32"/>
      <c r="E15" s="32"/>
      <c r="F15" s="32"/>
      <c r="G15" s="32"/>
      <c r="H15" s="32"/>
      <c r="I15" s="32"/>
      <c r="J15" s="32"/>
      <c r="K15" s="13"/>
      <c r="L15" s="13"/>
      <c r="M15" s="13"/>
      <c r="N15" s="3"/>
      <c r="O15" s="32">
        <v>3329605</v>
      </c>
      <c r="P15" s="13"/>
      <c r="Q15" s="13"/>
      <c r="R15" s="32"/>
      <c r="S15" s="32"/>
      <c r="T15" s="32"/>
      <c r="U15" s="32"/>
      <c r="V15" s="32"/>
    </row>
    <row r="16" spans="1:22" ht="16.5" x14ac:dyDescent="0.35">
      <c r="A16" s="220"/>
      <c r="B16" s="14"/>
      <c r="C16" s="32"/>
      <c r="D16" s="32"/>
      <c r="E16" s="32"/>
      <c r="F16" s="32"/>
      <c r="G16" s="32"/>
      <c r="H16" s="32"/>
      <c r="I16" s="32"/>
      <c r="J16" s="32"/>
      <c r="K16" s="13"/>
      <c r="L16" s="13"/>
      <c r="M16" s="13"/>
      <c r="N16" s="3"/>
      <c r="O16" s="32">
        <v>4569099</v>
      </c>
      <c r="P16" s="13"/>
      <c r="Q16" s="13"/>
      <c r="R16" s="32"/>
      <c r="S16" s="32"/>
      <c r="T16" s="32"/>
      <c r="U16" s="32"/>
      <c r="V16" s="32"/>
    </row>
    <row r="17" spans="1:22" ht="16.5" x14ac:dyDescent="0.35">
      <c r="A17" s="220"/>
      <c r="B17" s="14"/>
      <c r="C17" s="32"/>
      <c r="D17" s="32"/>
      <c r="E17" s="32"/>
      <c r="F17" s="32"/>
      <c r="G17" s="32"/>
      <c r="H17" s="32"/>
      <c r="I17" s="32"/>
      <c r="J17" s="32"/>
      <c r="K17" s="13"/>
      <c r="L17" s="13"/>
      <c r="M17" s="13"/>
      <c r="N17" s="3"/>
      <c r="O17" s="32">
        <v>4453991.666666667</v>
      </c>
      <c r="P17" s="13"/>
      <c r="Q17" s="13"/>
      <c r="R17" s="32"/>
      <c r="S17" s="32"/>
      <c r="T17" s="32"/>
      <c r="U17" s="32"/>
      <c r="V17" s="32"/>
    </row>
    <row r="18" spans="1:22" ht="16.5" x14ac:dyDescent="0.35">
      <c r="A18" s="220"/>
      <c r="B18" s="14"/>
      <c r="C18" s="32"/>
      <c r="D18" s="32"/>
      <c r="E18" s="32"/>
      <c r="F18" s="32"/>
      <c r="G18" s="32"/>
      <c r="H18" s="32"/>
      <c r="I18" s="32"/>
      <c r="J18" s="32"/>
      <c r="K18" s="13"/>
      <c r="L18" s="13"/>
      <c r="M18" s="13"/>
      <c r="N18" s="3"/>
      <c r="O18" s="32">
        <v>2283608.5</v>
      </c>
      <c r="P18" s="13"/>
      <c r="Q18" s="13"/>
      <c r="R18" s="32"/>
      <c r="S18" s="32"/>
      <c r="T18" s="32"/>
      <c r="U18" s="32"/>
      <c r="V18" s="32"/>
    </row>
    <row r="19" spans="1:22" ht="16.5" x14ac:dyDescent="0.35">
      <c r="A19" s="220"/>
      <c r="B19" s="14"/>
      <c r="C19" s="32"/>
      <c r="D19" s="32"/>
      <c r="E19" s="32"/>
      <c r="F19" s="32"/>
      <c r="G19" s="32"/>
      <c r="H19" s="32"/>
      <c r="I19" s="32"/>
      <c r="J19" s="32"/>
      <c r="K19" s="13"/>
      <c r="L19" s="13"/>
      <c r="M19" s="13"/>
      <c r="N19" s="3"/>
      <c r="O19" s="32">
        <v>642559.33333333337</v>
      </c>
      <c r="P19" s="13"/>
      <c r="Q19" s="13"/>
      <c r="R19" s="32"/>
      <c r="S19" s="32"/>
      <c r="T19" s="32"/>
      <c r="U19" s="32"/>
      <c r="V19" s="32"/>
    </row>
    <row r="20" spans="1:22" ht="16.5" x14ac:dyDescent="0.35">
      <c r="A20" s="220"/>
      <c r="B20" s="14"/>
      <c r="C20" s="32"/>
      <c r="D20" s="32"/>
      <c r="E20" s="32"/>
      <c r="F20" s="32"/>
      <c r="G20" s="32"/>
      <c r="H20" s="32"/>
      <c r="I20" s="32"/>
      <c r="J20" s="32"/>
      <c r="K20" s="13"/>
      <c r="L20" s="13"/>
      <c r="M20" s="13"/>
      <c r="N20" s="3"/>
      <c r="O20" s="32">
        <v>6051558</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Prochloraz-12µg/L</v>
      </c>
      <c r="J22" s="3" t="str">
        <f t="shared" si="0"/>
        <v>Prochloraz-37µg/L</v>
      </c>
      <c r="K22" s="3" t="str">
        <f t="shared" si="0"/>
        <v>Prochloraz-111µg/L</v>
      </c>
      <c r="L22" s="3" t="str">
        <f t="shared" si="0"/>
        <v>Prochloraz-333µg/L</v>
      </c>
      <c r="M22" s="3" t="str">
        <f t="shared" si="0"/>
        <v>Prochloraz-1000µg/L</v>
      </c>
      <c r="N22" s="3" t="s">
        <v>41</v>
      </c>
      <c r="O22" s="3" t="str">
        <f t="shared" si="0"/>
        <v>Testo -30µg/L</v>
      </c>
      <c r="P22" s="3" t="str">
        <f t="shared" si="0"/>
        <v>Testo 30µg/L + EE2 -64ng/L</v>
      </c>
      <c r="Q22" s="3" t="str">
        <f t="shared" si="0"/>
        <v>Testo 30µg/L + FAD-10mg/L</v>
      </c>
      <c r="R22" s="3" t="str">
        <f t="shared" si="0"/>
        <v>Prochloraz-12µg/L + Testostérone</v>
      </c>
      <c r="S22" s="3" t="str">
        <f t="shared" si="0"/>
        <v>Prochloraz-37µg/L + Testostérone</v>
      </c>
      <c r="T22" s="3" t="str">
        <f t="shared" si="0"/>
        <v>Prochloraz-111µg/L + Testostérone</v>
      </c>
      <c r="U22" s="3" t="str">
        <f t="shared" si="0"/>
        <v>Prochloraz-333µg/L + Testostérone</v>
      </c>
      <c r="V22" s="3" t="str">
        <f t="shared" si="0"/>
        <v>Prochloraz-1000µg/L + Testostérone</v>
      </c>
    </row>
    <row r="23" spans="1:22" x14ac:dyDescent="0.35">
      <c r="A23" s="5" t="s">
        <v>0</v>
      </c>
      <c r="B23" s="5">
        <f t="shared" ref="B23:J23" si="1">AVERAGE(B5:B20)</f>
        <v>146779.04166666669</v>
      </c>
      <c r="C23" s="5">
        <f t="shared" si="1"/>
        <v>200207.29166666669</v>
      </c>
      <c r="D23" s="5">
        <f t="shared" si="1"/>
        <v>241638.88095238098</v>
      </c>
      <c r="E23" s="5">
        <f t="shared" si="1"/>
        <v>871182.875</v>
      </c>
      <c r="F23" s="5">
        <f t="shared" si="1"/>
        <v>2121423.1041666665</v>
      </c>
      <c r="G23" s="5">
        <f t="shared" si="1"/>
        <v>3683752.7291666665</v>
      </c>
      <c r="H23" s="5">
        <f t="shared" si="1"/>
        <v>6196951.166666666</v>
      </c>
      <c r="I23" s="5">
        <f t="shared" si="1"/>
        <v>273399.625</v>
      </c>
      <c r="J23" s="5">
        <f t="shared" si="1"/>
        <v>242154.70833333334</v>
      </c>
      <c r="K23" s="5"/>
      <c r="L23" s="5">
        <f>AVERAGE(L5:L20)</f>
        <v>259726.83333333334</v>
      </c>
      <c r="M23" s="5"/>
      <c r="N23" s="5" t="s">
        <v>0</v>
      </c>
      <c r="O23" s="5">
        <f>AVERAGE(O5:O20)</f>
        <v>2707532.4375</v>
      </c>
      <c r="P23" s="5">
        <f>AVERAGE(P5:P20)</f>
        <v>4519599.916666666</v>
      </c>
      <c r="Q23" s="5">
        <f>AVERAGE(Q5:Q20)</f>
        <v>224490.79166666669</v>
      </c>
      <c r="R23" s="5">
        <f>AVERAGE(R5:R20)</f>
        <v>1480215.0952380954</v>
      </c>
      <c r="S23" s="5">
        <f>AVERAGE(S5:S20)</f>
        <v>2622082.104166666</v>
      </c>
      <c r="T23" s="5">
        <f t="shared" ref="T23:V23" si="2">AVERAGE(T5:T20)</f>
        <v>1394893.9166666667</v>
      </c>
      <c r="U23" s="5">
        <f t="shared" si="2"/>
        <v>1035978.7916666666</v>
      </c>
      <c r="V23" s="5">
        <f t="shared" si="2"/>
        <v>182312.125</v>
      </c>
    </row>
    <row r="24" spans="1:22" x14ac:dyDescent="0.35">
      <c r="A24" s="3" t="s">
        <v>1</v>
      </c>
      <c r="B24" s="3">
        <f t="shared" ref="B24:J24" si="3">STDEV(B5:B20)</f>
        <v>107718.21250133212</v>
      </c>
      <c r="C24" s="3">
        <f t="shared" si="3"/>
        <v>143756.2377877181</v>
      </c>
      <c r="D24" s="3">
        <f t="shared" si="3"/>
        <v>96135.621400895106</v>
      </c>
      <c r="E24" s="3">
        <f t="shared" si="3"/>
        <v>1085277.8474009775</v>
      </c>
      <c r="F24" s="3">
        <f t="shared" si="3"/>
        <v>1216756.1103843465</v>
      </c>
      <c r="G24" s="3">
        <f t="shared" si="3"/>
        <v>1156407.2364609996</v>
      </c>
      <c r="H24" s="3">
        <f t="shared" si="3"/>
        <v>1846518.057481294</v>
      </c>
      <c r="I24" s="3">
        <f t="shared" si="3"/>
        <v>98121.077753285383</v>
      </c>
      <c r="J24" s="3">
        <f t="shared" si="3"/>
        <v>117151.18472521658</v>
      </c>
      <c r="K24" s="3"/>
      <c r="L24" s="3">
        <f>STDEV(L5:L20)</f>
        <v>150759.01414309139</v>
      </c>
      <c r="M24" s="3"/>
      <c r="N24" s="3" t="s">
        <v>1</v>
      </c>
      <c r="O24" s="3">
        <f>STDEV(O5:O20)</f>
        <v>1717042.1484138756</v>
      </c>
      <c r="P24" s="3">
        <f>STDEV(P5:P20)</f>
        <v>1114823.8502079179</v>
      </c>
      <c r="Q24" s="3">
        <f>STDEV(Q5:Q20)</f>
        <v>155803.39599684216</v>
      </c>
      <c r="R24" s="3">
        <f>STDEV(R5:R20)</f>
        <v>763553.78970791725</v>
      </c>
      <c r="S24" s="3">
        <f>STDEV(S5:S20)</f>
        <v>1460016.7160184332</v>
      </c>
      <c r="T24" s="3">
        <f t="shared" ref="T24:V24" si="4">STDEV(T5:T20)</f>
        <v>1261849.0884093028</v>
      </c>
      <c r="U24" s="3">
        <f t="shared" si="4"/>
        <v>862449.76517201297</v>
      </c>
      <c r="V24" s="3">
        <f t="shared" si="4"/>
        <v>97916.563987129557</v>
      </c>
    </row>
    <row r="25" spans="1:22" ht="15" thickBot="1" x14ac:dyDescent="0.4"/>
    <row r="26" spans="1:22" ht="15" thickBot="1" x14ac:dyDescent="0.4">
      <c r="B26" s="218" t="s">
        <v>6</v>
      </c>
      <c r="C26" s="219"/>
      <c r="D26" s="219"/>
      <c r="E26" s="219"/>
      <c r="F26" s="219"/>
      <c r="G26" s="219"/>
      <c r="H26" s="219"/>
      <c r="I26" s="219"/>
      <c r="J26" s="219"/>
      <c r="K26" s="219"/>
      <c r="L26" s="219"/>
      <c r="M26" s="219"/>
      <c r="O26" s="218" t="s">
        <v>3</v>
      </c>
      <c r="P26" s="219"/>
      <c r="Q26" s="219"/>
      <c r="R26" s="219"/>
      <c r="S26" s="219"/>
      <c r="T26" s="219"/>
      <c r="U26" s="219"/>
      <c r="V26" s="219"/>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Prochloraz-12µg/L</v>
      </c>
      <c r="J27" s="35" t="str">
        <f t="shared" si="5"/>
        <v>Prochloraz-37µg/L</v>
      </c>
      <c r="K27" s="35" t="str">
        <f t="shared" si="5"/>
        <v>Prochloraz-111µg/L</v>
      </c>
      <c r="L27" s="35" t="str">
        <f t="shared" si="5"/>
        <v>Prochloraz-333µg/L</v>
      </c>
      <c r="M27" s="35" t="str">
        <f t="shared" si="5"/>
        <v>Prochloraz-1000µg/L</v>
      </c>
      <c r="N27" s="3"/>
      <c r="O27" s="36" t="str">
        <f>O4</f>
        <v>Testo -30µg/L</v>
      </c>
      <c r="P27" s="36" t="str">
        <f t="shared" ref="P27:R27" si="6">P4</f>
        <v>Testo 30µg/L + EE2 -64ng/L</v>
      </c>
      <c r="Q27" s="36" t="str">
        <f t="shared" si="6"/>
        <v>Testo 30µg/L + FAD-10mg/L</v>
      </c>
      <c r="R27" s="36" t="str">
        <f t="shared" si="6"/>
        <v>Prochloraz-12µg/L + Testostérone</v>
      </c>
      <c r="S27" s="36" t="str">
        <f t="shared" ref="S27:V27" si="7">S4</f>
        <v>Prochloraz-37µg/L + Testostérone</v>
      </c>
      <c r="T27" s="36" t="str">
        <f t="shared" si="7"/>
        <v>Prochloraz-111µg/L + Testostérone</v>
      </c>
      <c r="U27" s="36" t="str">
        <f t="shared" si="7"/>
        <v>Prochloraz-333µg/L + Testostérone</v>
      </c>
      <c r="V27" s="36" t="str">
        <f t="shared" si="7"/>
        <v>Prochloraz-1000µg/L + Testostérone</v>
      </c>
    </row>
    <row r="28" spans="1:22" x14ac:dyDescent="0.35">
      <c r="A28" s="221" t="s">
        <v>34</v>
      </c>
      <c r="B28" s="11">
        <f t="shared" ref="B28:M28" si="8">IF(B5="","",(B5/$O$23))</f>
        <v>3.7227624165813898E-2</v>
      </c>
      <c r="C28" s="11">
        <f t="shared" si="8"/>
        <v>1.420937116042708E-2</v>
      </c>
      <c r="D28" s="11">
        <f t="shared" si="8"/>
        <v>0.14322032168328055</v>
      </c>
      <c r="E28" s="11">
        <f t="shared" si="8"/>
        <v>1.0307903590290166</v>
      </c>
      <c r="F28" s="11">
        <f t="shared" si="8"/>
        <v>1.3930923280643674</v>
      </c>
      <c r="G28" s="11">
        <f t="shared" si="8"/>
        <v>1.2389301861011097</v>
      </c>
      <c r="H28" s="11">
        <f t="shared" si="8"/>
        <v>2.6742085276802277</v>
      </c>
      <c r="I28" s="11">
        <f t="shared" si="8"/>
        <v>7.527038168679373E-2</v>
      </c>
      <c r="J28" s="11">
        <f t="shared" si="8"/>
        <v>3.1595558677401811E-2</v>
      </c>
      <c r="K28" s="11">
        <f t="shared" si="8"/>
        <v>0.12273167826082601</v>
      </c>
      <c r="L28" s="11">
        <f t="shared" si="8"/>
        <v>0.13674936196709309</v>
      </c>
      <c r="M28" s="11">
        <f t="shared" si="8"/>
        <v>0.20388170634182232</v>
      </c>
      <c r="N28" s="6"/>
      <c r="O28" s="11">
        <f t="shared" ref="O28:S37" si="9">IF(O5="","",(O5/$O$23))</f>
        <v>1.1785348493477961</v>
      </c>
      <c r="P28" s="11">
        <f t="shared" si="9"/>
        <v>2.4708461133625845</v>
      </c>
      <c r="Q28" s="11">
        <f t="shared" si="9"/>
        <v>0.10071052011172811</v>
      </c>
      <c r="R28" s="11">
        <f t="shared" si="9"/>
        <v>0.2109012590546295</v>
      </c>
      <c r="S28" s="11">
        <f t="shared" si="9"/>
        <v>0.93861023841073243</v>
      </c>
      <c r="T28" s="11">
        <f t="shared" ref="T28:V28" si="10">IF(T5="","",(T5/$O$23))</f>
        <v>0.68496649359163952</v>
      </c>
      <c r="U28" s="11">
        <f t="shared" si="10"/>
        <v>0.13059012520140859</v>
      </c>
      <c r="V28" s="11">
        <f t="shared" si="10"/>
        <v>4.0750758318477208E-2</v>
      </c>
    </row>
    <row r="29" spans="1:22" x14ac:dyDescent="0.35">
      <c r="A29" s="221"/>
      <c r="B29" s="11">
        <f t="shared" ref="B29:M29" si="11">IF(B6="","",(B6/$O$23))</f>
        <v>2.5660080388233576E-2</v>
      </c>
      <c r="C29" s="11">
        <f t="shared" si="11"/>
        <v>6.6842166256903188E-2</v>
      </c>
      <c r="D29" s="11">
        <f t="shared" si="11"/>
        <v>6.1797228237270192E-2</v>
      </c>
      <c r="E29" s="11">
        <f t="shared" si="11"/>
        <v>4.9799464929463716E-2</v>
      </c>
      <c r="F29" s="11">
        <f t="shared" si="11"/>
        <v>0.38949856533343935</v>
      </c>
      <c r="G29" s="11">
        <f t="shared" si="11"/>
        <v>0.63119650066980959</v>
      </c>
      <c r="H29" s="11">
        <f t="shared" si="11"/>
        <v>2.4722253519938975</v>
      </c>
      <c r="I29" s="11">
        <f t="shared" si="11"/>
        <v>9.56284018665612E-2</v>
      </c>
      <c r="J29" s="11">
        <f t="shared" si="11"/>
        <v>8.361857345245563E-2</v>
      </c>
      <c r="K29" s="11">
        <f t="shared" si="11"/>
        <v>1.4281269344903277E-2</v>
      </c>
      <c r="L29" s="11">
        <f t="shared" si="11"/>
        <v>4.1549640714138261E-2</v>
      </c>
      <c r="M29" s="11">
        <f t="shared" si="11"/>
        <v>0.11362449281828779</v>
      </c>
      <c r="N29" s="6"/>
      <c r="O29" s="11">
        <f t="shared" si="9"/>
        <v>1.3889621220835326</v>
      </c>
      <c r="P29" s="11">
        <f t="shared" si="9"/>
        <v>1.6545067400200508</v>
      </c>
      <c r="Q29" s="11">
        <f t="shared" si="9"/>
        <v>0.1862931205110139</v>
      </c>
      <c r="R29" s="11" t="str">
        <f t="shared" si="9"/>
        <v/>
      </c>
      <c r="S29" s="11">
        <f t="shared" si="9"/>
        <v>0.54043058286844003</v>
      </c>
      <c r="T29" s="11">
        <f t="shared" ref="T29:V29" si="12">IF(T6="","",(T6/$O$23))</f>
        <v>0.64738713464320841</v>
      </c>
      <c r="U29" s="11">
        <f t="shared" si="12"/>
        <v>0.63922004258536236</v>
      </c>
      <c r="V29" s="11">
        <f t="shared" si="12"/>
        <v>1.143722831821721E-2</v>
      </c>
    </row>
    <row r="30" spans="1:22" x14ac:dyDescent="0.35">
      <c r="A30" s="221"/>
      <c r="B30" s="11">
        <f t="shared" ref="B30:M30" si="13">IF(B7="","",(B7/$O$23))</f>
        <v>5.5709766542732325E-2</v>
      </c>
      <c r="C30" s="11">
        <f t="shared" si="13"/>
        <v>2.6155303756479308E-2</v>
      </c>
      <c r="D30" s="11">
        <f t="shared" si="13"/>
        <v>7.4143894721113573E-2</v>
      </c>
      <c r="E30" s="11">
        <f t="shared" si="13"/>
        <v>4.7291030839219629E-2</v>
      </c>
      <c r="F30" s="11">
        <f t="shared" si="13"/>
        <v>0.18374208920873425</v>
      </c>
      <c r="G30" s="11">
        <f t="shared" si="13"/>
        <v>1.443577534239606</v>
      </c>
      <c r="H30" s="11">
        <f t="shared" si="13"/>
        <v>1.7149870249707766</v>
      </c>
      <c r="I30" s="11">
        <f t="shared" si="13"/>
        <v>0.14710941020812793</v>
      </c>
      <c r="J30" s="11">
        <f t="shared" si="13"/>
        <v>0.10046417033923347</v>
      </c>
      <c r="K30" s="11">
        <f t="shared" si="13"/>
        <v>6.8967225438827273E-2</v>
      </c>
      <c r="L30" s="11">
        <f t="shared" si="13"/>
        <v>0.15494514273940255</v>
      </c>
      <c r="M30" s="11">
        <f t="shared" si="13"/>
        <v>0.22021613668417347</v>
      </c>
      <c r="N30" s="6"/>
      <c r="O30" s="11">
        <f t="shared" si="9"/>
        <v>0.30670534364250496</v>
      </c>
      <c r="P30" s="11">
        <f t="shared" si="9"/>
        <v>1.6490210562805123</v>
      </c>
      <c r="Q30" s="11">
        <f t="shared" si="9"/>
        <v>0.10818152940411448</v>
      </c>
      <c r="R30" s="11">
        <f t="shared" si="9"/>
        <v>0.1861626203816564</v>
      </c>
      <c r="S30" s="11">
        <f t="shared" si="9"/>
        <v>1.2942658112352408</v>
      </c>
      <c r="T30" s="11">
        <f t="shared" ref="T30:V30" si="14">IF(T7="","",(T7/$O$23))</f>
        <v>0.36564141810027717</v>
      </c>
      <c r="U30" s="11">
        <f t="shared" si="14"/>
        <v>0.33741830286012964</v>
      </c>
      <c r="V30" s="11">
        <f t="shared" si="14"/>
        <v>6.8759533251821534E-2</v>
      </c>
    </row>
    <row r="31" spans="1:22" x14ac:dyDescent="0.35">
      <c r="A31" s="221"/>
      <c r="B31" s="11">
        <f t="shared" ref="B31:M31" si="15">IF(B8="","",(B8/$O$23))</f>
        <v>0.13511958771007954</v>
      </c>
      <c r="C31" s="11">
        <f t="shared" si="15"/>
        <v>6.4115329119979692E-2</v>
      </c>
      <c r="D31" s="11">
        <f t="shared" si="15"/>
        <v>0.10509778672473123</v>
      </c>
      <c r="E31" s="11">
        <f t="shared" si="15"/>
        <v>0.89457075371911721</v>
      </c>
      <c r="F31" s="11">
        <f t="shared" si="15"/>
        <v>0.89584103705374962</v>
      </c>
      <c r="G31" s="11">
        <f t="shared" si="15"/>
        <v>1.522666522070061</v>
      </c>
      <c r="H31" s="11">
        <f t="shared" si="15"/>
        <v>1.0448079196219542</v>
      </c>
      <c r="I31" s="11">
        <f t="shared" si="15"/>
        <v>6.6927360680974296E-2</v>
      </c>
      <c r="J31" s="11">
        <f t="shared" si="15"/>
        <v>2.5971495555412592E-2</v>
      </c>
      <c r="K31" s="11">
        <f t="shared" si="15"/>
        <v>0.12758886845284564</v>
      </c>
      <c r="L31" s="11">
        <f t="shared" si="15"/>
        <v>7.4729667943267256E-2</v>
      </c>
      <c r="M31" s="11">
        <f t="shared" si="15"/>
        <v>1.8346225261059314E-2</v>
      </c>
      <c r="N31" s="6"/>
      <c r="O31" s="11">
        <f t="shared" si="9"/>
        <v>0.78246424825458194</v>
      </c>
      <c r="P31" s="11">
        <f t="shared" si="9"/>
        <v>1.7868994905932065</v>
      </c>
      <c r="Q31" s="11">
        <f t="shared" si="9"/>
        <v>4.4372383134806549E-2</v>
      </c>
      <c r="R31" s="11">
        <f t="shared" si="9"/>
        <v>0.82704961744956618</v>
      </c>
      <c r="S31" s="11">
        <f t="shared" si="9"/>
        <v>0.97607768734257316</v>
      </c>
      <c r="T31" s="11">
        <f t="shared" ref="T31:V31" si="16">IF(T8="","",(T8/$O$23))</f>
        <v>1.4627492343755162</v>
      </c>
      <c r="U31" s="11">
        <f t="shared" si="16"/>
        <v>0.63428295184244377</v>
      </c>
      <c r="V31" s="11">
        <f t="shared" si="16"/>
        <v>0.12404185031424331</v>
      </c>
    </row>
    <row r="32" spans="1:22" x14ac:dyDescent="0.35">
      <c r="A32" s="221"/>
      <c r="B32" s="11">
        <f t="shared" ref="B32:M32" si="17">IF(B9="","",(B9/$O$23))</f>
        <v>2.0954504261594835E-2</v>
      </c>
      <c r="C32" s="11">
        <f t="shared" si="17"/>
        <v>0.17067508663350348</v>
      </c>
      <c r="D32" s="11">
        <f t="shared" si="17"/>
        <v>0.12113003539962205</v>
      </c>
      <c r="E32" s="11">
        <f t="shared" si="17"/>
        <v>7.5584690017217931E-2</v>
      </c>
      <c r="F32" s="11">
        <f t="shared" si="17"/>
        <v>0.72007718405528176</v>
      </c>
      <c r="G32" s="11">
        <f t="shared" si="17"/>
        <v>1.6005956592225192</v>
      </c>
      <c r="H32" s="11">
        <f t="shared" si="17"/>
        <v>3.0742734176384174</v>
      </c>
      <c r="I32" s="11">
        <f t="shared" si="17"/>
        <v>6.431501894056256E-2</v>
      </c>
      <c r="J32" s="11">
        <f t="shared" si="17"/>
        <v>0.15420215379537197</v>
      </c>
      <c r="K32" s="11">
        <f t="shared" si="17"/>
        <v>6.529561661068742E-3</v>
      </c>
      <c r="L32" s="11">
        <f t="shared" si="17"/>
        <v>9.4787045372194179E-2</v>
      </c>
      <c r="M32" s="11">
        <f t="shared" si="17"/>
        <v>0.20951660343681477</v>
      </c>
      <c r="N32" s="6"/>
      <c r="O32" s="11">
        <f t="shared" si="9"/>
        <v>0.75203623483827609</v>
      </c>
      <c r="P32" s="11">
        <f t="shared" si="9"/>
        <v>1.4503639103061838</v>
      </c>
      <c r="Q32" s="11">
        <f t="shared" si="9"/>
        <v>0.10803231604866045</v>
      </c>
      <c r="R32" s="11">
        <f t="shared" si="9"/>
        <v>0.44957688526307821</v>
      </c>
      <c r="S32" s="11">
        <f t="shared" si="9"/>
        <v>1.3452154624463295</v>
      </c>
      <c r="T32" s="11">
        <f t="shared" ref="T32:V32" si="18">IF(T9="","",(T9/$O$23))</f>
        <v>0.67068780962665753</v>
      </c>
      <c r="U32" s="11">
        <f t="shared" si="18"/>
        <v>0.93246429788464302</v>
      </c>
      <c r="V32" s="11">
        <f t="shared" si="18"/>
        <v>5.2960399666495225E-2</v>
      </c>
    </row>
    <row r="33" spans="1:22" x14ac:dyDescent="0.35">
      <c r="A33" s="221"/>
      <c r="B33" s="11">
        <f t="shared" ref="B33:M33" si="19">IF(B10="","",(B10/$O$23))</f>
        <v>8.2036874950644059E-2</v>
      </c>
      <c r="C33" s="11">
        <f t="shared" si="19"/>
        <v>4.2034461006034272E-2</v>
      </c>
      <c r="D33" s="11">
        <f t="shared" si="19"/>
        <v>4.1610951152270356E-2</v>
      </c>
      <c r="E33" s="11">
        <f t="shared" si="19"/>
        <v>0.10988578722552546</v>
      </c>
      <c r="F33" s="11">
        <f t="shared" si="19"/>
        <v>0.35104307037503407</v>
      </c>
      <c r="G33" s="11">
        <f t="shared" si="19"/>
        <v>0.98852019755349652</v>
      </c>
      <c r="H33" s="11">
        <f t="shared" si="19"/>
        <v>1.9498041563167792</v>
      </c>
      <c r="I33" s="11">
        <f t="shared" si="19"/>
        <v>8.4888918343752992E-2</v>
      </c>
      <c r="J33" s="11">
        <f t="shared" si="19"/>
        <v>0.10915067753458817</v>
      </c>
      <c r="K33" s="11">
        <f t="shared" si="19"/>
        <v>3.2684742304218473E-2</v>
      </c>
      <c r="L33" s="11">
        <f t="shared" si="19"/>
        <v>0.17568936943407043</v>
      </c>
      <c r="M33" s="11">
        <f t="shared" si="19"/>
        <v>3.2264064057034955E-2</v>
      </c>
      <c r="N33" s="6"/>
      <c r="O33" s="11">
        <f t="shared" si="9"/>
        <v>0.35623592906016049</v>
      </c>
      <c r="P33" s="11">
        <f t="shared" si="9"/>
        <v>1.3560245050003519</v>
      </c>
      <c r="Q33" s="11">
        <f t="shared" si="9"/>
        <v>1.9476774966615706E-2</v>
      </c>
      <c r="R33" s="11">
        <f t="shared" si="9"/>
        <v>0.52111385523028175</v>
      </c>
      <c r="S33" s="11">
        <f t="shared" si="9"/>
        <v>1.8250699166369637</v>
      </c>
      <c r="T33" s="11">
        <f t="shared" ref="T33:V33" si="20">IF(T10="","",(T10/$O$23))</f>
        <v>5.7396788498001755E-2</v>
      </c>
      <c r="U33" s="11">
        <f t="shared" si="20"/>
        <v>5.4495561329724607E-2</v>
      </c>
      <c r="V33" s="11">
        <f t="shared" si="20"/>
        <v>5.8392652220994858E-2</v>
      </c>
    </row>
    <row r="34" spans="1:22" x14ac:dyDescent="0.35">
      <c r="A34" s="221"/>
      <c r="B34" s="11">
        <f t="shared" ref="B34:M34" si="21">IF(B11="","",(B11/$O$23))</f>
        <v>1.5543550313112976E-2</v>
      </c>
      <c r="C34" s="11">
        <f t="shared" si="21"/>
        <v>0.13187893709214332</v>
      </c>
      <c r="D34" s="11">
        <f t="shared" si="21"/>
        <v>7.7728093085249819E-2</v>
      </c>
      <c r="E34" s="11">
        <f t="shared" si="21"/>
        <v>0.16569010480537716</v>
      </c>
      <c r="F34" s="11">
        <f t="shared" si="21"/>
        <v>1.287129054632671</v>
      </c>
      <c r="G34" s="11">
        <f t="shared" si="21"/>
        <v>2.0676919406251804</v>
      </c>
      <c r="H34" s="11">
        <f t="shared" si="21"/>
        <v>2.4225137899817559</v>
      </c>
      <c r="I34" s="11">
        <f t="shared" si="21"/>
        <v>0.11402387245945352</v>
      </c>
      <c r="J34" s="11">
        <f t="shared" si="21"/>
        <v>8.9546357158524964E-2</v>
      </c>
      <c r="K34" s="11">
        <f t="shared" si="21"/>
        <v>4.5938261573766771E-2</v>
      </c>
      <c r="L34" s="11">
        <f t="shared" si="21"/>
        <v>1.7179849576594408E-2</v>
      </c>
      <c r="M34" s="11">
        <f t="shared" si="21"/>
        <v>0.12468905708785868</v>
      </c>
      <c r="N34" s="6"/>
      <c r="O34" s="11">
        <f t="shared" si="9"/>
        <v>0.19104387922960941</v>
      </c>
      <c r="P34" s="11">
        <f t="shared" si="9"/>
        <v>1.8943433249264627</v>
      </c>
      <c r="Q34" s="11">
        <f t="shared" si="9"/>
        <v>9.5505780990296999E-3</v>
      </c>
      <c r="R34" s="11">
        <f t="shared" si="9"/>
        <v>0.83398926961147446</v>
      </c>
      <c r="S34" s="11">
        <f t="shared" si="9"/>
        <v>0.77059292233625665</v>
      </c>
      <c r="T34" s="11">
        <f t="shared" ref="T34:V34" si="22">IF(T11="","",(T11/$O$23))</f>
        <v>0.14785910882862074</v>
      </c>
      <c r="U34" s="11">
        <f t="shared" si="22"/>
        <v>8.9079080516094464E-2</v>
      </c>
      <c r="V34" s="11">
        <f t="shared" si="22"/>
        <v>7.2684755538901399E-2</v>
      </c>
    </row>
    <row r="35" spans="1:22" x14ac:dyDescent="0.35">
      <c r="A35" s="221"/>
      <c r="B35" s="11">
        <f t="shared" ref="B35:M35" si="23">IF(B12="","",(B12/$O$23))</f>
        <v>6.1438968448185027E-2</v>
      </c>
      <c r="C35" s="11">
        <f t="shared" si="23"/>
        <v>7.5645815785355661E-2</v>
      </c>
      <c r="D35" s="11" t="str">
        <f t="shared" si="23"/>
        <v/>
      </c>
      <c r="E35" s="11">
        <f t="shared" si="23"/>
        <v>0.20048919543184604</v>
      </c>
      <c r="F35" s="11">
        <f t="shared" si="23"/>
        <v>1.0477877546511698</v>
      </c>
      <c r="G35" s="11">
        <f t="shared" si="23"/>
        <v>1.3912789918329465</v>
      </c>
      <c r="H35" s="11">
        <f t="shared" si="23"/>
        <v>2.9574348051247186</v>
      </c>
      <c r="I35" s="11">
        <f t="shared" si="23"/>
        <v>0.15965595118254855</v>
      </c>
      <c r="J35" s="11">
        <f t="shared" si="23"/>
        <v>0.12095035149509635</v>
      </c>
      <c r="K35" s="11">
        <f t="shared" si="23"/>
        <v>4.4145916165039482E-2</v>
      </c>
      <c r="L35" s="11">
        <f t="shared" si="23"/>
        <v>7.1789967859495554E-2</v>
      </c>
      <c r="M35" s="11">
        <f t="shared" si="23"/>
        <v>0.11986375324820092</v>
      </c>
      <c r="N35" s="6"/>
      <c r="O35" s="11">
        <f t="shared" si="9"/>
        <v>1.3551896735124527</v>
      </c>
      <c r="P35" s="11">
        <f t="shared" si="9"/>
        <v>1.0921467184330516</v>
      </c>
      <c r="Q35" s="11">
        <f t="shared" si="9"/>
        <v>8.6690189468875009E-2</v>
      </c>
      <c r="R35" s="11">
        <f t="shared" si="9"/>
        <v>0.7981248793441279</v>
      </c>
      <c r="S35" s="11">
        <f t="shared" si="9"/>
        <v>5.7255577508970597E-2</v>
      </c>
      <c r="T35" s="11">
        <f t="shared" ref="T35:V35" si="24">IF(T12="","",(T12/$O$23))</f>
        <v>8.4832840222128142E-2</v>
      </c>
      <c r="U35" s="11">
        <f t="shared" si="24"/>
        <v>0.2434767998355083</v>
      </c>
      <c r="V35" s="11">
        <f t="shared" si="24"/>
        <v>0.10965408793925115</v>
      </c>
    </row>
    <row r="36" spans="1:22" x14ac:dyDescent="0.35">
      <c r="A36" s="221"/>
      <c r="B36" s="11" t="str">
        <f t="shared" ref="B36:M36" si="25">IF(B13="","",(B13/$O$23))</f>
        <v/>
      </c>
      <c r="C36" s="11" t="str">
        <f t="shared" si="25"/>
        <v/>
      </c>
      <c r="D36" s="11" t="str">
        <f t="shared" si="25"/>
        <v/>
      </c>
      <c r="E36" s="11" t="str">
        <f t="shared" si="25"/>
        <v/>
      </c>
      <c r="F36" s="11" t="str">
        <f t="shared" si="25"/>
        <v/>
      </c>
      <c r="G36" s="11" t="str">
        <f t="shared" si="25"/>
        <v/>
      </c>
      <c r="H36" s="11" t="str">
        <f t="shared" si="25"/>
        <v/>
      </c>
      <c r="I36" s="11" t="str">
        <f t="shared" si="25"/>
        <v/>
      </c>
      <c r="J36" s="11" t="str">
        <f t="shared" si="25"/>
        <v/>
      </c>
      <c r="K36" s="11" t="str">
        <f t="shared" si="25"/>
        <v/>
      </c>
      <c r="L36" s="11" t="str">
        <f t="shared" si="25"/>
        <v/>
      </c>
      <c r="M36" s="11" t="str">
        <f t="shared" si="25"/>
        <v/>
      </c>
      <c r="N36" s="6"/>
      <c r="O36" s="11">
        <f t="shared" si="9"/>
        <v>1.6031255150321104</v>
      </c>
      <c r="P36" s="11" t="str">
        <f t="shared" si="9"/>
        <v/>
      </c>
      <c r="Q36" s="11" t="str">
        <f t="shared" si="9"/>
        <v/>
      </c>
      <c r="R36" s="11" t="str">
        <f t="shared" si="9"/>
        <v/>
      </c>
      <c r="S36" s="11" t="str">
        <f t="shared" si="9"/>
        <v/>
      </c>
      <c r="T36" s="11" t="str">
        <f t="shared" ref="T36:V36" si="26">IF(T13="","",(T13/$O$23))</f>
        <v/>
      </c>
      <c r="U36" s="11" t="str">
        <f t="shared" si="26"/>
        <v/>
      </c>
      <c r="V36" s="11" t="str">
        <f t="shared" si="26"/>
        <v/>
      </c>
    </row>
    <row r="37" spans="1:22" x14ac:dyDescent="0.35">
      <c r="A37" s="221"/>
      <c r="B37" s="11" t="str">
        <f t="shared" ref="B37:M37" si="27">IF(B14="","",(B14/$O$23))</f>
        <v/>
      </c>
      <c r="C37" s="11" t="str">
        <f t="shared" si="27"/>
        <v/>
      </c>
      <c r="D37" s="11" t="str">
        <f t="shared" si="27"/>
        <v/>
      </c>
      <c r="E37" s="11" t="str">
        <f t="shared" si="27"/>
        <v/>
      </c>
      <c r="F37" s="11" t="str">
        <f t="shared" si="27"/>
        <v/>
      </c>
      <c r="G37" s="11" t="str">
        <f t="shared" si="27"/>
        <v/>
      </c>
      <c r="H37" s="11" t="str">
        <f t="shared" si="27"/>
        <v/>
      </c>
      <c r="I37" s="11" t="str">
        <f t="shared" si="27"/>
        <v/>
      </c>
      <c r="J37" s="11" t="str">
        <f t="shared" si="27"/>
        <v/>
      </c>
      <c r="K37" s="11" t="str">
        <f t="shared" si="27"/>
        <v/>
      </c>
      <c r="L37" s="11" t="str">
        <f t="shared" si="27"/>
        <v/>
      </c>
      <c r="M37" s="11" t="str">
        <f t="shared" si="27"/>
        <v/>
      </c>
      <c r="N37" s="6"/>
      <c r="O37" s="11">
        <f t="shared" si="9"/>
        <v>0.20752456820750462</v>
      </c>
      <c r="P37" s="11" t="str">
        <f t="shared" si="9"/>
        <v/>
      </c>
      <c r="Q37" s="11" t="str">
        <f t="shared" si="9"/>
        <v/>
      </c>
      <c r="R37" s="11" t="str">
        <f t="shared" si="9"/>
        <v/>
      </c>
      <c r="S37" s="11" t="str">
        <f t="shared" si="9"/>
        <v/>
      </c>
      <c r="T37" s="11" t="str">
        <f t="shared" ref="T37:V37" si="28">IF(T14="","",(T14/$O$23))</f>
        <v/>
      </c>
      <c r="U37" s="11" t="str">
        <f t="shared" si="28"/>
        <v/>
      </c>
      <c r="V37" s="11" t="str">
        <f t="shared" si="28"/>
        <v/>
      </c>
    </row>
    <row r="38" spans="1:22" x14ac:dyDescent="0.35">
      <c r="A38" s="221"/>
      <c r="B38" s="11" t="str">
        <f t="shared" ref="B38:M38" si="29">IF(B15="","",(B15/$O$23))</f>
        <v/>
      </c>
      <c r="C38" s="11" t="str">
        <f t="shared" si="29"/>
        <v/>
      </c>
      <c r="D38" s="11" t="str">
        <f t="shared" si="29"/>
        <v/>
      </c>
      <c r="E38" s="11" t="str">
        <f t="shared" si="29"/>
        <v/>
      </c>
      <c r="F38" s="11" t="str">
        <f t="shared" si="29"/>
        <v/>
      </c>
      <c r="G38" s="11" t="str">
        <f t="shared" si="29"/>
        <v/>
      </c>
      <c r="H38" s="11" t="str">
        <f t="shared" si="29"/>
        <v/>
      </c>
      <c r="I38" s="11" t="str">
        <f t="shared" si="29"/>
        <v/>
      </c>
      <c r="J38" s="11" t="str">
        <f t="shared" si="29"/>
        <v/>
      </c>
      <c r="K38" s="11" t="str">
        <f t="shared" si="29"/>
        <v/>
      </c>
      <c r="L38" s="11" t="str">
        <f t="shared" si="29"/>
        <v/>
      </c>
      <c r="M38" s="11" t="str">
        <f t="shared" si="29"/>
        <v/>
      </c>
      <c r="N38" s="6"/>
      <c r="O38" s="11">
        <f t="shared" ref="O38:V38" si="30">IF(O15="","",(O15/$O$23))</f>
        <v>1.229756273233938</v>
      </c>
      <c r="P38" s="11" t="str">
        <f t="shared" si="30"/>
        <v/>
      </c>
      <c r="Q38" s="11" t="str">
        <f t="shared" si="30"/>
        <v/>
      </c>
      <c r="R38" s="11" t="str">
        <f t="shared" si="30"/>
        <v/>
      </c>
      <c r="S38" s="11" t="str">
        <f t="shared" si="30"/>
        <v/>
      </c>
      <c r="T38" s="11" t="str">
        <f t="shared" si="30"/>
        <v/>
      </c>
      <c r="U38" s="11" t="str">
        <f t="shared" si="30"/>
        <v/>
      </c>
      <c r="V38" s="11" t="str">
        <f t="shared" si="30"/>
        <v/>
      </c>
    </row>
    <row r="39" spans="1:22" x14ac:dyDescent="0.35">
      <c r="A39" s="221"/>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V39" si="32">IF(O16="","",(O16/$O$23))</f>
        <v>1.6875509732466503</v>
      </c>
      <c r="P39" s="11" t="str">
        <f t="shared" si="32"/>
        <v/>
      </c>
      <c r="Q39" s="11" t="str">
        <f t="shared" si="32"/>
        <v/>
      </c>
      <c r="R39" s="11" t="str">
        <f t="shared" si="32"/>
        <v/>
      </c>
      <c r="S39" s="11" t="str">
        <f t="shared" si="32"/>
        <v/>
      </c>
      <c r="T39" s="11" t="str">
        <f t="shared" si="32"/>
        <v/>
      </c>
      <c r="U39" s="11" t="str">
        <f t="shared" si="32"/>
        <v/>
      </c>
      <c r="V39" s="11" t="str">
        <f t="shared" si="32"/>
        <v/>
      </c>
    </row>
    <row r="40" spans="1:22" x14ac:dyDescent="0.35">
      <c r="A40" s="221"/>
      <c r="B40" s="11" t="str">
        <f t="shared" ref="B40:M40" si="33">IF(B17="","",(B17/$O$23))</f>
        <v/>
      </c>
      <c r="C40" s="11" t="str">
        <f t="shared" si="33"/>
        <v/>
      </c>
      <c r="D40" s="11" t="str">
        <f t="shared" si="33"/>
        <v/>
      </c>
      <c r="E40" s="11" t="str">
        <f t="shared" si="33"/>
        <v/>
      </c>
      <c r="F40" s="11" t="str">
        <f t="shared" si="33"/>
        <v/>
      </c>
      <c r="G40" s="11" t="str">
        <f t="shared" si="33"/>
        <v/>
      </c>
      <c r="H40" s="11" t="str">
        <f t="shared" si="33"/>
        <v/>
      </c>
      <c r="I40" s="11" t="str">
        <f t="shared" si="33"/>
        <v/>
      </c>
      <c r="J40" s="11" t="str">
        <f t="shared" si="33"/>
        <v/>
      </c>
      <c r="K40" s="11" t="str">
        <f t="shared" si="33"/>
        <v/>
      </c>
      <c r="L40" s="11" t="str">
        <f t="shared" si="33"/>
        <v/>
      </c>
      <c r="M40" s="11" t="str">
        <f t="shared" si="33"/>
        <v/>
      </c>
      <c r="N40" s="6"/>
      <c r="O40" s="11">
        <f t="shared" ref="O40:V40" si="34">IF(O17="","",(O17/$O$23))</f>
        <v>1.6450372320485511</v>
      </c>
      <c r="P40" s="11" t="str">
        <f t="shared" si="34"/>
        <v/>
      </c>
      <c r="Q40" s="11" t="str">
        <f t="shared" si="34"/>
        <v/>
      </c>
      <c r="R40" s="11" t="str">
        <f t="shared" si="34"/>
        <v/>
      </c>
      <c r="S40" s="11" t="str">
        <f t="shared" si="34"/>
        <v/>
      </c>
      <c r="T40" s="11" t="str">
        <f t="shared" si="34"/>
        <v/>
      </c>
      <c r="U40" s="11" t="str">
        <f t="shared" si="34"/>
        <v/>
      </c>
      <c r="V40" s="11" t="str">
        <f t="shared" si="34"/>
        <v/>
      </c>
    </row>
    <row r="41" spans="1:22" x14ac:dyDescent="0.35">
      <c r="A41" s="221"/>
      <c r="B41" s="11" t="str">
        <f t="shared" ref="B41:M41" si="35">IF(B18="","",(B18/$O$23))</f>
        <v/>
      </c>
      <c r="C41" s="11" t="str">
        <f t="shared" si="35"/>
        <v/>
      </c>
      <c r="D41" s="11" t="str">
        <f t="shared" si="35"/>
        <v/>
      </c>
      <c r="E41" s="11" t="str">
        <f t="shared" si="35"/>
        <v/>
      </c>
      <c r="F41" s="11" t="str">
        <f t="shared" si="35"/>
        <v/>
      </c>
      <c r="G41" s="11" t="str">
        <f t="shared" si="35"/>
        <v/>
      </c>
      <c r="H41" s="11" t="str">
        <f t="shared" si="35"/>
        <v/>
      </c>
      <c r="I41" s="11" t="str">
        <f t="shared" si="35"/>
        <v/>
      </c>
      <c r="J41" s="11" t="str">
        <f t="shared" si="35"/>
        <v/>
      </c>
      <c r="K41" s="11" t="str">
        <f t="shared" si="35"/>
        <v/>
      </c>
      <c r="L41" s="11" t="str">
        <f t="shared" si="35"/>
        <v/>
      </c>
      <c r="M41" s="11" t="str">
        <f t="shared" si="35"/>
        <v/>
      </c>
      <c r="N41" s="6"/>
      <c r="O41" s="11">
        <f t="shared" ref="O41:V41" si="36">IF(O18="","",(O18/$O$23))</f>
        <v>0.84342793769391355</v>
      </c>
      <c r="P41" s="11" t="str">
        <f t="shared" si="36"/>
        <v/>
      </c>
      <c r="Q41" s="11" t="str">
        <f t="shared" si="36"/>
        <v/>
      </c>
      <c r="R41" s="11" t="str">
        <f t="shared" si="36"/>
        <v/>
      </c>
      <c r="S41" s="11" t="str">
        <f t="shared" si="36"/>
        <v/>
      </c>
      <c r="T41" s="11" t="str">
        <f t="shared" si="36"/>
        <v/>
      </c>
      <c r="U41" s="11" t="str">
        <f t="shared" si="36"/>
        <v/>
      </c>
      <c r="V41" s="11" t="str">
        <f t="shared" si="36"/>
        <v/>
      </c>
    </row>
    <row r="42" spans="1:22" x14ac:dyDescent="0.35">
      <c r="A42" s="221"/>
      <c r="B42" s="11" t="str">
        <f t="shared" ref="B42:M42" si="37">IF(B19="","",(B19/$O$23))</f>
        <v/>
      </c>
      <c r="C42" s="11" t="str">
        <f t="shared" si="37"/>
        <v/>
      </c>
      <c r="D42" s="11" t="str">
        <f t="shared" si="37"/>
        <v/>
      </c>
      <c r="E42" s="11" t="str">
        <f t="shared" si="37"/>
        <v/>
      </c>
      <c r="F42" s="11" t="str">
        <f t="shared" si="37"/>
        <v/>
      </c>
      <c r="G42" s="11" t="str">
        <f t="shared" si="37"/>
        <v/>
      </c>
      <c r="H42" s="11" t="str">
        <f t="shared" si="37"/>
        <v/>
      </c>
      <c r="I42" s="11" t="str">
        <f t="shared" si="37"/>
        <v/>
      </c>
      <c r="J42" s="11" t="str">
        <f t="shared" si="37"/>
        <v/>
      </c>
      <c r="K42" s="11" t="str">
        <f t="shared" si="37"/>
        <v/>
      </c>
      <c r="L42" s="11" t="str">
        <f t="shared" si="37"/>
        <v/>
      </c>
      <c r="M42" s="11" t="str">
        <f t="shared" si="37"/>
        <v/>
      </c>
      <c r="N42" s="6"/>
      <c r="O42" s="11">
        <f t="shared" ref="O42:V42" si="38">IF(O19="","",(O19/$O$23))</f>
        <v>0.23732285694299585</v>
      </c>
      <c r="P42" s="11" t="str">
        <f t="shared" si="38"/>
        <v/>
      </c>
      <c r="Q42" s="11" t="str">
        <f t="shared" si="38"/>
        <v/>
      </c>
      <c r="R42" s="11" t="str">
        <f t="shared" si="38"/>
        <v/>
      </c>
      <c r="S42" s="11" t="str">
        <f t="shared" si="38"/>
        <v/>
      </c>
      <c r="T42" s="11" t="str">
        <f t="shared" si="38"/>
        <v/>
      </c>
      <c r="U42" s="11" t="str">
        <f t="shared" si="38"/>
        <v/>
      </c>
      <c r="V42" s="11" t="str">
        <f t="shared" si="38"/>
        <v/>
      </c>
    </row>
    <row r="43" spans="1:22" x14ac:dyDescent="0.35">
      <c r="A43" s="221"/>
      <c r="B43" s="11" t="str">
        <f t="shared" ref="B43:M43" si="39">IF(B20="","",(B20/$O$23))</f>
        <v/>
      </c>
      <c r="C43" s="11" t="str">
        <f t="shared" si="39"/>
        <v/>
      </c>
      <c r="D43" s="11" t="str">
        <f t="shared" si="39"/>
        <v/>
      </c>
      <c r="E43" s="11" t="str">
        <f t="shared" si="39"/>
        <v/>
      </c>
      <c r="F43" s="11" t="str">
        <f t="shared" si="39"/>
        <v/>
      </c>
      <c r="G43" s="11" t="str">
        <f t="shared" si="39"/>
        <v/>
      </c>
      <c r="H43" s="11" t="str">
        <f t="shared" si="39"/>
        <v/>
      </c>
      <c r="I43" s="11" t="str">
        <f t="shared" si="39"/>
        <v/>
      </c>
      <c r="J43" s="11" t="str">
        <f t="shared" si="39"/>
        <v/>
      </c>
      <c r="K43" s="11" t="str">
        <f t="shared" si="39"/>
        <v/>
      </c>
      <c r="L43" s="11" t="str">
        <f t="shared" si="39"/>
        <v/>
      </c>
      <c r="M43" s="11" t="str">
        <f t="shared" si="39"/>
        <v/>
      </c>
      <c r="N43" s="6"/>
      <c r="O43" s="11">
        <f t="shared" ref="O43:V43" si="40">IF(O20="","",(O20/$O$23))</f>
        <v>2.235082363625422</v>
      </c>
      <c r="P43" s="11" t="str">
        <f t="shared" si="40"/>
        <v/>
      </c>
      <c r="Q43" s="11" t="str">
        <f t="shared" si="40"/>
        <v/>
      </c>
      <c r="R43" s="11" t="str">
        <f t="shared" si="40"/>
        <v/>
      </c>
      <c r="S43" s="11" t="str">
        <f t="shared" si="40"/>
        <v/>
      </c>
      <c r="T43" s="11" t="str">
        <f t="shared" si="40"/>
        <v/>
      </c>
      <c r="U43" s="11" t="str">
        <f t="shared" si="40"/>
        <v/>
      </c>
      <c r="V43" s="11" t="str">
        <f t="shared" si="4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41">B4</f>
        <v>Témoin solvant</v>
      </c>
      <c r="C45" s="7" t="str">
        <f t="shared" si="41"/>
        <v>EE2-33,8ng/L</v>
      </c>
      <c r="D45" s="7" t="str">
        <f t="shared" si="41"/>
        <v>EE2-50,6ng/L</v>
      </c>
      <c r="E45" s="7" t="str">
        <f t="shared" si="41"/>
        <v>EE2-76ng/L</v>
      </c>
      <c r="F45" s="7" t="str">
        <f t="shared" si="41"/>
        <v>EE2-114ng/L</v>
      </c>
      <c r="G45" s="7" t="str">
        <f t="shared" si="41"/>
        <v>EE2-170,9ng/L</v>
      </c>
      <c r="H45" s="7" t="str">
        <f t="shared" si="41"/>
        <v>EE2-488ng/L</v>
      </c>
      <c r="I45" s="7" t="str">
        <f t="shared" si="41"/>
        <v>Prochloraz-12µg/L</v>
      </c>
      <c r="J45" s="7" t="str">
        <f t="shared" si="41"/>
        <v>Prochloraz-37µg/L</v>
      </c>
      <c r="K45" s="7" t="str">
        <f t="shared" ref="K45:M45" si="42">K4</f>
        <v>Prochloraz-111µg/L</v>
      </c>
      <c r="L45" s="7" t="str">
        <f t="shared" si="42"/>
        <v>Prochloraz-333µg/L</v>
      </c>
      <c r="M45" s="7" t="str">
        <f t="shared" si="42"/>
        <v>Prochloraz-1000µg/L</v>
      </c>
      <c r="N45" s="7"/>
      <c r="O45" s="7" t="str">
        <f t="shared" si="41"/>
        <v>Testo -30µg/L</v>
      </c>
      <c r="P45" s="7" t="str">
        <f t="shared" si="41"/>
        <v>Testo 30µg/L + EE2 -64ng/L</v>
      </c>
      <c r="Q45" s="7" t="str">
        <f t="shared" si="41"/>
        <v>Testo 30µg/L + FAD-10mg/L</v>
      </c>
      <c r="R45" s="7" t="str">
        <f t="shared" si="41"/>
        <v>Prochloraz-12µg/L + Testostérone</v>
      </c>
      <c r="S45" s="7" t="str">
        <f t="shared" ref="S45:V45" si="43">S4</f>
        <v>Prochloraz-37µg/L + Testostérone</v>
      </c>
      <c r="T45" s="7" t="str">
        <f t="shared" si="43"/>
        <v>Prochloraz-111µg/L + Testostérone</v>
      </c>
      <c r="U45" s="7" t="str">
        <f t="shared" si="43"/>
        <v>Prochloraz-333µg/L + Testostérone</v>
      </c>
      <c r="V45" s="7" t="str">
        <f t="shared" si="43"/>
        <v>Prochloraz-1000µg/L + Testostérone</v>
      </c>
    </row>
    <row r="46" spans="1:22" x14ac:dyDescent="0.35">
      <c r="A46" s="8" t="s">
        <v>0</v>
      </c>
      <c r="B46" s="10">
        <f t="shared" ref="B46:H46" si="44">AVERAGE(B28:B43)</f>
        <v>5.4211369597549533E-2</v>
      </c>
      <c r="C46" s="10">
        <f t="shared" si="44"/>
        <v>7.3944558851353259E-2</v>
      </c>
      <c r="D46" s="10">
        <f t="shared" si="44"/>
        <v>8.9246901571933962E-2</v>
      </c>
      <c r="E46" s="10">
        <f t="shared" si="44"/>
        <v>0.32176267324959795</v>
      </c>
      <c r="F46" s="10">
        <f t="shared" si="44"/>
        <v>0.78352638542180597</v>
      </c>
      <c r="G46" s="10">
        <f t="shared" si="44"/>
        <v>1.3605571915393411</v>
      </c>
      <c r="H46" s="10">
        <f t="shared" si="44"/>
        <v>2.2887818741660659</v>
      </c>
      <c r="I46" s="10">
        <f>AVERAGE(I28:I43)</f>
        <v>0.10097741442109684</v>
      </c>
      <c r="J46" s="9">
        <f>AVERAGE(J28:J43)</f>
        <v>8.943741725101062E-2</v>
      </c>
      <c r="K46" s="9">
        <f t="shared" ref="K46:M46" si="45">AVERAGE(K28:K43)</f>
        <v>5.7858440400186957E-2</v>
      </c>
      <c r="L46" s="9">
        <f t="shared" si="45"/>
        <v>9.5927505700781956E-2</v>
      </c>
      <c r="M46" s="9">
        <f t="shared" si="45"/>
        <v>0.13030025486690655</v>
      </c>
      <c r="N46" s="8" t="s">
        <v>0</v>
      </c>
      <c r="O46" s="10">
        <f t="shared" ref="O46:R46" si="46">AVERAGE(O28:O43)</f>
        <v>1.0000000000000002</v>
      </c>
      <c r="P46" s="10">
        <f t="shared" si="46"/>
        <v>1.6692689823653006</v>
      </c>
      <c r="Q46" s="10">
        <f t="shared" si="46"/>
        <v>8.2913426468105483E-2</v>
      </c>
      <c r="R46" s="10">
        <f t="shared" si="46"/>
        <v>0.54670262661925917</v>
      </c>
      <c r="S46" s="10">
        <f t="shared" ref="S46:V46" si="47">AVERAGE(S28:S43)</f>
        <v>0.96843977484818844</v>
      </c>
      <c r="T46" s="10">
        <f t="shared" si="47"/>
        <v>0.51519010348575611</v>
      </c>
      <c r="U46" s="10">
        <f t="shared" si="47"/>
        <v>0.38262839525691439</v>
      </c>
      <c r="V46" s="10">
        <f t="shared" si="47"/>
        <v>6.7335158196050238E-2</v>
      </c>
    </row>
    <row r="47" spans="1:22" x14ac:dyDescent="0.35">
      <c r="A47" s="8" t="s">
        <v>1</v>
      </c>
      <c r="B47" s="8">
        <f t="shared" ref="B47:J47" si="48">STDEV(B28:B43)</f>
        <v>3.9784643393153109E-2</v>
      </c>
      <c r="C47" s="8">
        <f t="shared" si="48"/>
        <v>5.309492724691247E-2</v>
      </c>
      <c r="D47" s="8">
        <f t="shared" si="48"/>
        <v>3.5506729326449729E-2</v>
      </c>
      <c r="E47" s="8">
        <f t="shared" si="48"/>
        <v>0.40083650794709186</v>
      </c>
      <c r="F47" s="8">
        <f t="shared" si="48"/>
        <v>0.44939668811792222</v>
      </c>
      <c r="G47" s="8">
        <f t="shared" si="48"/>
        <v>0.42710743570214332</v>
      </c>
      <c r="H47" s="8">
        <f t="shared" si="48"/>
        <v>0.68199295857237252</v>
      </c>
      <c r="I47" s="8">
        <f t="shared" si="48"/>
        <v>3.6240037753300397E-2</v>
      </c>
      <c r="J47" s="8">
        <f t="shared" si="48"/>
        <v>4.3268617248178973E-2</v>
      </c>
      <c r="K47" s="8">
        <f t="shared" ref="K47:M47" si="49">STDEV(K28:K43)</f>
        <v>4.5812876202691012E-2</v>
      </c>
      <c r="L47" s="8">
        <f t="shared" si="49"/>
        <v>5.5681332587207977E-2</v>
      </c>
      <c r="M47" s="8">
        <f t="shared" si="49"/>
        <v>7.7770369205788628E-2</v>
      </c>
      <c r="N47" s="8" t="s">
        <v>1</v>
      </c>
      <c r="O47" s="8">
        <f t="shared" ref="O47:R47" si="50">STDEV(O28:O43)</f>
        <v>0.63417232777432764</v>
      </c>
      <c r="P47" s="8">
        <f t="shared" si="50"/>
        <v>0.41174902829134291</v>
      </c>
      <c r="Q47" s="8">
        <f t="shared" si="50"/>
        <v>5.7544424524310862E-2</v>
      </c>
      <c r="R47" s="8">
        <f t="shared" si="50"/>
        <v>0.28201094809890631</v>
      </c>
      <c r="S47" s="8">
        <f t="shared" ref="S47:V47" si="51">STDEV(S28:S43)</f>
        <v>0.53924255746554905</v>
      </c>
      <c r="T47" s="8">
        <f t="shared" si="51"/>
        <v>0.46605132811425576</v>
      </c>
      <c r="U47" s="8">
        <f t="shared" si="51"/>
        <v>0.31853718656399754</v>
      </c>
      <c r="V47" s="8">
        <f t="shared" si="51"/>
        <v>3.6164502641209649E-2</v>
      </c>
    </row>
    <row r="48" spans="1:22" x14ac:dyDescent="0.35">
      <c r="A48" s="8" t="s">
        <v>2</v>
      </c>
      <c r="B48" s="8">
        <f t="shared" ref="B48:J48" si="52" xml:space="preserve"> B47/SQRT(COUNT(B28:B43))</f>
        <v>1.4065995565193569E-2</v>
      </c>
      <c r="C48" s="8">
        <f t="shared" si="52"/>
        <v>1.8771891551449097E-2</v>
      </c>
      <c r="D48" s="8">
        <f t="shared" si="52"/>
        <v>1.3420282238152845E-2</v>
      </c>
      <c r="E48" s="8">
        <f t="shared" si="52"/>
        <v>0.14171710645826205</v>
      </c>
      <c r="F48" s="8">
        <f t="shared" si="52"/>
        <v>0.15888572280547938</v>
      </c>
      <c r="G48" s="8">
        <f t="shared" si="52"/>
        <v>0.15100528204009142</v>
      </c>
      <c r="H48" s="8">
        <f t="shared" si="52"/>
        <v>0.24112092286400039</v>
      </c>
      <c r="I48" s="8">
        <f t="shared" si="52"/>
        <v>1.2812788222907602E-2</v>
      </c>
      <c r="J48" s="8">
        <f t="shared" si="52"/>
        <v>1.5297766334376281E-2</v>
      </c>
      <c r="K48" s="8">
        <f t="shared" ref="K48:M48" si="53" xml:space="preserve"> K47/SQRT(COUNT(K28:K43))</f>
        <v>1.619729771429131E-2</v>
      </c>
      <c r="L48" s="8">
        <f t="shared" si="53"/>
        <v>1.9686323928959124E-2</v>
      </c>
      <c r="M48" s="8">
        <f t="shared" si="53"/>
        <v>2.7495977720397295E-2</v>
      </c>
      <c r="N48" s="8" t="s">
        <v>2</v>
      </c>
      <c r="O48" s="8">
        <f t="shared" ref="O48:R48" si="54" xml:space="preserve"> O47/SQRT(COUNT(O28:O43))</f>
        <v>0.15854308194358191</v>
      </c>
      <c r="P48" s="8">
        <f t="shared" si="54"/>
        <v>0.14557526502589008</v>
      </c>
      <c r="Q48" s="8">
        <f t="shared" si="54"/>
        <v>2.034502640030884E-2</v>
      </c>
      <c r="R48" s="8">
        <f t="shared" si="54"/>
        <v>0.10659011938103564</v>
      </c>
      <c r="S48" s="8">
        <f t="shared" ref="S48:V48" si="55" xml:space="preserve"> S47/SQRT(COUNT(S28:S43))</f>
        <v>0.19065103454413312</v>
      </c>
      <c r="T48" s="8">
        <f t="shared" si="55"/>
        <v>0.16477402724529344</v>
      </c>
      <c r="U48" s="8">
        <f t="shared" si="55"/>
        <v>0.11261990233974353</v>
      </c>
      <c r="V48" s="8">
        <f t="shared" si="55"/>
        <v>1.2786082527919075E-2</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2" t="s">
        <v>44</v>
      </c>
      <c r="B50" s="213"/>
      <c r="C50" s="213"/>
      <c r="D50" s="213"/>
      <c r="E50" s="213"/>
      <c r="F50" s="213"/>
      <c r="G50" s="213"/>
      <c r="H50" s="213"/>
      <c r="I50" s="213"/>
      <c r="J50" s="213"/>
      <c r="K50" s="213"/>
      <c r="L50" s="213"/>
      <c r="M50" s="213"/>
      <c r="N50" s="213"/>
      <c r="O50" s="213"/>
      <c r="P50" s="213"/>
      <c r="Q50" s="213"/>
      <c r="R50" s="213"/>
      <c r="S50" s="213"/>
      <c r="T50" s="213"/>
      <c r="U50" s="213"/>
      <c r="V50" s="213"/>
    </row>
    <row r="51" spans="1:22" customFormat="1" ht="15" thickBot="1" x14ac:dyDescent="0.4"/>
    <row r="52" spans="1:22" x14ac:dyDescent="0.35">
      <c r="A52" s="45" t="str">
        <f t="shared" ref="A52:H52" si="56">A27</f>
        <v>Noms des groupes</v>
      </c>
      <c r="B52" s="46" t="str">
        <f t="shared" si="56"/>
        <v>Témoin solvant</v>
      </c>
      <c r="C52" s="46" t="str">
        <f t="shared" si="56"/>
        <v>EE2-33,8ng/L</v>
      </c>
      <c r="D52" s="46" t="str">
        <f t="shared" si="56"/>
        <v>EE2-50,6ng/L</v>
      </c>
      <c r="E52" s="46" t="str">
        <f t="shared" si="56"/>
        <v>EE2-76ng/L</v>
      </c>
      <c r="F52" s="46" t="str">
        <f t="shared" si="56"/>
        <v>EE2-114ng/L</v>
      </c>
      <c r="G52" s="46" t="str">
        <f t="shared" si="56"/>
        <v>EE2-170,9ng/L</v>
      </c>
      <c r="H52" s="46" t="str">
        <f t="shared" si="56"/>
        <v>EE2-488ng/L</v>
      </c>
      <c r="I52" s="46" t="str">
        <f>I4</f>
        <v>Prochloraz-12µg/L</v>
      </c>
      <c r="J52" s="46" t="str">
        <f>J4</f>
        <v>Prochloraz-37µg/L</v>
      </c>
      <c r="K52" s="46" t="str">
        <f t="shared" ref="K52:M52" si="57">K4</f>
        <v>Prochloraz-111µg/L</v>
      </c>
      <c r="L52" s="46" t="str">
        <f t="shared" si="57"/>
        <v>Prochloraz-333µg/L</v>
      </c>
      <c r="M52" s="46" t="str">
        <f t="shared" si="57"/>
        <v>Prochloraz-1000µg/L</v>
      </c>
      <c r="N52" s="47"/>
      <c r="O52" s="46" t="str">
        <f>O27</f>
        <v>Testo -30µg/L</v>
      </c>
      <c r="P52" s="46" t="str">
        <f>P27</f>
        <v>Testo 30µg/L + EE2 -64ng/L</v>
      </c>
      <c r="Q52" s="46" t="str">
        <f>Q27</f>
        <v>Testo 30µg/L + FAD-10mg/L</v>
      </c>
      <c r="R52" s="46" t="str">
        <f>R27</f>
        <v>Prochloraz-12µg/L + Testostérone</v>
      </c>
      <c r="S52" s="46" t="str">
        <f t="shared" ref="S52:V52" si="58">S27</f>
        <v>Prochloraz-37µg/L + Testostérone</v>
      </c>
      <c r="T52" s="46" t="str">
        <f t="shared" si="58"/>
        <v>Prochloraz-111µg/L + Testostérone</v>
      </c>
      <c r="U52" s="46" t="str">
        <f t="shared" si="58"/>
        <v>Prochloraz-333µg/L + Testostérone</v>
      </c>
      <c r="V52" s="46" t="str">
        <f t="shared" si="58"/>
        <v>Prochloraz-1000µg/L + Testostérone</v>
      </c>
    </row>
    <row r="53" spans="1:22" s="3" customFormat="1" x14ac:dyDescent="0.35">
      <c r="A53" s="61" t="s">
        <v>32</v>
      </c>
      <c r="B53" s="142">
        <f t="shared" ref="B53" si="59">B46</f>
        <v>5.4211369597549533E-2</v>
      </c>
      <c r="C53" s="142">
        <f t="shared" ref="C53:V53" si="60">C46</f>
        <v>7.3944558851353259E-2</v>
      </c>
      <c r="D53" s="142">
        <f t="shared" si="60"/>
        <v>8.9246901571933962E-2</v>
      </c>
      <c r="E53" s="142">
        <f t="shared" si="60"/>
        <v>0.32176267324959795</v>
      </c>
      <c r="F53" s="142">
        <f t="shared" si="60"/>
        <v>0.78352638542180597</v>
      </c>
      <c r="G53" s="142">
        <f t="shared" si="60"/>
        <v>1.3605571915393411</v>
      </c>
      <c r="H53" s="142">
        <f t="shared" si="60"/>
        <v>2.2887818741660659</v>
      </c>
      <c r="I53" s="142">
        <f t="shared" si="60"/>
        <v>0.10097741442109684</v>
      </c>
      <c r="J53" s="142">
        <f t="shared" si="60"/>
        <v>8.943741725101062E-2</v>
      </c>
      <c r="K53" s="142">
        <f t="shared" si="60"/>
        <v>5.7858440400186957E-2</v>
      </c>
      <c r="L53" s="142">
        <f t="shared" si="60"/>
        <v>9.5927505700781956E-2</v>
      </c>
      <c r="M53" s="142">
        <f t="shared" si="60"/>
        <v>0.13030025486690655</v>
      </c>
      <c r="N53" s="142"/>
      <c r="O53" s="142">
        <f t="shared" si="60"/>
        <v>1.0000000000000002</v>
      </c>
      <c r="P53" s="142">
        <f t="shared" si="60"/>
        <v>1.6692689823653006</v>
      </c>
      <c r="Q53" s="142">
        <f t="shared" si="60"/>
        <v>8.2913426468105483E-2</v>
      </c>
      <c r="R53" s="142">
        <f t="shared" si="60"/>
        <v>0.54670262661925917</v>
      </c>
      <c r="S53" s="142">
        <f t="shared" si="60"/>
        <v>0.96843977484818844</v>
      </c>
      <c r="T53" s="142">
        <f t="shared" si="60"/>
        <v>0.51519010348575611</v>
      </c>
      <c r="U53" s="142">
        <f t="shared" si="60"/>
        <v>0.38262839525691439</v>
      </c>
      <c r="V53" s="142">
        <f t="shared" si="60"/>
        <v>6.7335158196050238E-2</v>
      </c>
    </row>
    <row r="54" spans="1:22" s="3" customFormat="1" x14ac:dyDescent="0.35">
      <c r="A54" s="61" t="s">
        <v>2</v>
      </c>
      <c r="B54" s="142">
        <f t="shared" ref="B54" si="61">B48</f>
        <v>1.4065995565193569E-2</v>
      </c>
      <c r="C54" s="142">
        <f t="shared" ref="C54:V54" si="62">C48</f>
        <v>1.8771891551449097E-2</v>
      </c>
      <c r="D54" s="142">
        <f t="shared" si="62"/>
        <v>1.3420282238152845E-2</v>
      </c>
      <c r="E54" s="142">
        <f t="shared" si="62"/>
        <v>0.14171710645826205</v>
      </c>
      <c r="F54" s="142">
        <f t="shared" si="62"/>
        <v>0.15888572280547938</v>
      </c>
      <c r="G54" s="142">
        <f t="shared" si="62"/>
        <v>0.15100528204009142</v>
      </c>
      <c r="H54" s="142">
        <f t="shared" si="62"/>
        <v>0.24112092286400039</v>
      </c>
      <c r="I54" s="142">
        <f t="shared" si="62"/>
        <v>1.2812788222907602E-2</v>
      </c>
      <c r="J54" s="142">
        <f t="shared" si="62"/>
        <v>1.5297766334376281E-2</v>
      </c>
      <c r="K54" s="142">
        <f t="shared" si="62"/>
        <v>1.619729771429131E-2</v>
      </c>
      <c r="L54" s="142">
        <f t="shared" si="62"/>
        <v>1.9686323928959124E-2</v>
      </c>
      <c r="M54" s="142">
        <f t="shared" si="62"/>
        <v>2.7495977720397295E-2</v>
      </c>
      <c r="N54" s="142"/>
      <c r="O54" s="142">
        <f t="shared" si="62"/>
        <v>0.15854308194358191</v>
      </c>
      <c r="P54" s="142">
        <f t="shared" si="62"/>
        <v>0.14557526502589008</v>
      </c>
      <c r="Q54" s="142">
        <f t="shared" si="62"/>
        <v>2.034502640030884E-2</v>
      </c>
      <c r="R54" s="142">
        <f t="shared" si="62"/>
        <v>0.10659011938103564</v>
      </c>
      <c r="S54" s="142">
        <f t="shared" si="62"/>
        <v>0.19065103454413312</v>
      </c>
      <c r="T54" s="142">
        <f t="shared" si="62"/>
        <v>0.16477402724529344</v>
      </c>
      <c r="U54" s="142">
        <f t="shared" si="62"/>
        <v>0.11261990233974353</v>
      </c>
      <c r="V54" s="142">
        <f t="shared" si="62"/>
        <v>1.2786082527919075E-2</v>
      </c>
    </row>
    <row r="55" spans="1:22" s="3" customFormat="1" x14ac:dyDescent="0.35">
      <c r="A55" s="61" t="s">
        <v>79</v>
      </c>
      <c r="B55" s="142">
        <f>(B53*100/$B53)-100</f>
        <v>0</v>
      </c>
      <c r="C55" s="142">
        <f t="shared" ref="C55:V55" si="63">(C53*100/$B53)-100</f>
        <v>36.400462486555057</v>
      </c>
      <c r="D55" s="142">
        <f t="shared" si="63"/>
        <v>64.627645887714493</v>
      </c>
      <c r="E55" s="142">
        <f t="shared" si="63"/>
        <v>493.53356249487251</v>
      </c>
      <c r="F55" s="142">
        <f t="shared" si="63"/>
        <v>1345.3174513731951</v>
      </c>
      <c r="G55" s="142">
        <f t="shared" si="63"/>
        <v>2409.7266526187177</v>
      </c>
      <c r="H55" s="142">
        <f t="shared" si="63"/>
        <v>4121.9591409650047</v>
      </c>
      <c r="I55" s="142">
        <f t="shared" si="63"/>
        <v>86.266119396587271</v>
      </c>
      <c r="J55" s="142">
        <f t="shared" si="63"/>
        <v>64.979077110520706</v>
      </c>
      <c r="K55" s="142">
        <f t="shared" si="63"/>
        <v>6.7275016840789874</v>
      </c>
      <c r="L55" s="142">
        <f t="shared" si="63"/>
        <v>76.950898700626226</v>
      </c>
      <c r="M55" s="142">
        <f t="shared" si="63"/>
        <v>140.35595454278356</v>
      </c>
      <c r="N55" s="142"/>
      <c r="O55" s="142">
        <f t="shared" si="63"/>
        <v>1744.6314996719846</v>
      </c>
      <c r="P55" s="142">
        <f t="shared" si="63"/>
        <v>2979.1861462964312</v>
      </c>
      <c r="Q55" s="142">
        <f t="shared" si="63"/>
        <v>52.944718208804204</v>
      </c>
      <c r="R55" s="142">
        <f t="shared" si="63"/>
        <v>908.46488601529688</v>
      </c>
      <c r="S55" s="142">
        <f t="shared" si="63"/>
        <v>1686.4145142202126</v>
      </c>
      <c r="T55" s="142">
        <f t="shared" si="63"/>
        <v>850.33589320909505</v>
      </c>
      <c r="U55" s="142">
        <f t="shared" si="63"/>
        <v>605.80839055984666</v>
      </c>
      <c r="V55" s="142">
        <f t="shared" si="63"/>
        <v>24.208553843830444</v>
      </c>
    </row>
    <row r="56" spans="1:22" s="3" customFormat="1" x14ac:dyDescent="0.35">
      <c r="A56" s="61" t="s">
        <v>81</v>
      </c>
      <c r="B56" s="142">
        <f>[1]!SWTEST(B28:B43)</f>
        <v>0.20665003762771939</v>
      </c>
      <c r="C56" s="142">
        <f>[1]!SWTEST(C28:C43)</f>
        <v>0.36825827586962134</v>
      </c>
      <c r="D56" s="142">
        <f>[1]!SWTEST(D28:D43)</f>
        <v>0.89879660719305399</v>
      </c>
      <c r="E56" s="142">
        <f>[1]!SWTEST(E28:E43)</f>
        <v>2.2538821426082434E-3</v>
      </c>
      <c r="F56" s="142">
        <f>[1]!SWTEST(F28:F43)</f>
        <v>0.61505586143773139</v>
      </c>
      <c r="G56" s="142">
        <f>[1]!SWTEST(G28:G43)</f>
        <v>0.92947896252499917</v>
      </c>
      <c r="H56" s="142">
        <f>[1]!SWTEST(H28:H43)</f>
        <v>0.62363546466722564</v>
      </c>
      <c r="I56" s="142">
        <f>[1]!SWTEST(I28:I43)</f>
        <v>0.23270887621801495</v>
      </c>
      <c r="J56" s="142">
        <f>[1]!SWTEST(J28:J43)</f>
        <v>0.60236914513874407</v>
      </c>
      <c r="K56" s="142">
        <f>[1]!SWTEST(K28:K43)</f>
        <v>0.20860610312216199</v>
      </c>
      <c r="L56" s="142">
        <f>[1]!SWTEST(L28:L43)</f>
        <v>0.80254924168741337</v>
      </c>
      <c r="M56" s="142">
        <f>[1]!SWTEST(M28:M43)</f>
        <v>0.24205286131348402</v>
      </c>
      <c r="N56" s="142"/>
      <c r="O56" s="142">
        <f>[1]!SWTEST(O28:O43)</f>
        <v>0.25223459544267901</v>
      </c>
      <c r="P56" s="142">
        <f>[1]!SWTEST(P28:P43)</f>
        <v>0.74557378133452745</v>
      </c>
      <c r="Q56" s="142">
        <f>[1]!SWTEST(Q28:Q43)</f>
        <v>0.52932664812800712</v>
      </c>
      <c r="R56" s="142">
        <f>[1]!SWTEST(R28:R43)</f>
        <v>0.14285746883679462</v>
      </c>
      <c r="S56" s="142">
        <f>[1]!SWTEST(S28:S43)</f>
        <v>0.99103855408801467</v>
      </c>
      <c r="T56" s="142">
        <f>[1]!SWTEST(T28:T43)</f>
        <v>0.138375518776368</v>
      </c>
      <c r="U56" s="142">
        <f>[1]!SWTEST(U28:U43)</f>
        <v>0.278622213822038</v>
      </c>
      <c r="V56" s="142">
        <f>[1]!SWTEST(V28:V43)</f>
        <v>0.85131913124913261</v>
      </c>
    </row>
    <row r="57" spans="1:22" s="3" customFormat="1" x14ac:dyDescent="0.35">
      <c r="A57" s="61" t="s">
        <v>85</v>
      </c>
      <c r="B57" s="142" t="str">
        <f>IF(B56&gt;0.05,"Oui","Non")</f>
        <v>Oui</v>
      </c>
      <c r="C57" s="142" t="str">
        <f t="shared" ref="C57:V57" si="64">IF(C56&gt;0.05,"Oui","Non")</f>
        <v>Oui</v>
      </c>
      <c r="D57" s="142" t="str">
        <f t="shared" si="64"/>
        <v>Oui</v>
      </c>
      <c r="E57" s="142" t="str">
        <f t="shared" si="64"/>
        <v>Non</v>
      </c>
      <c r="F57" s="142" t="str">
        <f t="shared" si="64"/>
        <v>Oui</v>
      </c>
      <c r="G57" s="142" t="str">
        <f t="shared" si="64"/>
        <v>Oui</v>
      </c>
      <c r="H57" s="142" t="str">
        <f t="shared" si="64"/>
        <v>Oui</v>
      </c>
      <c r="I57" s="142" t="str">
        <f t="shared" si="64"/>
        <v>Oui</v>
      </c>
      <c r="J57" s="142" t="str">
        <f t="shared" si="64"/>
        <v>Oui</v>
      </c>
      <c r="K57" s="142" t="str">
        <f t="shared" si="64"/>
        <v>Oui</v>
      </c>
      <c r="L57" s="142" t="str">
        <f t="shared" si="64"/>
        <v>Oui</v>
      </c>
      <c r="M57" s="142" t="str">
        <f t="shared" si="64"/>
        <v>Oui</v>
      </c>
      <c r="N57" s="142"/>
      <c r="O57" s="142" t="str">
        <f t="shared" si="64"/>
        <v>Oui</v>
      </c>
      <c r="P57" s="142" t="str">
        <f t="shared" si="64"/>
        <v>Oui</v>
      </c>
      <c r="Q57" s="142" t="str">
        <f t="shared" si="64"/>
        <v>Oui</v>
      </c>
      <c r="R57" s="142" t="str">
        <f t="shared" si="64"/>
        <v>Oui</v>
      </c>
      <c r="S57" s="142" t="str">
        <f t="shared" si="64"/>
        <v>Oui</v>
      </c>
      <c r="T57" s="142" t="str">
        <f t="shared" si="64"/>
        <v>Oui</v>
      </c>
      <c r="U57" s="142" t="str">
        <f t="shared" si="64"/>
        <v>Oui</v>
      </c>
      <c r="V57" s="142" t="str">
        <f t="shared" si="64"/>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65">IF($B57="Non",IF(C57="Non","MW",IF(C57="Oui","MW","")),IF($B57="Oui",IF(C57="Oui","T-Test Welch",IF(C57="Non","MW",""))))</f>
        <v>T-Test Welch</v>
      </c>
      <c r="D59" s="151" t="str">
        <f t="shared" si="65"/>
        <v>T-Test Welch</v>
      </c>
      <c r="E59" s="151" t="str">
        <f t="shared" si="65"/>
        <v>MW</v>
      </c>
      <c r="F59" s="151" t="str">
        <f t="shared" si="65"/>
        <v>T-Test Welch</v>
      </c>
      <c r="G59" s="151" t="str">
        <f t="shared" si="65"/>
        <v>T-Test Welch</v>
      </c>
      <c r="H59" s="151" t="str">
        <f t="shared" si="65"/>
        <v>T-Test Welch</v>
      </c>
      <c r="I59" s="151" t="str">
        <f t="shared" si="65"/>
        <v>T-Test Welch</v>
      </c>
      <c r="J59" s="151" t="str">
        <f t="shared" si="65"/>
        <v>T-Test Welch</v>
      </c>
      <c r="K59" s="151" t="str">
        <f t="shared" si="65"/>
        <v>T-Test Welch</v>
      </c>
      <c r="L59" s="151" t="str">
        <f t="shared" si="65"/>
        <v>T-Test Welch</v>
      </c>
      <c r="M59" s="151" t="str">
        <f t="shared" si="65"/>
        <v>T-Test Welch</v>
      </c>
      <c r="N59" s="151"/>
      <c r="O59" s="151" t="str">
        <f t="shared" si="65"/>
        <v>T-Test Welch</v>
      </c>
      <c r="P59" s="151" t="str">
        <f>IF($O57="Non",IF(P57="Non","MW",IF(P57="Oui","MW","")),IF($O57="Oui",IF(P57="Oui","T-Test Welch",IF(P57="Non","MW",""))))</f>
        <v>T-Test Welch</v>
      </c>
      <c r="Q59" s="151" t="str">
        <f t="shared" ref="Q59:V59" si="66">IF($O57="Non",IF(Q57="Non","MW",IF(Q57="Oui","MW","")),IF($O57="Oui",IF(Q57="Oui","T-Test Welch",IF(Q57="Non","MW",""))))</f>
        <v>T-Test Welch</v>
      </c>
      <c r="R59" s="151" t="str">
        <f t="shared" si="66"/>
        <v>T-Test Welch</v>
      </c>
      <c r="S59" s="151" t="str">
        <f t="shared" si="66"/>
        <v>T-Test Welch</v>
      </c>
      <c r="T59" s="151" t="str">
        <f t="shared" si="66"/>
        <v>T-Test Welch</v>
      </c>
      <c r="U59" s="151" t="str">
        <f t="shared" si="66"/>
        <v>T-Test Welch</v>
      </c>
      <c r="V59" s="151" t="str">
        <f t="shared" si="66"/>
        <v>T-Test Welch</v>
      </c>
    </row>
    <row r="60" spans="1:22" s="3" customFormat="1" x14ac:dyDescent="0.35">
      <c r="A60" s="61" t="s">
        <v>83</v>
      </c>
      <c r="B60" s="152"/>
      <c r="C60" s="152">
        <f>IF(C59="MW",[1]!MTEST($B28:$B43,C28:C43,2), IF(C59="T-Test Welch",_xlfn.T.TEST($B28:$B43,C28:C43,2,3),""))</f>
        <v>0.41544412712295453</v>
      </c>
      <c r="D60" s="152">
        <f>IF(D59="MW",[1]!MTEST($B28:$B43,D28:D43,2), IF(D59="T-Test Welch",_xlfn.T.TEST($B28:$B43,D28:D43,2,3),""))</f>
        <v>9.4768064802712021E-2</v>
      </c>
      <c r="E60" s="152">
        <f>IF(E59="MW",[1]!MTEST($B28:$B43,E28:E43,2), IF(E59="T-Test Welch",_xlfn.T.TEST($B28:$B43,E28:E43,2,3),""))</f>
        <v>2.7423154381354564E-2</v>
      </c>
      <c r="F60" s="152">
        <f>IF(F59="MW",[1]!MTEST($B28:$B43,F28:F43,2), IF(F59="T-Test Welch",_xlfn.T.TEST($B28:$B43,F28:F43,2,3),""))</f>
        <v>2.4666824355132917E-3</v>
      </c>
      <c r="G60" s="152">
        <f>IF(G59="MW",[1]!MTEST($B28:$B43,G28:G43,2), IF(G59="T-Test Welch",_xlfn.T.TEST($B28:$B43,G28:G43,2,3),""))</f>
        <v>5.1286191270948526E-5</v>
      </c>
      <c r="H60" s="152">
        <f>IF(H59="MW",[1]!MTEST($B28:$B43,H28:H43,2), IF(H59="T-Test Welch",_xlfn.T.TEST($B28:$B43,H28:H43,2,3),""))</f>
        <v>3.4161997384023455E-5</v>
      </c>
      <c r="I60" s="152">
        <f>IF(I59="MW",[1]!MTEST($B28:$B43,I28:I43,2), IF(I59="T-Test Welch",_xlfn.T.TEST($B28:$B43,I28:I43,2,3),""))</f>
        <v>2.7750674146034583E-2</v>
      </c>
      <c r="J60" s="152">
        <f>IF(J59="MW",[1]!MTEST($B28:$B43,J28:J43,2), IF(J59="T-Test Welch",_xlfn.T.TEST($B28:$B43,J28:J43,2,3),""))</f>
        <v>0.11233443120831904</v>
      </c>
      <c r="K60" s="152">
        <f>IF(K59="MW",[1]!MTEST($B28:$B43,K28:K43,2), IF(K59="T-Test Welch",_xlfn.T.TEST($B28:$B43,K28:K43,2,3),""))</f>
        <v>0.86748357236477136</v>
      </c>
      <c r="L60" s="152">
        <f>IF(L59="MW",[1]!MTEST($B28:$B43,L28:L43,2), IF(L59="T-Test Welch",_xlfn.T.TEST($B28:$B43,L28:L43,2,3),""))</f>
        <v>0.10897408682786131</v>
      </c>
      <c r="M60" s="152">
        <f>IF(M59="MW",[1]!MTEST($B28:$B43,M28:M43,2), IF(M59="T-Test Welch",_xlfn.T.TEST($B28:$B43,M28:M43,2,3),""))</f>
        <v>3.2562927433378248E-2</v>
      </c>
      <c r="N60" s="152"/>
      <c r="O60" s="152">
        <f>IF(O59="MW",[1]!MTEST($B28:$B43,O28:O43,2), IF(O59="T-Test Welch",_xlfn.T.TEST($B28:$B43,O28:O43,2,3),""))</f>
        <v>2.532431698891898E-5</v>
      </c>
      <c r="P60" s="152">
        <f>IF(P59="MW",[1]!MTEST($O28:$O43,P28:P43,2), IF(P59="T-Test Welch",_xlfn.T.TEST($O28:$O43,P28:P43,2,3),""))</f>
        <v>5.4808905880229727E-3</v>
      </c>
      <c r="Q60" s="152">
        <f>IF(Q59="MW",[1]!MTEST($O28:$O43,Q28:Q43,2), IF(Q59="T-Test Welch",_xlfn.T.TEST($O28:$O43,Q28:Q43,2,3),""))</f>
        <v>3.467058400346245E-5</v>
      </c>
      <c r="R60" s="152">
        <f>IF(R59="MW",[1]!MTEST($O28:$O43,R28:R43,2), IF(R59="T-Test Welch",_xlfn.T.TEST($O28:$O43,R28:R43,2,3),""))</f>
        <v>2.7315450183030106E-2</v>
      </c>
      <c r="S60" s="152">
        <f>IF(S59="MW",[1]!MTEST($O28:$O43,S28:S43,2), IF(S59="T-Test Welch",_xlfn.T.TEST($O28:$O43,S28:S43,2,3),""))</f>
        <v>0.900268767778579</v>
      </c>
      <c r="T60" s="152">
        <f>IF(T59="MW",[1]!MTEST($O28:$O43,T28:T43,2), IF(T59="T-Test Welch",_xlfn.T.TEST($O28:$O43,T28:T43,2,3),""))</f>
        <v>4.7715994671891408E-2</v>
      </c>
      <c r="U60" s="152">
        <f>IF(U59="MW",[1]!MTEST($O28:$O43,U28:U43,2), IF(U59="T-Test Welch",_xlfn.T.TEST($O28:$O43,U28:U43,2,3),""))</f>
        <v>4.3915459901741928E-3</v>
      </c>
      <c r="V60" s="152">
        <f>IF(V59="MW",[1]!MTEST($O28:$O43,V28:V43,2), IF(V59="T-Test Welch",_xlfn.T.TEST($O28:$O43,V28:V43,2,3),""))</f>
        <v>2.9575443420772005E-5</v>
      </c>
    </row>
    <row r="61" spans="1:22" s="3" customFormat="1" ht="15" thickBot="1" x14ac:dyDescent="0.4">
      <c r="A61" s="62" t="s">
        <v>84</v>
      </c>
      <c r="B61" s="143"/>
      <c r="C61" s="143" t="str">
        <f t="shared" ref="C61:O61" si="67">IF(C60&gt;0.05,"NS",IF(C60&gt;0.01,"*",IF(C60&gt;0.001,"**","***")))</f>
        <v>NS</v>
      </c>
      <c r="D61" s="143" t="str">
        <f t="shared" si="67"/>
        <v>NS</v>
      </c>
      <c r="E61" s="143" t="str">
        <f t="shared" si="67"/>
        <v>*</v>
      </c>
      <c r="F61" s="143" t="str">
        <f t="shared" si="67"/>
        <v>**</v>
      </c>
      <c r="G61" s="143" t="str">
        <f t="shared" si="67"/>
        <v>***</v>
      </c>
      <c r="H61" s="143" t="str">
        <f t="shared" si="67"/>
        <v>***</v>
      </c>
      <c r="I61" s="143" t="str">
        <f t="shared" si="67"/>
        <v>*</v>
      </c>
      <c r="J61" s="143" t="str">
        <f t="shared" si="67"/>
        <v>NS</v>
      </c>
      <c r="K61" s="143" t="str">
        <f t="shared" si="67"/>
        <v>NS</v>
      </c>
      <c r="L61" s="143" t="str">
        <f t="shared" si="67"/>
        <v>NS</v>
      </c>
      <c r="M61" s="143" t="str">
        <f t="shared" si="67"/>
        <v>*</v>
      </c>
      <c r="N61" s="143"/>
      <c r="O61" s="143" t="str">
        <f t="shared" si="67"/>
        <v>***</v>
      </c>
      <c r="P61" s="143" t="str">
        <f>IF(P60&gt;0.05,"NS",IF(P60&gt;0.01,"*",IF(P60&gt;0.001,"**","***")))</f>
        <v>**</v>
      </c>
      <c r="Q61" s="143" t="str">
        <f t="shared" ref="Q61:V61" si="68">IF(Q60&gt;0.05,"NS",IF(Q60&gt;0.01,"*",IF(Q60&gt;0.001,"**","***")))</f>
        <v>***</v>
      </c>
      <c r="R61" s="143" t="str">
        <f t="shared" si="68"/>
        <v>*</v>
      </c>
      <c r="S61" s="143" t="str">
        <f t="shared" si="68"/>
        <v>NS</v>
      </c>
      <c r="T61" s="143" t="str">
        <f t="shared" si="68"/>
        <v>*</v>
      </c>
      <c r="U61" s="143" t="str">
        <f t="shared" si="68"/>
        <v>**</v>
      </c>
      <c r="V61" s="143" t="str">
        <f t="shared" si="68"/>
        <v>***</v>
      </c>
    </row>
    <row r="63" spans="1:22" x14ac:dyDescent="0.35">
      <c r="A63" s="2" t="s">
        <v>39</v>
      </c>
    </row>
    <row r="64" spans="1:22" x14ac:dyDescent="0.35">
      <c r="A64" s="1" t="s">
        <v>23</v>
      </c>
      <c r="B64" s="1">
        <f>B46+(3*B47)</f>
        <v>0.17356529977700885</v>
      </c>
    </row>
    <row r="65" spans="1:22" x14ac:dyDescent="0.35">
      <c r="A65" s="1" t="s">
        <v>24</v>
      </c>
      <c r="B65" s="1">
        <f>B46+(10*B47)</f>
        <v>0.45205780352908059</v>
      </c>
    </row>
    <row r="66" spans="1:22" ht="15" thickBot="1" x14ac:dyDescent="0.4"/>
    <row r="67" spans="1:22" ht="26.5" thickBot="1" x14ac:dyDescent="0.65">
      <c r="A67" s="212" t="s">
        <v>45</v>
      </c>
      <c r="B67" s="213"/>
      <c r="C67" s="213"/>
      <c r="D67" s="213"/>
      <c r="E67" s="213"/>
      <c r="F67" s="213"/>
      <c r="G67" s="213"/>
      <c r="H67" s="213"/>
      <c r="I67" s="213"/>
      <c r="J67" s="213"/>
      <c r="K67" s="213"/>
      <c r="L67" s="213"/>
      <c r="M67" s="213"/>
      <c r="N67" s="213"/>
      <c r="O67" s="213"/>
      <c r="P67" s="213"/>
      <c r="Q67" s="213"/>
      <c r="R67" s="213"/>
      <c r="S67" s="213"/>
      <c r="T67" s="213"/>
      <c r="U67" s="213"/>
      <c r="V67" s="213"/>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Q1" zoomScale="80" zoomScaleNormal="80" workbookViewId="0">
      <selection activeCell="Z5" sqref="Z5:AF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TS</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2938</v>
      </c>
      <c r="D2" s="1" t="s">
        <v>2939</v>
      </c>
      <c r="E2" s="1" t="s">
        <v>2940</v>
      </c>
      <c r="F2" s="1" t="s">
        <v>112</v>
      </c>
      <c r="G2" s="1">
        <v>58574</v>
      </c>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TS</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2941</v>
      </c>
      <c r="D3" s="1" t="s">
        <v>2942</v>
      </c>
      <c r="E3" s="1" t="s">
        <v>2943</v>
      </c>
      <c r="F3" s="1" t="s">
        <v>112</v>
      </c>
      <c r="G3" s="1">
        <v>575766</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TS</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2944</v>
      </c>
      <c r="D4" s="1" t="s">
        <v>2945</v>
      </c>
      <c r="E4" s="1" t="s">
        <v>2946</v>
      </c>
      <c r="F4" s="1" t="s">
        <v>112</v>
      </c>
      <c r="G4" s="1">
        <v>541029</v>
      </c>
      <c r="K4" s="119" t="s">
        <v>100</v>
      </c>
      <c r="L4" s="1" t="s">
        <v>1598</v>
      </c>
      <c r="M4" s="1" t="s">
        <v>1599</v>
      </c>
      <c r="N4" s="1" t="s">
        <v>1600</v>
      </c>
      <c r="O4" s="1" t="s">
        <v>1601</v>
      </c>
      <c r="P4" s="1" t="s">
        <v>1602</v>
      </c>
      <c r="Q4" s="1" t="s">
        <v>1603</v>
      </c>
      <c r="R4" s="1" t="s">
        <v>1604</v>
      </c>
      <c r="S4" s="1" t="s">
        <v>1605</v>
      </c>
      <c r="T4" s="1" t="s">
        <v>1606</v>
      </c>
      <c r="U4" s="1" t="s">
        <v>1607</v>
      </c>
      <c r="V4" s="1" t="s">
        <v>1608</v>
      </c>
      <c r="W4" s="1" t="s">
        <v>1609</v>
      </c>
      <c r="X4" s="1" t="s">
        <v>1610</v>
      </c>
      <c r="Y4" s="1" t="s">
        <v>1611</v>
      </c>
      <c r="Z4" s="1" t="s">
        <v>1612</v>
      </c>
      <c r="AA4" s="1" t="s">
        <v>1613</v>
      </c>
      <c r="AB4" s="1" t="s">
        <v>1614</v>
      </c>
      <c r="AC4" s="1" t="s">
        <v>1615</v>
      </c>
      <c r="AD4" s="1" t="s">
        <v>1616</v>
      </c>
      <c r="AE4" s="1" t="s">
        <v>1617</v>
      </c>
      <c r="AF4" s="1" t="s">
        <v>1618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TS</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2947</v>
      </c>
      <c r="D5" s="1" t="s">
        <v>751</v>
      </c>
      <c r="E5" s="1" t="s">
        <v>2948</v>
      </c>
      <c r="F5" s="1" t="s">
        <v>112</v>
      </c>
      <c r="G5" s="1">
        <v>34045</v>
      </c>
      <c r="K5" s="146" t="s">
        <v>164</v>
      </c>
      <c r="L5" s="44">
        <v>391789.66666666669</v>
      </c>
      <c r="M5" s="44">
        <v>103852</v>
      </c>
      <c r="N5" s="44">
        <v>148035</v>
      </c>
      <c r="O5" s="44">
        <v>1047946.6666666666</v>
      </c>
      <c r="P5" s="44">
        <v>2034428.6666666667</v>
      </c>
      <c r="Q5" s="44">
        <v>4235371.333333333</v>
      </c>
      <c r="R5" s="44">
        <v>7055628.666666667</v>
      </c>
      <c r="S5" s="44">
        <v>303568.33333333331</v>
      </c>
      <c r="T5" s="44">
        <v>405539</v>
      </c>
      <c r="U5" s="44">
        <v>121783.33333333333</v>
      </c>
      <c r="V5" s="44">
        <v>665998.66666666663</v>
      </c>
      <c r="W5" s="44">
        <v>96361</v>
      </c>
      <c r="X5" s="44">
        <v>2626554.3333333335</v>
      </c>
      <c r="Y5" s="44">
        <v>705372.5</v>
      </c>
      <c r="Z5" s="44">
        <v>3665835</v>
      </c>
      <c r="AA5" s="44">
        <v>473168.33333333331</v>
      </c>
      <c r="AB5" s="44">
        <v>1947029.3333333333</v>
      </c>
      <c r="AC5" s="44">
        <v>1897662.6666666667</v>
      </c>
      <c r="AD5" s="44">
        <v>1507214.3333333333</v>
      </c>
      <c r="AE5" s="44">
        <v>140097</v>
      </c>
      <c r="AF5" s="44">
        <v>19084.666666666668</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TS</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2949</v>
      </c>
      <c r="D6" s="1" t="s">
        <v>2950</v>
      </c>
      <c r="E6" s="1" t="s">
        <v>1215</v>
      </c>
      <c r="F6" s="1" t="s">
        <v>112</v>
      </c>
      <c r="G6" s="1">
        <v>6986</v>
      </c>
      <c r="K6" s="146" t="s">
        <v>1619</v>
      </c>
      <c r="L6" s="44">
        <v>16496</v>
      </c>
      <c r="M6" s="44">
        <v>327296.33333333331</v>
      </c>
      <c r="N6" s="44">
        <v>193955.33333333334</v>
      </c>
      <c r="O6" s="44">
        <v>1676317</v>
      </c>
      <c r="P6" s="44">
        <v>3752981.3333333335</v>
      </c>
      <c r="Q6" s="44">
        <v>5047985</v>
      </c>
      <c r="R6" s="44">
        <v>8997589</v>
      </c>
      <c r="S6" s="44">
        <v>36749.333333333336</v>
      </c>
      <c r="T6" s="44">
        <v>151675.66666666666</v>
      </c>
      <c r="U6" s="44">
        <v>221793</v>
      </c>
      <c r="V6" s="44">
        <v>788907</v>
      </c>
      <c r="W6" s="44">
        <v>639974.5</v>
      </c>
      <c r="X6" s="44"/>
      <c r="Y6" s="44">
        <v>2864728</v>
      </c>
      <c r="Z6" s="44">
        <v>4255725</v>
      </c>
      <c r="AA6" s="44">
        <v>22192.333333333332</v>
      </c>
      <c r="AB6" s="44">
        <v>3316338.6666666665</v>
      </c>
      <c r="AC6" s="44">
        <v>250171.66666666666</v>
      </c>
      <c r="AD6" s="44">
        <v>116938.66666666667</v>
      </c>
      <c r="AE6" s="44">
        <v>203191</v>
      </c>
      <c r="AF6" s="44">
        <v>990159</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TS</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2951</v>
      </c>
      <c r="D7" s="1" t="s">
        <v>289</v>
      </c>
      <c r="E7" s="1" t="s">
        <v>2952</v>
      </c>
      <c r="F7" s="1" t="s">
        <v>112</v>
      </c>
      <c r="G7" s="1">
        <v>8457</v>
      </c>
      <c r="K7" s="146" t="s">
        <v>1620</v>
      </c>
      <c r="L7" s="44">
        <v>259234</v>
      </c>
      <c r="M7" s="44">
        <v>117234</v>
      </c>
      <c r="N7" s="44">
        <v>390628.33333333331</v>
      </c>
      <c r="O7" s="44">
        <v>869579.33333333337</v>
      </c>
      <c r="P7" s="44">
        <v>1853811.3333333333</v>
      </c>
      <c r="Q7" s="44">
        <v>3336923</v>
      </c>
      <c r="R7" s="44">
        <v>7815263</v>
      </c>
      <c r="S7" s="44">
        <v>49806.333333333336</v>
      </c>
      <c r="T7" s="44">
        <v>206400</v>
      </c>
      <c r="U7" s="44">
        <v>74998</v>
      </c>
      <c r="V7" s="44">
        <v>833399.66666666663</v>
      </c>
      <c r="W7" s="44">
        <v>12480.333333333334</v>
      </c>
      <c r="X7" s="44">
        <v>421170</v>
      </c>
      <c r="Y7" s="44">
        <v>4294788.666666667</v>
      </c>
      <c r="Z7" s="44">
        <v>5121656</v>
      </c>
      <c r="AA7" s="44">
        <v>46843.333333333336</v>
      </c>
      <c r="AB7" s="44">
        <v>932969.33333333337</v>
      </c>
      <c r="AC7" s="44">
        <v>824308</v>
      </c>
      <c r="AD7" s="44">
        <v>899032.33333333337</v>
      </c>
      <c r="AE7" s="44">
        <v>256119.5</v>
      </c>
      <c r="AF7" s="44">
        <v>174582.33333333334</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TS</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2953</v>
      </c>
      <c r="D8" s="1" t="s">
        <v>1629</v>
      </c>
      <c r="E8" s="1" t="s">
        <v>2954</v>
      </c>
      <c r="F8" s="1" t="s">
        <v>112</v>
      </c>
      <c r="G8" s="1">
        <v>192549</v>
      </c>
      <c r="K8" s="146" t="s">
        <v>1621</v>
      </c>
      <c r="L8" s="44">
        <v>328385</v>
      </c>
      <c r="M8" s="44">
        <v>2137120</v>
      </c>
      <c r="N8" s="44">
        <v>266386.66666666669</v>
      </c>
      <c r="O8" s="44">
        <v>221425</v>
      </c>
      <c r="P8" s="44">
        <v>3336807.6666666665</v>
      </c>
      <c r="Q8" s="44">
        <v>4599647.333333333</v>
      </c>
      <c r="R8" s="44">
        <v>5948221</v>
      </c>
      <c r="S8" s="44">
        <v>46194.666666666664</v>
      </c>
      <c r="T8" s="44">
        <v>18515.5</v>
      </c>
      <c r="U8" s="44">
        <v>177451.66666666666</v>
      </c>
      <c r="V8" s="44">
        <v>367023.33333333331</v>
      </c>
      <c r="W8" s="44">
        <v>13605</v>
      </c>
      <c r="X8" s="44">
        <v>6590441.666666667</v>
      </c>
      <c r="Y8" s="44">
        <v>2954117.3333333335</v>
      </c>
      <c r="Z8" s="44">
        <v>3972178.6666666665</v>
      </c>
      <c r="AA8" s="44">
        <v>329755</v>
      </c>
      <c r="AB8" s="44">
        <v>154964</v>
      </c>
      <c r="AC8" s="44">
        <v>3447754.6666666665</v>
      </c>
      <c r="AD8" s="44">
        <v>3635488</v>
      </c>
      <c r="AE8" s="44">
        <v>1705200</v>
      </c>
      <c r="AF8" s="44">
        <v>269011.33333333331</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TS</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2955</v>
      </c>
      <c r="D9" s="1" t="s">
        <v>307</v>
      </c>
      <c r="E9" s="1" t="s">
        <v>2956</v>
      </c>
      <c r="F9" s="1" t="s">
        <v>112</v>
      </c>
      <c r="G9" s="1">
        <v>275240</v>
      </c>
      <c r="K9" s="146" t="s">
        <v>1622</v>
      </c>
      <c r="L9" s="44">
        <v>488684</v>
      </c>
      <c r="M9" s="44">
        <v>110139.5</v>
      </c>
      <c r="N9" s="44">
        <v>378711</v>
      </c>
      <c r="O9" s="44">
        <v>1350628</v>
      </c>
      <c r="P9" s="44">
        <v>2763724</v>
      </c>
      <c r="Q9" s="44">
        <v>4399228.5</v>
      </c>
      <c r="R9" s="44">
        <v>5163322.666666667</v>
      </c>
      <c r="S9" s="44">
        <v>36403.333333333336</v>
      </c>
      <c r="T9" s="44">
        <v>249709.66666666666</v>
      </c>
      <c r="U9" s="44">
        <v>27852</v>
      </c>
      <c r="V9" s="44">
        <v>69071.333333333328</v>
      </c>
      <c r="W9" s="44">
        <v>504906.66666666669</v>
      </c>
      <c r="X9" s="44">
        <v>4981083.5</v>
      </c>
      <c r="Y9" s="44">
        <v>3627615</v>
      </c>
      <c r="Z9" s="44">
        <v>3413110.6666666665</v>
      </c>
      <c r="AA9" s="44">
        <v>226032.33333333334</v>
      </c>
      <c r="AB9" s="44">
        <v>2658443.6666666665</v>
      </c>
      <c r="AC9" s="44">
        <v>1346670</v>
      </c>
      <c r="AD9" s="44">
        <v>387686.66666666669</v>
      </c>
      <c r="AE9" s="44">
        <v>312306.66666666669</v>
      </c>
      <c r="AF9" s="44">
        <v>289343</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TS</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2957</v>
      </c>
      <c r="D10" s="1" t="s">
        <v>1521</v>
      </c>
      <c r="E10" s="1">
        <v>72</v>
      </c>
      <c r="F10" s="1" t="s">
        <v>112</v>
      </c>
      <c r="G10" s="1">
        <v>309913</v>
      </c>
      <c r="K10" s="146" t="s">
        <v>1623</v>
      </c>
      <c r="L10" s="44">
        <v>922807</v>
      </c>
      <c r="M10" s="44">
        <v>534377.5</v>
      </c>
      <c r="N10" s="44">
        <v>284000.66666666669</v>
      </c>
      <c r="O10" s="44">
        <v>1297281.6666666667</v>
      </c>
      <c r="P10" s="44">
        <v>2751106.3333333335</v>
      </c>
      <c r="Q10" s="44">
        <v>3148887.6666666665</v>
      </c>
      <c r="R10" s="44">
        <v>8350019</v>
      </c>
      <c r="S10" s="44">
        <v>120514.66666666667</v>
      </c>
      <c r="T10" s="44">
        <v>288997</v>
      </c>
      <c r="U10" s="44">
        <v>388415.66666666669</v>
      </c>
      <c r="V10" s="44">
        <v>331334</v>
      </c>
      <c r="W10" s="44">
        <v>201446.33333333334</v>
      </c>
      <c r="X10" s="44">
        <v>2913633.3333333335</v>
      </c>
      <c r="Y10" s="44">
        <v>3845910.6666666665</v>
      </c>
      <c r="Z10" s="44">
        <v>5490547</v>
      </c>
      <c r="AA10" s="44">
        <v>70989</v>
      </c>
      <c r="AB10" s="44">
        <v>2339157.6666666665</v>
      </c>
      <c r="AC10" s="44">
        <v>5240707.333333333</v>
      </c>
      <c r="AD10" s="44">
        <v>350101.33333333331</v>
      </c>
      <c r="AE10" s="44">
        <v>33411</v>
      </c>
      <c r="AF10" s="44">
        <v>352372.66666666669</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TS</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2958</v>
      </c>
      <c r="K11" s="146" t="s">
        <v>1624</v>
      </c>
      <c r="L11" s="44">
        <v>389414</v>
      </c>
      <c r="M11" s="44">
        <v>350577.33333333331</v>
      </c>
      <c r="N11" s="44">
        <v>261022.33333333334</v>
      </c>
      <c r="O11" s="44">
        <v>2538015.6666666665</v>
      </c>
      <c r="P11" s="44">
        <v>1591808.6666666667</v>
      </c>
      <c r="Q11" s="44">
        <v>4079816.3333333335</v>
      </c>
      <c r="R11" s="44">
        <v>10631360</v>
      </c>
      <c r="S11" s="44">
        <v>156333.66666666666</v>
      </c>
      <c r="T11" s="44">
        <v>985624</v>
      </c>
      <c r="U11" s="44">
        <v>417118</v>
      </c>
      <c r="V11" s="44">
        <v>172080.33333333334</v>
      </c>
      <c r="W11" s="44">
        <v>292695.66666666669</v>
      </c>
      <c r="X11" s="44">
        <v>103549.66666666667</v>
      </c>
      <c r="Y11" s="44">
        <v>340357</v>
      </c>
      <c r="Z11" s="44">
        <v>5619742.333333333</v>
      </c>
      <c r="AA11" s="44">
        <v>307480</v>
      </c>
      <c r="AB11" s="44">
        <v>1256942</v>
      </c>
      <c r="AC11" s="44">
        <v>3438071.6666666665</v>
      </c>
      <c r="AD11" s="44">
        <v>79079.333333333328</v>
      </c>
      <c r="AE11" s="44">
        <v>616646.66666666663</v>
      </c>
      <c r="AF11" s="44">
        <v>162916.5</v>
      </c>
      <c r="AG11"/>
    </row>
    <row r="12" spans="1:144" x14ac:dyDescent="0.35">
      <c r="A12" s="1" t="str">
        <f t="shared" si="0"/>
        <v>01 TS</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2959</v>
      </c>
      <c r="D12" s="1" t="s">
        <v>2903</v>
      </c>
      <c r="E12" s="1" t="s">
        <v>2960</v>
      </c>
      <c r="F12" s="1" t="s">
        <v>112</v>
      </c>
      <c r="G12" s="1">
        <v>328385</v>
      </c>
      <c r="K12" s="146" t="s">
        <v>1625</v>
      </c>
      <c r="L12" s="44">
        <v>139246</v>
      </c>
      <c r="M12" s="44">
        <v>161539.33333333334</v>
      </c>
      <c r="N12" s="44">
        <v>91025.666666666672</v>
      </c>
      <c r="O12" s="44">
        <v>831085.33333333337</v>
      </c>
      <c r="P12" s="44">
        <v>2694263</v>
      </c>
      <c r="Q12" s="44">
        <v>3583749</v>
      </c>
      <c r="R12" s="44">
        <v>6463509.666666667</v>
      </c>
      <c r="S12" s="44">
        <v>86887.333333333328</v>
      </c>
      <c r="T12" s="44">
        <v>409302.33333333331</v>
      </c>
      <c r="U12" s="44">
        <v>196150.5</v>
      </c>
      <c r="V12" s="44">
        <v>69100.333333333328</v>
      </c>
      <c r="W12" s="44">
        <v>143449.5</v>
      </c>
      <c r="X12" s="44">
        <v>239356.33333333334</v>
      </c>
      <c r="Y12" s="44">
        <v>1444574</v>
      </c>
      <c r="Z12" s="44">
        <v>6926447.333333333</v>
      </c>
      <c r="AA12" s="44">
        <v>302393</v>
      </c>
      <c r="AB12" s="44">
        <v>772526</v>
      </c>
      <c r="AC12" s="44">
        <v>1247864.6666666667</v>
      </c>
      <c r="AD12" s="44">
        <v>1208779.3333333333</v>
      </c>
      <c r="AE12" s="44">
        <v>158763.33333333334</v>
      </c>
      <c r="AF12" s="44">
        <v>712813</v>
      </c>
      <c r="AG12"/>
    </row>
    <row r="13" spans="1:144" x14ac:dyDescent="0.35">
      <c r="A13" s="1" t="str">
        <f t="shared" si="0"/>
        <v>01 TS</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2961</v>
      </c>
      <c r="K13"/>
      <c r="L13"/>
      <c r="M13"/>
      <c r="N13"/>
      <c r="O13"/>
      <c r="P13"/>
      <c r="Q13"/>
      <c r="R13"/>
      <c r="S13"/>
      <c r="T13"/>
      <c r="U13"/>
      <c r="V13"/>
      <c r="W13"/>
      <c r="X13"/>
      <c r="Y13"/>
      <c r="Z13"/>
      <c r="AA13"/>
      <c r="AB13"/>
      <c r="AC13"/>
      <c r="AD13"/>
      <c r="AE13"/>
      <c r="AF13"/>
      <c r="AG13"/>
    </row>
    <row r="14" spans="1:144" x14ac:dyDescent="0.35">
      <c r="A14" s="1" t="str">
        <f t="shared" si="0"/>
        <v>01 TS</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2962</v>
      </c>
      <c r="D14" s="1" t="s">
        <v>403</v>
      </c>
      <c r="E14" s="1" t="s">
        <v>2963</v>
      </c>
      <c r="F14" s="1" t="s">
        <v>112</v>
      </c>
      <c r="G14" s="1">
        <v>459505</v>
      </c>
      <c r="K14"/>
      <c r="L14"/>
      <c r="M14"/>
      <c r="N14"/>
      <c r="O14"/>
      <c r="P14"/>
      <c r="Q14"/>
      <c r="R14"/>
      <c r="S14"/>
      <c r="T14"/>
      <c r="U14"/>
      <c r="V14"/>
      <c r="W14"/>
      <c r="X14"/>
      <c r="Y14"/>
      <c r="Z14"/>
      <c r="AA14"/>
      <c r="AB14"/>
      <c r="AC14"/>
      <c r="AD14"/>
      <c r="AE14"/>
      <c r="AF14"/>
      <c r="AG14"/>
    </row>
    <row r="15" spans="1:144" x14ac:dyDescent="0.35">
      <c r="A15" s="1" t="str">
        <f t="shared" si="0"/>
        <v>01 TS</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2964</v>
      </c>
      <c r="D15" s="1" t="s">
        <v>2942</v>
      </c>
      <c r="E15" s="1" t="s">
        <v>2965</v>
      </c>
      <c r="F15" s="1" t="s">
        <v>112</v>
      </c>
      <c r="G15" s="1">
        <v>598953</v>
      </c>
    </row>
    <row r="16" spans="1:144" x14ac:dyDescent="0.35">
      <c r="A16" s="1" t="str">
        <f t="shared" si="0"/>
        <v>01 TS</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2966</v>
      </c>
      <c r="D16" s="1" t="s">
        <v>1548</v>
      </c>
      <c r="E16" s="1" t="s">
        <v>2967</v>
      </c>
      <c r="F16" s="1" t="s">
        <v>112</v>
      </c>
      <c r="G16" s="1">
        <v>407594</v>
      </c>
    </row>
    <row r="17" spans="1:9" x14ac:dyDescent="0.35">
      <c r="A17" s="1" t="str">
        <f t="shared" si="0"/>
        <v>01 TS</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2968</v>
      </c>
      <c r="D17" s="1" t="s">
        <v>2969</v>
      </c>
      <c r="E17" s="1" t="s">
        <v>2970</v>
      </c>
      <c r="F17" s="1" t="s">
        <v>112</v>
      </c>
      <c r="G17" s="1">
        <v>844691</v>
      </c>
    </row>
    <row r="18" spans="1:9" x14ac:dyDescent="0.35">
      <c r="A18" s="1" t="str">
        <f t="shared" si="0"/>
        <v>01 TS</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2971</v>
      </c>
    </row>
    <row r="19" spans="1:9" x14ac:dyDescent="0.35">
      <c r="A19" s="1" t="str">
        <f t="shared" si="0"/>
        <v>01 TS</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2972</v>
      </c>
      <c r="D19" s="1" t="s">
        <v>2973</v>
      </c>
      <c r="E19" s="1" t="s">
        <v>2974</v>
      </c>
      <c r="F19" s="1" t="s">
        <v>112</v>
      </c>
      <c r="G19" s="1">
        <v>1000923</v>
      </c>
    </row>
    <row r="20" spans="1:9" x14ac:dyDescent="0.35">
      <c r="A20" s="1" t="str">
        <f t="shared" si="0"/>
        <v>01 TS</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2975</v>
      </c>
      <c r="D20" s="1" t="s">
        <v>850</v>
      </c>
      <c r="E20" s="1" t="s">
        <v>2976</v>
      </c>
      <c r="F20" s="1" t="s">
        <v>112</v>
      </c>
      <c r="G20" s="1">
        <v>387586</v>
      </c>
    </row>
    <row r="21" spans="1:9" x14ac:dyDescent="0.35">
      <c r="A21" s="1" t="str">
        <f t="shared" si="0"/>
        <v>01 TS</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2977</v>
      </c>
      <c r="D21" s="1" t="s">
        <v>423</v>
      </c>
      <c r="E21" s="1" t="s">
        <v>2978</v>
      </c>
      <c r="F21" s="1" t="s">
        <v>112</v>
      </c>
      <c r="G21" s="1">
        <v>391242</v>
      </c>
    </row>
    <row r="22" spans="1:9" x14ac:dyDescent="0.35">
      <c r="A22" s="1" t="str">
        <f t="shared" si="0"/>
        <v>01 TS</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2979</v>
      </c>
    </row>
    <row r="23" spans="1:9" x14ac:dyDescent="0.35">
      <c r="A23" s="1" t="str">
        <f t="shared" si="0"/>
        <v>01 TS</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2980</v>
      </c>
      <c r="D23" s="1" t="s">
        <v>336</v>
      </c>
      <c r="E23" s="1" t="s">
        <v>2981</v>
      </c>
      <c r="F23" s="1" t="s">
        <v>112</v>
      </c>
      <c r="G23" s="1">
        <v>99281</v>
      </c>
    </row>
    <row r="24" spans="1:9" x14ac:dyDescent="0.35">
      <c r="A24" s="1" t="str">
        <f t="shared" si="0"/>
        <v>01 TS</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2982</v>
      </c>
      <c r="D24" s="1" t="s">
        <v>380</v>
      </c>
      <c r="E24" s="1" t="s">
        <v>228</v>
      </c>
      <c r="F24" s="1" t="s">
        <v>112</v>
      </c>
      <c r="G24" s="1">
        <v>20830</v>
      </c>
    </row>
    <row r="25" spans="1:9" x14ac:dyDescent="0.35">
      <c r="A25" s="1" t="str">
        <f t="shared" si="0"/>
        <v>01 TS</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2983</v>
      </c>
      <c r="D25" s="1" t="s">
        <v>357</v>
      </c>
      <c r="E25" s="1" t="s">
        <v>2984</v>
      </c>
      <c r="F25" s="1" t="s">
        <v>112</v>
      </c>
      <c r="G25" s="1">
        <v>297627</v>
      </c>
    </row>
    <row r="26" spans="1:9"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9"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241</v>
      </c>
      <c r="D27" s="1" t="s">
        <v>112</v>
      </c>
      <c r="E27" s="1" t="s">
        <v>242</v>
      </c>
      <c r="F27" s="1" t="s">
        <v>243</v>
      </c>
      <c r="G27" s="1" t="s">
        <v>244</v>
      </c>
      <c r="H27" s="1" t="s">
        <v>245</v>
      </c>
      <c r="I27" s="1" t="s">
        <v>246</v>
      </c>
    </row>
    <row r="28" spans="1:9" x14ac:dyDescent="0.35">
      <c r="A28" s="1" t="str">
        <f t="shared" si="0"/>
        <v>01 TS</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2985</v>
      </c>
      <c r="D28" s="1" t="s">
        <v>112</v>
      </c>
      <c r="E28" s="1" t="s">
        <v>2986</v>
      </c>
      <c r="F28" s="1" t="s">
        <v>2987</v>
      </c>
      <c r="G28" s="1" t="s">
        <v>2988</v>
      </c>
      <c r="H28" s="1" t="s">
        <v>2989</v>
      </c>
      <c r="I28" s="1">
        <v>24</v>
      </c>
    </row>
    <row r="29" spans="1:9"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9"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9"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9"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252</v>
      </c>
      <c r="D34" s="1" t="s">
        <v>110</v>
      </c>
      <c r="E34" s="1" t="s">
        <v>111</v>
      </c>
      <c r="F34" s="1" t="s">
        <v>112</v>
      </c>
      <c r="G34" s="1" t="s">
        <v>113</v>
      </c>
    </row>
    <row r="35" spans="1:7" x14ac:dyDescent="0.35">
      <c r="A35" s="1" t="str">
        <f t="shared" si="0"/>
        <v>02 EE2 34</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2990</v>
      </c>
      <c r="D35" s="1" t="s">
        <v>271</v>
      </c>
      <c r="E35" s="1" t="s">
        <v>2991</v>
      </c>
      <c r="F35" s="1" t="s">
        <v>112</v>
      </c>
      <c r="G35" s="1">
        <v>152101</v>
      </c>
    </row>
    <row r="36" spans="1:7" x14ac:dyDescent="0.35">
      <c r="A36" s="1" t="str">
        <f t="shared" si="0"/>
        <v>02 EE2 34</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2992</v>
      </c>
      <c r="D36" s="1" t="s">
        <v>313</v>
      </c>
      <c r="E36" s="1">
        <v>63</v>
      </c>
      <c r="F36" s="1" t="s">
        <v>112</v>
      </c>
      <c r="G36" s="1">
        <v>42243</v>
      </c>
    </row>
    <row r="37" spans="1:7" x14ac:dyDescent="0.35">
      <c r="A37" s="1" t="str">
        <f t="shared" si="0"/>
        <v>02 EE2 34</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2993</v>
      </c>
      <c r="D37" s="1" t="s">
        <v>869</v>
      </c>
      <c r="E37" s="1" t="s">
        <v>2994</v>
      </c>
      <c r="F37" s="1" t="s">
        <v>112</v>
      </c>
      <c r="G37" s="1">
        <v>117212</v>
      </c>
    </row>
    <row r="38" spans="1:7" x14ac:dyDescent="0.35">
      <c r="A38" s="1" t="str">
        <f t="shared" si="0"/>
        <v>02 EE2 34</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2995</v>
      </c>
      <c r="D38" s="1" t="s">
        <v>446</v>
      </c>
      <c r="E38" s="1" t="s">
        <v>2996</v>
      </c>
      <c r="F38" s="1" t="s">
        <v>112</v>
      </c>
      <c r="G38" s="1">
        <v>310324</v>
      </c>
    </row>
    <row r="39" spans="1:7" x14ac:dyDescent="0.35">
      <c r="A39" s="1" t="str">
        <f t="shared" si="0"/>
        <v>02 EE2 34</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2997</v>
      </c>
      <c r="D39" s="1" t="s">
        <v>1775</v>
      </c>
      <c r="E39" s="1" t="s">
        <v>2998</v>
      </c>
      <c r="F39" s="1" t="s">
        <v>112</v>
      </c>
      <c r="G39" s="1">
        <v>291009</v>
      </c>
    </row>
    <row r="40" spans="1:7" x14ac:dyDescent="0.35">
      <c r="A40" s="1" t="str">
        <f t="shared" si="0"/>
        <v>02 EE2 34</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2999</v>
      </c>
      <c r="D40" s="1" t="s">
        <v>3000</v>
      </c>
      <c r="E40" s="1" t="s">
        <v>3001</v>
      </c>
      <c r="F40" s="1" t="s">
        <v>112</v>
      </c>
      <c r="G40" s="1">
        <v>380556</v>
      </c>
    </row>
    <row r="41" spans="1:7" x14ac:dyDescent="0.35">
      <c r="A41" s="1" t="str">
        <f t="shared" si="0"/>
        <v>02 EE2 34</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3002</v>
      </c>
      <c r="D41" s="1" t="s">
        <v>3003</v>
      </c>
      <c r="E41" s="1" t="s">
        <v>3004</v>
      </c>
      <c r="F41" s="1" t="s">
        <v>112</v>
      </c>
      <c r="G41" s="1">
        <v>107912</v>
      </c>
    </row>
    <row r="42" spans="1:7" x14ac:dyDescent="0.35">
      <c r="A42" s="1" t="str">
        <f t="shared" si="0"/>
        <v>02 EE2 34</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3005</v>
      </c>
      <c r="D42" s="1" t="s">
        <v>1750</v>
      </c>
      <c r="E42" s="1" t="s">
        <v>3006</v>
      </c>
      <c r="F42" s="1" t="s">
        <v>112</v>
      </c>
      <c r="G42" s="1">
        <v>192549</v>
      </c>
    </row>
    <row r="43" spans="1:7" x14ac:dyDescent="0.35">
      <c r="A43" s="1" t="str">
        <f t="shared" si="0"/>
        <v>02 EE2 34</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3007</v>
      </c>
      <c r="D43" s="1" t="s">
        <v>797</v>
      </c>
      <c r="E43" s="1" t="s">
        <v>3008</v>
      </c>
      <c r="F43" s="1" t="s">
        <v>112</v>
      </c>
      <c r="G43" s="1">
        <v>51241</v>
      </c>
    </row>
    <row r="44" spans="1:7" x14ac:dyDescent="0.35">
      <c r="A44" s="1" t="str">
        <f t="shared" si="0"/>
        <v>02 EE2 34</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3009</v>
      </c>
      <c r="D44" s="1" t="s">
        <v>2641</v>
      </c>
      <c r="E44" s="1" t="s">
        <v>3010</v>
      </c>
      <c r="F44" s="1" t="s">
        <v>112</v>
      </c>
      <c r="G44" s="1">
        <v>2481706</v>
      </c>
    </row>
    <row r="45" spans="1:7" x14ac:dyDescent="0.35">
      <c r="A45" s="1" t="str">
        <f t="shared" si="0"/>
        <v>02 EE2 34</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3011</v>
      </c>
      <c r="D45" s="1" t="s">
        <v>3012</v>
      </c>
      <c r="E45" s="1" t="s">
        <v>3013</v>
      </c>
      <c r="F45" s="1" t="s">
        <v>112</v>
      </c>
      <c r="G45" s="1">
        <v>2020297</v>
      </c>
    </row>
    <row r="46" spans="1:7" x14ac:dyDescent="0.35">
      <c r="A46" s="1" t="str">
        <f t="shared" si="0"/>
        <v>02 EE2 34</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3014</v>
      </c>
      <c r="D46" s="1" t="s">
        <v>2677</v>
      </c>
      <c r="E46" s="1" t="s">
        <v>3015</v>
      </c>
      <c r="F46" s="1" t="s">
        <v>112</v>
      </c>
      <c r="G46" s="1">
        <v>1909357</v>
      </c>
    </row>
    <row r="47" spans="1:7" x14ac:dyDescent="0.35">
      <c r="A47" s="1" t="str">
        <f t="shared" si="0"/>
        <v>02 EE2 34</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3016</v>
      </c>
      <c r="D47" s="1" t="s">
        <v>3017</v>
      </c>
      <c r="E47" s="1" t="s">
        <v>3018</v>
      </c>
      <c r="F47" s="1" t="s">
        <v>112</v>
      </c>
      <c r="G47" s="1">
        <v>169427</v>
      </c>
    </row>
    <row r="48" spans="1:7" x14ac:dyDescent="0.35">
      <c r="A48" s="1" t="str">
        <f t="shared" si="0"/>
        <v>02 EE2 34</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3019</v>
      </c>
      <c r="D48" s="1" t="s">
        <v>797</v>
      </c>
      <c r="E48" s="1" t="s">
        <v>3020</v>
      </c>
      <c r="F48" s="1" t="s">
        <v>112</v>
      </c>
      <c r="G48" s="1">
        <v>50852</v>
      </c>
    </row>
    <row r="49" spans="1:9" x14ac:dyDescent="0.35">
      <c r="A49" s="1" t="str">
        <f t="shared" si="0"/>
        <v>02 EE2 34</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3021</v>
      </c>
    </row>
    <row r="50" spans="1:9" x14ac:dyDescent="0.35">
      <c r="A50" s="1" t="str">
        <f t="shared" si="0"/>
        <v>02 EE2 34</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3022</v>
      </c>
      <c r="D50" s="1" t="s">
        <v>3023</v>
      </c>
      <c r="E50" s="1" t="s">
        <v>3024</v>
      </c>
      <c r="F50" s="1" t="s">
        <v>112</v>
      </c>
      <c r="G50" s="1">
        <v>544446</v>
      </c>
    </row>
    <row r="51" spans="1:9" x14ac:dyDescent="0.35">
      <c r="A51" s="1" t="str">
        <f t="shared" si="0"/>
        <v>02 EE2 34</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3025</v>
      </c>
      <c r="D51" s="1" t="s">
        <v>2281</v>
      </c>
      <c r="E51" s="1" t="s">
        <v>3026</v>
      </c>
      <c r="F51" s="1" t="s">
        <v>112</v>
      </c>
      <c r="G51" s="1">
        <v>524309</v>
      </c>
    </row>
    <row r="52" spans="1:9" x14ac:dyDescent="0.35">
      <c r="A52" s="1" t="str">
        <f t="shared" si="0"/>
        <v>02 EE2 34</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3027</v>
      </c>
    </row>
    <row r="53" spans="1:9" x14ac:dyDescent="0.35">
      <c r="A53" s="1" t="str">
        <f t="shared" si="0"/>
        <v>02 EE2 34</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3028</v>
      </c>
      <c r="D53" s="1" t="s">
        <v>2172</v>
      </c>
      <c r="E53" s="1" t="s">
        <v>3029</v>
      </c>
      <c r="F53" s="1" t="s">
        <v>112</v>
      </c>
      <c r="G53" s="1">
        <v>498353</v>
      </c>
    </row>
    <row r="54" spans="1:9" x14ac:dyDescent="0.35">
      <c r="A54" s="1" t="str">
        <f t="shared" si="0"/>
        <v>02 EE2 34</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3030</v>
      </c>
      <c r="D54" s="1" t="s">
        <v>916</v>
      </c>
      <c r="E54" s="1" t="s">
        <v>3031</v>
      </c>
      <c r="F54" s="1" t="s">
        <v>112</v>
      </c>
      <c r="G54" s="1">
        <v>503349</v>
      </c>
    </row>
    <row r="55" spans="1:9" x14ac:dyDescent="0.35">
      <c r="A55" s="1" t="str">
        <f t="shared" si="0"/>
        <v>02 EE2 34</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3032</v>
      </c>
      <c r="D55" s="1" t="s">
        <v>3033</v>
      </c>
      <c r="E55" s="1" t="s">
        <v>3034</v>
      </c>
      <c r="F55" s="1" t="s">
        <v>112</v>
      </c>
      <c r="G55" s="1">
        <v>50030</v>
      </c>
    </row>
    <row r="56" spans="1:9" x14ac:dyDescent="0.35">
      <c r="A56" s="1" t="str">
        <f t="shared" si="0"/>
        <v>02 EE2 34</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3035</v>
      </c>
      <c r="D56" s="1" t="s">
        <v>3036</v>
      </c>
      <c r="E56" s="1" t="s">
        <v>3037</v>
      </c>
      <c r="F56" s="1" t="s">
        <v>112</v>
      </c>
      <c r="G56" s="1">
        <v>424638</v>
      </c>
    </row>
    <row r="57" spans="1:9" x14ac:dyDescent="0.35">
      <c r="A57" s="1" t="str">
        <f t="shared" si="0"/>
        <v>02 EE2 34</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3038</v>
      </c>
      <c r="D57" s="1" t="s">
        <v>313</v>
      </c>
      <c r="E57" s="1" t="s">
        <v>3039</v>
      </c>
      <c r="F57" s="1" t="s">
        <v>112</v>
      </c>
      <c r="G57" s="1">
        <v>42806</v>
      </c>
    </row>
    <row r="58" spans="1:9" x14ac:dyDescent="0.35">
      <c r="A58" s="1" t="str">
        <f t="shared" si="0"/>
        <v>02 EE2 34</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3040</v>
      </c>
      <c r="D58" s="1" t="s">
        <v>2093</v>
      </c>
      <c r="E58" s="1" t="s">
        <v>3041</v>
      </c>
      <c r="F58" s="1" t="s">
        <v>112</v>
      </c>
      <c r="G58" s="1">
        <v>17174</v>
      </c>
    </row>
    <row r="59" spans="1:9"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9"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241</v>
      </c>
      <c r="D60" s="1" t="s">
        <v>112</v>
      </c>
      <c r="E60" s="1" t="s">
        <v>242</v>
      </c>
      <c r="F60" s="1" t="s">
        <v>243</v>
      </c>
      <c r="G60" s="1" t="s">
        <v>244</v>
      </c>
      <c r="H60" s="1" t="s">
        <v>245</v>
      </c>
      <c r="I60" s="1" t="s">
        <v>246</v>
      </c>
    </row>
    <row r="61" spans="1:9" x14ac:dyDescent="0.35">
      <c r="A61" s="1" t="str">
        <f t="shared" si="0"/>
        <v>02 EE2 34</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3042</v>
      </c>
      <c r="D61" s="1" t="s">
        <v>112</v>
      </c>
      <c r="E61" s="1" t="s">
        <v>3043</v>
      </c>
      <c r="F61" s="1" t="s">
        <v>3044</v>
      </c>
      <c r="G61" s="1" t="s">
        <v>3045</v>
      </c>
      <c r="H61" s="1" t="s">
        <v>3046</v>
      </c>
      <c r="I61" s="1">
        <v>24</v>
      </c>
    </row>
    <row r="62" spans="1:9"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9"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9"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252</v>
      </c>
      <c r="D67" s="1" t="s">
        <v>110</v>
      </c>
      <c r="E67" s="1" t="s">
        <v>111</v>
      </c>
      <c r="F67" s="1" t="s">
        <v>112</v>
      </c>
      <c r="G67" s="1" t="s">
        <v>113</v>
      </c>
    </row>
    <row r="68" spans="1:7" x14ac:dyDescent="0.35">
      <c r="A68" s="1" t="str">
        <f t="shared" si="1"/>
        <v>03 EE2 51</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3047</v>
      </c>
    </row>
    <row r="69" spans="1:7" x14ac:dyDescent="0.35">
      <c r="A69" s="1" t="str">
        <f t="shared" si="1"/>
        <v>03 EE2 51</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3048</v>
      </c>
      <c r="D69" s="1" t="s">
        <v>1629</v>
      </c>
      <c r="E69" s="1" t="s">
        <v>3049</v>
      </c>
      <c r="F69" s="1" t="s">
        <v>112</v>
      </c>
      <c r="G69" s="1">
        <v>182145</v>
      </c>
    </row>
    <row r="70" spans="1:7" x14ac:dyDescent="0.35">
      <c r="A70" s="1" t="str">
        <f t="shared" si="1"/>
        <v>03 EE2 51</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3050</v>
      </c>
      <c r="D70" s="1" t="s">
        <v>215</v>
      </c>
      <c r="E70" s="1" t="s">
        <v>3051</v>
      </c>
      <c r="F70" s="1" t="s">
        <v>112</v>
      </c>
      <c r="G70" s="1">
        <v>113925</v>
      </c>
    </row>
    <row r="71" spans="1:7" x14ac:dyDescent="0.35">
      <c r="A71" s="1" t="str">
        <f t="shared" si="1"/>
        <v>03 EE2 51</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3052</v>
      </c>
      <c r="D71" s="1" t="s">
        <v>2335</v>
      </c>
      <c r="E71" s="1" t="s">
        <v>3053</v>
      </c>
      <c r="F71" s="1" t="s">
        <v>112</v>
      </c>
      <c r="G71" s="1">
        <v>322372</v>
      </c>
    </row>
    <row r="72" spans="1:7" x14ac:dyDescent="0.35">
      <c r="A72" s="1" t="str">
        <f t="shared" si="1"/>
        <v>03 EE2 51</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3054</v>
      </c>
      <c r="D72" s="1" t="s">
        <v>1424</v>
      </c>
      <c r="E72" s="1" t="s">
        <v>3055</v>
      </c>
      <c r="F72" s="1" t="s">
        <v>112</v>
      </c>
      <c r="G72" s="1">
        <v>211670</v>
      </c>
    </row>
    <row r="73" spans="1:7" x14ac:dyDescent="0.35">
      <c r="A73" s="1" t="str">
        <f t="shared" si="1"/>
        <v>03 EE2 51</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3056</v>
      </c>
      <c r="D73" s="1" t="s">
        <v>925</v>
      </c>
      <c r="E73" s="1" t="s">
        <v>3057</v>
      </c>
      <c r="F73" s="1" t="s">
        <v>112</v>
      </c>
      <c r="G73" s="1">
        <v>47824</v>
      </c>
    </row>
    <row r="74" spans="1:7" x14ac:dyDescent="0.35">
      <c r="A74" s="1" t="str">
        <f t="shared" si="1"/>
        <v>03 EE2 51</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3058</v>
      </c>
      <c r="D74" s="1" t="s">
        <v>3059</v>
      </c>
      <c r="E74" s="1" t="s">
        <v>3060</v>
      </c>
      <c r="F74" s="1" t="s">
        <v>112</v>
      </c>
      <c r="G74" s="1">
        <v>422064</v>
      </c>
    </row>
    <row r="75" spans="1:7" x14ac:dyDescent="0.35">
      <c r="A75" s="1" t="str">
        <f t="shared" si="1"/>
        <v>03 EE2 51</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3061</v>
      </c>
      <c r="D75" s="1" t="s">
        <v>3062</v>
      </c>
      <c r="E75" s="1" t="s">
        <v>3063</v>
      </c>
      <c r="F75" s="1" t="s">
        <v>112</v>
      </c>
      <c r="G75" s="1">
        <v>282248</v>
      </c>
    </row>
    <row r="76" spans="1:7" x14ac:dyDescent="0.35">
      <c r="A76" s="1" t="str">
        <f t="shared" si="1"/>
        <v>03 EE2 51</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3064</v>
      </c>
      <c r="D76" s="1" t="s">
        <v>964</v>
      </c>
      <c r="E76" s="1" t="s">
        <v>3065</v>
      </c>
      <c r="F76" s="1" t="s">
        <v>112</v>
      </c>
      <c r="G76" s="1">
        <v>467573</v>
      </c>
    </row>
    <row r="77" spans="1:7" x14ac:dyDescent="0.35">
      <c r="A77" s="1" t="str">
        <f t="shared" si="1"/>
        <v>03 EE2 51</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3066</v>
      </c>
      <c r="D77" s="1" t="s">
        <v>2903</v>
      </c>
      <c r="E77" s="1" t="s">
        <v>3067</v>
      </c>
      <c r="F77" s="1" t="s">
        <v>112</v>
      </c>
      <c r="G77" s="1">
        <v>331500</v>
      </c>
    </row>
    <row r="78" spans="1:7" x14ac:dyDescent="0.35">
      <c r="A78" s="1" t="str">
        <f t="shared" si="1"/>
        <v>03 EE2 51</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3068</v>
      </c>
      <c r="D78" s="1" t="s">
        <v>3069</v>
      </c>
      <c r="E78" s="1" t="s">
        <v>3070</v>
      </c>
      <c r="F78" s="1" t="s">
        <v>112</v>
      </c>
      <c r="G78" s="1">
        <v>302710</v>
      </c>
    </row>
    <row r="79" spans="1:7" x14ac:dyDescent="0.35">
      <c r="A79" s="1" t="str">
        <f t="shared" si="1"/>
        <v>03 EE2 51</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3071</v>
      </c>
      <c r="D79" s="1" t="s">
        <v>3017</v>
      </c>
      <c r="E79" s="1" t="s">
        <v>3072</v>
      </c>
      <c r="F79" s="1" t="s">
        <v>112</v>
      </c>
      <c r="G79" s="1">
        <v>164950</v>
      </c>
    </row>
    <row r="80" spans="1:7" x14ac:dyDescent="0.35">
      <c r="A80" s="1" t="str">
        <f t="shared" si="1"/>
        <v>03 EE2 51</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3073</v>
      </c>
      <c r="D80" s="1" t="s">
        <v>2172</v>
      </c>
      <c r="E80" s="1" t="s">
        <v>3074</v>
      </c>
      <c r="F80" s="1" t="s">
        <v>112</v>
      </c>
      <c r="G80" s="1">
        <v>431149</v>
      </c>
    </row>
    <row r="81" spans="1:9" x14ac:dyDescent="0.35">
      <c r="A81" s="1" t="str">
        <f t="shared" si="1"/>
        <v>03 EE2 51</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3075</v>
      </c>
      <c r="D81" s="1" t="s">
        <v>3076</v>
      </c>
      <c r="E81" s="1" t="s">
        <v>3077</v>
      </c>
      <c r="F81" s="1" t="s">
        <v>112</v>
      </c>
      <c r="G81" s="1">
        <v>561837</v>
      </c>
    </row>
    <row r="82" spans="1:9" x14ac:dyDescent="0.35">
      <c r="A82" s="1" t="str">
        <f t="shared" si="1"/>
        <v>03 EE2 51</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3078</v>
      </c>
      <c r="D82" s="1" t="s">
        <v>3079</v>
      </c>
      <c r="E82" s="1" t="s">
        <v>3080</v>
      </c>
      <c r="F82" s="1" t="s">
        <v>112</v>
      </c>
      <c r="G82" s="1">
        <v>143147</v>
      </c>
    </row>
    <row r="83" spans="1:9" x14ac:dyDescent="0.35">
      <c r="A83" s="1" t="str">
        <f t="shared" si="1"/>
        <v>03 EE2 51</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3081</v>
      </c>
      <c r="D83" s="1" t="s">
        <v>301</v>
      </c>
      <c r="E83" s="1" t="s">
        <v>3082</v>
      </c>
      <c r="F83" s="1" t="s">
        <v>112</v>
      </c>
      <c r="G83" s="1">
        <v>256293</v>
      </c>
    </row>
    <row r="84" spans="1:9" x14ac:dyDescent="0.35">
      <c r="A84" s="1" t="str">
        <f t="shared" si="1"/>
        <v>03 EE2 51</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3083</v>
      </c>
      <c r="D84" s="1" t="s">
        <v>921</v>
      </c>
      <c r="E84" s="1" t="s">
        <v>3084</v>
      </c>
      <c r="F84" s="1" t="s">
        <v>112</v>
      </c>
      <c r="G84" s="1">
        <v>298774</v>
      </c>
    </row>
    <row r="85" spans="1:9" x14ac:dyDescent="0.35">
      <c r="A85" s="1" t="str">
        <f t="shared" si="1"/>
        <v>03 EE2 51</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3085</v>
      </c>
      <c r="D85" s="1" t="s">
        <v>1521</v>
      </c>
      <c r="E85" s="1" t="s">
        <v>3086</v>
      </c>
      <c r="F85" s="1" t="s">
        <v>112</v>
      </c>
      <c r="G85" s="1">
        <v>296935</v>
      </c>
    </row>
    <row r="86" spans="1:9" x14ac:dyDescent="0.35">
      <c r="A86" s="1" t="str">
        <f t="shared" si="1"/>
        <v>03 EE2 51</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3087</v>
      </c>
      <c r="D86" s="1" t="s">
        <v>3088</v>
      </c>
      <c r="E86" s="1" t="s">
        <v>3089</v>
      </c>
      <c r="F86" s="1" t="s">
        <v>112</v>
      </c>
      <c r="G86" s="1">
        <v>620973</v>
      </c>
    </row>
    <row r="87" spans="1:9" x14ac:dyDescent="0.35">
      <c r="A87" s="1" t="str">
        <f t="shared" si="1"/>
        <v>03 EE2 51</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3090</v>
      </c>
      <c r="D87" s="1" t="s">
        <v>2217</v>
      </c>
      <c r="E87" s="1" t="s">
        <v>3091</v>
      </c>
      <c r="F87" s="1" t="s">
        <v>112</v>
      </c>
      <c r="G87" s="1">
        <v>24247</v>
      </c>
    </row>
    <row r="88" spans="1:9" x14ac:dyDescent="0.35">
      <c r="A88" s="1" t="str">
        <f t="shared" si="1"/>
        <v>03 EE2 51</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3092</v>
      </c>
      <c r="D88" s="1" t="s">
        <v>1514</v>
      </c>
      <c r="E88" s="1" t="s">
        <v>3093</v>
      </c>
      <c r="F88" s="1" t="s">
        <v>112</v>
      </c>
      <c r="G88" s="1">
        <v>137847</v>
      </c>
    </row>
    <row r="89" spans="1:9" x14ac:dyDescent="0.35">
      <c r="A89" s="1" t="str">
        <f t="shared" si="1"/>
        <v>03 EE2 51</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3094</v>
      </c>
      <c r="D89" s="1" t="s">
        <v>3095</v>
      </c>
      <c r="E89" s="1" t="s">
        <v>3096</v>
      </c>
      <c r="F89" s="1" t="s">
        <v>112</v>
      </c>
      <c r="G89" s="1">
        <v>40037</v>
      </c>
    </row>
    <row r="90" spans="1:9" x14ac:dyDescent="0.35">
      <c r="A90" s="1" t="str">
        <f t="shared" si="1"/>
        <v>03 EE2 51</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3097</v>
      </c>
      <c r="D90" s="1" t="s">
        <v>3079</v>
      </c>
      <c r="E90" s="1" t="s">
        <v>3098</v>
      </c>
      <c r="F90" s="1" t="s">
        <v>112</v>
      </c>
      <c r="G90" s="1">
        <v>152101</v>
      </c>
    </row>
    <row r="91" spans="1:9" x14ac:dyDescent="0.35">
      <c r="A91" s="1" t="str">
        <f t="shared" si="1"/>
        <v>03 EE2 51</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3099</v>
      </c>
      <c r="D91" s="1" t="s">
        <v>3100</v>
      </c>
      <c r="E91" s="1" t="s">
        <v>3101</v>
      </c>
      <c r="F91" s="1" t="s">
        <v>112</v>
      </c>
      <c r="G91" s="1">
        <v>80939</v>
      </c>
    </row>
    <row r="92" spans="1:9"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9"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241</v>
      </c>
      <c r="D93" s="1" t="s">
        <v>112</v>
      </c>
      <c r="E93" s="1" t="s">
        <v>242</v>
      </c>
      <c r="F93" s="1" t="s">
        <v>243</v>
      </c>
      <c r="G93" s="1" t="s">
        <v>244</v>
      </c>
      <c r="H93" s="1" t="s">
        <v>245</v>
      </c>
      <c r="I93" s="1" t="s">
        <v>246</v>
      </c>
    </row>
    <row r="94" spans="1:9" x14ac:dyDescent="0.35">
      <c r="A94" s="1" t="str">
        <f t="shared" si="1"/>
        <v>03 EE2 51</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3102</v>
      </c>
      <c r="D94" s="1" t="s">
        <v>112</v>
      </c>
      <c r="E94" s="1" t="s">
        <v>3103</v>
      </c>
      <c r="F94" s="1" t="s">
        <v>3104</v>
      </c>
      <c r="G94" s="1" t="s">
        <v>3105</v>
      </c>
      <c r="H94" s="1" t="s">
        <v>3106</v>
      </c>
      <c r="I94" s="1">
        <v>24</v>
      </c>
    </row>
    <row r="95" spans="1:9"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9"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252</v>
      </c>
      <c r="D100" s="1" t="s">
        <v>110</v>
      </c>
      <c r="E100" s="1" t="s">
        <v>111</v>
      </c>
      <c r="F100" s="1" t="s">
        <v>112</v>
      </c>
      <c r="G100" s="1" t="s">
        <v>113</v>
      </c>
    </row>
    <row r="101" spans="1:7" x14ac:dyDescent="0.3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3107</v>
      </c>
      <c r="D101" s="1" t="s">
        <v>3108</v>
      </c>
      <c r="E101" s="1" t="s">
        <v>3109</v>
      </c>
      <c r="F101" s="1" t="s">
        <v>112</v>
      </c>
      <c r="G101" s="1">
        <v>996230</v>
      </c>
    </row>
    <row r="102" spans="1:7" x14ac:dyDescent="0.3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3110</v>
      </c>
      <c r="D102" s="1" t="s">
        <v>3111</v>
      </c>
      <c r="E102" s="1" t="s">
        <v>3112</v>
      </c>
      <c r="F102" s="1" t="s">
        <v>112</v>
      </c>
      <c r="G102" s="1">
        <v>902161</v>
      </c>
    </row>
    <row r="103" spans="1:7" x14ac:dyDescent="0.3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3113</v>
      </c>
      <c r="D103" s="1" t="s">
        <v>3114</v>
      </c>
      <c r="E103" s="1" t="s">
        <v>3115</v>
      </c>
      <c r="F103" s="1" t="s">
        <v>112</v>
      </c>
      <c r="G103" s="1">
        <v>1245449</v>
      </c>
    </row>
    <row r="104" spans="1:7" x14ac:dyDescent="0.3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3116</v>
      </c>
      <c r="D104" s="1" t="s">
        <v>3117</v>
      </c>
      <c r="E104" s="1" t="s">
        <v>3118</v>
      </c>
      <c r="F104" s="1" t="s">
        <v>112</v>
      </c>
      <c r="G104" s="1">
        <v>1967931</v>
      </c>
    </row>
    <row r="105" spans="1:7" x14ac:dyDescent="0.3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3119</v>
      </c>
      <c r="D105" s="1" t="s">
        <v>3120</v>
      </c>
      <c r="E105" s="1" t="s">
        <v>3121</v>
      </c>
      <c r="F105" s="1" t="s">
        <v>112</v>
      </c>
      <c r="G105" s="1">
        <v>1737638</v>
      </c>
    </row>
    <row r="106" spans="1:7" x14ac:dyDescent="0.3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3122</v>
      </c>
      <c r="D106" s="1" t="s">
        <v>3123</v>
      </c>
      <c r="E106" s="1" t="s">
        <v>3124</v>
      </c>
      <c r="F106" s="1" t="s">
        <v>112</v>
      </c>
      <c r="G106" s="1">
        <v>1323382</v>
      </c>
    </row>
    <row r="107" spans="1:7" x14ac:dyDescent="0.3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3125</v>
      </c>
      <c r="D107" s="1" t="s">
        <v>3126</v>
      </c>
      <c r="E107" s="1" t="s">
        <v>3127</v>
      </c>
      <c r="F107" s="1" t="s">
        <v>112</v>
      </c>
      <c r="G107" s="1">
        <v>563113</v>
      </c>
    </row>
    <row r="108" spans="1:7" x14ac:dyDescent="0.3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3128</v>
      </c>
      <c r="D108" s="1" t="s">
        <v>3129</v>
      </c>
      <c r="E108" s="1" t="s">
        <v>3130</v>
      </c>
      <c r="F108" s="1" t="s">
        <v>112</v>
      </c>
      <c r="G108" s="1">
        <v>1586120</v>
      </c>
    </row>
    <row r="109" spans="1:7" x14ac:dyDescent="0.3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3131</v>
      </c>
      <c r="D109" s="1" t="s">
        <v>3132</v>
      </c>
      <c r="E109" s="1" t="s">
        <v>3133</v>
      </c>
      <c r="F109" s="1" t="s">
        <v>112</v>
      </c>
      <c r="G109" s="1">
        <v>459505</v>
      </c>
    </row>
    <row r="110" spans="1:7" x14ac:dyDescent="0.3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3134</v>
      </c>
      <c r="D110" s="1" t="s">
        <v>1055</v>
      </c>
      <c r="E110" s="1" t="s">
        <v>3135</v>
      </c>
      <c r="F110" s="1" t="s">
        <v>112</v>
      </c>
      <c r="G110" s="1">
        <v>214720</v>
      </c>
    </row>
    <row r="111" spans="1:7" x14ac:dyDescent="0.3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3136</v>
      </c>
      <c r="D111" s="1" t="s">
        <v>3137</v>
      </c>
      <c r="E111" s="1" t="s">
        <v>3138</v>
      </c>
      <c r="F111" s="1" t="s">
        <v>112</v>
      </c>
      <c r="G111" s="1">
        <v>238664</v>
      </c>
    </row>
    <row r="112" spans="1:7" x14ac:dyDescent="0.3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3139</v>
      </c>
      <c r="D112" s="1" t="s">
        <v>3140</v>
      </c>
      <c r="E112" s="1" t="s">
        <v>3141</v>
      </c>
      <c r="F112" s="1" t="s">
        <v>112</v>
      </c>
      <c r="G112" s="1">
        <v>210891</v>
      </c>
    </row>
    <row r="113" spans="1:9" x14ac:dyDescent="0.3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3142</v>
      </c>
      <c r="D113" s="1" t="s">
        <v>3143</v>
      </c>
      <c r="E113" s="1" t="s">
        <v>3144</v>
      </c>
      <c r="F113" s="1" t="s">
        <v>112</v>
      </c>
      <c r="G113" s="1">
        <v>1553913</v>
      </c>
    </row>
    <row r="114" spans="1:9" x14ac:dyDescent="0.3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3145</v>
      </c>
      <c r="D114" s="1" t="s">
        <v>3146</v>
      </c>
      <c r="E114" s="1" t="s">
        <v>3147</v>
      </c>
      <c r="F114" s="1" t="s">
        <v>112</v>
      </c>
      <c r="G114" s="1">
        <v>1241123</v>
      </c>
    </row>
    <row r="115" spans="1:9" x14ac:dyDescent="0.3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3148</v>
      </c>
      <c r="D115" s="1" t="s">
        <v>1862</v>
      </c>
      <c r="E115" s="1" t="s">
        <v>3149</v>
      </c>
      <c r="F115" s="1" t="s">
        <v>112</v>
      </c>
      <c r="G115" s="1">
        <v>1256848</v>
      </c>
    </row>
    <row r="116" spans="1:9" x14ac:dyDescent="0.3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3150</v>
      </c>
      <c r="D116" s="1" t="s">
        <v>3151</v>
      </c>
      <c r="E116" s="1" t="s">
        <v>3152</v>
      </c>
      <c r="F116" s="1" t="s">
        <v>112</v>
      </c>
      <c r="G116" s="1">
        <v>1508750</v>
      </c>
    </row>
    <row r="117" spans="1:9" x14ac:dyDescent="0.3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3153</v>
      </c>
      <c r="D117" s="1" t="s">
        <v>3154</v>
      </c>
      <c r="E117" s="1" t="s">
        <v>3155</v>
      </c>
      <c r="F117" s="1" t="s">
        <v>112</v>
      </c>
      <c r="G117" s="1">
        <v>1093629</v>
      </c>
    </row>
    <row r="118" spans="1:9" x14ac:dyDescent="0.3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3156</v>
      </c>
      <c r="D118" s="1" t="s">
        <v>3157</v>
      </c>
      <c r="E118" s="1" t="s">
        <v>3158</v>
      </c>
      <c r="F118" s="1" t="s">
        <v>112</v>
      </c>
      <c r="G118" s="1">
        <v>1289466</v>
      </c>
    </row>
    <row r="119" spans="1:9" x14ac:dyDescent="0.3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3159</v>
      </c>
      <c r="D119" s="1" t="s">
        <v>3160</v>
      </c>
      <c r="E119" s="1" t="s">
        <v>3161</v>
      </c>
      <c r="F119" s="1" t="s">
        <v>112</v>
      </c>
      <c r="G119" s="1">
        <v>2510084</v>
      </c>
    </row>
    <row r="120" spans="1:9" x14ac:dyDescent="0.3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3162</v>
      </c>
      <c r="D120" s="1" t="s">
        <v>3163</v>
      </c>
      <c r="E120" s="1" t="s">
        <v>3164</v>
      </c>
      <c r="F120" s="1" t="s">
        <v>112</v>
      </c>
      <c r="G120" s="1">
        <v>2413853</v>
      </c>
    </row>
    <row r="121" spans="1:9" x14ac:dyDescent="0.3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3165</v>
      </c>
      <c r="D121" s="1" t="s">
        <v>3166</v>
      </c>
      <c r="E121" s="1" t="s">
        <v>3167</v>
      </c>
      <c r="F121" s="1" t="s">
        <v>112</v>
      </c>
      <c r="G121" s="1">
        <v>2690110</v>
      </c>
    </row>
    <row r="122" spans="1:9" x14ac:dyDescent="0.3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3168</v>
      </c>
      <c r="D122" s="1" t="s">
        <v>3169</v>
      </c>
      <c r="E122" s="1" t="s">
        <v>3170</v>
      </c>
      <c r="F122" s="1" t="s">
        <v>112</v>
      </c>
      <c r="G122" s="1">
        <v>1074530</v>
      </c>
    </row>
    <row r="123" spans="1:9" x14ac:dyDescent="0.3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3171</v>
      </c>
      <c r="D123" s="1" t="s">
        <v>3172</v>
      </c>
      <c r="E123" s="1" t="s">
        <v>3173</v>
      </c>
      <c r="F123" s="1" t="s">
        <v>112</v>
      </c>
      <c r="G123" s="1">
        <v>799960</v>
      </c>
    </row>
    <row r="124" spans="1:9" x14ac:dyDescent="0.3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3174</v>
      </c>
      <c r="D124" s="1" t="s">
        <v>3175</v>
      </c>
      <c r="E124" s="1" t="s">
        <v>3176</v>
      </c>
      <c r="F124" s="1" t="s">
        <v>112</v>
      </c>
      <c r="G124" s="1">
        <v>618766</v>
      </c>
    </row>
    <row r="125" spans="1:9"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9"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241</v>
      </c>
      <c r="D126" s="1" t="s">
        <v>112</v>
      </c>
      <c r="E126" s="1" t="s">
        <v>242</v>
      </c>
      <c r="F126" s="1" t="s">
        <v>243</v>
      </c>
      <c r="G126" s="1" t="s">
        <v>244</v>
      </c>
      <c r="H126" s="1" t="s">
        <v>245</v>
      </c>
      <c r="I126" s="1" t="s">
        <v>246</v>
      </c>
    </row>
    <row r="127" spans="1:9" x14ac:dyDescent="0.3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3177</v>
      </c>
      <c r="D127" s="1" t="s">
        <v>112</v>
      </c>
      <c r="E127" s="1" t="s">
        <v>3178</v>
      </c>
      <c r="F127" s="1" t="s">
        <v>3179</v>
      </c>
      <c r="G127" s="1" t="s">
        <v>3180</v>
      </c>
      <c r="H127" s="1" t="s">
        <v>3181</v>
      </c>
      <c r="I127" s="1">
        <v>24</v>
      </c>
    </row>
    <row r="128" spans="1:9"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252</v>
      </c>
      <c r="D133" s="1" t="s">
        <v>110</v>
      </c>
      <c r="E133" s="1" t="s">
        <v>111</v>
      </c>
      <c r="F133" s="1" t="s">
        <v>112</v>
      </c>
      <c r="G133" s="1" t="s">
        <v>113</v>
      </c>
    </row>
    <row r="134" spans="1:7" x14ac:dyDescent="0.3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3182</v>
      </c>
      <c r="D134" s="1" t="s">
        <v>589</v>
      </c>
      <c r="E134" s="1" t="s">
        <v>3183</v>
      </c>
      <c r="F134" s="1" t="s">
        <v>112</v>
      </c>
      <c r="G134" s="1">
        <v>2318833</v>
      </c>
    </row>
    <row r="135" spans="1:7" x14ac:dyDescent="0.3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3184</v>
      </c>
      <c r="D135" s="1" t="s">
        <v>3185</v>
      </c>
      <c r="E135" s="1" t="s">
        <v>3186</v>
      </c>
      <c r="F135" s="1" t="s">
        <v>112</v>
      </c>
      <c r="G135" s="1">
        <v>1917360</v>
      </c>
    </row>
    <row r="136" spans="1:7" x14ac:dyDescent="0.3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3187</v>
      </c>
      <c r="D136" s="1" t="s">
        <v>3188</v>
      </c>
      <c r="E136" s="1" t="s">
        <v>3189</v>
      </c>
      <c r="F136" s="1" t="s">
        <v>112</v>
      </c>
      <c r="G136" s="1">
        <v>1867093</v>
      </c>
    </row>
    <row r="137" spans="1:7" x14ac:dyDescent="0.3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3190</v>
      </c>
      <c r="D137" s="1" t="s">
        <v>2021</v>
      </c>
      <c r="E137" s="1" t="s">
        <v>3191</v>
      </c>
      <c r="F137" s="1" t="s">
        <v>112</v>
      </c>
      <c r="G137" s="1">
        <v>4315726</v>
      </c>
    </row>
    <row r="138" spans="1:7" x14ac:dyDescent="0.3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3192</v>
      </c>
      <c r="D138" s="1" t="s">
        <v>3193</v>
      </c>
      <c r="E138" s="1" t="s">
        <v>3194</v>
      </c>
      <c r="F138" s="1" t="s">
        <v>112</v>
      </c>
      <c r="G138" s="1">
        <v>3999281</v>
      </c>
    </row>
    <row r="139" spans="1:7" x14ac:dyDescent="0.3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3195</v>
      </c>
      <c r="D139" s="1" t="s">
        <v>3196</v>
      </c>
      <c r="E139" s="1" t="s">
        <v>3197</v>
      </c>
      <c r="F139" s="1" t="s">
        <v>112</v>
      </c>
      <c r="G139" s="1">
        <v>2943937</v>
      </c>
    </row>
    <row r="140" spans="1:7" x14ac:dyDescent="0.3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3198</v>
      </c>
      <c r="D140" s="1" t="s">
        <v>3199</v>
      </c>
      <c r="E140" s="1" t="s">
        <v>3200</v>
      </c>
      <c r="F140" s="1" t="s">
        <v>112</v>
      </c>
      <c r="G140" s="1">
        <v>1907886</v>
      </c>
    </row>
    <row r="141" spans="1:7" x14ac:dyDescent="0.3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3201</v>
      </c>
      <c r="D141" s="1" t="s">
        <v>3202</v>
      </c>
      <c r="E141" s="1" t="s">
        <v>3203</v>
      </c>
      <c r="F141" s="1" t="s">
        <v>112</v>
      </c>
      <c r="G141" s="1">
        <v>1964405</v>
      </c>
    </row>
    <row r="142" spans="1:7" x14ac:dyDescent="0.3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3204</v>
      </c>
      <c r="D142" s="1" t="s">
        <v>3205</v>
      </c>
      <c r="E142" s="1" t="s">
        <v>3206</v>
      </c>
      <c r="F142" s="1" t="s">
        <v>112</v>
      </c>
      <c r="G142" s="1">
        <v>1689143</v>
      </c>
    </row>
    <row r="143" spans="1:7" x14ac:dyDescent="0.3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3207</v>
      </c>
      <c r="D143" s="1" t="s">
        <v>3208</v>
      </c>
      <c r="E143" s="1" t="s">
        <v>3209</v>
      </c>
      <c r="F143" s="1" t="s">
        <v>112</v>
      </c>
      <c r="G143" s="1">
        <v>3351314</v>
      </c>
    </row>
    <row r="144" spans="1:7" x14ac:dyDescent="0.3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3210</v>
      </c>
      <c r="D144" s="1" t="s">
        <v>3211</v>
      </c>
      <c r="E144" s="1" t="s">
        <v>3212</v>
      </c>
      <c r="F144" s="1" t="s">
        <v>112</v>
      </c>
      <c r="G144" s="1">
        <v>3791526</v>
      </c>
    </row>
    <row r="145" spans="1:9" x14ac:dyDescent="0.3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3213</v>
      </c>
      <c r="D145" s="1" t="s">
        <v>3214</v>
      </c>
      <c r="E145" s="1" t="s">
        <v>3215</v>
      </c>
      <c r="F145" s="1" t="s">
        <v>112</v>
      </c>
      <c r="G145" s="1">
        <v>2867583</v>
      </c>
    </row>
    <row r="146" spans="1:9" x14ac:dyDescent="0.3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3216</v>
      </c>
      <c r="D146" s="1" t="s">
        <v>3217</v>
      </c>
      <c r="E146" s="1" t="s">
        <v>3218</v>
      </c>
      <c r="F146" s="1" t="s">
        <v>112</v>
      </c>
      <c r="G146" s="1">
        <v>3215154</v>
      </c>
    </row>
    <row r="147" spans="1:9" x14ac:dyDescent="0.3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3219</v>
      </c>
      <c r="D147" s="1" t="s">
        <v>2448</v>
      </c>
      <c r="E147" s="1" t="s">
        <v>3220</v>
      </c>
      <c r="F147" s="1" t="s">
        <v>112</v>
      </c>
      <c r="G147" s="1">
        <v>2922156</v>
      </c>
    </row>
    <row r="148" spans="1:9" x14ac:dyDescent="0.3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3221</v>
      </c>
      <c r="D148" s="1" t="s">
        <v>3222</v>
      </c>
      <c r="E148" s="1" t="s">
        <v>3223</v>
      </c>
      <c r="F148" s="1" t="s">
        <v>112</v>
      </c>
      <c r="G148" s="1">
        <v>2153862</v>
      </c>
    </row>
    <row r="149" spans="1:9" x14ac:dyDescent="0.3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3224</v>
      </c>
      <c r="D149" s="1" t="s">
        <v>3225</v>
      </c>
      <c r="E149" s="1" t="s">
        <v>3226</v>
      </c>
      <c r="F149" s="1" t="s">
        <v>112</v>
      </c>
      <c r="G149" s="1">
        <v>2731120</v>
      </c>
    </row>
    <row r="150" spans="1:9" x14ac:dyDescent="0.3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3227</v>
      </c>
      <c r="D150" s="1" t="s">
        <v>3228</v>
      </c>
      <c r="E150" s="1" t="s">
        <v>3229</v>
      </c>
      <c r="F150" s="1" t="s">
        <v>112</v>
      </c>
      <c r="G150" s="1">
        <v>2643325</v>
      </c>
    </row>
    <row r="151" spans="1:9" x14ac:dyDescent="0.3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3230</v>
      </c>
      <c r="D151" s="1" t="s">
        <v>3231</v>
      </c>
      <c r="E151" s="1" t="s">
        <v>3232</v>
      </c>
      <c r="F151" s="1" t="s">
        <v>112</v>
      </c>
      <c r="G151" s="1">
        <v>2878874</v>
      </c>
    </row>
    <row r="152" spans="1:9" x14ac:dyDescent="0.3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3233</v>
      </c>
      <c r="D152" s="1" t="s">
        <v>3234</v>
      </c>
      <c r="E152" s="1" t="s">
        <v>3235</v>
      </c>
      <c r="F152" s="1" t="s">
        <v>112</v>
      </c>
      <c r="G152" s="1">
        <v>1748193</v>
      </c>
    </row>
    <row r="153" spans="1:9" x14ac:dyDescent="0.3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3236</v>
      </c>
      <c r="D153" s="1" t="s">
        <v>3237</v>
      </c>
      <c r="E153" s="1" t="s">
        <v>3238</v>
      </c>
      <c r="F153" s="1" t="s">
        <v>112</v>
      </c>
      <c r="G153" s="1">
        <v>1494020</v>
      </c>
    </row>
    <row r="154" spans="1:9" x14ac:dyDescent="0.3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3239</v>
      </c>
      <c r="D154" s="1" t="s">
        <v>2657</v>
      </c>
      <c r="E154" s="1" t="s">
        <v>3240</v>
      </c>
      <c r="F154" s="1" t="s">
        <v>112</v>
      </c>
      <c r="G154" s="1">
        <v>1533213</v>
      </c>
    </row>
    <row r="155" spans="1:9" x14ac:dyDescent="0.3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3241</v>
      </c>
      <c r="D155" s="1" t="s">
        <v>3242</v>
      </c>
      <c r="E155" s="1" t="s">
        <v>3243</v>
      </c>
      <c r="F155" s="1" t="s">
        <v>112</v>
      </c>
      <c r="G155" s="1">
        <v>2964096</v>
      </c>
    </row>
    <row r="156" spans="1:9" x14ac:dyDescent="0.3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3244</v>
      </c>
    </row>
    <row r="157" spans="1:9" x14ac:dyDescent="0.3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3245</v>
      </c>
      <c r="D157" s="1" t="s">
        <v>3246</v>
      </c>
      <c r="E157" s="1" t="s">
        <v>3247</v>
      </c>
      <c r="F157" s="1" t="s">
        <v>112</v>
      </c>
      <c r="G157" s="1">
        <v>2424430</v>
      </c>
    </row>
    <row r="158" spans="1:9"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9"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241</v>
      </c>
      <c r="D159" s="1" t="s">
        <v>112</v>
      </c>
      <c r="E159" s="1" t="s">
        <v>242</v>
      </c>
      <c r="F159" s="1" t="s">
        <v>243</v>
      </c>
      <c r="G159" s="1" t="s">
        <v>244</v>
      </c>
      <c r="H159" s="1" t="s">
        <v>245</v>
      </c>
      <c r="I159" s="1" t="s">
        <v>246</v>
      </c>
    </row>
    <row r="160" spans="1:9" x14ac:dyDescent="0.3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3248</v>
      </c>
      <c r="D160" s="1" t="s">
        <v>112</v>
      </c>
      <c r="E160" s="1" t="s">
        <v>3249</v>
      </c>
      <c r="F160" s="1" t="s">
        <v>3250</v>
      </c>
      <c r="G160" s="1" t="s">
        <v>3251</v>
      </c>
      <c r="H160" s="1" t="s">
        <v>3252</v>
      </c>
      <c r="I160" s="1">
        <v>24</v>
      </c>
    </row>
    <row r="161" spans="1:7"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252</v>
      </c>
      <c r="D166" s="1" t="s">
        <v>110</v>
      </c>
      <c r="E166" s="1" t="s">
        <v>111</v>
      </c>
      <c r="F166" s="1" t="s">
        <v>112</v>
      </c>
      <c r="G166" s="1" t="s">
        <v>113</v>
      </c>
    </row>
    <row r="167" spans="1:7" x14ac:dyDescent="0.35">
      <c r="A167" s="1" t="str">
        <f t="shared" si="2"/>
        <v>06 EE2 171</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3253</v>
      </c>
      <c r="D167" s="1" t="s">
        <v>2044</v>
      </c>
      <c r="E167" s="1" t="s">
        <v>3254</v>
      </c>
      <c r="F167" s="1" t="s">
        <v>112</v>
      </c>
      <c r="G167" s="1">
        <v>4394611</v>
      </c>
    </row>
    <row r="168" spans="1:7" x14ac:dyDescent="0.35">
      <c r="A168" s="1" t="str">
        <f t="shared" si="2"/>
        <v>06 EE2 171</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3255</v>
      </c>
      <c r="D168" s="1" t="s">
        <v>3256</v>
      </c>
      <c r="E168" s="1" t="s">
        <v>3257</v>
      </c>
      <c r="F168" s="1" t="s">
        <v>112</v>
      </c>
      <c r="G168" s="1">
        <v>4383536</v>
      </c>
    </row>
    <row r="169" spans="1:7" x14ac:dyDescent="0.35">
      <c r="A169" s="1" t="str">
        <f t="shared" si="2"/>
        <v>06 EE2 171</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3258</v>
      </c>
      <c r="D169" s="1" t="s">
        <v>3259</v>
      </c>
      <c r="E169" s="1" t="s">
        <v>3260</v>
      </c>
      <c r="F169" s="1" t="s">
        <v>112</v>
      </c>
      <c r="G169" s="1">
        <v>3927967</v>
      </c>
    </row>
    <row r="170" spans="1:7" x14ac:dyDescent="0.35">
      <c r="A170" s="1" t="str">
        <f t="shared" si="2"/>
        <v>06 EE2 171</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3261</v>
      </c>
      <c r="D170" s="1" t="s">
        <v>3262</v>
      </c>
      <c r="E170" s="1" t="s">
        <v>3263</v>
      </c>
      <c r="F170" s="1" t="s">
        <v>112</v>
      </c>
      <c r="G170" s="1">
        <v>5444007</v>
      </c>
    </row>
    <row r="171" spans="1:7" x14ac:dyDescent="0.35">
      <c r="A171" s="1" t="str">
        <f t="shared" si="2"/>
        <v>06 EE2 171</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3264</v>
      </c>
      <c r="D171" s="1" t="s">
        <v>3265</v>
      </c>
      <c r="E171" s="1" t="s">
        <v>3266</v>
      </c>
      <c r="F171" s="1" t="s">
        <v>112</v>
      </c>
      <c r="G171" s="1">
        <v>4651963</v>
      </c>
    </row>
    <row r="172" spans="1:7" x14ac:dyDescent="0.35">
      <c r="A172" s="1" t="str">
        <f t="shared" si="2"/>
        <v>06 EE2 171</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3267</v>
      </c>
    </row>
    <row r="173" spans="1:7" x14ac:dyDescent="0.35">
      <c r="A173" s="1" t="str">
        <f t="shared" si="2"/>
        <v>06 EE2 171</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3268</v>
      </c>
      <c r="D173" s="1" t="s">
        <v>3269</v>
      </c>
      <c r="E173" s="1" t="s">
        <v>3270</v>
      </c>
      <c r="F173" s="1" t="s">
        <v>112</v>
      </c>
      <c r="G173" s="1">
        <v>3490654</v>
      </c>
    </row>
    <row r="174" spans="1:7" x14ac:dyDescent="0.35">
      <c r="A174" s="1" t="str">
        <f t="shared" si="2"/>
        <v>06 EE2 171</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3271</v>
      </c>
      <c r="D174" s="1" t="s">
        <v>3272</v>
      </c>
      <c r="E174" s="1" t="s">
        <v>3273</v>
      </c>
      <c r="F174" s="1" t="s">
        <v>112</v>
      </c>
      <c r="G174" s="1">
        <v>3296569</v>
      </c>
    </row>
    <row r="175" spans="1:7" x14ac:dyDescent="0.35">
      <c r="A175" s="1" t="str">
        <f t="shared" si="2"/>
        <v>06 EE2 171</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3274</v>
      </c>
      <c r="D175" s="1" t="s">
        <v>3275</v>
      </c>
      <c r="E175" s="1" t="s">
        <v>3276</v>
      </c>
      <c r="F175" s="1" t="s">
        <v>112</v>
      </c>
      <c r="G175" s="1">
        <v>3223546</v>
      </c>
    </row>
    <row r="176" spans="1:7" x14ac:dyDescent="0.35">
      <c r="A176" s="1" t="str">
        <f t="shared" si="2"/>
        <v>06 EE2 171</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3277</v>
      </c>
      <c r="D176" s="1" t="s">
        <v>3278</v>
      </c>
      <c r="E176" s="1" t="s">
        <v>3279</v>
      </c>
      <c r="F176" s="1" t="s">
        <v>112</v>
      </c>
      <c r="G176" s="1">
        <v>4985907</v>
      </c>
    </row>
    <row r="177" spans="1:9" x14ac:dyDescent="0.35">
      <c r="A177" s="1" t="str">
        <f t="shared" si="2"/>
        <v>06 EE2 171</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3280</v>
      </c>
      <c r="D177" s="1" t="s">
        <v>3281</v>
      </c>
      <c r="E177" s="1" t="s">
        <v>3282</v>
      </c>
      <c r="F177" s="1" t="s">
        <v>112</v>
      </c>
      <c r="G177" s="1">
        <v>4538687</v>
      </c>
    </row>
    <row r="178" spans="1:9" x14ac:dyDescent="0.35">
      <c r="A178" s="1" t="str">
        <f t="shared" si="2"/>
        <v>06 EE2 171</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3283</v>
      </c>
      <c r="D178" s="1" t="s">
        <v>3284</v>
      </c>
      <c r="E178" s="1" t="s">
        <v>3285</v>
      </c>
      <c r="F178" s="1" t="s">
        <v>112</v>
      </c>
      <c r="G178" s="1">
        <v>4274348</v>
      </c>
    </row>
    <row r="179" spans="1:9" x14ac:dyDescent="0.35">
      <c r="A179" s="1" t="str">
        <f t="shared" si="2"/>
        <v>06 EE2 171</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3286</v>
      </c>
      <c r="D179" s="1" t="s">
        <v>3287</v>
      </c>
      <c r="E179" s="1" t="s">
        <v>3288</v>
      </c>
      <c r="F179" s="1" t="s">
        <v>112</v>
      </c>
      <c r="G179" s="1">
        <v>3959201</v>
      </c>
    </row>
    <row r="180" spans="1:9" x14ac:dyDescent="0.35">
      <c r="A180" s="1" t="str">
        <f t="shared" si="2"/>
        <v>06 EE2 171</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3289</v>
      </c>
      <c r="D180" s="1" t="s">
        <v>3290</v>
      </c>
      <c r="E180" s="1" t="s">
        <v>3291</v>
      </c>
      <c r="F180" s="1" t="s">
        <v>112</v>
      </c>
      <c r="G180" s="1">
        <v>4839256</v>
      </c>
    </row>
    <row r="181" spans="1:9" x14ac:dyDescent="0.35">
      <c r="A181" s="1" t="str">
        <f t="shared" si="2"/>
        <v>06 EE2 171</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3292</v>
      </c>
    </row>
    <row r="182" spans="1:9" x14ac:dyDescent="0.35">
      <c r="A182" s="1" t="str">
        <f t="shared" si="2"/>
        <v>06 EE2 171</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3293</v>
      </c>
      <c r="D182" s="1" t="s">
        <v>3294</v>
      </c>
      <c r="E182" s="1" t="s">
        <v>3295</v>
      </c>
      <c r="F182" s="1" t="s">
        <v>112</v>
      </c>
      <c r="G182" s="1">
        <v>3123898</v>
      </c>
    </row>
    <row r="183" spans="1:9" x14ac:dyDescent="0.35">
      <c r="A183" s="1" t="str">
        <f t="shared" si="2"/>
        <v>06 EE2 171</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3296</v>
      </c>
      <c r="D183" s="1" t="s">
        <v>3297</v>
      </c>
      <c r="E183" s="1" t="s">
        <v>3298</v>
      </c>
      <c r="F183" s="1" t="s">
        <v>112</v>
      </c>
      <c r="G183" s="1">
        <v>3189588</v>
      </c>
    </row>
    <row r="184" spans="1:9" x14ac:dyDescent="0.35">
      <c r="A184" s="1" t="str">
        <f t="shared" si="2"/>
        <v>06 EE2 171</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3299</v>
      </c>
      <c r="D184" s="1" t="s">
        <v>3300</v>
      </c>
      <c r="E184" s="1" t="s">
        <v>3301</v>
      </c>
      <c r="F184" s="1" t="s">
        <v>112</v>
      </c>
      <c r="G184" s="1">
        <v>3133177</v>
      </c>
    </row>
    <row r="185" spans="1:9" x14ac:dyDescent="0.35">
      <c r="A185" s="1" t="str">
        <f t="shared" si="2"/>
        <v>06 EE2 171</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3302</v>
      </c>
      <c r="D185" s="1" t="s">
        <v>3303</v>
      </c>
      <c r="E185" s="1" t="s">
        <v>3304</v>
      </c>
      <c r="F185" s="1" t="s">
        <v>112</v>
      </c>
      <c r="G185" s="1">
        <v>4330456</v>
      </c>
    </row>
    <row r="186" spans="1:9" x14ac:dyDescent="0.35">
      <c r="A186" s="1" t="str">
        <f t="shared" si="2"/>
        <v>06 EE2 171</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3305</v>
      </c>
      <c r="D186" s="1" t="s">
        <v>3306</v>
      </c>
      <c r="E186" s="1" t="s">
        <v>3307</v>
      </c>
      <c r="F186" s="1" t="s">
        <v>112</v>
      </c>
      <c r="G186" s="1">
        <v>3884621</v>
      </c>
    </row>
    <row r="187" spans="1:9" x14ac:dyDescent="0.35">
      <c r="A187" s="1" t="str">
        <f t="shared" si="2"/>
        <v>06 EE2 171</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3308</v>
      </c>
      <c r="D187" s="1" t="s">
        <v>1274</v>
      </c>
      <c r="E187" s="1" t="s">
        <v>3309</v>
      </c>
      <c r="F187" s="1" t="s">
        <v>112</v>
      </c>
      <c r="G187" s="1">
        <v>4024372</v>
      </c>
    </row>
    <row r="188" spans="1:9" x14ac:dyDescent="0.35">
      <c r="A188" s="1" t="str">
        <f t="shared" si="2"/>
        <v>06 EE2 171</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3310</v>
      </c>
      <c r="D188" s="1" t="s">
        <v>3311</v>
      </c>
      <c r="E188" s="1" t="s">
        <v>3312</v>
      </c>
      <c r="F188" s="1" t="s">
        <v>112</v>
      </c>
      <c r="G188" s="1">
        <v>3446464</v>
      </c>
    </row>
    <row r="189" spans="1:9" x14ac:dyDescent="0.35">
      <c r="A189" s="1" t="str">
        <f t="shared" si="2"/>
        <v>06 EE2 171</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3313</v>
      </c>
      <c r="D189" s="1" t="s">
        <v>3314</v>
      </c>
      <c r="E189" s="1" t="s">
        <v>3315</v>
      </c>
      <c r="F189" s="1" t="s">
        <v>112</v>
      </c>
      <c r="G189" s="1">
        <v>3713701</v>
      </c>
    </row>
    <row r="190" spans="1:9" x14ac:dyDescent="0.35">
      <c r="A190" s="1" t="str">
        <f t="shared" si="2"/>
        <v>06 EE2 171</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3316</v>
      </c>
      <c r="D190" s="1" t="s">
        <v>3317</v>
      </c>
      <c r="E190" s="1" t="s">
        <v>3318</v>
      </c>
      <c r="F190" s="1" t="s">
        <v>112</v>
      </c>
      <c r="G190" s="1">
        <v>3591082</v>
      </c>
    </row>
    <row r="191" spans="1:9"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9"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241</v>
      </c>
      <c r="D192" s="1" t="s">
        <v>112</v>
      </c>
      <c r="E192" s="1" t="s">
        <v>242</v>
      </c>
      <c r="F192" s="1" t="s">
        <v>243</v>
      </c>
      <c r="G192" s="1" t="s">
        <v>244</v>
      </c>
      <c r="H192" s="1" t="s">
        <v>245</v>
      </c>
      <c r="I192" s="1" t="s">
        <v>246</v>
      </c>
    </row>
    <row r="193" spans="1:9" x14ac:dyDescent="0.35">
      <c r="A193" s="1" t="str">
        <f t="shared" si="2"/>
        <v>06 EE2 171</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3319</v>
      </c>
      <c r="D193" s="1" t="s">
        <v>112</v>
      </c>
      <c r="E193" s="1" t="s">
        <v>3320</v>
      </c>
      <c r="F193" s="1" t="s">
        <v>3321</v>
      </c>
      <c r="G193" s="1" t="s">
        <v>3322</v>
      </c>
      <c r="H193" s="1" t="s">
        <v>3323</v>
      </c>
      <c r="I193" s="1">
        <v>24</v>
      </c>
    </row>
    <row r="194" spans="1:9"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9"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9"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9"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9"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9"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252</v>
      </c>
      <c r="D199" s="1" t="s">
        <v>110</v>
      </c>
      <c r="E199" s="1" t="s">
        <v>111</v>
      </c>
      <c r="F199" s="1" t="s">
        <v>112</v>
      </c>
      <c r="G199" s="1" t="s">
        <v>113</v>
      </c>
    </row>
    <row r="200" spans="1:9" x14ac:dyDescent="0.3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3324</v>
      </c>
      <c r="D200" s="1" t="s">
        <v>3325</v>
      </c>
      <c r="E200" s="1" t="s">
        <v>3326</v>
      </c>
      <c r="F200" s="1" t="s">
        <v>112</v>
      </c>
      <c r="G200" s="1">
        <v>7193887</v>
      </c>
    </row>
    <row r="201" spans="1:9" x14ac:dyDescent="0.3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3327</v>
      </c>
      <c r="D201" s="1" t="s">
        <v>3328</v>
      </c>
      <c r="E201" s="1" t="s">
        <v>3329</v>
      </c>
      <c r="F201" s="1" t="s">
        <v>112</v>
      </c>
      <c r="G201" s="1">
        <v>6907161</v>
      </c>
    </row>
    <row r="202" spans="1:9" x14ac:dyDescent="0.3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3330</v>
      </c>
      <c r="D202" s="1" t="s">
        <v>3331</v>
      </c>
      <c r="E202" s="1" t="s">
        <v>3332</v>
      </c>
      <c r="F202" s="1" t="s">
        <v>112</v>
      </c>
      <c r="G202" s="1">
        <v>7065838</v>
      </c>
    </row>
    <row r="203" spans="1:9" x14ac:dyDescent="0.3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3333</v>
      </c>
      <c r="D203" s="1" t="s">
        <v>3334</v>
      </c>
      <c r="E203" s="1" t="s">
        <v>3335</v>
      </c>
      <c r="F203" s="1" t="s">
        <v>112</v>
      </c>
      <c r="G203" s="1">
        <v>9173130</v>
      </c>
    </row>
    <row r="204" spans="1:9" x14ac:dyDescent="0.3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3336</v>
      </c>
      <c r="D204" s="1" t="s">
        <v>2039</v>
      </c>
      <c r="E204" s="1" t="s">
        <v>3337</v>
      </c>
      <c r="F204" s="1" t="s">
        <v>112</v>
      </c>
      <c r="G204" s="1">
        <v>8882446</v>
      </c>
    </row>
    <row r="205" spans="1:9" x14ac:dyDescent="0.3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3338</v>
      </c>
      <c r="D205" s="1" t="s">
        <v>3339</v>
      </c>
      <c r="E205" s="1" t="s">
        <v>3340</v>
      </c>
      <c r="F205" s="1" t="s">
        <v>112</v>
      </c>
      <c r="G205" s="1">
        <v>8937191</v>
      </c>
    </row>
    <row r="206" spans="1:9" x14ac:dyDescent="0.3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3341</v>
      </c>
      <c r="D206" s="1" t="s">
        <v>3342</v>
      </c>
      <c r="E206" s="1" t="s">
        <v>3343</v>
      </c>
      <c r="F206" s="1" t="s">
        <v>112</v>
      </c>
      <c r="G206" s="1">
        <v>7818926</v>
      </c>
    </row>
    <row r="207" spans="1:9" x14ac:dyDescent="0.3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3344</v>
      </c>
      <c r="D207" s="1" t="s">
        <v>3345</v>
      </c>
      <c r="E207" s="1" t="s">
        <v>3346</v>
      </c>
      <c r="F207" s="1" t="s">
        <v>112</v>
      </c>
      <c r="G207" s="1">
        <v>8000357</v>
      </c>
    </row>
    <row r="208" spans="1:9" x14ac:dyDescent="0.3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3347</v>
      </c>
      <c r="D208" s="1" t="s">
        <v>3348</v>
      </c>
      <c r="E208" s="1" t="s">
        <v>3349</v>
      </c>
      <c r="F208" s="1" t="s">
        <v>112</v>
      </c>
      <c r="G208" s="1">
        <v>7626506</v>
      </c>
    </row>
    <row r="209" spans="1:7" x14ac:dyDescent="0.3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3350</v>
      </c>
      <c r="D209" s="1" t="s">
        <v>3351</v>
      </c>
      <c r="E209" s="1" t="s">
        <v>3352</v>
      </c>
      <c r="F209" s="1" t="s">
        <v>112</v>
      </c>
      <c r="G209" s="1">
        <v>6502768</v>
      </c>
    </row>
    <row r="210" spans="1:7" x14ac:dyDescent="0.3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3353</v>
      </c>
      <c r="D210" s="1" t="s">
        <v>3354</v>
      </c>
      <c r="E210" s="1" t="s">
        <v>3355</v>
      </c>
      <c r="F210" s="1" t="s">
        <v>112</v>
      </c>
      <c r="G210" s="1">
        <v>5725433</v>
      </c>
    </row>
    <row r="211" spans="1:7" x14ac:dyDescent="0.3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3356</v>
      </c>
      <c r="D211" s="1" t="s">
        <v>3357</v>
      </c>
      <c r="E211" s="1" t="s">
        <v>3358</v>
      </c>
      <c r="F211" s="1" t="s">
        <v>112</v>
      </c>
      <c r="G211" s="1">
        <v>5616462</v>
      </c>
    </row>
    <row r="212" spans="1:7" x14ac:dyDescent="0.3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3359</v>
      </c>
      <c r="D212" s="1" t="s">
        <v>3360</v>
      </c>
      <c r="E212" s="1" t="s">
        <v>3361</v>
      </c>
      <c r="F212" s="1" t="s">
        <v>112</v>
      </c>
      <c r="G212" s="1">
        <v>5274666</v>
      </c>
    </row>
    <row r="213" spans="1:7" x14ac:dyDescent="0.3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3362</v>
      </c>
      <c r="D213" s="1" t="s">
        <v>3363</v>
      </c>
      <c r="E213" s="1" t="s">
        <v>3364</v>
      </c>
      <c r="F213" s="1" t="s">
        <v>112</v>
      </c>
      <c r="G213" s="1">
        <v>4955301</v>
      </c>
    </row>
    <row r="214" spans="1:7" x14ac:dyDescent="0.3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3365</v>
      </c>
      <c r="D214" s="1" t="s">
        <v>3366</v>
      </c>
      <c r="E214" s="1" t="s">
        <v>3367</v>
      </c>
      <c r="F214" s="1" t="s">
        <v>112</v>
      </c>
      <c r="G214" s="1">
        <v>5260001</v>
      </c>
    </row>
    <row r="215" spans="1:7" x14ac:dyDescent="0.3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3368</v>
      </c>
      <c r="D215" s="1" t="s">
        <v>3369</v>
      </c>
      <c r="E215" s="1" t="s">
        <v>3370</v>
      </c>
      <c r="F215" s="1" t="s">
        <v>112</v>
      </c>
      <c r="G215" s="1">
        <v>8543657</v>
      </c>
    </row>
    <row r="216" spans="1:7" x14ac:dyDescent="0.3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3371</v>
      </c>
      <c r="D216" s="1" t="s">
        <v>3372</v>
      </c>
      <c r="E216" s="1" t="s">
        <v>3373</v>
      </c>
      <c r="F216" s="1" t="s">
        <v>112</v>
      </c>
      <c r="G216" s="1">
        <v>8162495</v>
      </c>
    </row>
    <row r="217" spans="1:7" x14ac:dyDescent="0.3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3374</v>
      </c>
      <c r="D217" s="1" t="s">
        <v>3375</v>
      </c>
      <c r="E217" s="1" t="s">
        <v>3376</v>
      </c>
      <c r="F217" s="1" t="s">
        <v>112</v>
      </c>
      <c r="G217" s="1">
        <v>8343905</v>
      </c>
    </row>
    <row r="218" spans="1:7" x14ac:dyDescent="0.3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3377</v>
      </c>
      <c r="D218" s="1" t="s">
        <v>3378</v>
      </c>
      <c r="E218" s="1" t="s">
        <v>3379</v>
      </c>
      <c r="F218" s="1" t="s">
        <v>112</v>
      </c>
      <c r="G218" s="1">
        <v>10734376</v>
      </c>
    </row>
    <row r="219" spans="1:7" x14ac:dyDescent="0.3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3380</v>
      </c>
      <c r="D219" s="1" t="s">
        <v>3381</v>
      </c>
      <c r="E219" s="1" t="s">
        <v>3382</v>
      </c>
      <c r="F219" s="1" t="s">
        <v>112</v>
      </c>
      <c r="G219" s="1">
        <v>10521430</v>
      </c>
    </row>
    <row r="220" spans="1:7" x14ac:dyDescent="0.3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3383</v>
      </c>
      <c r="D220" s="1" t="s">
        <v>3384</v>
      </c>
      <c r="E220" s="1" t="s">
        <v>3385</v>
      </c>
      <c r="F220" s="1" t="s">
        <v>112</v>
      </c>
      <c r="G220" s="1">
        <v>10638274</v>
      </c>
    </row>
    <row r="221" spans="1:7" x14ac:dyDescent="0.3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3386</v>
      </c>
      <c r="D221" s="1" t="s">
        <v>3387</v>
      </c>
      <c r="E221" s="1" t="s">
        <v>3388</v>
      </c>
      <c r="F221" s="1" t="s">
        <v>112</v>
      </c>
      <c r="G221" s="1">
        <v>6848046</v>
      </c>
    </row>
    <row r="222" spans="1:7" x14ac:dyDescent="0.3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3389</v>
      </c>
      <c r="D222" s="1" t="s">
        <v>3390</v>
      </c>
      <c r="E222" s="1" t="s">
        <v>3391</v>
      </c>
      <c r="F222" s="1" t="s">
        <v>112</v>
      </c>
      <c r="G222" s="1">
        <v>6595041</v>
      </c>
    </row>
    <row r="223" spans="1:7" x14ac:dyDescent="0.3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3392</v>
      </c>
      <c r="D223" s="1" t="s">
        <v>1294</v>
      </c>
      <c r="E223" s="1" t="s">
        <v>3393</v>
      </c>
      <c r="F223" s="1" t="s">
        <v>112</v>
      </c>
      <c r="G223" s="1">
        <v>5947442</v>
      </c>
    </row>
    <row r="224" spans="1:7"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9"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241</v>
      </c>
      <c r="D225" s="1" t="s">
        <v>112</v>
      </c>
      <c r="E225" s="1" t="s">
        <v>242</v>
      </c>
      <c r="F225" s="1" t="s">
        <v>243</v>
      </c>
      <c r="G225" s="1" t="s">
        <v>244</v>
      </c>
      <c r="H225" s="1" t="s">
        <v>245</v>
      </c>
      <c r="I225" s="1" t="s">
        <v>246</v>
      </c>
    </row>
    <row r="226" spans="1:9" x14ac:dyDescent="0.3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3394</v>
      </c>
      <c r="D226" s="1" t="s">
        <v>112</v>
      </c>
      <c r="E226" s="1" t="s">
        <v>3395</v>
      </c>
      <c r="F226" s="1" t="s">
        <v>3396</v>
      </c>
      <c r="G226" s="1" t="s">
        <v>3397</v>
      </c>
      <c r="H226" s="1" t="s">
        <v>3398</v>
      </c>
      <c r="I226" s="1">
        <v>24</v>
      </c>
    </row>
    <row r="227" spans="1:9"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9"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9"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9"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9"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9"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252</v>
      </c>
      <c r="D232" s="1" t="s">
        <v>110</v>
      </c>
      <c r="E232" s="1" t="s">
        <v>111</v>
      </c>
      <c r="F232" s="1" t="s">
        <v>112</v>
      </c>
      <c r="G232" s="1" t="s">
        <v>113</v>
      </c>
    </row>
    <row r="233" spans="1:9" x14ac:dyDescent="0.35">
      <c r="A233" s="1" t="str">
        <f t="shared" si="3"/>
        <v>08 Pro 12</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3399</v>
      </c>
      <c r="D233" s="1" t="s">
        <v>1558</v>
      </c>
      <c r="E233" s="1" t="s">
        <v>3400</v>
      </c>
      <c r="F233" s="1" t="s">
        <v>112</v>
      </c>
      <c r="G233" s="1">
        <v>117277</v>
      </c>
    </row>
    <row r="234" spans="1:9" x14ac:dyDescent="0.35">
      <c r="A234" s="1" t="str">
        <f t="shared" si="3"/>
        <v>08 Pro 12</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3401</v>
      </c>
      <c r="D234" s="1" t="s">
        <v>1837</v>
      </c>
      <c r="E234" s="1" t="s">
        <v>3402</v>
      </c>
      <c r="F234" s="1" t="s">
        <v>112</v>
      </c>
      <c r="G234" s="1">
        <v>481244</v>
      </c>
    </row>
    <row r="235" spans="1:9" x14ac:dyDescent="0.35">
      <c r="A235" s="1" t="str">
        <f t="shared" si="3"/>
        <v>08 Pro 12</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3403</v>
      </c>
      <c r="D235" s="1" t="s">
        <v>1221</v>
      </c>
      <c r="E235" s="1" t="s">
        <v>3404</v>
      </c>
      <c r="F235" s="1" t="s">
        <v>112</v>
      </c>
      <c r="G235" s="1">
        <v>312184</v>
      </c>
    </row>
    <row r="236" spans="1:9" x14ac:dyDescent="0.35">
      <c r="A236" s="1" t="str">
        <f t="shared" si="3"/>
        <v>08 Pro 12</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3405</v>
      </c>
      <c r="D236" s="1" t="s">
        <v>313</v>
      </c>
      <c r="E236" s="1" t="s">
        <v>3406</v>
      </c>
      <c r="F236" s="1" t="s">
        <v>112</v>
      </c>
      <c r="G236" s="1">
        <v>42481</v>
      </c>
    </row>
    <row r="237" spans="1:9" x14ac:dyDescent="0.35">
      <c r="A237" s="1" t="str">
        <f t="shared" si="3"/>
        <v>08 Pro 12</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3407</v>
      </c>
      <c r="D237" s="1" t="s">
        <v>2093</v>
      </c>
      <c r="E237" s="1">
        <v>63</v>
      </c>
      <c r="F237" s="1" t="s">
        <v>112</v>
      </c>
      <c r="G237" s="1">
        <v>17715</v>
      </c>
    </row>
    <row r="238" spans="1:9" x14ac:dyDescent="0.35">
      <c r="A238" s="1" t="str">
        <f t="shared" si="3"/>
        <v>08 Pro 12</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3408</v>
      </c>
      <c r="D238" s="1" t="s">
        <v>3033</v>
      </c>
      <c r="E238" s="1" t="s">
        <v>3409</v>
      </c>
      <c r="F238" s="1" t="s">
        <v>112</v>
      </c>
      <c r="G238" s="1">
        <v>50052</v>
      </c>
    </row>
    <row r="239" spans="1:9" x14ac:dyDescent="0.35">
      <c r="A239" s="1" t="str">
        <f t="shared" si="3"/>
        <v>08 Pro 12</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3410</v>
      </c>
      <c r="D239" s="1" t="s">
        <v>2217</v>
      </c>
      <c r="E239" s="1" t="s">
        <v>3411</v>
      </c>
      <c r="F239" s="1" t="s">
        <v>112</v>
      </c>
      <c r="G239" s="1">
        <v>23339</v>
      </c>
    </row>
    <row r="240" spans="1:9" x14ac:dyDescent="0.35">
      <c r="A240" s="1" t="str">
        <f t="shared" si="3"/>
        <v>08 Pro 12</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3412</v>
      </c>
      <c r="D240" s="1" t="s">
        <v>1365</v>
      </c>
      <c r="E240" s="1" t="s">
        <v>3413</v>
      </c>
      <c r="F240" s="1" t="s">
        <v>112</v>
      </c>
      <c r="G240" s="1">
        <v>46785</v>
      </c>
    </row>
    <row r="241" spans="1:7" x14ac:dyDescent="0.35">
      <c r="A241" s="1" t="str">
        <f t="shared" si="3"/>
        <v>08 Pro 12</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3414</v>
      </c>
      <c r="D241" s="1" t="s">
        <v>3100</v>
      </c>
      <c r="E241" s="1" t="s">
        <v>3415</v>
      </c>
      <c r="F241" s="1" t="s">
        <v>112</v>
      </c>
      <c r="G241" s="1">
        <v>79295</v>
      </c>
    </row>
    <row r="242" spans="1:7" x14ac:dyDescent="0.35">
      <c r="A242" s="1" t="str">
        <f t="shared" si="3"/>
        <v>08 Pro 12</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3416</v>
      </c>
      <c r="D242" s="1" t="s">
        <v>342</v>
      </c>
      <c r="E242" s="1" t="s">
        <v>3417</v>
      </c>
      <c r="F242" s="1" t="s">
        <v>112</v>
      </c>
      <c r="G242" s="1">
        <v>89851</v>
      </c>
    </row>
    <row r="243" spans="1:7" x14ac:dyDescent="0.35">
      <c r="A243" s="1" t="str">
        <f t="shared" si="3"/>
        <v>08 Pro 12</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3418</v>
      </c>
      <c r="D243" s="1" t="s">
        <v>387</v>
      </c>
      <c r="E243" s="1" t="s">
        <v>3419</v>
      </c>
      <c r="F243" s="1" t="s">
        <v>112</v>
      </c>
      <c r="G243" s="1">
        <v>22171</v>
      </c>
    </row>
    <row r="244" spans="1:7" x14ac:dyDescent="0.35">
      <c r="A244" s="1" t="str">
        <f t="shared" si="3"/>
        <v>08 Pro 12</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3420</v>
      </c>
      <c r="D244" s="1" t="s">
        <v>193</v>
      </c>
      <c r="E244" s="1" t="s">
        <v>1064</v>
      </c>
      <c r="F244" s="1" t="s">
        <v>112</v>
      </c>
      <c r="G244" s="1">
        <v>26562</v>
      </c>
    </row>
    <row r="245" spans="1:7" x14ac:dyDescent="0.35">
      <c r="A245" s="1" t="str">
        <f t="shared" si="3"/>
        <v>08 Pro 12</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3421</v>
      </c>
      <c r="D245" s="1" t="s">
        <v>2950</v>
      </c>
      <c r="E245" s="1" t="s">
        <v>3422</v>
      </c>
      <c r="F245" s="1" t="s">
        <v>112</v>
      </c>
      <c r="G245" s="1">
        <v>6511</v>
      </c>
    </row>
    <row r="246" spans="1:7" x14ac:dyDescent="0.35">
      <c r="A246" s="1" t="str">
        <f t="shared" si="3"/>
        <v>08 Pro 12</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3423</v>
      </c>
      <c r="D246" s="1" t="s">
        <v>342</v>
      </c>
      <c r="E246" s="1" t="s">
        <v>3424</v>
      </c>
      <c r="F246" s="1" t="s">
        <v>112</v>
      </c>
      <c r="G246" s="1">
        <v>90132</v>
      </c>
    </row>
    <row r="247" spans="1:7" x14ac:dyDescent="0.35">
      <c r="A247" s="1" t="str">
        <f t="shared" si="3"/>
        <v>08 Pro 12</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3425</v>
      </c>
      <c r="D247" s="1" t="s">
        <v>2198</v>
      </c>
      <c r="E247" s="1" t="s">
        <v>3426</v>
      </c>
      <c r="F247" s="1" t="s">
        <v>112</v>
      </c>
      <c r="G247" s="1">
        <v>12567</v>
      </c>
    </row>
    <row r="248" spans="1:7" x14ac:dyDescent="0.35">
      <c r="A248" s="1" t="str">
        <f t="shared" si="3"/>
        <v>08 Pro 12</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3427</v>
      </c>
      <c r="D248" s="1" t="s">
        <v>221</v>
      </c>
      <c r="E248" s="1" t="s">
        <v>3428</v>
      </c>
      <c r="F248" s="1" t="s">
        <v>112</v>
      </c>
      <c r="G248" s="1">
        <v>74904</v>
      </c>
    </row>
    <row r="249" spans="1:7" x14ac:dyDescent="0.35">
      <c r="A249" s="1" t="str">
        <f t="shared" si="3"/>
        <v>08 Pro 12</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3429</v>
      </c>
      <c r="D249" s="1" t="s">
        <v>351</v>
      </c>
      <c r="E249" s="1" t="s">
        <v>3430</v>
      </c>
      <c r="F249" s="1" t="s">
        <v>112</v>
      </c>
      <c r="G249" s="1">
        <v>221815</v>
      </c>
    </row>
    <row r="250" spans="1:7" x14ac:dyDescent="0.35">
      <c r="A250" s="1" t="str">
        <f t="shared" si="3"/>
        <v>08 Pro 12</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3431</v>
      </c>
      <c r="D250" s="1" t="s">
        <v>1449</v>
      </c>
      <c r="E250" s="1" t="s">
        <v>3432</v>
      </c>
      <c r="F250" s="1" t="s">
        <v>112</v>
      </c>
      <c r="G250" s="1">
        <v>64825</v>
      </c>
    </row>
    <row r="251" spans="1:7" x14ac:dyDescent="0.35">
      <c r="A251" s="1" t="str">
        <f t="shared" si="3"/>
        <v>08 Pro 12</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3433</v>
      </c>
      <c r="D251" s="1" t="s">
        <v>3434</v>
      </c>
      <c r="E251" s="1" t="s">
        <v>3435</v>
      </c>
      <c r="F251" s="1" t="s">
        <v>112</v>
      </c>
      <c r="G251" s="1">
        <v>374089</v>
      </c>
    </row>
    <row r="252" spans="1:7" x14ac:dyDescent="0.35">
      <c r="A252" s="1" t="str">
        <f t="shared" si="3"/>
        <v>08 Pro 12</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3436</v>
      </c>
      <c r="D252" s="1" t="s">
        <v>2093</v>
      </c>
      <c r="E252" s="1">
        <v>64</v>
      </c>
      <c r="F252" s="1" t="s">
        <v>112</v>
      </c>
      <c r="G252" s="1">
        <v>17996</v>
      </c>
    </row>
    <row r="253" spans="1:7" x14ac:dyDescent="0.35">
      <c r="A253" s="1" t="str">
        <f t="shared" si="3"/>
        <v>08 Pro 12</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3437</v>
      </c>
      <c r="D253" s="1" t="s">
        <v>1697</v>
      </c>
      <c r="E253" s="1" t="s">
        <v>3438</v>
      </c>
      <c r="F253" s="1" t="s">
        <v>112</v>
      </c>
      <c r="G253" s="1">
        <v>76916</v>
      </c>
    </row>
    <row r="254" spans="1:7" x14ac:dyDescent="0.35">
      <c r="A254" s="1" t="str">
        <f t="shared" si="3"/>
        <v>08 Pro 12</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3439</v>
      </c>
      <c r="D254" s="1" t="s">
        <v>193</v>
      </c>
      <c r="E254" s="1" t="s">
        <v>766</v>
      </c>
      <c r="F254" s="1" t="s">
        <v>112</v>
      </c>
      <c r="G254" s="1">
        <v>25567</v>
      </c>
    </row>
    <row r="255" spans="1:7" x14ac:dyDescent="0.35">
      <c r="A255" s="1" t="str">
        <f t="shared" si="3"/>
        <v>08 Pro 12</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3440</v>
      </c>
      <c r="D255" s="1" t="s">
        <v>925</v>
      </c>
      <c r="E255" s="1" t="s">
        <v>3441</v>
      </c>
      <c r="F255" s="1" t="s">
        <v>112</v>
      </c>
      <c r="G255" s="1">
        <v>47845</v>
      </c>
    </row>
    <row r="256" spans="1:7" x14ac:dyDescent="0.35">
      <c r="A256" s="1" t="str">
        <f t="shared" si="3"/>
        <v>08 Pro 12</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3442</v>
      </c>
      <c r="D256" s="1" t="s">
        <v>1130</v>
      </c>
      <c r="E256" s="1" t="s">
        <v>3443</v>
      </c>
      <c r="F256" s="1" t="s">
        <v>112</v>
      </c>
      <c r="G256" s="1">
        <v>187250</v>
      </c>
    </row>
    <row r="257" spans="1:9"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9"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241</v>
      </c>
      <c r="D258" s="1" t="s">
        <v>112</v>
      </c>
      <c r="E258" s="1" t="s">
        <v>242</v>
      </c>
      <c r="F258" s="1" t="s">
        <v>243</v>
      </c>
      <c r="G258" s="1" t="s">
        <v>244</v>
      </c>
      <c r="H258" s="1" t="s">
        <v>245</v>
      </c>
      <c r="I258" s="1" t="s">
        <v>246</v>
      </c>
    </row>
    <row r="259" spans="1:9" x14ac:dyDescent="0.35">
      <c r="A259" s="1" t="str">
        <f t="shared" si="4"/>
        <v>08 Pro 12</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3444</v>
      </c>
      <c r="D259" s="1" t="s">
        <v>112</v>
      </c>
      <c r="E259" s="1" t="s">
        <v>3445</v>
      </c>
      <c r="F259" s="1" t="s">
        <v>3446</v>
      </c>
      <c r="G259" s="1" t="s">
        <v>3447</v>
      </c>
      <c r="H259" s="1" t="s">
        <v>3448</v>
      </c>
      <c r="I259" s="1">
        <v>24</v>
      </c>
    </row>
    <row r="260" spans="1:9"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9"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9"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9"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9"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9"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252</v>
      </c>
      <c r="D265" s="1" t="s">
        <v>110</v>
      </c>
      <c r="E265" s="1" t="s">
        <v>111</v>
      </c>
      <c r="F265" s="1" t="s">
        <v>112</v>
      </c>
      <c r="G265" s="1" t="s">
        <v>113</v>
      </c>
    </row>
    <row r="266" spans="1:9" x14ac:dyDescent="0.35">
      <c r="A266" s="1" t="str">
        <f t="shared" si="4"/>
        <v>09 Pro 37</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3449</v>
      </c>
    </row>
    <row r="267" spans="1:9" x14ac:dyDescent="0.35">
      <c r="A267" s="1" t="str">
        <f t="shared" si="4"/>
        <v>09 Pro 37</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3450</v>
      </c>
      <c r="D267" s="1" t="s">
        <v>277</v>
      </c>
      <c r="E267" s="1" t="s">
        <v>3451</v>
      </c>
      <c r="F267" s="1" t="s">
        <v>112</v>
      </c>
      <c r="G267" s="1">
        <v>583402</v>
      </c>
    </row>
    <row r="268" spans="1:9" x14ac:dyDescent="0.35">
      <c r="A268" s="1" t="str">
        <f t="shared" si="4"/>
        <v>09 Pro 37</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3452</v>
      </c>
      <c r="D268" s="1" t="s">
        <v>2079</v>
      </c>
      <c r="E268" s="1" t="s">
        <v>3453</v>
      </c>
      <c r="F268" s="1" t="s">
        <v>112</v>
      </c>
      <c r="G268" s="1">
        <v>227676</v>
      </c>
    </row>
    <row r="269" spans="1:9" x14ac:dyDescent="0.35">
      <c r="A269" s="1" t="str">
        <f t="shared" si="4"/>
        <v>09 Pro 37</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3454</v>
      </c>
      <c r="D269" s="1" t="s">
        <v>441</v>
      </c>
      <c r="E269" s="1" t="s">
        <v>3455</v>
      </c>
      <c r="F269" s="1" t="s">
        <v>112</v>
      </c>
      <c r="G269" s="1">
        <v>263149</v>
      </c>
    </row>
    <row r="270" spans="1:9" x14ac:dyDescent="0.35">
      <c r="A270" s="1" t="str">
        <f t="shared" si="4"/>
        <v>09 Pro 37</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3456</v>
      </c>
      <c r="D270" s="1" t="s">
        <v>3457</v>
      </c>
      <c r="E270" s="1" t="s">
        <v>3458</v>
      </c>
      <c r="F270" s="1" t="s">
        <v>112</v>
      </c>
      <c r="G270" s="1">
        <v>153918</v>
      </c>
    </row>
    <row r="271" spans="1:9" x14ac:dyDescent="0.35">
      <c r="A271" s="1" t="str">
        <f t="shared" si="4"/>
        <v>09 Pro 37</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3459</v>
      </c>
      <c r="D271" s="1" t="s">
        <v>3095</v>
      </c>
      <c r="E271" s="1" t="s">
        <v>3460</v>
      </c>
      <c r="F271" s="1" t="s">
        <v>112</v>
      </c>
      <c r="G271" s="1">
        <v>37960</v>
      </c>
    </row>
    <row r="272" spans="1:9" x14ac:dyDescent="0.35">
      <c r="A272" s="1" t="str">
        <f t="shared" si="4"/>
        <v>09 Pro 37</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3461</v>
      </c>
      <c r="D272" s="1" t="s">
        <v>372</v>
      </c>
      <c r="E272" s="1" t="s">
        <v>3462</v>
      </c>
      <c r="F272" s="1" t="s">
        <v>112</v>
      </c>
      <c r="G272" s="1">
        <v>352416</v>
      </c>
    </row>
    <row r="273" spans="1:7" x14ac:dyDescent="0.35">
      <c r="A273" s="1" t="str">
        <f t="shared" si="4"/>
        <v>09 Pro 37</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3463</v>
      </c>
      <c r="D273" s="1" t="s">
        <v>3464</v>
      </c>
      <c r="E273" s="1" t="s">
        <v>3465</v>
      </c>
      <c r="F273" s="1" t="s">
        <v>112</v>
      </c>
      <c r="G273" s="1">
        <v>204987</v>
      </c>
    </row>
    <row r="274" spans="1:7" x14ac:dyDescent="0.35">
      <c r="A274" s="1" t="str">
        <f t="shared" si="4"/>
        <v>09 Pro 37</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3466</v>
      </c>
      <c r="D274" s="1" t="s">
        <v>1257</v>
      </c>
      <c r="E274" s="1" t="s">
        <v>3467</v>
      </c>
      <c r="F274" s="1" t="s">
        <v>112</v>
      </c>
      <c r="G274" s="1">
        <v>61797</v>
      </c>
    </row>
    <row r="275" spans="1:7" x14ac:dyDescent="0.35">
      <c r="A275" s="1" t="str">
        <f t="shared" si="4"/>
        <v>09 Pro 37</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3468</v>
      </c>
      <c r="D275" s="1" t="s">
        <v>2093</v>
      </c>
      <c r="E275" s="1" t="s">
        <v>3469</v>
      </c>
      <c r="F275" s="1" t="s">
        <v>112</v>
      </c>
      <c r="G275" s="1">
        <v>17672</v>
      </c>
    </row>
    <row r="276" spans="1:7" x14ac:dyDescent="0.35">
      <c r="A276" s="1" t="str">
        <f t="shared" si="4"/>
        <v>09 Pro 37</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3470</v>
      </c>
    </row>
    <row r="277" spans="1:7" x14ac:dyDescent="0.35">
      <c r="A277" s="1" t="str">
        <f t="shared" si="4"/>
        <v>09 Pro 37</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3471</v>
      </c>
      <c r="D277" s="1" t="s">
        <v>726</v>
      </c>
      <c r="E277" s="1" t="s">
        <v>3472</v>
      </c>
      <c r="F277" s="1" t="s">
        <v>112</v>
      </c>
      <c r="G277" s="1">
        <v>19359</v>
      </c>
    </row>
    <row r="278" spans="1:7" x14ac:dyDescent="0.35">
      <c r="A278" s="1" t="str">
        <f t="shared" si="4"/>
        <v>09 Pro 37</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3473</v>
      </c>
      <c r="D278" s="1" t="s">
        <v>3474</v>
      </c>
      <c r="E278" s="1" t="s">
        <v>3475</v>
      </c>
      <c r="F278" s="1" t="s">
        <v>112</v>
      </c>
      <c r="G278" s="1">
        <v>562485</v>
      </c>
    </row>
    <row r="279" spans="1:7" x14ac:dyDescent="0.35">
      <c r="A279" s="1" t="str">
        <f t="shared" si="4"/>
        <v>09 Pro 37</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3476</v>
      </c>
      <c r="D279" s="1" t="s">
        <v>702</v>
      </c>
      <c r="E279" s="1" t="s">
        <v>3477</v>
      </c>
      <c r="F279" s="1" t="s">
        <v>112</v>
      </c>
      <c r="G279" s="1">
        <v>61991</v>
      </c>
    </row>
    <row r="280" spans="1:7" x14ac:dyDescent="0.35">
      <c r="A280" s="1" t="str">
        <f t="shared" si="4"/>
        <v>09 Pro 37</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3478</v>
      </c>
      <c r="D280" s="1" t="s">
        <v>360</v>
      </c>
      <c r="E280" s="1" t="s">
        <v>3479</v>
      </c>
      <c r="F280" s="1" t="s">
        <v>112</v>
      </c>
      <c r="G280" s="1">
        <v>124653</v>
      </c>
    </row>
    <row r="281" spans="1:7" x14ac:dyDescent="0.35">
      <c r="A281" s="1" t="str">
        <f t="shared" si="4"/>
        <v>09 Pro 37</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3480</v>
      </c>
      <c r="D281" s="1" t="s">
        <v>2577</v>
      </c>
      <c r="E281" s="1" t="s">
        <v>3481</v>
      </c>
      <c r="F281" s="1" t="s">
        <v>112</v>
      </c>
      <c r="G281" s="1">
        <v>367946</v>
      </c>
    </row>
    <row r="282" spans="1:7" x14ac:dyDescent="0.35">
      <c r="A282" s="1" t="str">
        <f t="shared" si="4"/>
        <v>09 Pro 37</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3482</v>
      </c>
      <c r="D282" s="1" t="s">
        <v>197</v>
      </c>
      <c r="E282" s="1" t="s">
        <v>3483</v>
      </c>
      <c r="F282" s="1" t="s">
        <v>112</v>
      </c>
      <c r="G282" s="1">
        <v>464329</v>
      </c>
    </row>
    <row r="283" spans="1:7" x14ac:dyDescent="0.35">
      <c r="A283" s="1" t="str">
        <f t="shared" si="4"/>
        <v>09 Pro 37</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3484</v>
      </c>
      <c r="D283" s="1" t="s">
        <v>751</v>
      </c>
      <c r="E283" s="1" t="s">
        <v>3485</v>
      </c>
      <c r="F283" s="1" t="s">
        <v>112</v>
      </c>
      <c r="G283" s="1">
        <v>34716</v>
      </c>
    </row>
    <row r="284" spans="1:7" x14ac:dyDescent="0.35">
      <c r="A284" s="1" t="str">
        <f t="shared" si="4"/>
        <v>09 Pro 37</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3486</v>
      </c>
      <c r="D284" s="1" t="s">
        <v>3487</v>
      </c>
      <c r="E284" s="1" t="s">
        <v>3488</v>
      </c>
      <c r="F284" s="1" t="s">
        <v>112</v>
      </c>
      <c r="G284" s="1">
        <v>993331</v>
      </c>
    </row>
    <row r="285" spans="1:7" x14ac:dyDescent="0.35">
      <c r="A285" s="1" t="str">
        <f t="shared" si="4"/>
        <v>09 Pro 37</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3489</v>
      </c>
      <c r="D285" s="1" t="s">
        <v>3490</v>
      </c>
      <c r="E285" s="1" t="s">
        <v>3491</v>
      </c>
      <c r="F285" s="1" t="s">
        <v>112</v>
      </c>
      <c r="G285" s="1">
        <v>999388</v>
      </c>
    </row>
    <row r="286" spans="1:7" x14ac:dyDescent="0.35">
      <c r="A286" s="1" t="str">
        <f t="shared" si="4"/>
        <v>09 Pro 37</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3492</v>
      </c>
      <c r="D286" s="1" t="s">
        <v>182</v>
      </c>
      <c r="E286" s="1" t="s">
        <v>3493</v>
      </c>
      <c r="F286" s="1" t="s">
        <v>112</v>
      </c>
      <c r="G286" s="1">
        <v>964153</v>
      </c>
    </row>
    <row r="287" spans="1:7" x14ac:dyDescent="0.35">
      <c r="A287" s="1" t="str">
        <f t="shared" si="4"/>
        <v>09 Pro 37</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3494</v>
      </c>
      <c r="D287" s="1" t="s">
        <v>339</v>
      </c>
      <c r="E287" s="1" t="s">
        <v>295</v>
      </c>
      <c r="F287" s="1" t="s">
        <v>112</v>
      </c>
      <c r="G287" s="1">
        <v>438070</v>
      </c>
    </row>
    <row r="288" spans="1:7" x14ac:dyDescent="0.35">
      <c r="A288" s="1" t="str">
        <f t="shared" si="4"/>
        <v>09 Pro 37</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3495</v>
      </c>
      <c r="D288" s="1" t="s">
        <v>3496</v>
      </c>
      <c r="E288" s="1" t="s">
        <v>3497</v>
      </c>
      <c r="F288" s="1" t="s">
        <v>112</v>
      </c>
      <c r="G288" s="1">
        <v>499932</v>
      </c>
    </row>
    <row r="289" spans="1:9" x14ac:dyDescent="0.35">
      <c r="A289" s="1" t="str">
        <f t="shared" si="4"/>
        <v>09 Pro 37</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3498</v>
      </c>
      <c r="D289" s="1" t="s">
        <v>1724</v>
      </c>
      <c r="E289" s="1" t="s">
        <v>3499</v>
      </c>
      <c r="F289" s="1" t="s">
        <v>112</v>
      </c>
      <c r="G289" s="1">
        <v>289905</v>
      </c>
    </row>
    <row r="290" spans="1:9"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9"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241</v>
      </c>
      <c r="D291" s="1" t="s">
        <v>112</v>
      </c>
      <c r="E291" s="1" t="s">
        <v>242</v>
      </c>
      <c r="F291" s="1" t="s">
        <v>243</v>
      </c>
      <c r="G291" s="1" t="s">
        <v>244</v>
      </c>
      <c r="H291" s="1" t="s">
        <v>245</v>
      </c>
      <c r="I291" s="1" t="s">
        <v>246</v>
      </c>
    </row>
    <row r="292" spans="1:9" x14ac:dyDescent="0.35">
      <c r="A292" s="1" t="str">
        <f t="shared" si="4"/>
        <v>09 Pro 37</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3500</v>
      </c>
      <c r="D292" s="1" t="s">
        <v>112</v>
      </c>
      <c r="E292" s="1" t="s">
        <v>3501</v>
      </c>
      <c r="F292" s="1" t="s">
        <v>3502</v>
      </c>
      <c r="G292" s="1">
        <v>381299</v>
      </c>
      <c r="H292" s="1" t="s">
        <v>3503</v>
      </c>
      <c r="I292" s="1">
        <v>24</v>
      </c>
    </row>
    <row r="293" spans="1:9"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9"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9"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9"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9"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9"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252</v>
      </c>
      <c r="D298" s="1" t="s">
        <v>110</v>
      </c>
      <c r="E298" s="1" t="s">
        <v>111</v>
      </c>
      <c r="F298" s="1" t="s">
        <v>112</v>
      </c>
      <c r="G298" s="1" t="s">
        <v>113</v>
      </c>
    </row>
    <row r="299" spans="1:9" x14ac:dyDescent="0.35">
      <c r="A299" s="1" t="str">
        <f t="shared" si="4"/>
        <v>10 Pro 111</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3504</v>
      </c>
      <c r="D299" s="1" t="s">
        <v>215</v>
      </c>
      <c r="E299" s="1" t="s">
        <v>3505</v>
      </c>
      <c r="F299" s="1" t="s">
        <v>112</v>
      </c>
      <c r="G299" s="1">
        <v>120132</v>
      </c>
    </row>
    <row r="300" spans="1:9" x14ac:dyDescent="0.35">
      <c r="A300" s="1" t="str">
        <f t="shared" si="4"/>
        <v>10 Pro 111</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3506</v>
      </c>
      <c r="D300" s="1" t="s">
        <v>745</v>
      </c>
      <c r="E300" s="1" t="s">
        <v>3507</v>
      </c>
      <c r="F300" s="1" t="s">
        <v>112</v>
      </c>
      <c r="G300" s="1">
        <v>127357</v>
      </c>
    </row>
    <row r="301" spans="1:9" x14ac:dyDescent="0.35">
      <c r="A301" s="1" t="str">
        <f t="shared" si="4"/>
        <v>10 Pro 111</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3508</v>
      </c>
      <c r="D301" s="1" t="s">
        <v>1444</v>
      </c>
      <c r="E301" s="1" t="s">
        <v>3509</v>
      </c>
      <c r="F301" s="1" t="s">
        <v>112</v>
      </c>
      <c r="G301" s="1">
        <v>117861</v>
      </c>
    </row>
    <row r="302" spans="1:9" x14ac:dyDescent="0.35">
      <c r="A302" s="1" t="str">
        <f t="shared" si="4"/>
        <v>10 Pro 111</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3510</v>
      </c>
      <c r="D302" s="1" t="s">
        <v>2911</v>
      </c>
      <c r="E302" s="1" t="s">
        <v>3511</v>
      </c>
      <c r="F302" s="1" t="s">
        <v>112</v>
      </c>
      <c r="G302" s="1">
        <v>203992</v>
      </c>
    </row>
    <row r="303" spans="1:9" x14ac:dyDescent="0.35">
      <c r="A303" s="1" t="str">
        <f t="shared" si="4"/>
        <v>10 Pro 111</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3512</v>
      </c>
      <c r="D303" s="1" t="s">
        <v>441</v>
      </c>
      <c r="E303" s="1" t="s">
        <v>3513</v>
      </c>
      <c r="F303" s="1" t="s">
        <v>112</v>
      </c>
      <c r="G303" s="1">
        <v>265961</v>
      </c>
    </row>
    <row r="304" spans="1:9" x14ac:dyDescent="0.35">
      <c r="A304" s="1" t="str">
        <f t="shared" si="4"/>
        <v>10 Pro 111</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3514</v>
      </c>
      <c r="D304" s="1" t="s">
        <v>291</v>
      </c>
      <c r="E304" s="1" t="s">
        <v>3515</v>
      </c>
      <c r="F304" s="1" t="s">
        <v>112</v>
      </c>
      <c r="G304" s="1">
        <v>195426</v>
      </c>
    </row>
    <row r="305" spans="1:7" x14ac:dyDescent="0.35">
      <c r="A305" s="1" t="str">
        <f t="shared" si="4"/>
        <v>10 Pro 111</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3516</v>
      </c>
      <c r="D305" s="1" t="s">
        <v>745</v>
      </c>
      <c r="E305" s="1" t="s">
        <v>3517</v>
      </c>
      <c r="F305" s="1" t="s">
        <v>112</v>
      </c>
      <c r="G305" s="1">
        <v>129260</v>
      </c>
    </row>
    <row r="306" spans="1:7" x14ac:dyDescent="0.35">
      <c r="A306" s="1" t="str">
        <f t="shared" si="4"/>
        <v>10 Pro 111</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3518</v>
      </c>
      <c r="D306" s="1" t="s">
        <v>227</v>
      </c>
      <c r="E306" s="1" t="s">
        <v>3519</v>
      </c>
      <c r="F306" s="1" t="s">
        <v>112</v>
      </c>
      <c r="G306" s="1">
        <v>27124</v>
      </c>
    </row>
    <row r="307" spans="1:7" x14ac:dyDescent="0.35">
      <c r="A307" s="1" t="str">
        <f t="shared" si="4"/>
        <v>10 Pro 111</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3520</v>
      </c>
      <c r="D307" s="1" t="s">
        <v>712</v>
      </c>
      <c r="E307" s="1" t="s">
        <v>3521</v>
      </c>
      <c r="F307" s="1" t="s">
        <v>112</v>
      </c>
      <c r="G307" s="1">
        <v>68610</v>
      </c>
    </row>
    <row r="308" spans="1:7" x14ac:dyDescent="0.35">
      <c r="A308" s="1" t="str">
        <f t="shared" si="4"/>
        <v>10 Pro 111</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3522</v>
      </c>
      <c r="D308" s="1" t="s">
        <v>2198</v>
      </c>
      <c r="E308" s="1" t="s">
        <v>3523</v>
      </c>
      <c r="F308" s="1" t="s">
        <v>112</v>
      </c>
      <c r="G308" s="1">
        <v>12697</v>
      </c>
    </row>
    <row r="309" spans="1:7" x14ac:dyDescent="0.35">
      <c r="A309" s="1" t="str">
        <f t="shared" si="4"/>
        <v>10 Pro 111</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3524</v>
      </c>
      <c r="D309" s="1" t="s">
        <v>696</v>
      </c>
      <c r="E309" s="1" t="s">
        <v>3525</v>
      </c>
      <c r="F309" s="1" t="s">
        <v>112</v>
      </c>
      <c r="G309" s="1">
        <v>245499</v>
      </c>
    </row>
    <row r="310" spans="1:7" x14ac:dyDescent="0.35">
      <c r="A310" s="1" t="str">
        <f t="shared" si="4"/>
        <v>10 Pro 111</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3526</v>
      </c>
      <c r="D310" s="1" t="s">
        <v>354</v>
      </c>
      <c r="E310" s="1" t="s">
        <v>3527</v>
      </c>
      <c r="F310" s="1" t="s">
        <v>112</v>
      </c>
      <c r="G310" s="1">
        <v>274159</v>
      </c>
    </row>
    <row r="311" spans="1:7" x14ac:dyDescent="0.35">
      <c r="A311" s="1" t="str">
        <f t="shared" si="4"/>
        <v>10 Pro 111</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3528</v>
      </c>
      <c r="D311" s="1" t="s">
        <v>779</v>
      </c>
      <c r="E311" s="1" t="s">
        <v>3529</v>
      </c>
      <c r="F311" s="1" t="s">
        <v>112</v>
      </c>
      <c r="G311" s="1">
        <v>29719</v>
      </c>
    </row>
    <row r="312" spans="1:7" x14ac:dyDescent="0.35">
      <c r="A312" s="1" t="str">
        <f t="shared" si="4"/>
        <v>10 Pro 111</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3530</v>
      </c>
      <c r="D312" s="1" t="s">
        <v>2217</v>
      </c>
      <c r="E312" s="1" t="s">
        <v>3531</v>
      </c>
      <c r="F312" s="1" t="s">
        <v>112</v>
      </c>
      <c r="G312" s="1">
        <v>23317</v>
      </c>
    </row>
    <row r="313" spans="1:7" x14ac:dyDescent="0.35">
      <c r="A313" s="1" t="str">
        <f t="shared" si="4"/>
        <v>10 Pro 111</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3532</v>
      </c>
      <c r="D313" s="1" t="s">
        <v>779</v>
      </c>
      <c r="E313" s="1" t="s">
        <v>3533</v>
      </c>
      <c r="F313" s="1" t="s">
        <v>112</v>
      </c>
      <c r="G313" s="1">
        <v>30520</v>
      </c>
    </row>
    <row r="314" spans="1:7" x14ac:dyDescent="0.35">
      <c r="A314" s="1" t="str">
        <f t="shared" si="4"/>
        <v>10 Pro 111</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3534</v>
      </c>
      <c r="D314" s="1" t="s">
        <v>149</v>
      </c>
      <c r="E314" s="1" t="s">
        <v>3535</v>
      </c>
      <c r="F314" s="1" t="s">
        <v>112</v>
      </c>
      <c r="G314" s="1">
        <v>356937</v>
      </c>
    </row>
    <row r="315" spans="1:7" x14ac:dyDescent="0.35">
      <c r="A315" s="1" t="str">
        <f t="shared" si="4"/>
        <v>10 Pro 111</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3536</v>
      </c>
      <c r="D315" s="1" t="s">
        <v>742</v>
      </c>
      <c r="E315" s="1" t="s">
        <v>3537</v>
      </c>
      <c r="F315" s="1" t="s">
        <v>112</v>
      </c>
      <c r="G315" s="1">
        <v>377096</v>
      </c>
    </row>
    <row r="316" spans="1:7" x14ac:dyDescent="0.35">
      <c r="A316" s="1" t="str">
        <f t="shared" si="4"/>
        <v>10 Pro 111</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3538</v>
      </c>
      <c r="D316" s="1" t="s">
        <v>3539</v>
      </c>
      <c r="E316" s="1" t="s">
        <v>3540</v>
      </c>
      <c r="F316" s="1" t="s">
        <v>112</v>
      </c>
      <c r="G316" s="1">
        <v>431214</v>
      </c>
    </row>
    <row r="317" spans="1:7" x14ac:dyDescent="0.35">
      <c r="A317" s="1" t="str">
        <f t="shared" si="4"/>
        <v>10 Pro 111</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3541</v>
      </c>
      <c r="D317" s="1" t="s">
        <v>2582</v>
      </c>
      <c r="E317" s="1" t="s">
        <v>3542</v>
      </c>
      <c r="F317" s="1" t="s">
        <v>112</v>
      </c>
      <c r="G317" s="1">
        <v>430197</v>
      </c>
    </row>
    <row r="318" spans="1:7" x14ac:dyDescent="0.35">
      <c r="A318" s="1" t="str">
        <f t="shared" si="4"/>
        <v>10 Pro 111</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3543</v>
      </c>
      <c r="D318" s="1" t="s">
        <v>495</v>
      </c>
      <c r="E318" s="1" t="s">
        <v>3544</v>
      </c>
      <c r="F318" s="1" t="s">
        <v>112</v>
      </c>
      <c r="G318" s="1">
        <v>502116</v>
      </c>
    </row>
    <row r="319" spans="1:7" x14ac:dyDescent="0.35">
      <c r="A319" s="1" t="str">
        <f t="shared" si="4"/>
        <v>10 Pro 111</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3545</v>
      </c>
      <c r="D319" s="1" t="s">
        <v>1359</v>
      </c>
      <c r="E319" s="1" t="s">
        <v>3546</v>
      </c>
      <c r="F319" s="1" t="s">
        <v>112</v>
      </c>
      <c r="G319" s="1">
        <v>319041</v>
      </c>
    </row>
    <row r="320" spans="1:7" x14ac:dyDescent="0.35">
      <c r="A320" s="1" t="str">
        <f t="shared" si="4"/>
        <v>10 Pro 111</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3547</v>
      </c>
      <c r="D320" s="1" t="s">
        <v>200</v>
      </c>
      <c r="E320" s="1" t="s">
        <v>3548</v>
      </c>
      <c r="F320" s="1" t="s">
        <v>112</v>
      </c>
      <c r="G320" s="1">
        <v>360981</v>
      </c>
    </row>
    <row r="321" spans="1:9" x14ac:dyDescent="0.35">
      <c r="A321" s="1" t="str">
        <f t="shared" si="4"/>
        <v>10 Pro 111</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3549</v>
      </c>
      <c r="D321" s="1" t="s">
        <v>297</v>
      </c>
      <c r="E321" s="1" t="s">
        <v>3550</v>
      </c>
      <c r="F321" s="1" t="s">
        <v>112</v>
      </c>
      <c r="G321" s="1">
        <v>31320</v>
      </c>
    </row>
    <row r="322" spans="1:9" x14ac:dyDescent="0.35">
      <c r="A322" s="1" t="str">
        <f t="shared" ref="A322:A385" si="5">IFERROR(LEFT(RIGHT(C322,LEN(C322)-SEARCH("@",C322)),SEARCH("/",RIGHT(C322,LEN(C322)-SEARCH("@",C322)-1))),"")</f>
        <v>10 Pro 111</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3551</v>
      </c>
    </row>
    <row r="323" spans="1:9"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9"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241</v>
      </c>
      <c r="D324" s="1" t="s">
        <v>112</v>
      </c>
      <c r="E324" s="1" t="s">
        <v>242</v>
      </c>
      <c r="F324" s="1" t="s">
        <v>243</v>
      </c>
      <c r="G324" s="1" t="s">
        <v>244</v>
      </c>
      <c r="H324" s="1" t="s">
        <v>245</v>
      </c>
      <c r="I324" s="1" t="s">
        <v>246</v>
      </c>
    </row>
    <row r="325" spans="1:9" x14ac:dyDescent="0.35">
      <c r="A325" s="1" t="str">
        <f t="shared" si="5"/>
        <v>10 Pro 111</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3552</v>
      </c>
      <c r="D325" s="1" t="s">
        <v>112</v>
      </c>
      <c r="E325" s="1" t="s">
        <v>3553</v>
      </c>
      <c r="F325" s="1" t="s">
        <v>3554</v>
      </c>
      <c r="G325" s="1" t="s">
        <v>3555</v>
      </c>
      <c r="H325" s="1" t="s">
        <v>3556</v>
      </c>
      <c r="I325" s="1">
        <v>24</v>
      </c>
    </row>
    <row r="326" spans="1:9"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9"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9"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9"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9"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9"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252</v>
      </c>
      <c r="D331" s="1" t="s">
        <v>110</v>
      </c>
      <c r="E331" s="1" t="s">
        <v>111</v>
      </c>
      <c r="F331" s="1" t="s">
        <v>112</v>
      </c>
      <c r="G331" s="1" t="s">
        <v>113</v>
      </c>
    </row>
    <row r="332" spans="1:9" x14ac:dyDescent="0.35">
      <c r="A332" s="1" t="str">
        <f t="shared" si="5"/>
        <v>11 Pro 333</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3557</v>
      </c>
      <c r="D332" s="1" t="s">
        <v>3558</v>
      </c>
      <c r="E332" s="1" t="s">
        <v>3559</v>
      </c>
      <c r="F332" s="1" t="s">
        <v>112</v>
      </c>
      <c r="G332" s="1">
        <v>1047276</v>
      </c>
    </row>
    <row r="333" spans="1:9" x14ac:dyDescent="0.35">
      <c r="A333" s="1" t="str">
        <f t="shared" si="5"/>
        <v>11 Pro 333</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3560</v>
      </c>
      <c r="D333" s="1" t="s">
        <v>3561</v>
      </c>
      <c r="E333" s="1" t="s">
        <v>3562</v>
      </c>
      <c r="F333" s="1" t="s">
        <v>112</v>
      </c>
      <c r="G333" s="1">
        <v>480746</v>
      </c>
    </row>
    <row r="334" spans="1:9" x14ac:dyDescent="0.35">
      <c r="A334" s="1" t="str">
        <f t="shared" si="5"/>
        <v>11 Pro 333</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3563</v>
      </c>
      <c r="D334" s="1" t="s">
        <v>3564</v>
      </c>
      <c r="E334" s="1" t="s">
        <v>3565</v>
      </c>
      <c r="F334" s="1" t="s">
        <v>112</v>
      </c>
      <c r="G334" s="1">
        <v>469974</v>
      </c>
    </row>
    <row r="335" spans="1:9" x14ac:dyDescent="0.35">
      <c r="A335" s="1" t="str">
        <f t="shared" si="5"/>
        <v>11 Pro 333</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3566</v>
      </c>
      <c r="D335" s="1" t="s">
        <v>1585</v>
      </c>
      <c r="E335" s="1" t="s">
        <v>3567</v>
      </c>
      <c r="F335" s="1" t="s">
        <v>112</v>
      </c>
      <c r="G335" s="1">
        <v>994889</v>
      </c>
    </row>
    <row r="336" spans="1:9" x14ac:dyDescent="0.35">
      <c r="A336" s="1" t="str">
        <f t="shared" si="5"/>
        <v>11 Pro 333</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3568</v>
      </c>
      <c r="D336" s="1" t="s">
        <v>3569</v>
      </c>
      <c r="E336" s="1" t="s">
        <v>3570</v>
      </c>
      <c r="F336" s="1" t="s">
        <v>112</v>
      </c>
      <c r="G336" s="1">
        <v>642256</v>
      </c>
    </row>
    <row r="337" spans="1:7" x14ac:dyDescent="0.35">
      <c r="A337" s="1" t="str">
        <f t="shared" si="5"/>
        <v>11 Pro 333</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3571</v>
      </c>
      <c r="D337" s="1" t="s">
        <v>1300</v>
      </c>
      <c r="E337" s="1" t="s">
        <v>3572</v>
      </c>
      <c r="F337" s="1" t="s">
        <v>112</v>
      </c>
      <c r="G337" s="1">
        <v>729576</v>
      </c>
    </row>
    <row r="338" spans="1:7" x14ac:dyDescent="0.35">
      <c r="A338" s="1" t="str">
        <f t="shared" si="5"/>
        <v>11 Pro 333</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3573</v>
      </c>
      <c r="D338" s="1" t="s">
        <v>3574</v>
      </c>
      <c r="E338" s="1" t="s">
        <v>3575</v>
      </c>
      <c r="F338" s="1" t="s">
        <v>112</v>
      </c>
      <c r="G338" s="1">
        <v>1004319</v>
      </c>
    </row>
    <row r="339" spans="1:7" x14ac:dyDescent="0.35">
      <c r="A339" s="1" t="str">
        <f t="shared" si="5"/>
        <v>11 Pro 333</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3576</v>
      </c>
      <c r="D339" s="1" t="s">
        <v>3577</v>
      </c>
      <c r="E339" s="1" t="s">
        <v>3578</v>
      </c>
      <c r="F339" s="1" t="s">
        <v>112</v>
      </c>
      <c r="G339" s="1">
        <v>900496</v>
      </c>
    </row>
    <row r="340" spans="1:7" x14ac:dyDescent="0.35">
      <c r="A340" s="1" t="str">
        <f t="shared" si="5"/>
        <v>11 Pro 333</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3579</v>
      </c>
      <c r="D340" s="1" t="s">
        <v>3580</v>
      </c>
      <c r="E340" s="1" t="s">
        <v>3581</v>
      </c>
      <c r="F340" s="1" t="s">
        <v>112</v>
      </c>
      <c r="G340" s="1">
        <v>595384</v>
      </c>
    </row>
    <row r="341" spans="1:7" x14ac:dyDescent="0.35">
      <c r="A341" s="1" t="str">
        <f t="shared" si="5"/>
        <v>11 Pro 333</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3582</v>
      </c>
      <c r="D341" s="1" t="s">
        <v>3434</v>
      </c>
      <c r="E341" s="1" t="s">
        <v>3583</v>
      </c>
      <c r="F341" s="1" t="s">
        <v>112</v>
      </c>
      <c r="G341" s="1">
        <v>369677</v>
      </c>
    </row>
    <row r="342" spans="1:7" x14ac:dyDescent="0.35">
      <c r="A342" s="1" t="str">
        <f t="shared" si="5"/>
        <v>11 Pro 333</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3584</v>
      </c>
      <c r="D342" s="1" t="s">
        <v>2577</v>
      </c>
      <c r="E342" s="1" t="s">
        <v>3585</v>
      </c>
      <c r="F342" s="1" t="s">
        <v>112</v>
      </c>
      <c r="G342" s="1">
        <v>401386</v>
      </c>
    </row>
    <row r="343" spans="1:7" x14ac:dyDescent="0.35">
      <c r="A343" s="1" t="str">
        <f t="shared" si="5"/>
        <v>11 Pro 333</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3586</v>
      </c>
      <c r="D343" s="1" t="s">
        <v>748</v>
      </c>
      <c r="E343" s="1">
        <v>73</v>
      </c>
      <c r="F343" s="1" t="s">
        <v>112</v>
      </c>
      <c r="G343" s="1">
        <v>330007</v>
      </c>
    </row>
    <row r="344" spans="1:7" x14ac:dyDescent="0.35">
      <c r="A344" s="1" t="str">
        <f t="shared" si="5"/>
        <v>11 Pro 333</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3587</v>
      </c>
      <c r="D344" s="1" t="s">
        <v>414</v>
      </c>
      <c r="E344" s="1" t="s">
        <v>3588</v>
      </c>
      <c r="F344" s="1" t="s">
        <v>112</v>
      </c>
      <c r="G344" s="1">
        <v>85416</v>
      </c>
    </row>
    <row r="345" spans="1:7" x14ac:dyDescent="0.35">
      <c r="A345" s="1" t="str">
        <f t="shared" si="5"/>
        <v>11 Pro 333</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3589</v>
      </c>
      <c r="D345" s="1" t="s">
        <v>712</v>
      </c>
      <c r="E345" s="1" t="s">
        <v>3590</v>
      </c>
      <c r="F345" s="1" t="s">
        <v>112</v>
      </c>
      <c r="G345" s="1">
        <v>67420</v>
      </c>
    </row>
    <row r="346" spans="1:7" x14ac:dyDescent="0.35">
      <c r="A346" s="1" t="str">
        <f t="shared" si="5"/>
        <v>11 Pro 333</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3591</v>
      </c>
      <c r="D346" s="1" t="s">
        <v>218</v>
      </c>
      <c r="E346" s="1" t="s">
        <v>3592</v>
      </c>
      <c r="F346" s="1" t="s">
        <v>112</v>
      </c>
      <c r="G346" s="1">
        <v>54378</v>
      </c>
    </row>
    <row r="347" spans="1:7" x14ac:dyDescent="0.35">
      <c r="A347" s="1" t="str">
        <f t="shared" si="5"/>
        <v>11 Pro 333</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3593</v>
      </c>
      <c r="D347" s="1" t="s">
        <v>3594</v>
      </c>
      <c r="E347" s="1" t="s">
        <v>3595</v>
      </c>
      <c r="F347" s="1" t="s">
        <v>112</v>
      </c>
      <c r="G347" s="1">
        <v>451416</v>
      </c>
    </row>
    <row r="348" spans="1:7" x14ac:dyDescent="0.35">
      <c r="A348" s="1" t="str">
        <f t="shared" si="5"/>
        <v>11 Pro 333</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3596</v>
      </c>
      <c r="D348" s="1" t="s">
        <v>2209</v>
      </c>
      <c r="E348" s="1" t="s">
        <v>3597</v>
      </c>
      <c r="F348" s="1" t="s">
        <v>112</v>
      </c>
      <c r="G348" s="1">
        <v>305241</v>
      </c>
    </row>
    <row r="349" spans="1:7" x14ac:dyDescent="0.35">
      <c r="A349" s="1" t="str">
        <f t="shared" si="5"/>
        <v>11 Pro 333</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3598</v>
      </c>
      <c r="D349" s="1" t="s">
        <v>2268</v>
      </c>
      <c r="E349" s="1" t="s">
        <v>3599</v>
      </c>
      <c r="F349" s="1" t="s">
        <v>112</v>
      </c>
      <c r="G349" s="1">
        <v>237345</v>
      </c>
    </row>
    <row r="350" spans="1:7" x14ac:dyDescent="0.35">
      <c r="A350" s="1" t="str">
        <f t="shared" si="5"/>
        <v>11 Pro 333</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3600</v>
      </c>
      <c r="D350" s="1" t="s">
        <v>331</v>
      </c>
      <c r="E350" s="1" t="s">
        <v>3601</v>
      </c>
      <c r="F350" s="1" t="s">
        <v>112</v>
      </c>
      <c r="G350" s="1">
        <v>287332</v>
      </c>
    </row>
    <row r="351" spans="1:7" x14ac:dyDescent="0.35">
      <c r="A351" s="1" t="str">
        <f t="shared" si="5"/>
        <v>11 Pro 333</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3602</v>
      </c>
      <c r="D351" s="1" t="s">
        <v>3017</v>
      </c>
      <c r="E351" s="1" t="s">
        <v>3603</v>
      </c>
      <c r="F351" s="1" t="s">
        <v>112</v>
      </c>
      <c r="G351" s="1">
        <v>160148</v>
      </c>
    </row>
    <row r="352" spans="1:7" x14ac:dyDescent="0.35">
      <c r="A352" s="1" t="str">
        <f t="shared" si="5"/>
        <v>11 Pro 333</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3604</v>
      </c>
      <c r="D352" s="1" t="s">
        <v>2151</v>
      </c>
      <c r="E352" s="1" t="s">
        <v>3605</v>
      </c>
      <c r="F352" s="1" t="s">
        <v>112</v>
      </c>
      <c r="G352" s="1">
        <v>68761</v>
      </c>
    </row>
    <row r="353" spans="1:9" x14ac:dyDescent="0.35">
      <c r="A353" s="1" t="str">
        <f t="shared" si="5"/>
        <v>11 Pro 333</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3606</v>
      </c>
      <c r="D353" s="1" t="s">
        <v>260</v>
      </c>
      <c r="E353" s="1" t="s">
        <v>3607</v>
      </c>
      <c r="F353" s="1" t="s">
        <v>112</v>
      </c>
      <c r="G353" s="1">
        <v>38436</v>
      </c>
    </row>
    <row r="354" spans="1:9" x14ac:dyDescent="0.35">
      <c r="A354" s="1" t="str">
        <f t="shared" si="5"/>
        <v>11 Pro 333</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3608</v>
      </c>
      <c r="D354" s="1" t="s">
        <v>728</v>
      </c>
      <c r="E354" s="1" t="s">
        <v>3609</v>
      </c>
      <c r="F354" s="1" t="s">
        <v>112</v>
      </c>
      <c r="G354" s="1">
        <v>70946</v>
      </c>
    </row>
    <row r="355" spans="1:9" x14ac:dyDescent="0.35">
      <c r="A355" s="1" t="str">
        <f t="shared" si="5"/>
        <v>11 Pro 333</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3610</v>
      </c>
      <c r="D355" s="1" t="s">
        <v>1802</v>
      </c>
      <c r="E355" s="1" t="s">
        <v>3611</v>
      </c>
      <c r="F355" s="1" t="s">
        <v>112</v>
      </c>
      <c r="G355" s="1">
        <v>97919</v>
      </c>
    </row>
    <row r="356" spans="1:9"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9"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241</v>
      </c>
      <c r="D357" s="1" t="s">
        <v>112</v>
      </c>
      <c r="E357" s="1" t="s">
        <v>242</v>
      </c>
      <c r="F357" s="1" t="s">
        <v>243</v>
      </c>
      <c r="G357" s="1" t="s">
        <v>244</v>
      </c>
      <c r="H357" s="1" t="s">
        <v>245</v>
      </c>
      <c r="I357" s="1" t="s">
        <v>246</v>
      </c>
    </row>
    <row r="358" spans="1:9" x14ac:dyDescent="0.35">
      <c r="A358" s="1" t="str">
        <f t="shared" si="5"/>
        <v>11 Pro 333</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3612</v>
      </c>
      <c r="D358" s="1" t="s">
        <v>112</v>
      </c>
      <c r="E358" s="1" t="s">
        <v>3613</v>
      </c>
      <c r="F358" s="1" t="s">
        <v>3614</v>
      </c>
      <c r="G358" s="1" t="s">
        <v>3615</v>
      </c>
      <c r="H358" s="1" t="s">
        <v>3616</v>
      </c>
      <c r="I358" s="1">
        <v>24</v>
      </c>
    </row>
    <row r="359" spans="1:9"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9"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9"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9"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9"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9"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252</v>
      </c>
      <c r="D364" s="1" t="s">
        <v>110</v>
      </c>
      <c r="E364" s="1" t="s">
        <v>111</v>
      </c>
      <c r="F364" s="1" t="s">
        <v>112</v>
      </c>
      <c r="G364" s="1" t="s">
        <v>113</v>
      </c>
    </row>
    <row r="365" spans="1:9" x14ac:dyDescent="0.35">
      <c r="A365" s="1" t="str">
        <f t="shared" si="5"/>
        <v>12 Pro 1000</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3617</v>
      </c>
      <c r="D365" s="1" t="s">
        <v>3079</v>
      </c>
      <c r="E365" s="1" t="s">
        <v>3618</v>
      </c>
      <c r="F365" s="1" t="s">
        <v>112</v>
      </c>
      <c r="G365" s="1">
        <v>144855</v>
      </c>
    </row>
    <row r="366" spans="1:9" x14ac:dyDescent="0.35">
      <c r="A366" s="1" t="str">
        <f t="shared" si="5"/>
        <v>12 Pro 1000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3619</v>
      </c>
      <c r="D366" s="1" t="s">
        <v>844</v>
      </c>
      <c r="E366" s="1" t="s">
        <v>3620</v>
      </c>
      <c r="F366" s="1" t="s">
        <v>112</v>
      </c>
      <c r="G366" s="1">
        <v>118705</v>
      </c>
    </row>
    <row r="367" spans="1:9" x14ac:dyDescent="0.35">
      <c r="A367" s="1" t="str">
        <f t="shared" si="5"/>
        <v>12 Pro 1000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3621</v>
      </c>
      <c r="D367" s="1" t="s">
        <v>193</v>
      </c>
      <c r="E367" s="1" t="s">
        <v>3622</v>
      </c>
      <c r="F367" s="1" t="s">
        <v>112</v>
      </c>
      <c r="G367" s="1">
        <v>25523</v>
      </c>
    </row>
    <row r="368" spans="1:9" x14ac:dyDescent="0.35">
      <c r="A368" s="1" t="str">
        <f t="shared" si="5"/>
        <v>12 Pro 1000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3623</v>
      </c>
      <c r="D368" s="1" t="s">
        <v>3175</v>
      </c>
      <c r="E368" s="1" t="s">
        <v>3624</v>
      </c>
      <c r="F368" s="1" t="s">
        <v>112</v>
      </c>
      <c r="G368" s="1">
        <v>662935</v>
      </c>
    </row>
    <row r="369" spans="1:7" x14ac:dyDescent="0.35">
      <c r="A369" s="1" t="str">
        <f t="shared" si="5"/>
        <v>12 Pro 1000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3625</v>
      </c>
      <c r="D369" s="1" t="s">
        <v>976</v>
      </c>
      <c r="E369" s="1" t="s">
        <v>3626</v>
      </c>
      <c r="F369" s="1" t="s">
        <v>112</v>
      </c>
      <c r="G369" s="1">
        <v>617014</v>
      </c>
    </row>
    <row r="370" spans="1:7" x14ac:dyDescent="0.35">
      <c r="A370" s="1" t="str">
        <f t="shared" si="5"/>
        <v>12 Pro 1000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3627</v>
      </c>
    </row>
    <row r="371" spans="1:7" x14ac:dyDescent="0.35">
      <c r="A371" s="1" t="str">
        <f t="shared" si="5"/>
        <v>12 Pro 1000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3628</v>
      </c>
      <c r="D371" s="1" t="s">
        <v>1669</v>
      </c>
      <c r="E371" s="1" t="s">
        <v>505</v>
      </c>
      <c r="F371" s="1" t="s">
        <v>112</v>
      </c>
      <c r="G371" s="1">
        <v>13995</v>
      </c>
    </row>
    <row r="372" spans="1:7" x14ac:dyDescent="0.35">
      <c r="A372" s="1" t="str">
        <f t="shared" si="5"/>
        <v>12 Pro 1000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3629</v>
      </c>
      <c r="D372" s="1" t="s">
        <v>209</v>
      </c>
      <c r="E372" s="1">
        <v>63</v>
      </c>
      <c r="F372" s="1" t="s">
        <v>112</v>
      </c>
      <c r="G372" s="1">
        <v>10901</v>
      </c>
    </row>
    <row r="373" spans="1:7" x14ac:dyDescent="0.35">
      <c r="A373" s="1" t="str">
        <f t="shared" si="5"/>
        <v>12 Pro 1000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3630</v>
      </c>
      <c r="D373" s="1" t="s">
        <v>2198</v>
      </c>
      <c r="E373" s="1" t="s">
        <v>3631</v>
      </c>
      <c r="F373" s="1" t="s">
        <v>112</v>
      </c>
      <c r="G373" s="1">
        <v>12545</v>
      </c>
    </row>
    <row r="374" spans="1:7" x14ac:dyDescent="0.35">
      <c r="A374" s="1" t="str">
        <f t="shared" si="5"/>
        <v>12 Pro 1000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3632</v>
      </c>
      <c r="D374" s="1" t="s">
        <v>690</v>
      </c>
      <c r="E374" s="1">
        <v>64</v>
      </c>
      <c r="F374" s="1" t="s">
        <v>112</v>
      </c>
      <c r="G374" s="1">
        <v>15227</v>
      </c>
    </row>
    <row r="375" spans="1:7" x14ac:dyDescent="0.35">
      <c r="A375" s="1" t="str">
        <f t="shared" si="5"/>
        <v>12 Pro 1000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3633</v>
      </c>
    </row>
    <row r="376" spans="1:7" x14ac:dyDescent="0.35">
      <c r="A376" s="1" t="str">
        <f t="shared" si="5"/>
        <v>12 Pro 1000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3634</v>
      </c>
      <c r="D376" s="1" t="s">
        <v>2198</v>
      </c>
      <c r="E376" s="1" t="s">
        <v>3635</v>
      </c>
      <c r="F376" s="1" t="s">
        <v>112</v>
      </c>
      <c r="G376" s="1">
        <v>11983</v>
      </c>
    </row>
    <row r="377" spans="1:7" x14ac:dyDescent="0.35">
      <c r="A377" s="1" t="str">
        <f t="shared" si="5"/>
        <v>12 Pro 1000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3636</v>
      </c>
      <c r="D377" s="1" t="s">
        <v>3637</v>
      </c>
      <c r="E377" s="1" t="s">
        <v>3638</v>
      </c>
      <c r="F377" s="1" t="s">
        <v>112</v>
      </c>
      <c r="G377" s="1">
        <v>426433</v>
      </c>
    </row>
    <row r="378" spans="1:7" x14ac:dyDescent="0.35">
      <c r="A378" s="1" t="str">
        <f t="shared" si="5"/>
        <v>12 Pro 1000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3639</v>
      </c>
      <c r="D378" s="1" t="s">
        <v>2195</v>
      </c>
      <c r="E378" s="1" t="s">
        <v>3640</v>
      </c>
      <c r="F378" s="1" t="s">
        <v>112</v>
      </c>
      <c r="G378" s="1">
        <v>463810</v>
      </c>
    </row>
    <row r="379" spans="1:7" x14ac:dyDescent="0.35">
      <c r="A379" s="1" t="str">
        <f t="shared" si="5"/>
        <v>12 Pro 1000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3641</v>
      </c>
      <c r="D379" s="1" t="s">
        <v>507</v>
      </c>
      <c r="E379" s="1" t="s">
        <v>3642</v>
      </c>
      <c r="F379" s="1" t="s">
        <v>112</v>
      </c>
      <c r="G379" s="1">
        <v>624477</v>
      </c>
    </row>
    <row r="380" spans="1:7" x14ac:dyDescent="0.35">
      <c r="A380" s="1" t="str">
        <f t="shared" si="5"/>
        <v>12 Pro 1000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3643</v>
      </c>
      <c r="D380" s="1" t="s">
        <v>973</v>
      </c>
      <c r="E380" s="1" t="s">
        <v>3644</v>
      </c>
      <c r="F380" s="1" t="s">
        <v>112</v>
      </c>
      <c r="G380" s="1">
        <v>271758</v>
      </c>
    </row>
    <row r="381" spans="1:7" x14ac:dyDescent="0.35">
      <c r="A381" s="1" t="str">
        <f t="shared" si="5"/>
        <v>12 Pro 1000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3645</v>
      </c>
      <c r="D381" s="1" t="s">
        <v>1221</v>
      </c>
      <c r="E381" s="1" t="s">
        <v>3646</v>
      </c>
      <c r="F381" s="1" t="s">
        <v>112</v>
      </c>
      <c r="G381" s="1">
        <v>312054</v>
      </c>
    </row>
    <row r="382" spans="1:7" x14ac:dyDescent="0.35">
      <c r="A382" s="1" t="str">
        <f t="shared" si="5"/>
        <v>12 Pro 1000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3647</v>
      </c>
      <c r="D382" s="1" t="s">
        <v>380</v>
      </c>
      <c r="E382" s="1" t="s">
        <v>3648</v>
      </c>
      <c r="F382" s="1" t="s">
        <v>112</v>
      </c>
      <c r="G382" s="1">
        <v>20527</v>
      </c>
    </row>
    <row r="383" spans="1:7" x14ac:dyDescent="0.35">
      <c r="A383" s="1" t="str">
        <f t="shared" si="5"/>
        <v>12 Pro 1000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3649</v>
      </c>
      <c r="D383" s="1" t="s">
        <v>2109</v>
      </c>
      <c r="E383" s="1" t="s">
        <v>3650</v>
      </c>
      <c r="F383" s="1" t="s">
        <v>112</v>
      </c>
      <c r="G383" s="1">
        <v>359532</v>
      </c>
    </row>
    <row r="384" spans="1:7" x14ac:dyDescent="0.35">
      <c r="A384" s="1" t="str">
        <f t="shared" si="5"/>
        <v>12 Pro 1000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3651</v>
      </c>
      <c r="D384" s="1" t="s">
        <v>323</v>
      </c>
      <c r="E384" s="1" t="s">
        <v>3652</v>
      </c>
      <c r="F384" s="1" t="s">
        <v>112</v>
      </c>
      <c r="G384" s="1">
        <v>264296</v>
      </c>
    </row>
    <row r="385" spans="1:9" x14ac:dyDescent="0.35">
      <c r="A385" s="1" t="str">
        <f t="shared" si="5"/>
        <v>12 Pro 1000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3653</v>
      </c>
      <c r="D385" s="1" t="s">
        <v>3654</v>
      </c>
      <c r="E385" s="1" t="s">
        <v>3655</v>
      </c>
      <c r="F385" s="1" t="s">
        <v>112</v>
      </c>
      <c r="G385" s="1">
        <v>254259</v>
      </c>
    </row>
    <row r="386" spans="1:9" x14ac:dyDescent="0.35">
      <c r="A386" s="1" t="str">
        <f t="shared" ref="A386:A449" si="6">IFERROR(LEFT(RIGHT(C386,LEN(C386)-SEARCH("@",C386)),SEARCH("/",RIGHT(C386,LEN(C386)-SEARCH("@",C386)-1))),"")</f>
        <v>12 Pro 1000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3656</v>
      </c>
      <c r="D386" s="1" t="s">
        <v>1545</v>
      </c>
      <c r="E386" s="1" t="s">
        <v>3657</v>
      </c>
      <c r="F386" s="1" t="s">
        <v>112</v>
      </c>
      <c r="G386" s="1">
        <v>226076</v>
      </c>
    </row>
    <row r="387" spans="1:9" x14ac:dyDescent="0.35">
      <c r="A387" s="1" t="str">
        <f t="shared" si="6"/>
        <v>12 Pro 1000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3658</v>
      </c>
    </row>
    <row r="388" spans="1:9" x14ac:dyDescent="0.35">
      <c r="A388" s="1" t="str">
        <f t="shared" si="6"/>
        <v>12 Pro 1000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3659</v>
      </c>
      <c r="D388" s="1" t="s">
        <v>733</v>
      </c>
      <c r="E388" s="1" t="s">
        <v>3660</v>
      </c>
      <c r="F388" s="1" t="s">
        <v>112</v>
      </c>
      <c r="G388" s="1">
        <v>60823</v>
      </c>
    </row>
    <row r="389" spans="1:9"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9"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241</v>
      </c>
      <c r="D390" s="1" t="s">
        <v>112</v>
      </c>
      <c r="E390" s="1" t="s">
        <v>242</v>
      </c>
      <c r="F390" s="1" t="s">
        <v>243</v>
      </c>
      <c r="G390" s="1" t="s">
        <v>244</v>
      </c>
      <c r="H390" s="1" t="s">
        <v>245</v>
      </c>
      <c r="I390" s="1" t="s">
        <v>246</v>
      </c>
    </row>
    <row r="391" spans="1:9" x14ac:dyDescent="0.35">
      <c r="A391" s="1" t="str">
        <f t="shared" si="6"/>
        <v>12 Pro 1000</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3661</v>
      </c>
      <c r="D391" s="1" t="s">
        <v>112</v>
      </c>
      <c r="E391" s="1" t="s">
        <v>3662</v>
      </c>
      <c r="F391" s="1" t="s">
        <v>3663</v>
      </c>
      <c r="G391" s="1" t="s">
        <v>3664</v>
      </c>
      <c r="H391" s="1" t="s">
        <v>3665</v>
      </c>
      <c r="I391" s="1">
        <v>24</v>
      </c>
    </row>
    <row r="392" spans="1:9"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9"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9"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9"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9"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9"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252</v>
      </c>
      <c r="D397" s="1" t="s">
        <v>110</v>
      </c>
      <c r="E397" s="1" t="s">
        <v>111</v>
      </c>
      <c r="F397" s="1" t="s">
        <v>112</v>
      </c>
      <c r="G397" s="1" t="s">
        <v>113</v>
      </c>
    </row>
    <row r="398" spans="1:9" x14ac:dyDescent="0.35">
      <c r="A398" s="1" t="str">
        <f t="shared" si="6"/>
        <v>13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3666</v>
      </c>
      <c r="D398" s="1" t="s">
        <v>3667</v>
      </c>
      <c r="E398" s="1" t="s">
        <v>3668</v>
      </c>
      <c r="F398" s="1" t="s">
        <v>112</v>
      </c>
      <c r="G398" s="1">
        <v>2683210</v>
      </c>
    </row>
    <row r="399" spans="1:9" x14ac:dyDescent="0.35">
      <c r="A399" s="1" t="str">
        <f t="shared" si="6"/>
        <v>13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3669</v>
      </c>
      <c r="D399" s="1" t="s">
        <v>3670</v>
      </c>
      <c r="E399" s="1" t="s">
        <v>3671</v>
      </c>
      <c r="F399" s="1" t="s">
        <v>112</v>
      </c>
      <c r="G399" s="1">
        <v>2909870</v>
      </c>
    </row>
    <row r="400" spans="1:9" x14ac:dyDescent="0.35">
      <c r="A400" s="1" t="str">
        <f t="shared" si="6"/>
        <v>13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3672</v>
      </c>
      <c r="D400" s="1" t="s">
        <v>1032</v>
      </c>
      <c r="E400" s="1" t="s">
        <v>3673</v>
      </c>
      <c r="F400" s="1" t="s">
        <v>112</v>
      </c>
      <c r="G400" s="1">
        <v>2286583</v>
      </c>
    </row>
    <row r="401" spans="1:7" x14ac:dyDescent="0.35">
      <c r="A401" s="1" t="str">
        <f t="shared" si="6"/>
        <v>13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3674</v>
      </c>
    </row>
    <row r="402" spans="1:7" x14ac:dyDescent="0.35">
      <c r="A402" s="1" t="str">
        <f t="shared" si="6"/>
        <v>13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3675</v>
      </c>
    </row>
    <row r="403" spans="1:7" x14ac:dyDescent="0.35">
      <c r="A403" s="1" t="str">
        <f t="shared" si="6"/>
        <v>13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3676</v>
      </c>
    </row>
    <row r="404" spans="1:7" x14ac:dyDescent="0.35">
      <c r="A404" s="1" t="str">
        <f t="shared" si="6"/>
        <v>13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3677</v>
      </c>
      <c r="D404" s="1" t="s">
        <v>3678</v>
      </c>
      <c r="E404" s="1" t="s">
        <v>3679</v>
      </c>
      <c r="F404" s="1" t="s">
        <v>112</v>
      </c>
      <c r="G404" s="1">
        <v>638514</v>
      </c>
    </row>
    <row r="405" spans="1:7" x14ac:dyDescent="0.35">
      <c r="A405" s="1" t="str">
        <f t="shared" si="6"/>
        <v>13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3680</v>
      </c>
      <c r="D405" s="1" t="s">
        <v>3681</v>
      </c>
      <c r="E405" s="1" t="s">
        <v>3682</v>
      </c>
      <c r="F405" s="1" t="s">
        <v>112</v>
      </c>
      <c r="G405" s="1">
        <v>398293</v>
      </c>
    </row>
    <row r="406" spans="1:7" x14ac:dyDescent="0.35">
      <c r="A406" s="1" t="str">
        <f t="shared" si="6"/>
        <v>13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3683</v>
      </c>
      <c r="D406" s="1" t="s">
        <v>190</v>
      </c>
      <c r="E406" s="1" t="s">
        <v>3684</v>
      </c>
      <c r="F406" s="1" t="s">
        <v>112</v>
      </c>
      <c r="G406" s="1">
        <v>226703</v>
      </c>
    </row>
    <row r="407" spans="1:7" x14ac:dyDescent="0.35">
      <c r="A407" s="1" t="str">
        <f t="shared" si="6"/>
        <v>13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3685</v>
      </c>
      <c r="D407" s="1" t="s">
        <v>3686</v>
      </c>
      <c r="E407" s="1" t="s">
        <v>3687</v>
      </c>
      <c r="F407" s="1" t="s">
        <v>112</v>
      </c>
      <c r="G407" s="1">
        <v>7023184</v>
      </c>
    </row>
    <row r="408" spans="1:7" x14ac:dyDescent="0.35">
      <c r="A408" s="1" t="str">
        <f t="shared" si="6"/>
        <v>13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3688</v>
      </c>
      <c r="D408" s="1" t="s">
        <v>3689</v>
      </c>
      <c r="E408" s="1" t="s">
        <v>3690</v>
      </c>
      <c r="F408" s="1" t="s">
        <v>112</v>
      </c>
      <c r="G408" s="1">
        <v>6648121</v>
      </c>
    </row>
    <row r="409" spans="1:7" x14ac:dyDescent="0.35">
      <c r="A409" s="1" t="str">
        <f t="shared" si="6"/>
        <v>13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3691</v>
      </c>
      <c r="D409" s="1" t="s">
        <v>3692</v>
      </c>
      <c r="E409" s="1" t="s">
        <v>3693</v>
      </c>
      <c r="F409" s="1" t="s">
        <v>112</v>
      </c>
      <c r="G409" s="1">
        <v>6100020</v>
      </c>
    </row>
    <row r="410" spans="1:7" x14ac:dyDescent="0.35">
      <c r="A410" s="1" t="str">
        <f t="shared" si="6"/>
        <v>13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3694</v>
      </c>
      <c r="D410" s="1" t="s">
        <v>3695</v>
      </c>
      <c r="E410" s="1" t="s">
        <v>3696</v>
      </c>
      <c r="F410" s="1" t="s">
        <v>112</v>
      </c>
      <c r="G410" s="1">
        <v>5004357</v>
      </c>
    </row>
    <row r="411" spans="1:7" x14ac:dyDescent="0.35">
      <c r="A411" s="1" t="str">
        <f t="shared" si="6"/>
        <v>13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3697</v>
      </c>
      <c r="D411" s="1" t="s">
        <v>3698</v>
      </c>
      <c r="E411" s="1" t="s">
        <v>3699</v>
      </c>
      <c r="F411" s="1" t="s">
        <v>112</v>
      </c>
      <c r="G411" s="1">
        <v>4957810</v>
      </c>
    </row>
    <row r="412" spans="1:7" x14ac:dyDescent="0.35">
      <c r="A412" s="1" t="str">
        <f t="shared" si="6"/>
        <v>13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3700</v>
      </c>
    </row>
    <row r="413" spans="1:7" x14ac:dyDescent="0.35">
      <c r="A413" s="1" t="str">
        <f t="shared" si="6"/>
        <v>13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3701</v>
      </c>
      <c r="D413" s="1" t="s">
        <v>3702</v>
      </c>
      <c r="E413" s="1" t="s">
        <v>3703</v>
      </c>
      <c r="F413" s="1" t="s">
        <v>112</v>
      </c>
      <c r="G413" s="1">
        <v>3252379</v>
      </c>
    </row>
    <row r="414" spans="1:7" x14ac:dyDescent="0.35">
      <c r="A414" s="1" t="str">
        <f t="shared" si="6"/>
        <v>13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3704</v>
      </c>
      <c r="D414" s="1" t="s">
        <v>3705</v>
      </c>
      <c r="E414" s="1" t="s">
        <v>3706</v>
      </c>
      <c r="F414" s="1" t="s">
        <v>112</v>
      </c>
      <c r="G414" s="1">
        <v>3193308</v>
      </c>
    </row>
    <row r="415" spans="1:7" x14ac:dyDescent="0.35">
      <c r="A415" s="1" t="str">
        <f t="shared" si="6"/>
        <v>13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3707</v>
      </c>
      <c r="D415" s="1" t="s">
        <v>3708</v>
      </c>
      <c r="E415" s="1" t="s">
        <v>3709</v>
      </c>
      <c r="F415" s="1" t="s">
        <v>112</v>
      </c>
      <c r="G415" s="1">
        <v>2295213</v>
      </c>
    </row>
    <row r="416" spans="1:7" x14ac:dyDescent="0.35">
      <c r="A416" s="1" t="str">
        <f t="shared" si="6"/>
        <v>13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3710</v>
      </c>
      <c r="D416" s="1" t="s">
        <v>869</v>
      </c>
      <c r="E416" s="1" t="s">
        <v>3711</v>
      </c>
      <c r="F416" s="1" t="s">
        <v>112</v>
      </c>
      <c r="G416" s="1">
        <v>117494</v>
      </c>
    </row>
    <row r="417" spans="1:9" x14ac:dyDescent="0.35">
      <c r="A417" s="1" t="str">
        <f t="shared" si="6"/>
        <v>13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3712</v>
      </c>
      <c r="D417" s="1" t="s">
        <v>1572</v>
      </c>
      <c r="E417" s="1" t="s">
        <v>3713</v>
      </c>
      <c r="F417" s="1" t="s">
        <v>112</v>
      </c>
      <c r="G417" s="1">
        <v>93420</v>
      </c>
    </row>
    <row r="418" spans="1:9" x14ac:dyDescent="0.35">
      <c r="A418" s="1" t="str">
        <f t="shared" si="6"/>
        <v>13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3714</v>
      </c>
      <c r="D418" s="1" t="s">
        <v>3715</v>
      </c>
      <c r="E418" s="1" t="s">
        <v>3716</v>
      </c>
      <c r="F418" s="1" t="s">
        <v>112</v>
      </c>
      <c r="G418" s="1">
        <v>99735</v>
      </c>
    </row>
    <row r="419" spans="1:9" x14ac:dyDescent="0.35">
      <c r="A419" s="1" t="str">
        <f t="shared" si="6"/>
        <v>13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3717</v>
      </c>
      <c r="D419" s="1" t="s">
        <v>2072</v>
      </c>
      <c r="E419" s="1" t="s">
        <v>3718</v>
      </c>
      <c r="F419" s="1" t="s">
        <v>112</v>
      </c>
      <c r="G419" s="1">
        <v>267778</v>
      </c>
    </row>
    <row r="420" spans="1:9" x14ac:dyDescent="0.35">
      <c r="A420" s="1" t="str">
        <f t="shared" si="6"/>
        <v>13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3719</v>
      </c>
      <c r="D420" s="1" t="s">
        <v>973</v>
      </c>
      <c r="E420" s="1" t="s">
        <v>3720</v>
      </c>
      <c r="F420" s="1" t="s">
        <v>112</v>
      </c>
      <c r="G420" s="1">
        <v>256228</v>
      </c>
    </row>
    <row r="421" spans="1:9" x14ac:dyDescent="0.35">
      <c r="A421" s="1" t="str">
        <f t="shared" si="6"/>
        <v>13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3721</v>
      </c>
      <c r="D421" s="1" t="s">
        <v>1750</v>
      </c>
      <c r="E421" s="1" t="s">
        <v>3722</v>
      </c>
      <c r="F421" s="1" t="s">
        <v>112</v>
      </c>
      <c r="G421" s="1">
        <v>194063</v>
      </c>
    </row>
    <row r="422" spans="1:9"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9"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241</v>
      </c>
      <c r="D423" s="1" t="s">
        <v>112</v>
      </c>
      <c r="E423" s="1" t="s">
        <v>242</v>
      </c>
      <c r="F423" s="1" t="s">
        <v>243</v>
      </c>
      <c r="G423" s="1" t="s">
        <v>244</v>
      </c>
      <c r="H423" s="1" t="s">
        <v>245</v>
      </c>
      <c r="I423" s="1" t="s">
        <v>246</v>
      </c>
    </row>
    <row r="424" spans="1:9" x14ac:dyDescent="0.35">
      <c r="A424" s="1" t="str">
        <f t="shared" si="6"/>
        <v>13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3723</v>
      </c>
      <c r="D424" s="1" t="s">
        <v>112</v>
      </c>
      <c r="E424" s="1" t="s">
        <v>3724</v>
      </c>
      <c r="F424" s="1" t="s">
        <v>3725</v>
      </c>
      <c r="G424" s="1" t="s">
        <v>3726</v>
      </c>
      <c r="H424" s="1" t="s">
        <v>3727</v>
      </c>
      <c r="I424" s="1">
        <v>24</v>
      </c>
    </row>
    <row r="425" spans="1:9"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9"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9"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9"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9"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9"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252</v>
      </c>
      <c r="D430" s="1" t="s">
        <v>110</v>
      </c>
      <c r="E430" s="1" t="s">
        <v>111</v>
      </c>
      <c r="F430" s="1" t="s">
        <v>112</v>
      </c>
      <c r="G430" s="1" t="s">
        <v>113</v>
      </c>
    </row>
    <row r="431" spans="1:9" x14ac:dyDescent="0.35">
      <c r="A431" s="1" t="str">
        <f t="shared" si="6"/>
        <v>14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3728</v>
      </c>
    </row>
    <row r="432" spans="1:9" x14ac:dyDescent="0.35">
      <c r="A432" s="1" t="str">
        <f t="shared" si="6"/>
        <v>14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3729</v>
      </c>
      <c r="D432" s="1" t="s">
        <v>3730</v>
      </c>
      <c r="E432" s="1" t="s">
        <v>3731</v>
      </c>
      <c r="F432" s="1" t="s">
        <v>112</v>
      </c>
      <c r="G432" s="1">
        <v>646972</v>
      </c>
    </row>
    <row r="433" spans="1:7" x14ac:dyDescent="0.35">
      <c r="A433" s="1" t="str">
        <f t="shared" si="6"/>
        <v>14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3732</v>
      </c>
      <c r="D433" s="1" t="s">
        <v>3733</v>
      </c>
      <c r="E433" s="1" t="s">
        <v>3734</v>
      </c>
      <c r="F433" s="1" t="s">
        <v>112</v>
      </c>
      <c r="G433" s="1">
        <v>763773</v>
      </c>
    </row>
    <row r="434" spans="1:7" x14ac:dyDescent="0.35">
      <c r="A434" s="1" t="str">
        <f t="shared" si="6"/>
        <v>14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3735</v>
      </c>
      <c r="D434" s="1" t="s">
        <v>1788</v>
      </c>
      <c r="E434" s="1" t="s">
        <v>3736</v>
      </c>
      <c r="F434" s="1" t="s">
        <v>112</v>
      </c>
      <c r="G434" s="1">
        <v>3196617</v>
      </c>
    </row>
    <row r="435" spans="1:7" x14ac:dyDescent="0.35">
      <c r="A435" s="1" t="str">
        <f t="shared" si="6"/>
        <v>14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3737</v>
      </c>
      <c r="D435" s="1" t="s">
        <v>3738</v>
      </c>
      <c r="E435" s="1" t="s">
        <v>3739</v>
      </c>
      <c r="F435" s="1" t="s">
        <v>112</v>
      </c>
      <c r="G435" s="1">
        <v>2439701</v>
      </c>
    </row>
    <row r="436" spans="1:7" x14ac:dyDescent="0.35">
      <c r="A436" s="1" t="str">
        <f t="shared" si="6"/>
        <v>14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3740</v>
      </c>
      <c r="D436" s="1" t="s">
        <v>2558</v>
      </c>
      <c r="E436" s="1" t="s">
        <v>3741</v>
      </c>
      <c r="F436" s="1" t="s">
        <v>112</v>
      </c>
      <c r="G436" s="1">
        <v>2957866</v>
      </c>
    </row>
    <row r="437" spans="1:7" x14ac:dyDescent="0.35">
      <c r="A437" s="1" t="str">
        <f t="shared" si="6"/>
        <v>14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3742</v>
      </c>
      <c r="D437" s="1" t="s">
        <v>3743</v>
      </c>
      <c r="E437" s="1" t="s">
        <v>3744</v>
      </c>
      <c r="F437" s="1" t="s">
        <v>112</v>
      </c>
      <c r="G437" s="1">
        <v>4034776</v>
      </c>
    </row>
    <row r="438" spans="1:7" x14ac:dyDescent="0.35">
      <c r="A438" s="1" t="str">
        <f t="shared" si="6"/>
        <v>14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3745</v>
      </c>
      <c r="D438" s="1" t="s">
        <v>3746</v>
      </c>
      <c r="E438" s="1" t="s">
        <v>3747</v>
      </c>
      <c r="F438" s="1" t="s">
        <v>112</v>
      </c>
      <c r="G438" s="1">
        <v>4564881</v>
      </c>
    </row>
    <row r="439" spans="1:7" x14ac:dyDescent="0.35">
      <c r="A439" s="1" t="str">
        <f t="shared" si="6"/>
        <v>14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3748</v>
      </c>
      <c r="D439" s="1" t="s">
        <v>3749</v>
      </c>
      <c r="E439" s="1" t="s">
        <v>3750</v>
      </c>
      <c r="F439" s="1" t="s">
        <v>112</v>
      </c>
      <c r="G439" s="1">
        <v>4284709</v>
      </c>
    </row>
    <row r="440" spans="1:7" x14ac:dyDescent="0.35">
      <c r="A440" s="1" t="str">
        <f t="shared" si="6"/>
        <v>14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3751</v>
      </c>
      <c r="D440" s="1" t="s">
        <v>3752</v>
      </c>
      <c r="E440" s="1" t="s">
        <v>3753</v>
      </c>
      <c r="F440" s="1" t="s">
        <v>112</v>
      </c>
      <c r="G440" s="1">
        <v>3212148</v>
      </c>
    </row>
    <row r="441" spans="1:7" x14ac:dyDescent="0.35">
      <c r="A441" s="1" t="str">
        <f t="shared" si="6"/>
        <v>14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3754</v>
      </c>
      <c r="D441" s="1" t="s">
        <v>3755</v>
      </c>
      <c r="E441" s="1" t="s">
        <v>3756</v>
      </c>
      <c r="F441" s="1" t="s">
        <v>112</v>
      </c>
      <c r="G441" s="1">
        <v>2810415</v>
      </c>
    </row>
    <row r="442" spans="1:7" x14ac:dyDescent="0.35">
      <c r="A442" s="1" t="str">
        <f t="shared" si="6"/>
        <v>14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3757</v>
      </c>
      <c r="D442" s="1" t="s">
        <v>3758</v>
      </c>
      <c r="E442" s="1" t="s">
        <v>3759</v>
      </c>
      <c r="F442" s="1" t="s">
        <v>112</v>
      </c>
      <c r="G442" s="1">
        <v>2839789</v>
      </c>
    </row>
    <row r="443" spans="1:7" x14ac:dyDescent="0.35">
      <c r="A443" s="1" t="str">
        <f t="shared" si="6"/>
        <v>14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3760</v>
      </c>
    </row>
    <row r="444" spans="1:7" x14ac:dyDescent="0.35">
      <c r="A444" s="1" t="str">
        <f t="shared" si="6"/>
        <v>14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3761</v>
      </c>
      <c r="D444" s="1" t="s">
        <v>3762</v>
      </c>
      <c r="E444" s="1" t="s">
        <v>3763</v>
      </c>
      <c r="F444" s="1" t="s">
        <v>112</v>
      </c>
      <c r="G444" s="1">
        <v>3627615</v>
      </c>
    </row>
    <row r="445" spans="1:7" x14ac:dyDescent="0.35">
      <c r="A445" s="1" t="str">
        <f t="shared" si="6"/>
        <v>14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3764</v>
      </c>
    </row>
    <row r="446" spans="1:7" x14ac:dyDescent="0.35">
      <c r="A446" s="1" t="str">
        <f t="shared" si="6"/>
        <v>14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3765</v>
      </c>
      <c r="D446" s="1" t="s">
        <v>3766</v>
      </c>
      <c r="E446" s="1" t="s">
        <v>3767</v>
      </c>
      <c r="F446" s="1" t="s">
        <v>112</v>
      </c>
      <c r="G446" s="1">
        <v>4331624</v>
      </c>
    </row>
    <row r="447" spans="1:7" x14ac:dyDescent="0.35">
      <c r="A447" s="1" t="str">
        <f t="shared" si="6"/>
        <v>14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3768</v>
      </c>
      <c r="D447" s="1" t="s">
        <v>3769</v>
      </c>
      <c r="E447" s="1" t="s">
        <v>3770</v>
      </c>
      <c r="F447" s="1" t="s">
        <v>112</v>
      </c>
      <c r="G447" s="1">
        <v>3634601</v>
      </c>
    </row>
    <row r="448" spans="1:7" x14ac:dyDescent="0.35">
      <c r="A448" s="1" t="str">
        <f t="shared" si="6"/>
        <v>14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3771</v>
      </c>
      <c r="D448" s="1" t="s">
        <v>3772</v>
      </c>
      <c r="E448" s="1" t="s">
        <v>3773</v>
      </c>
      <c r="F448" s="1" t="s">
        <v>112</v>
      </c>
      <c r="G448" s="1">
        <v>3571507</v>
      </c>
    </row>
    <row r="449" spans="1:9" x14ac:dyDescent="0.35">
      <c r="A449" s="1" t="str">
        <f t="shared" si="6"/>
        <v>14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3774</v>
      </c>
    </row>
    <row r="450" spans="1:9" x14ac:dyDescent="0.35">
      <c r="A450" s="1" t="str">
        <f t="shared" ref="A450:A513" si="7">IFERROR(LEFT(RIGHT(C450,LEN(C450)-SEARCH("@",C450)),SEARCH("/",RIGHT(C450,LEN(C450)-SEARCH("@",C450)-1))),"")</f>
        <v>14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3775</v>
      </c>
      <c r="D450" s="1" t="s">
        <v>3776</v>
      </c>
      <c r="E450" s="1" t="s">
        <v>3777</v>
      </c>
      <c r="F450" s="1" t="s">
        <v>112</v>
      </c>
      <c r="G450" s="1">
        <v>423059</v>
      </c>
    </row>
    <row r="451" spans="1:9" x14ac:dyDescent="0.35">
      <c r="A451" s="1" t="str">
        <f t="shared" si="7"/>
        <v>14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3778</v>
      </c>
      <c r="D451" s="1" t="s">
        <v>3779</v>
      </c>
      <c r="E451" s="1" t="s">
        <v>3780</v>
      </c>
      <c r="F451" s="1" t="s">
        <v>112</v>
      </c>
      <c r="G451" s="1">
        <v>257655</v>
      </c>
    </row>
    <row r="452" spans="1:9" x14ac:dyDescent="0.35">
      <c r="A452" s="1" t="str">
        <f t="shared" si="7"/>
        <v>14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3781</v>
      </c>
      <c r="D452" s="1" t="s">
        <v>3782</v>
      </c>
      <c r="E452" s="1" t="s">
        <v>3783</v>
      </c>
      <c r="F452" s="1" t="s">
        <v>112</v>
      </c>
      <c r="G452" s="1">
        <v>1022661</v>
      </c>
    </row>
    <row r="453" spans="1:9" x14ac:dyDescent="0.35">
      <c r="A453" s="1" t="str">
        <f t="shared" si="7"/>
        <v>14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3784</v>
      </c>
      <c r="D453" s="1" t="s">
        <v>3785</v>
      </c>
      <c r="E453" s="1" t="s">
        <v>3786</v>
      </c>
      <c r="F453" s="1" t="s">
        <v>112</v>
      </c>
      <c r="G453" s="1">
        <v>1841850</v>
      </c>
    </row>
    <row r="454" spans="1:9" x14ac:dyDescent="0.35">
      <c r="A454" s="1" t="str">
        <f t="shared" si="7"/>
        <v>14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3787</v>
      </c>
      <c r="D454" s="1" t="s">
        <v>3788</v>
      </c>
      <c r="E454" s="1" t="s">
        <v>3789</v>
      </c>
      <c r="F454" s="1" t="s">
        <v>112</v>
      </c>
      <c r="G454" s="1">
        <v>1469211</v>
      </c>
    </row>
    <row r="455" spans="1:9" x14ac:dyDescent="0.3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9"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241</v>
      </c>
      <c r="D456" s="1" t="s">
        <v>112</v>
      </c>
      <c r="E456" s="1" t="s">
        <v>242</v>
      </c>
      <c r="F456" s="1" t="s">
        <v>243</v>
      </c>
      <c r="G456" s="1" t="s">
        <v>244</v>
      </c>
      <c r="H456" s="1" t="s">
        <v>245</v>
      </c>
      <c r="I456" s="1" t="s">
        <v>246</v>
      </c>
    </row>
    <row r="457" spans="1:9" x14ac:dyDescent="0.35">
      <c r="A457" s="1" t="str">
        <f t="shared" si="7"/>
        <v>14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3790</v>
      </c>
      <c r="D457" s="1" t="s">
        <v>112</v>
      </c>
      <c r="E457" s="1" t="s">
        <v>3791</v>
      </c>
      <c r="F457" s="1" t="s">
        <v>3792</v>
      </c>
      <c r="G457" s="1" t="s">
        <v>3793</v>
      </c>
      <c r="H457" s="1" t="s">
        <v>3794</v>
      </c>
      <c r="I457" s="1">
        <v>24</v>
      </c>
    </row>
    <row r="458" spans="1:9"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9"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9"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9"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9"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9"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252</v>
      </c>
      <c r="D463" s="1" t="s">
        <v>110</v>
      </c>
      <c r="E463" s="1" t="s">
        <v>111</v>
      </c>
      <c r="F463" s="1" t="s">
        <v>112</v>
      </c>
      <c r="G463" s="1" t="s">
        <v>113</v>
      </c>
    </row>
    <row r="464" spans="1:9" x14ac:dyDescent="0.35">
      <c r="A464" s="1" t="str">
        <f t="shared" si="7"/>
        <v>15 Testo + EE2</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3795</v>
      </c>
    </row>
    <row r="465" spans="1:7" x14ac:dyDescent="0.35">
      <c r="A465" s="1" t="str">
        <f t="shared" si="7"/>
        <v>15 Testo + EE2</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3796</v>
      </c>
      <c r="D465" s="1" t="s">
        <v>3797</v>
      </c>
      <c r="E465" s="1" t="s">
        <v>3798</v>
      </c>
      <c r="F465" s="1" t="s">
        <v>112</v>
      </c>
      <c r="G465" s="1">
        <v>3665835</v>
      </c>
    </row>
    <row r="466" spans="1:7" x14ac:dyDescent="0.35">
      <c r="A466" s="1" t="str">
        <f t="shared" si="7"/>
        <v>15 Testo + EE2</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3799</v>
      </c>
    </row>
    <row r="467" spans="1:7" x14ac:dyDescent="0.35">
      <c r="A467" s="1" t="str">
        <f t="shared" si="7"/>
        <v>15 Testo + EE2</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3800</v>
      </c>
      <c r="D467" s="1" t="s">
        <v>3801</v>
      </c>
      <c r="E467" s="1" t="s">
        <v>3802</v>
      </c>
      <c r="F467" s="1" t="s">
        <v>112</v>
      </c>
      <c r="G467" s="1">
        <v>4255725</v>
      </c>
    </row>
    <row r="468" spans="1:7" x14ac:dyDescent="0.35">
      <c r="A468" s="1" t="str">
        <f t="shared" si="7"/>
        <v>15 Testo + EE2</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3803</v>
      </c>
    </row>
    <row r="469" spans="1:7" x14ac:dyDescent="0.35">
      <c r="A469" s="1" t="str">
        <f t="shared" si="7"/>
        <v>15 Testo + EE2</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3804</v>
      </c>
    </row>
    <row r="470" spans="1:7" x14ac:dyDescent="0.35">
      <c r="A470" s="1" t="str">
        <f t="shared" si="7"/>
        <v>15 Testo + EE2</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3805</v>
      </c>
      <c r="D470" s="1" t="s">
        <v>3806</v>
      </c>
      <c r="E470" s="1" t="s">
        <v>3807</v>
      </c>
      <c r="F470" s="1" t="s">
        <v>112</v>
      </c>
      <c r="G470" s="1">
        <v>5347537</v>
      </c>
    </row>
    <row r="471" spans="1:7" x14ac:dyDescent="0.35">
      <c r="A471" s="1" t="str">
        <f t="shared" si="7"/>
        <v>15 Testo + EE2</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3808</v>
      </c>
      <c r="D471" s="1" t="s">
        <v>3809</v>
      </c>
      <c r="E471" s="1" t="s">
        <v>3810</v>
      </c>
      <c r="F471" s="1" t="s">
        <v>112</v>
      </c>
      <c r="G471" s="1">
        <v>4878882</v>
      </c>
    </row>
    <row r="472" spans="1:7" x14ac:dyDescent="0.35">
      <c r="A472" s="1" t="str">
        <f t="shared" si="7"/>
        <v>15 Testo + EE2</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3811</v>
      </c>
      <c r="D472" s="1" t="s">
        <v>3812</v>
      </c>
      <c r="E472" s="1" t="s">
        <v>3813</v>
      </c>
      <c r="F472" s="1" t="s">
        <v>112</v>
      </c>
      <c r="G472" s="1">
        <v>5138549</v>
      </c>
    </row>
    <row r="473" spans="1:7" x14ac:dyDescent="0.35">
      <c r="A473" s="1" t="str">
        <f t="shared" si="7"/>
        <v>15 Testo + EE2</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3814</v>
      </c>
      <c r="D473" s="1" t="s">
        <v>3815</v>
      </c>
      <c r="E473" s="1" t="s">
        <v>3816</v>
      </c>
      <c r="F473" s="1" t="s">
        <v>112</v>
      </c>
      <c r="G473" s="1">
        <v>4047040</v>
      </c>
    </row>
    <row r="474" spans="1:7" x14ac:dyDescent="0.35">
      <c r="A474" s="1" t="str">
        <f t="shared" si="7"/>
        <v>15 Testo + EE2</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3817</v>
      </c>
      <c r="D474" s="1" t="s">
        <v>3818</v>
      </c>
      <c r="E474" s="1" t="s">
        <v>3819</v>
      </c>
      <c r="F474" s="1" t="s">
        <v>112</v>
      </c>
      <c r="G474" s="1">
        <v>4089694</v>
      </c>
    </row>
    <row r="475" spans="1:7" x14ac:dyDescent="0.35">
      <c r="A475" s="1" t="str">
        <f t="shared" si="7"/>
        <v>15 Testo + EE2</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3820</v>
      </c>
      <c r="D475" s="1" t="s">
        <v>3821</v>
      </c>
      <c r="E475" s="1" t="s">
        <v>3822</v>
      </c>
      <c r="F475" s="1" t="s">
        <v>112</v>
      </c>
      <c r="G475" s="1">
        <v>3779802</v>
      </c>
    </row>
    <row r="476" spans="1:7" x14ac:dyDescent="0.35">
      <c r="A476" s="1" t="str">
        <f t="shared" si="7"/>
        <v>15 Testo + EE2</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3823</v>
      </c>
      <c r="D476" s="1" t="s">
        <v>3824</v>
      </c>
      <c r="E476" s="1" t="s">
        <v>3825</v>
      </c>
      <c r="F476" s="1" t="s">
        <v>112</v>
      </c>
      <c r="G476" s="1">
        <v>3338120</v>
      </c>
    </row>
    <row r="477" spans="1:7" x14ac:dyDescent="0.35">
      <c r="A477" s="1" t="str">
        <f t="shared" si="7"/>
        <v>15 Testo + EE2</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3826</v>
      </c>
      <c r="D477" s="1" t="s">
        <v>631</v>
      </c>
      <c r="E477" s="1" t="s">
        <v>3827</v>
      </c>
      <c r="F477" s="1" t="s">
        <v>112</v>
      </c>
      <c r="G477" s="1">
        <v>3514490</v>
      </c>
    </row>
    <row r="478" spans="1:7" x14ac:dyDescent="0.35">
      <c r="A478" s="1" t="str">
        <f t="shared" si="7"/>
        <v>15 Testo + EE2</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3828</v>
      </c>
      <c r="D478" s="1" t="s">
        <v>3311</v>
      </c>
      <c r="E478" s="1" t="s">
        <v>3829</v>
      </c>
      <c r="F478" s="1" t="s">
        <v>112</v>
      </c>
      <c r="G478" s="1">
        <v>3386722</v>
      </c>
    </row>
    <row r="479" spans="1:7" x14ac:dyDescent="0.35">
      <c r="A479" s="1" t="str">
        <f t="shared" si="7"/>
        <v>15 Testo + EE2</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3830</v>
      </c>
      <c r="D479" s="1" t="s">
        <v>3831</v>
      </c>
      <c r="E479" s="1" t="s">
        <v>3832</v>
      </c>
      <c r="F479" s="1" t="s">
        <v>112</v>
      </c>
      <c r="G479" s="1">
        <v>5666946</v>
      </c>
    </row>
    <row r="480" spans="1:7" x14ac:dyDescent="0.35">
      <c r="A480" s="1" t="str">
        <f t="shared" si="7"/>
        <v>15 Testo + EE2</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3833</v>
      </c>
      <c r="D480" s="1" t="s">
        <v>3834</v>
      </c>
      <c r="E480" s="1" t="s">
        <v>3835</v>
      </c>
      <c r="F480" s="1" t="s">
        <v>112</v>
      </c>
      <c r="G480" s="1">
        <v>5542185</v>
      </c>
    </row>
    <row r="481" spans="1:9" x14ac:dyDescent="0.35">
      <c r="A481" s="1" t="str">
        <f t="shared" si="7"/>
        <v>15 Testo + EE2</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3836</v>
      </c>
      <c r="D481" s="1" t="s">
        <v>3837</v>
      </c>
      <c r="E481" s="1" t="s">
        <v>3838</v>
      </c>
      <c r="F481" s="1" t="s">
        <v>112</v>
      </c>
      <c r="G481" s="1">
        <v>5262510</v>
      </c>
    </row>
    <row r="482" spans="1:9" x14ac:dyDescent="0.35">
      <c r="A482" s="1" t="str">
        <f t="shared" si="7"/>
        <v>15 Testo + EE2</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3839</v>
      </c>
      <c r="D482" s="1" t="s">
        <v>3840</v>
      </c>
      <c r="E482" s="1" t="s">
        <v>3841</v>
      </c>
      <c r="F482" s="1" t="s">
        <v>112</v>
      </c>
      <c r="G482" s="1">
        <v>5904896</v>
      </c>
    </row>
    <row r="483" spans="1:9" x14ac:dyDescent="0.35">
      <c r="A483" s="1" t="str">
        <f t="shared" si="7"/>
        <v>15 Testo + EE2</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3842</v>
      </c>
      <c r="D483" s="1" t="s">
        <v>3843</v>
      </c>
      <c r="E483" s="1" t="s">
        <v>3844</v>
      </c>
      <c r="F483" s="1" t="s">
        <v>112</v>
      </c>
      <c r="G483" s="1">
        <v>5543115</v>
      </c>
    </row>
    <row r="484" spans="1:9" x14ac:dyDescent="0.35">
      <c r="A484" s="1" t="str">
        <f t="shared" si="7"/>
        <v>15 Testo + EE2</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3845</v>
      </c>
      <c r="D484" s="1" t="s">
        <v>3846</v>
      </c>
      <c r="E484" s="1" t="s">
        <v>3847</v>
      </c>
      <c r="F484" s="1" t="s">
        <v>112</v>
      </c>
      <c r="G484" s="1">
        <v>5411216</v>
      </c>
    </row>
    <row r="485" spans="1:9" x14ac:dyDescent="0.35">
      <c r="A485" s="1" t="str">
        <f t="shared" si="7"/>
        <v>15 Testo + EE2</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3848</v>
      </c>
      <c r="D485" s="1" t="s">
        <v>3849</v>
      </c>
      <c r="E485" s="1" t="s">
        <v>3850</v>
      </c>
      <c r="F485" s="1" t="s">
        <v>112</v>
      </c>
      <c r="G485" s="1">
        <v>7251465</v>
      </c>
    </row>
    <row r="486" spans="1:9" x14ac:dyDescent="0.35">
      <c r="A486" s="1" t="str">
        <f t="shared" si="7"/>
        <v>15 Testo + EE2</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3851</v>
      </c>
      <c r="D486" s="1" t="s">
        <v>3852</v>
      </c>
      <c r="E486" s="1" t="s">
        <v>3853</v>
      </c>
      <c r="F486" s="1" t="s">
        <v>112</v>
      </c>
      <c r="G486" s="1">
        <v>6878328</v>
      </c>
    </row>
    <row r="487" spans="1:9" x14ac:dyDescent="0.35">
      <c r="A487" s="1" t="str">
        <f t="shared" si="7"/>
        <v>15 Testo + EE2</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3854</v>
      </c>
      <c r="D487" s="1" t="s">
        <v>3855</v>
      </c>
      <c r="E487" s="1" t="s">
        <v>3856</v>
      </c>
      <c r="F487" s="1" t="s">
        <v>112</v>
      </c>
      <c r="G487" s="1">
        <v>6649549</v>
      </c>
    </row>
    <row r="488" spans="1:9" x14ac:dyDescent="0.3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9"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241</v>
      </c>
      <c r="D489" s="1" t="s">
        <v>112</v>
      </c>
      <c r="E489" s="1" t="s">
        <v>242</v>
      </c>
      <c r="F489" s="1" t="s">
        <v>243</v>
      </c>
      <c r="G489" s="1" t="s">
        <v>244</v>
      </c>
      <c r="H489" s="1" t="s">
        <v>245</v>
      </c>
      <c r="I489" s="1" t="s">
        <v>246</v>
      </c>
    </row>
    <row r="490" spans="1:9" x14ac:dyDescent="0.35">
      <c r="A490" s="1" t="str">
        <f t="shared" si="7"/>
        <v>15 Testo + EE2</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3857</v>
      </c>
      <c r="D490" s="1" t="s">
        <v>112</v>
      </c>
      <c r="E490" s="1" t="s">
        <v>3858</v>
      </c>
      <c r="F490" s="1" t="s">
        <v>3859</v>
      </c>
      <c r="G490" s="1" t="s">
        <v>3860</v>
      </c>
      <c r="H490" s="1" t="s">
        <v>3861</v>
      </c>
      <c r="I490" s="1">
        <v>24</v>
      </c>
    </row>
    <row r="491" spans="1:9"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9"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9"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9"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9"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9"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252</v>
      </c>
      <c r="D496" s="1" t="s">
        <v>110</v>
      </c>
      <c r="E496" s="1" t="s">
        <v>111</v>
      </c>
      <c r="F496" s="1" t="s">
        <v>112</v>
      </c>
      <c r="G496" s="1" t="s">
        <v>113</v>
      </c>
    </row>
    <row r="497" spans="1:7" x14ac:dyDescent="0.35">
      <c r="A497" s="1" t="str">
        <f t="shared" si="7"/>
        <v>16 Testo +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3862</v>
      </c>
      <c r="D497" s="1" t="s">
        <v>3863</v>
      </c>
      <c r="E497" s="1" t="s">
        <v>3864</v>
      </c>
      <c r="F497" s="1" t="s">
        <v>112</v>
      </c>
      <c r="G497" s="1">
        <v>732431</v>
      </c>
    </row>
    <row r="498" spans="1:7" x14ac:dyDescent="0.35">
      <c r="A498" s="1" t="str">
        <f t="shared" si="7"/>
        <v>16 Testo +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3865</v>
      </c>
      <c r="D498" s="1" t="s">
        <v>2195</v>
      </c>
      <c r="E498" s="1" t="s">
        <v>3866</v>
      </c>
      <c r="F498" s="1" t="s">
        <v>112</v>
      </c>
      <c r="G498" s="1">
        <v>450486</v>
      </c>
    </row>
    <row r="499" spans="1:7" x14ac:dyDescent="0.35">
      <c r="A499" s="1" t="str">
        <f t="shared" si="7"/>
        <v>16 Testo +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3867</v>
      </c>
      <c r="D499" s="1" t="s">
        <v>1772</v>
      </c>
      <c r="E499" s="1" t="s">
        <v>3868</v>
      </c>
      <c r="F499" s="1" t="s">
        <v>112</v>
      </c>
      <c r="G499" s="1">
        <v>236588</v>
      </c>
    </row>
    <row r="500" spans="1:7" x14ac:dyDescent="0.35">
      <c r="A500" s="1" t="str">
        <f t="shared" si="7"/>
        <v>16 Testo +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3869</v>
      </c>
      <c r="D500" s="1" t="s">
        <v>233</v>
      </c>
      <c r="E500" s="1" t="s">
        <v>768</v>
      </c>
      <c r="F500" s="1" t="s">
        <v>112</v>
      </c>
      <c r="G500" s="1">
        <v>16309</v>
      </c>
    </row>
    <row r="501" spans="1:7" x14ac:dyDescent="0.35">
      <c r="A501" s="1" t="str">
        <f t="shared" si="7"/>
        <v>16 Testo +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3870</v>
      </c>
      <c r="D501" s="1" t="s">
        <v>2175</v>
      </c>
      <c r="E501" s="1" t="s">
        <v>3871</v>
      </c>
      <c r="F501" s="1" t="s">
        <v>112</v>
      </c>
      <c r="G501" s="1">
        <v>25242</v>
      </c>
    </row>
    <row r="502" spans="1:7" x14ac:dyDescent="0.35">
      <c r="A502" s="1" t="str">
        <f t="shared" si="7"/>
        <v>16 Testo +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3872</v>
      </c>
      <c r="D502" s="1" t="s">
        <v>2175</v>
      </c>
      <c r="E502" s="1" t="s">
        <v>3409</v>
      </c>
      <c r="F502" s="1" t="s">
        <v>112</v>
      </c>
      <c r="G502" s="1">
        <v>25026</v>
      </c>
    </row>
    <row r="503" spans="1:7" x14ac:dyDescent="0.35">
      <c r="A503" s="1" t="str">
        <f t="shared" si="7"/>
        <v>16 Testo +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3873</v>
      </c>
      <c r="D503" s="1" t="s">
        <v>227</v>
      </c>
      <c r="E503" s="1" t="s">
        <v>3874</v>
      </c>
      <c r="F503" s="1" t="s">
        <v>112</v>
      </c>
      <c r="G503" s="1">
        <v>28638</v>
      </c>
    </row>
    <row r="504" spans="1:7" x14ac:dyDescent="0.35">
      <c r="A504" s="1" t="str">
        <f t="shared" si="7"/>
        <v>16 Testo +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3875</v>
      </c>
      <c r="D504" s="1" t="s">
        <v>797</v>
      </c>
      <c r="E504" s="1" t="s">
        <v>3876</v>
      </c>
      <c r="F504" s="1" t="s">
        <v>112</v>
      </c>
      <c r="G504" s="1">
        <v>52085</v>
      </c>
    </row>
    <row r="505" spans="1:7" x14ac:dyDescent="0.35">
      <c r="A505" s="1" t="str">
        <f t="shared" si="7"/>
        <v>16 Testo +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3877</v>
      </c>
      <c r="D505" s="1" t="s">
        <v>2939</v>
      </c>
      <c r="E505" s="1" t="s">
        <v>3878</v>
      </c>
      <c r="F505" s="1" t="s">
        <v>112</v>
      </c>
      <c r="G505" s="1">
        <v>59807</v>
      </c>
    </row>
    <row r="506" spans="1:7" x14ac:dyDescent="0.35">
      <c r="A506" s="1" t="str">
        <f t="shared" si="7"/>
        <v>16 Testo +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3879</v>
      </c>
      <c r="D506" s="1" t="s">
        <v>3880</v>
      </c>
      <c r="E506" s="1" t="s">
        <v>3881</v>
      </c>
      <c r="F506" s="1" t="s">
        <v>112</v>
      </c>
      <c r="G506" s="1">
        <v>389598</v>
      </c>
    </row>
    <row r="507" spans="1:7" x14ac:dyDescent="0.35">
      <c r="A507" s="1" t="str">
        <f t="shared" si="7"/>
        <v>16 Testo +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3882</v>
      </c>
      <c r="D507" s="1" t="s">
        <v>3883</v>
      </c>
      <c r="E507" s="1" t="s">
        <v>3884</v>
      </c>
      <c r="F507" s="1" t="s">
        <v>112</v>
      </c>
      <c r="G507" s="1">
        <v>431927</v>
      </c>
    </row>
    <row r="508" spans="1:7" x14ac:dyDescent="0.35">
      <c r="A508" s="1" t="str">
        <f t="shared" si="7"/>
        <v>16 Testo +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3885</v>
      </c>
      <c r="D508" s="1" t="s">
        <v>2895</v>
      </c>
      <c r="E508" s="1" t="s">
        <v>3886</v>
      </c>
      <c r="F508" s="1" t="s">
        <v>112</v>
      </c>
      <c r="G508" s="1">
        <v>167740</v>
      </c>
    </row>
    <row r="509" spans="1:7" x14ac:dyDescent="0.35">
      <c r="A509" s="1" t="str">
        <f t="shared" si="7"/>
        <v>16 Testo +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3887</v>
      </c>
      <c r="D509" s="1" t="s">
        <v>3888</v>
      </c>
      <c r="E509" s="1" t="s">
        <v>3889</v>
      </c>
      <c r="F509" s="1" t="s">
        <v>112</v>
      </c>
      <c r="G509" s="1">
        <v>335090</v>
      </c>
    </row>
    <row r="510" spans="1:7" x14ac:dyDescent="0.35">
      <c r="A510" s="1" t="str">
        <f t="shared" si="7"/>
        <v>16 Testo +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3890</v>
      </c>
      <c r="D510" s="1" t="s">
        <v>3891</v>
      </c>
      <c r="E510" s="1" t="s">
        <v>3892</v>
      </c>
      <c r="F510" s="1" t="s">
        <v>112</v>
      </c>
      <c r="G510" s="1">
        <v>297238</v>
      </c>
    </row>
    <row r="511" spans="1:7" x14ac:dyDescent="0.35">
      <c r="A511" s="1" t="str">
        <f t="shared" si="7"/>
        <v>16 Testo +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3893</v>
      </c>
      <c r="D511" s="1" t="s">
        <v>1639</v>
      </c>
      <c r="E511" s="1" t="s">
        <v>3894</v>
      </c>
      <c r="F511" s="1" t="s">
        <v>112</v>
      </c>
      <c r="G511" s="1">
        <v>45769</v>
      </c>
    </row>
    <row r="512" spans="1:7" x14ac:dyDescent="0.35">
      <c r="A512" s="1" t="str">
        <f t="shared" si="7"/>
        <v>16 Testo +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3895</v>
      </c>
      <c r="D512" s="1" t="s">
        <v>1444</v>
      </c>
      <c r="E512" s="1" t="s">
        <v>3896</v>
      </c>
      <c r="F512" s="1" t="s">
        <v>112</v>
      </c>
      <c r="G512" s="1">
        <v>120889</v>
      </c>
    </row>
    <row r="513" spans="1:9" x14ac:dyDescent="0.35">
      <c r="A513" s="1" t="str">
        <f t="shared" si="7"/>
        <v>16 Testo +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3897</v>
      </c>
      <c r="D513" s="1" t="s">
        <v>380</v>
      </c>
      <c r="E513" s="1">
        <v>65</v>
      </c>
      <c r="F513" s="1" t="s">
        <v>112</v>
      </c>
      <c r="G513" s="1">
        <v>21089</v>
      </c>
    </row>
    <row r="514" spans="1:9" x14ac:dyDescent="0.35">
      <c r="A514" s="1" t="str">
        <f t="shared" ref="A514:A577" si="8">IFERROR(LEFT(RIGHT(C514,LEN(C514)-SEARCH("@",C514)),SEARCH("/",RIGHT(C514,LEN(C514)-SEARCH("@",C514)-1))),"")</f>
        <v>16 Testo +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3898</v>
      </c>
    </row>
    <row r="515" spans="1:9" x14ac:dyDescent="0.35">
      <c r="A515" s="1" t="str">
        <f t="shared" si="8"/>
        <v>16 Testo +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3899</v>
      </c>
      <c r="D515" s="1" t="s">
        <v>880</v>
      </c>
      <c r="E515" s="1" t="s">
        <v>3900</v>
      </c>
      <c r="F515" s="1" t="s">
        <v>112</v>
      </c>
      <c r="G515" s="1">
        <v>447285</v>
      </c>
    </row>
    <row r="516" spans="1:9" x14ac:dyDescent="0.35">
      <c r="A516" s="1" t="str">
        <f t="shared" si="8"/>
        <v>16 Testo +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3901</v>
      </c>
      <c r="D516" s="1" t="s">
        <v>693</v>
      </c>
      <c r="E516" s="1" t="s">
        <v>1215</v>
      </c>
      <c r="F516" s="1" t="s">
        <v>112</v>
      </c>
      <c r="G516" s="1">
        <v>167675</v>
      </c>
    </row>
    <row r="517" spans="1:9" x14ac:dyDescent="0.35">
      <c r="A517" s="1" t="str">
        <f t="shared" si="8"/>
        <v>16 Testo +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3902</v>
      </c>
    </row>
    <row r="518" spans="1:9" x14ac:dyDescent="0.35">
      <c r="A518" s="1" t="str">
        <f t="shared" si="8"/>
        <v>16 Testo +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3903</v>
      </c>
      <c r="D518" s="1" t="s">
        <v>2072</v>
      </c>
      <c r="E518" s="1" t="s">
        <v>3904</v>
      </c>
      <c r="F518" s="1" t="s">
        <v>112</v>
      </c>
      <c r="G518" s="1">
        <v>288305</v>
      </c>
    </row>
    <row r="519" spans="1:9" x14ac:dyDescent="0.35">
      <c r="A519" s="1" t="str">
        <f t="shared" si="8"/>
        <v>16 Testo +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3905</v>
      </c>
      <c r="D519" s="1" t="s">
        <v>3906</v>
      </c>
      <c r="E519" s="1" t="s">
        <v>3907</v>
      </c>
      <c r="F519" s="1" t="s">
        <v>112</v>
      </c>
      <c r="G519" s="1">
        <v>377009</v>
      </c>
    </row>
    <row r="520" spans="1:9" x14ac:dyDescent="0.35">
      <c r="A520" s="1" t="str">
        <f t="shared" si="8"/>
        <v>16 Testo +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3908</v>
      </c>
      <c r="D520" s="1" t="s">
        <v>408</v>
      </c>
      <c r="E520" s="1" t="s">
        <v>3909</v>
      </c>
      <c r="F520" s="1" t="s">
        <v>112</v>
      </c>
      <c r="G520" s="1">
        <v>241865</v>
      </c>
    </row>
    <row r="521" spans="1:9" x14ac:dyDescent="0.3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9"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241</v>
      </c>
      <c r="D522" s="1" t="s">
        <v>112</v>
      </c>
      <c r="E522" s="1" t="s">
        <v>242</v>
      </c>
      <c r="F522" s="1" t="s">
        <v>243</v>
      </c>
      <c r="G522" s="1" t="s">
        <v>244</v>
      </c>
      <c r="H522" s="1" t="s">
        <v>245</v>
      </c>
      <c r="I522" s="1" t="s">
        <v>246</v>
      </c>
    </row>
    <row r="523" spans="1:9" x14ac:dyDescent="0.35">
      <c r="A523" s="1" t="str">
        <f t="shared" si="8"/>
        <v>16 Testo +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3910</v>
      </c>
      <c r="D523" s="1" t="s">
        <v>112</v>
      </c>
      <c r="E523" s="1" t="s">
        <v>3911</v>
      </c>
      <c r="F523" s="1" t="s">
        <v>3912</v>
      </c>
      <c r="G523" s="1" t="s">
        <v>3913</v>
      </c>
      <c r="H523" s="1" t="s">
        <v>3914</v>
      </c>
      <c r="I523" s="1">
        <v>24</v>
      </c>
    </row>
    <row r="524" spans="1:9"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9"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9"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9"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9"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252</v>
      </c>
      <c r="D529" s="1" t="s">
        <v>110</v>
      </c>
      <c r="E529" s="1" t="s">
        <v>111</v>
      </c>
      <c r="F529" s="1" t="s">
        <v>112</v>
      </c>
      <c r="G529" s="1" t="s">
        <v>113</v>
      </c>
    </row>
    <row r="530" spans="1:7" x14ac:dyDescent="0.35">
      <c r="A530" s="1" t="str">
        <f t="shared" si="8"/>
        <v>17 Testo + Pro 12</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3915</v>
      </c>
      <c r="D530" s="1" t="s">
        <v>3916</v>
      </c>
      <c r="E530" s="1" t="s">
        <v>3917</v>
      </c>
      <c r="F530" s="1" t="s">
        <v>112</v>
      </c>
      <c r="G530" s="1">
        <v>2154100</v>
      </c>
    </row>
    <row r="531" spans="1:7" x14ac:dyDescent="0.35">
      <c r="A531" s="1" t="str">
        <f t="shared" si="8"/>
        <v>17 Testo + Pro 12</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3918</v>
      </c>
      <c r="D531" s="1" t="s">
        <v>3919</v>
      </c>
      <c r="E531" s="1" t="s">
        <v>3920</v>
      </c>
      <c r="F531" s="1" t="s">
        <v>112</v>
      </c>
      <c r="G531" s="1">
        <v>1923222</v>
      </c>
    </row>
    <row r="532" spans="1:7" x14ac:dyDescent="0.35">
      <c r="A532" s="1" t="str">
        <f t="shared" si="8"/>
        <v>17 Testo + Pro 12</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3921</v>
      </c>
      <c r="D532" s="1" t="s">
        <v>3922</v>
      </c>
      <c r="E532" s="1" t="s">
        <v>3923</v>
      </c>
      <c r="F532" s="1" t="s">
        <v>112</v>
      </c>
      <c r="G532" s="1">
        <v>1763766</v>
      </c>
    </row>
    <row r="533" spans="1:7" x14ac:dyDescent="0.35">
      <c r="A533" s="1" t="str">
        <f t="shared" si="8"/>
        <v>17 Testo + Pro 12</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3924</v>
      </c>
      <c r="D533" s="1" t="s">
        <v>3925</v>
      </c>
      <c r="E533" s="1" t="s">
        <v>3926</v>
      </c>
      <c r="F533" s="1" t="s">
        <v>112</v>
      </c>
      <c r="G533" s="1">
        <v>3308703</v>
      </c>
    </row>
    <row r="534" spans="1:7" x14ac:dyDescent="0.35">
      <c r="A534" s="1" t="str">
        <f t="shared" si="8"/>
        <v>17 Testo + Pro 12</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3927</v>
      </c>
      <c r="D534" s="1" t="s">
        <v>3928</v>
      </c>
      <c r="E534" s="1" t="s">
        <v>3929</v>
      </c>
      <c r="F534" s="1" t="s">
        <v>112</v>
      </c>
      <c r="G534" s="1">
        <v>3154980</v>
      </c>
    </row>
    <row r="535" spans="1:7" x14ac:dyDescent="0.35">
      <c r="A535" s="1" t="str">
        <f t="shared" si="8"/>
        <v>17 Testo + Pro 12</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3930</v>
      </c>
      <c r="D535" s="1" t="s">
        <v>3931</v>
      </c>
      <c r="E535" s="1" t="s">
        <v>3932</v>
      </c>
      <c r="F535" s="1" t="s">
        <v>112</v>
      </c>
      <c r="G535" s="1">
        <v>3485333</v>
      </c>
    </row>
    <row r="536" spans="1:7" x14ac:dyDescent="0.35">
      <c r="A536" s="1" t="str">
        <f t="shared" si="8"/>
        <v>17 Testo + Pro 12</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3933</v>
      </c>
      <c r="D536" s="1" t="s">
        <v>3934</v>
      </c>
      <c r="E536" s="1" t="s">
        <v>3935</v>
      </c>
      <c r="F536" s="1" t="s">
        <v>112</v>
      </c>
      <c r="G536" s="1">
        <v>813176</v>
      </c>
    </row>
    <row r="537" spans="1:7" x14ac:dyDescent="0.35">
      <c r="A537" s="1" t="str">
        <f t="shared" si="8"/>
        <v>17 Testo + Pro 12</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3936</v>
      </c>
      <c r="D537" s="1" t="s">
        <v>3937</v>
      </c>
      <c r="E537" s="1" t="s">
        <v>3938</v>
      </c>
      <c r="F537" s="1" t="s">
        <v>112</v>
      </c>
      <c r="G537" s="1">
        <v>1126225</v>
      </c>
    </row>
    <row r="538" spans="1:7" x14ac:dyDescent="0.35">
      <c r="A538" s="1" t="str">
        <f t="shared" si="8"/>
        <v>17 Testo + Pro 12</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3939</v>
      </c>
      <c r="D538" s="1" t="s">
        <v>3940</v>
      </c>
      <c r="E538" s="1" t="s">
        <v>3941</v>
      </c>
      <c r="F538" s="1" t="s">
        <v>112</v>
      </c>
      <c r="G538" s="1">
        <v>859507</v>
      </c>
    </row>
    <row r="539" spans="1:7" x14ac:dyDescent="0.35">
      <c r="A539" s="1" t="str">
        <f t="shared" si="8"/>
        <v>17 Testo + Pro 12</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3942</v>
      </c>
      <c r="D539" s="1" t="s">
        <v>3003</v>
      </c>
      <c r="E539" s="1" t="s">
        <v>3943</v>
      </c>
      <c r="F539" s="1" t="s">
        <v>112</v>
      </c>
      <c r="G539" s="1">
        <v>106268</v>
      </c>
    </row>
    <row r="540" spans="1:7" x14ac:dyDescent="0.35">
      <c r="A540" s="1" t="str">
        <f t="shared" si="8"/>
        <v>17 Testo + Pro 12</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3944</v>
      </c>
      <c r="D540" s="1" t="s">
        <v>2254</v>
      </c>
      <c r="E540" s="1" t="s">
        <v>3945</v>
      </c>
      <c r="F540" s="1" t="s">
        <v>112</v>
      </c>
      <c r="G540" s="1">
        <v>254000</v>
      </c>
    </row>
    <row r="541" spans="1:7" x14ac:dyDescent="0.35">
      <c r="A541" s="1" t="str">
        <f t="shared" si="8"/>
        <v>17 Testo + Pro 12</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3946</v>
      </c>
      <c r="D541" s="1" t="s">
        <v>907</v>
      </c>
      <c r="E541" s="1" t="s">
        <v>3947</v>
      </c>
      <c r="F541" s="1" t="s">
        <v>112</v>
      </c>
      <c r="G541" s="1">
        <v>104624</v>
      </c>
    </row>
    <row r="542" spans="1:7" x14ac:dyDescent="0.35">
      <c r="A542" s="1" t="str">
        <f t="shared" si="8"/>
        <v>17 Testo + Pro 12</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3948</v>
      </c>
      <c r="D542" s="1" t="s">
        <v>3949</v>
      </c>
      <c r="E542" s="1" t="s">
        <v>3950</v>
      </c>
      <c r="F542" s="1" t="s">
        <v>112</v>
      </c>
      <c r="G542" s="1">
        <v>3110617</v>
      </c>
    </row>
    <row r="543" spans="1:7" x14ac:dyDescent="0.35">
      <c r="A543" s="1" t="str">
        <f t="shared" si="8"/>
        <v>17 Testo + Pro 12</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3951</v>
      </c>
      <c r="D543" s="1" t="s">
        <v>3952</v>
      </c>
      <c r="E543" s="1" t="s">
        <v>3953</v>
      </c>
      <c r="F543" s="1" t="s">
        <v>112</v>
      </c>
      <c r="G543" s="1">
        <v>2518671</v>
      </c>
    </row>
    <row r="544" spans="1:7" x14ac:dyDescent="0.35">
      <c r="A544" s="1" t="str">
        <f t="shared" si="8"/>
        <v>17 Testo + Pro 12</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3954</v>
      </c>
      <c r="D544" s="1" t="s">
        <v>3955</v>
      </c>
      <c r="E544" s="1" t="s">
        <v>3956</v>
      </c>
      <c r="F544" s="1" t="s">
        <v>112</v>
      </c>
      <c r="G544" s="1">
        <v>2346043</v>
      </c>
    </row>
    <row r="545" spans="1:9" x14ac:dyDescent="0.35">
      <c r="A545" s="1" t="str">
        <f t="shared" si="8"/>
        <v>17 Testo + Pro 12</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3957</v>
      </c>
      <c r="D545" s="1" t="s">
        <v>3958</v>
      </c>
      <c r="E545" s="1" t="s">
        <v>3959</v>
      </c>
      <c r="F545" s="1" t="s">
        <v>112</v>
      </c>
      <c r="G545" s="1">
        <v>2980556</v>
      </c>
    </row>
    <row r="546" spans="1:9" x14ac:dyDescent="0.35">
      <c r="A546" s="1" t="str">
        <f t="shared" si="8"/>
        <v>17 Testo + Pro 12</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3960</v>
      </c>
      <c r="D546" s="1" t="s">
        <v>1147</v>
      </c>
      <c r="E546" s="1" t="s">
        <v>3961</v>
      </c>
      <c r="F546" s="1" t="s">
        <v>112</v>
      </c>
      <c r="G546" s="1">
        <v>1954283</v>
      </c>
    </row>
    <row r="547" spans="1:9" x14ac:dyDescent="0.35">
      <c r="A547" s="1" t="str">
        <f t="shared" si="8"/>
        <v>17 Testo + Pro 12</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3962</v>
      </c>
      <c r="D547" s="1" t="s">
        <v>3963</v>
      </c>
      <c r="E547" s="1" t="s">
        <v>3964</v>
      </c>
      <c r="F547" s="1" t="s">
        <v>112</v>
      </c>
      <c r="G547" s="1">
        <v>2082634</v>
      </c>
    </row>
    <row r="548" spans="1:9" x14ac:dyDescent="0.35">
      <c r="A548" s="1" t="str">
        <f t="shared" si="8"/>
        <v>17 Testo + Pro 12</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3965</v>
      </c>
      <c r="D548" s="1" t="s">
        <v>3966</v>
      </c>
      <c r="E548" s="1" t="s">
        <v>3967</v>
      </c>
      <c r="F548" s="1" t="s">
        <v>112</v>
      </c>
      <c r="G548" s="1">
        <v>1410010</v>
      </c>
    </row>
    <row r="549" spans="1:9" x14ac:dyDescent="0.35">
      <c r="A549" s="1" t="str">
        <f t="shared" si="8"/>
        <v>17 Testo + Pro 12</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3968</v>
      </c>
      <c r="D549" s="1" t="s">
        <v>3969</v>
      </c>
      <c r="E549" s="1" t="s">
        <v>3970</v>
      </c>
      <c r="F549" s="1" t="s">
        <v>112</v>
      </c>
      <c r="G549" s="1">
        <v>1161287</v>
      </c>
    </row>
    <row r="550" spans="1:9" x14ac:dyDescent="0.35">
      <c r="A550" s="1" t="str">
        <f t="shared" si="8"/>
        <v>17 Testo + Pro 12</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3971</v>
      </c>
      <c r="D550" s="1" t="s">
        <v>3972</v>
      </c>
      <c r="E550" s="1" t="s">
        <v>3973</v>
      </c>
      <c r="F550" s="1" t="s">
        <v>112</v>
      </c>
      <c r="G550" s="1">
        <v>1199529</v>
      </c>
    </row>
    <row r="551" spans="1:9" x14ac:dyDescent="0.35">
      <c r="A551" s="1" t="str">
        <f t="shared" si="8"/>
        <v>17 Testo + Pro 12</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3974</v>
      </c>
      <c r="D551" s="1" t="s">
        <v>3975</v>
      </c>
      <c r="E551" s="1" t="s">
        <v>3976</v>
      </c>
      <c r="F551" s="1" t="s">
        <v>112</v>
      </c>
      <c r="G551" s="1">
        <v>955825</v>
      </c>
    </row>
    <row r="552" spans="1:9" x14ac:dyDescent="0.35">
      <c r="A552" s="1" t="str">
        <f t="shared" si="8"/>
        <v>17 Testo + Pro 12</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3977</v>
      </c>
      <c r="D552" s="1" t="s">
        <v>3978</v>
      </c>
      <c r="E552" s="1" t="s">
        <v>3979</v>
      </c>
      <c r="F552" s="1" t="s">
        <v>112</v>
      </c>
      <c r="G552" s="1">
        <v>715603</v>
      </c>
    </row>
    <row r="553" spans="1:9" x14ac:dyDescent="0.35">
      <c r="A553" s="1" t="str">
        <f t="shared" si="8"/>
        <v>17 Testo + Pro 12</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3980</v>
      </c>
      <c r="D553" s="1" t="s">
        <v>3981</v>
      </c>
      <c r="E553" s="1" t="s">
        <v>3982</v>
      </c>
      <c r="F553" s="1" t="s">
        <v>112</v>
      </c>
      <c r="G553" s="1">
        <v>646150</v>
      </c>
    </row>
    <row r="554" spans="1:9" x14ac:dyDescent="0.3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9"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241</v>
      </c>
      <c r="D555" s="1" t="s">
        <v>112</v>
      </c>
      <c r="E555" s="1" t="s">
        <v>242</v>
      </c>
      <c r="F555" s="1" t="s">
        <v>243</v>
      </c>
      <c r="G555" s="1" t="s">
        <v>244</v>
      </c>
      <c r="H555" s="1" t="s">
        <v>245</v>
      </c>
      <c r="I555" s="1" t="s">
        <v>246</v>
      </c>
    </row>
    <row r="556" spans="1:9" x14ac:dyDescent="0.35">
      <c r="A556" s="1" t="str">
        <f t="shared" si="8"/>
        <v>17 Testo + Pro 12</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3983</v>
      </c>
      <c r="D556" s="1" t="s">
        <v>112</v>
      </c>
      <c r="E556" s="1" t="s">
        <v>3984</v>
      </c>
      <c r="F556" s="1" t="s">
        <v>3985</v>
      </c>
      <c r="G556" s="1" t="s">
        <v>3986</v>
      </c>
      <c r="H556" s="1" t="s">
        <v>3987</v>
      </c>
      <c r="I556" s="1">
        <v>24</v>
      </c>
    </row>
    <row r="557" spans="1:9"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9"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9"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9"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252</v>
      </c>
      <c r="D562" s="1" t="s">
        <v>110</v>
      </c>
      <c r="E562" s="1" t="s">
        <v>111</v>
      </c>
      <c r="F562" s="1" t="s">
        <v>112</v>
      </c>
      <c r="G562" s="1" t="s">
        <v>113</v>
      </c>
    </row>
    <row r="563" spans="1:7" x14ac:dyDescent="0.35">
      <c r="A563" s="1" t="str">
        <f t="shared" si="8"/>
        <v>18  Testo + Pro 37</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3988</v>
      </c>
      <c r="D563" s="1" t="s">
        <v>3989</v>
      </c>
      <c r="E563" s="1" t="s">
        <v>3990</v>
      </c>
      <c r="F563" s="1" t="s">
        <v>112</v>
      </c>
      <c r="G563" s="1">
        <v>1938168</v>
      </c>
    </row>
    <row r="564" spans="1:7" x14ac:dyDescent="0.35">
      <c r="A564" s="1" t="str">
        <f t="shared" si="8"/>
        <v>18  Testo + Pro 37</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3991</v>
      </c>
      <c r="D564" s="1" t="s">
        <v>2829</v>
      </c>
      <c r="E564" s="1" t="s">
        <v>3992</v>
      </c>
      <c r="F564" s="1" t="s">
        <v>112</v>
      </c>
      <c r="G564" s="1">
        <v>2097948</v>
      </c>
    </row>
    <row r="565" spans="1:7" x14ac:dyDescent="0.35">
      <c r="A565" s="1" t="str">
        <f t="shared" si="8"/>
        <v>18  Testo + Pro 37</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3993</v>
      </c>
      <c r="D565" s="1" t="s">
        <v>3994</v>
      </c>
      <c r="E565" s="1" t="s">
        <v>3995</v>
      </c>
      <c r="F565" s="1" t="s">
        <v>112</v>
      </c>
      <c r="G565" s="1">
        <v>1656872</v>
      </c>
    </row>
    <row r="566" spans="1:7" x14ac:dyDescent="0.35">
      <c r="A566" s="1" t="str">
        <f t="shared" si="8"/>
        <v>18  Testo + Pro 37</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3996</v>
      </c>
      <c r="D566" s="1" t="s">
        <v>836</v>
      </c>
      <c r="E566" s="1" t="s">
        <v>3997</v>
      </c>
      <c r="F566" s="1" t="s">
        <v>112</v>
      </c>
      <c r="G566" s="1">
        <v>168670</v>
      </c>
    </row>
    <row r="567" spans="1:7" x14ac:dyDescent="0.35">
      <c r="A567" s="1" t="str">
        <f t="shared" si="8"/>
        <v>18  Testo + Pro 37</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3998</v>
      </c>
      <c r="D567" s="1" t="s">
        <v>2903</v>
      </c>
      <c r="E567" s="1" t="s">
        <v>3999</v>
      </c>
      <c r="F567" s="1" t="s">
        <v>112</v>
      </c>
      <c r="G567" s="1">
        <v>310649</v>
      </c>
    </row>
    <row r="568" spans="1:7" x14ac:dyDescent="0.35">
      <c r="A568" s="1" t="str">
        <f t="shared" si="8"/>
        <v>18  Testo + Pro 37</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4000</v>
      </c>
      <c r="D568" s="1" t="s">
        <v>1657</v>
      </c>
      <c r="E568" s="1" t="s">
        <v>4001</v>
      </c>
      <c r="F568" s="1" t="s">
        <v>112</v>
      </c>
      <c r="G568" s="1">
        <v>271196</v>
      </c>
    </row>
    <row r="569" spans="1:7" x14ac:dyDescent="0.35">
      <c r="A569" s="1" t="str">
        <f t="shared" si="8"/>
        <v>18  Testo + Pro 37</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4002</v>
      </c>
      <c r="D569" s="1" t="s">
        <v>4003</v>
      </c>
      <c r="E569" s="1" t="s">
        <v>4004</v>
      </c>
      <c r="F569" s="1" t="s">
        <v>112</v>
      </c>
      <c r="G569" s="1">
        <v>782959</v>
      </c>
    </row>
    <row r="570" spans="1:7" x14ac:dyDescent="0.35">
      <c r="A570" s="1" t="str">
        <f t="shared" si="8"/>
        <v>18  Testo + Pro 37</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4005</v>
      </c>
      <c r="D570" s="1" t="s">
        <v>179</v>
      </c>
      <c r="E570" s="1" t="s">
        <v>4006</v>
      </c>
      <c r="F570" s="1" t="s">
        <v>112</v>
      </c>
      <c r="G570" s="1">
        <v>733275</v>
      </c>
    </row>
    <row r="571" spans="1:7" x14ac:dyDescent="0.35">
      <c r="A571" s="1" t="str">
        <f t="shared" si="8"/>
        <v>18  Testo + Pro 37</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4007</v>
      </c>
      <c r="D571" s="1" t="s">
        <v>4008</v>
      </c>
      <c r="E571" s="1" t="s">
        <v>4009</v>
      </c>
      <c r="F571" s="1" t="s">
        <v>112</v>
      </c>
      <c r="G571" s="1">
        <v>956690</v>
      </c>
    </row>
    <row r="572" spans="1:7" x14ac:dyDescent="0.35">
      <c r="A572" s="1" t="str">
        <f t="shared" si="8"/>
        <v>18  Testo + Pro 37</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4010</v>
      </c>
      <c r="D572" s="1" t="s">
        <v>4011</v>
      </c>
      <c r="E572" s="1" t="s">
        <v>4012</v>
      </c>
      <c r="F572" s="1" t="s">
        <v>112</v>
      </c>
      <c r="G572" s="1">
        <v>3387674</v>
      </c>
    </row>
    <row r="573" spans="1:7" x14ac:dyDescent="0.35">
      <c r="A573" s="1" t="str">
        <f t="shared" si="8"/>
        <v>18  Testo + Pro 37</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4013</v>
      </c>
      <c r="D573" s="1" t="s">
        <v>543</v>
      </c>
      <c r="E573" s="1" t="s">
        <v>4014</v>
      </c>
      <c r="F573" s="1" t="s">
        <v>112</v>
      </c>
      <c r="G573" s="1">
        <v>3453602</v>
      </c>
    </row>
    <row r="574" spans="1:7" x14ac:dyDescent="0.35">
      <c r="A574" s="1" t="str">
        <f t="shared" si="8"/>
        <v>18  Testo + Pro 37</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4015</v>
      </c>
      <c r="D574" s="1" t="s">
        <v>4016</v>
      </c>
      <c r="E574" s="1" t="s">
        <v>4017</v>
      </c>
      <c r="F574" s="1" t="s">
        <v>112</v>
      </c>
      <c r="G574" s="1">
        <v>3501988</v>
      </c>
    </row>
    <row r="575" spans="1:7" x14ac:dyDescent="0.35">
      <c r="A575" s="1" t="str">
        <f t="shared" si="8"/>
        <v>18  Testo + Pro 37</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4018</v>
      </c>
      <c r="D575" s="1" t="s">
        <v>1943</v>
      </c>
      <c r="E575" s="1" t="s">
        <v>4019</v>
      </c>
      <c r="F575" s="1" t="s">
        <v>112</v>
      </c>
      <c r="G575" s="1">
        <v>1594145</v>
      </c>
    </row>
    <row r="576" spans="1:7" x14ac:dyDescent="0.35">
      <c r="A576" s="1" t="str">
        <f t="shared" si="8"/>
        <v>18  Testo + Pro 37</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4020</v>
      </c>
      <c r="D576" s="1" t="s">
        <v>4021</v>
      </c>
      <c r="E576" s="1" t="s">
        <v>4022</v>
      </c>
      <c r="F576" s="1" t="s">
        <v>112</v>
      </c>
      <c r="G576" s="1">
        <v>1220726</v>
      </c>
    </row>
    <row r="577" spans="1:9" x14ac:dyDescent="0.35">
      <c r="A577" s="1" t="str">
        <f t="shared" si="8"/>
        <v>18  Testo + Pro 37</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4023</v>
      </c>
      <c r="D577" s="1" t="s">
        <v>3157</v>
      </c>
      <c r="E577" s="1" t="s">
        <v>4024</v>
      </c>
      <c r="F577" s="1" t="s">
        <v>112</v>
      </c>
      <c r="G577" s="1">
        <v>1225139</v>
      </c>
    </row>
    <row r="578" spans="1:9" x14ac:dyDescent="0.35">
      <c r="A578" s="1" t="str">
        <f t="shared" ref="A578:A641" si="9">IFERROR(LEFT(RIGHT(C578,LEN(C578)-SEARCH("@",C578)),SEARCH("/",RIGHT(C578,LEN(C578)-SEARCH("@",C578)-1))),"")</f>
        <v>18  Testo + Pro 37</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4025</v>
      </c>
      <c r="D578" s="1" t="s">
        <v>4026</v>
      </c>
      <c r="E578" s="1" t="s">
        <v>4027</v>
      </c>
      <c r="F578" s="1" t="s">
        <v>112</v>
      </c>
      <c r="G578" s="1">
        <v>5545040</v>
      </c>
    </row>
    <row r="579" spans="1:9" x14ac:dyDescent="0.35">
      <c r="A579" s="1" t="str">
        <f t="shared" si="9"/>
        <v>18  Testo + Pro 37</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4028</v>
      </c>
      <c r="D579" s="1" t="s">
        <v>4029</v>
      </c>
      <c r="E579" s="1" t="s">
        <v>4030</v>
      </c>
      <c r="F579" s="1" t="s">
        <v>112</v>
      </c>
      <c r="G579" s="1">
        <v>5206467</v>
      </c>
    </row>
    <row r="580" spans="1:9" x14ac:dyDescent="0.35">
      <c r="A580" s="1" t="str">
        <f t="shared" si="9"/>
        <v>18  Testo + Pro 37</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4031</v>
      </c>
      <c r="D580" s="1" t="s">
        <v>4032</v>
      </c>
      <c r="E580" s="1" t="s">
        <v>4033</v>
      </c>
      <c r="F580" s="1" t="s">
        <v>112</v>
      </c>
      <c r="G580" s="1">
        <v>4970615</v>
      </c>
    </row>
    <row r="581" spans="1:9" x14ac:dyDescent="0.35">
      <c r="A581" s="1" t="str">
        <f t="shared" si="9"/>
        <v>18  Testo + Pro 37</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4034</v>
      </c>
      <c r="D581" s="1" t="s">
        <v>4035</v>
      </c>
      <c r="E581" s="1" t="s">
        <v>4036</v>
      </c>
      <c r="F581" s="1" t="s">
        <v>112</v>
      </c>
      <c r="G581" s="1">
        <v>3487539</v>
      </c>
    </row>
    <row r="582" spans="1:9" x14ac:dyDescent="0.35">
      <c r="A582" s="1" t="str">
        <f t="shared" si="9"/>
        <v>18  Testo + Pro 37</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4037</v>
      </c>
      <c r="D582" s="1" t="s">
        <v>4038</v>
      </c>
      <c r="E582" s="1" t="s">
        <v>4039</v>
      </c>
      <c r="F582" s="1" t="s">
        <v>112</v>
      </c>
      <c r="G582" s="1">
        <v>3606223</v>
      </c>
    </row>
    <row r="583" spans="1:9" x14ac:dyDescent="0.35">
      <c r="A583" s="1" t="str">
        <f t="shared" si="9"/>
        <v>18  Testo + Pro 37</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4040</v>
      </c>
      <c r="D583" s="1" t="s">
        <v>4041</v>
      </c>
      <c r="E583" s="1" t="s">
        <v>4042</v>
      </c>
      <c r="F583" s="1" t="s">
        <v>112</v>
      </c>
      <c r="G583" s="1">
        <v>3220453</v>
      </c>
    </row>
    <row r="584" spans="1:9" x14ac:dyDescent="0.35">
      <c r="A584" s="1" t="str">
        <f t="shared" si="9"/>
        <v>18  Testo + Pro 37</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4043</v>
      </c>
      <c r="D584" s="1" t="s">
        <v>4044</v>
      </c>
      <c r="E584" s="1" t="s">
        <v>4045</v>
      </c>
      <c r="F584" s="1" t="s">
        <v>112</v>
      </c>
      <c r="G584" s="1">
        <v>1447148</v>
      </c>
    </row>
    <row r="585" spans="1:9" x14ac:dyDescent="0.35">
      <c r="A585" s="1" t="str">
        <f t="shared" si="9"/>
        <v>18  Testo + Pro 37</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4046</v>
      </c>
      <c r="D585" s="1" t="s">
        <v>4047</v>
      </c>
      <c r="E585" s="1" t="s">
        <v>4048</v>
      </c>
      <c r="F585" s="1" t="s">
        <v>112</v>
      </c>
      <c r="G585" s="1">
        <v>1376721</v>
      </c>
    </row>
    <row r="586" spans="1:9" x14ac:dyDescent="0.35">
      <c r="A586" s="1" t="str">
        <f t="shared" si="9"/>
        <v>18  Testo + Pro 37</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4049</v>
      </c>
      <c r="D586" s="1" t="s">
        <v>4050</v>
      </c>
      <c r="E586" s="1" t="s">
        <v>4051</v>
      </c>
      <c r="F586" s="1" t="s">
        <v>112</v>
      </c>
      <c r="G586" s="1">
        <v>919725</v>
      </c>
    </row>
    <row r="587" spans="1:9" x14ac:dyDescent="0.3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9"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241</v>
      </c>
      <c r="D588" s="1" t="s">
        <v>112</v>
      </c>
      <c r="E588" s="1" t="s">
        <v>242</v>
      </c>
      <c r="F588" s="1" t="s">
        <v>243</v>
      </c>
      <c r="G588" s="1" t="s">
        <v>244</v>
      </c>
      <c r="H588" s="1" t="s">
        <v>245</v>
      </c>
      <c r="I588" s="1" t="s">
        <v>246</v>
      </c>
    </row>
    <row r="589" spans="1:9" x14ac:dyDescent="0.35">
      <c r="A589" s="1" t="str">
        <f t="shared" si="9"/>
        <v>18  Testo + Pro 37</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4052</v>
      </c>
      <c r="D589" s="1" t="s">
        <v>112</v>
      </c>
      <c r="E589" s="1" t="s">
        <v>4053</v>
      </c>
      <c r="F589" s="1" t="s">
        <v>4054</v>
      </c>
      <c r="G589" s="1" t="s">
        <v>4055</v>
      </c>
      <c r="H589" s="1" t="s">
        <v>4056</v>
      </c>
      <c r="I589" s="1">
        <v>24</v>
      </c>
    </row>
    <row r="590" spans="1:9"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9"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9"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252</v>
      </c>
      <c r="D595" s="1" t="s">
        <v>110</v>
      </c>
      <c r="E595" s="1" t="s">
        <v>111</v>
      </c>
      <c r="F595" s="1" t="s">
        <v>112</v>
      </c>
      <c r="G595" s="1" t="s">
        <v>113</v>
      </c>
    </row>
    <row r="596" spans="1:7" x14ac:dyDescent="0.35">
      <c r="A596" s="1" t="str">
        <f t="shared" si="9"/>
        <v>19 Testo + Pro 111</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4057</v>
      </c>
      <c r="D596" s="1" t="s">
        <v>4058</v>
      </c>
      <c r="E596" s="1" t="s">
        <v>4059</v>
      </c>
      <c r="F596" s="1" t="s">
        <v>112</v>
      </c>
      <c r="G596" s="1">
        <v>1467697</v>
      </c>
    </row>
    <row r="597" spans="1:7" x14ac:dyDescent="0.35">
      <c r="A597" s="1" t="str">
        <f t="shared" si="9"/>
        <v>19 Testo + Pro 111</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4060</v>
      </c>
      <c r="D597" s="1" t="s">
        <v>4061</v>
      </c>
      <c r="E597" s="1" t="s">
        <v>4062</v>
      </c>
      <c r="F597" s="1" t="s">
        <v>112</v>
      </c>
      <c r="G597" s="1">
        <v>1444855</v>
      </c>
    </row>
    <row r="598" spans="1:7" x14ac:dyDescent="0.35">
      <c r="A598" s="1" t="str">
        <f t="shared" si="9"/>
        <v>19 Testo + Pro 111</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4063</v>
      </c>
      <c r="D598" s="1" t="s">
        <v>4064</v>
      </c>
      <c r="E598" s="1" t="s">
        <v>4065</v>
      </c>
      <c r="F598" s="1" t="s">
        <v>112</v>
      </c>
      <c r="G598" s="1">
        <v>1609091</v>
      </c>
    </row>
    <row r="599" spans="1:7" x14ac:dyDescent="0.35">
      <c r="A599" s="1" t="str">
        <f t="shared" si="9"/>
        <v>19 Testo + Pro 111</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4066</v>
      </c>
      <c r="D599" s="1" t="s">
        <v>776</v>
      </c>
      <c r="E599" s="1" t="s">
        <v>4067</v>
      </c>
      <c r="F599" s="1" t="s">
        <v>112</v>
      </c>
      <c r="G599" s="1">
        <v>108669</v>
      </c>
    </row>
    <row r="600" spans="1:7" x14ac:dyDescent="0.35">
      <c r="A600" s="1" t="str">
        <f t="shared" si="9"/>
        <v>19 Testo + Pro 111</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4068</v>
      </c>
      <c r="D600" s="1" t="s">
        <v>268</v>
      </c>
      <c r="E600" s="1" t="s">
        <v>4069</v>
      </c>
      <c r="F600" s="1" t="s">
        <v>112</v>
      </c>
      <c r="G600" s="1">
        <v>153875</v>
      </c>
    </row>
    <row r="601" spans="1:7" x14ac:dyDescent="0.35">
      <c r="A601" s="1" t="str">
        <f t="shared" si="9"/>
        <v>19 Testo + Pro 111</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4070</v>
      </c>
      <c r="D601" s="1" t="s">
        <v>254</v>
      </c>
      <c r="E601" s="1" t="s">
        <v>4071</v>
      </c>
      <c r="F601" s="1" t="s">
        <v>112</v>
      </c>
      <c r="G601" s="1">
        <v>88272</v>
      </c>
    </row>
    <row r="602" spans="1:7" x14ac:dyDescent="0.35">
      <c r="A602" s="1" t="str">
        <f t="shared" si="9"/>
        <v>19 Testo + Pro 111</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4072</v>
      </c>
      <c r="D602" s="1" t="s">
        <v>4073</v>
      </c>
      <c r="E602" s="1" t="s">
        <v>4074</v>
      </c>
      <c r="F602" s="1" t="s">
        <v>112</v>
      </c>
      <c r="G602" s="1">
        <v>973540</v>
      </c>
    </row>
    <row r="603" spans="1:7" x14ac:dyDescent="0.35">
      <c r="A603" s="1" t="str">
        <f t="shared" si="9"/>
        <v>19 Testo + Pro 111</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4075</v>
      </c>
      <c r="D603" s="1" t="s">
        <v>2826</v>
      </c>
      <c r="E603" s="1" t="s">
        <v>4076</v>
      </c>
      <c r="F603" s="1" t="s">
        <v>112</v>
      </c>
      <c r="G603" s="1">
        <v>746491</v>
      </c>
    </row>
    <row r="604" spans="1:7" x14ac:dyDescent="0.35">
      <c r="A604" s="1" t="str">
        <f t="shared" si="9"/>
        <v>19 Testo + Pro 111</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4077</v>
      </c>
      <c r="D604" s="1" t="s">
        <v>1310</v>
      </c>
      <c r="E604" s="1" t="s">
        <v>4078</v>
      </c>
      <c r="F604" s="1" t="s">
        <v>112</v>
      </c>
      <c r="G604" s="1">
        <v>977066</v>
      </c>
    </row>
    <row r="605" spans="1:7" x14ac:dyDescent="0.35">
      <c r="A605" s="1" t="str">
        <f t="shared" si="9"/>
        <v>19 Testo + Pro 111</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4079</v>
      </c>
      <c r="D605" s="1" t="s">
        <v>4080</v>
      </c>
      <c r="E605" s="1" t="s">
        <v>4081</v>
      </c>
      <c r="F605" s="1" t="s">
        <v>112</v>
      </c>
      <c r="G605" s="1">
        <v>3532270</v>
      </c>
    </row>
    <row r="606" spans="1:7" x14ac:dyDescent="0.35">
      <c r="A606" s="1" t="str">
        <f t="shared" si="9"/>
        <v>19 Testo + Pro 111</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4082</v>
      </c>
      <c r="D606" s="1" t="s">
        <v>4083</v>
      </c>
      <c r="E606" s="1" t="s">
        <v>4084</v>
      </c>
      <c r="F606" s="1" t="s">
        <v>112</v>
      </c>
      <c r="G606" s="1">
        <v>3738706</v>
      </c>
    </row>
    <row r="607" spans="1:7" x14ac:dyDescent="0.35">
      <c r="A607" s="1" t="str">
        <f t="shared" si="9"/>
        <v>19 Testo + Pro 111</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4085</v>
      </c>
    </row>
    <row r="608" spans="1:7" x14ac:dyDescent="0.35">
      <c r="A608" s="1" t="str">
        <f t="shared" si="9"/>
        <v>19 Testo + Pro 111</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4086</v>
      </c>
      <c r="D608" s="1" t="s">
        <v>996</v>
      </c>
      <c r="E608" s="1" t="s">
        <v>1314</v>
      </c>
      <c r="F608" s="1" t="s">
        <v>112</v>
      </c>
      <c r="G608" s="1">
        <v>484596</v>
      </c>
    </row>
    <row r="609" spans="1:9" x14ac:dyDescent="0.35">
      <c r="A609" s="1" t="str">
        <f t="shared" si="9"/>
        <v>19 Testo + Pro 111</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4087</v>
      </c>
      <c r="D609" s="1" t="s">
        <v>457</v>
      </c>
      <c r="E609" s="1" t="s">
        <v>4088</v>
      </c>
      <c r="F609" s="1" t="s">
        <v>112</v>
      </c>
      <c r="G609" s="1">
        <v>315623</v>
      </c>
    </row>
    <row r="610" spans="1:9" x14ac:dyDescent="0.35">
      <c r="A610" s="1" t="str">
        <f t="shared" si="9"/>
        <v>19 Testo + Pro 111</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4089</v>
      </c>
      <c r="D610" s="1" t="s">
        <v>1548</v>
      </c>
      <c r="E610" s="1" t="s">
        <v>4090</v>
      </c>
      <c r="F610" s="1" t="s">
        <v>112</v>
      </c>
      <c r="G610" s="1">
        <v>362841</v>
      </c>
    </row>
    <row r="611" spans="1:9" x14ac:dyDescent="0.35">
      <c r="A611" s="1" t="str">
        <f t="shared" si="9"/>
        <v>19 Testo + Pro 111</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4091</v>
      </c>
      <c r="D611" s="1" t="s">
        <v>4092</v>
      </c>
      <c r="E611" s="1" t="s">
        <v>4093</v>
      </c>
      <c r="F611" s="1" t="s">
        <v>112</v>
      </c>
      <c r="G611" s="1">
        <v>505447</v>
      </c>
    </row>
    <row r="612" spans="1:9" x14ac:dyDescent="0.35">
      <c r="A612" s="1" t="str">
        <f t="shared" si="9"/>
        <v>19 Testo + Pro 111</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4094</v>
      </c>
      <c r="D612" s="1" t="s">
        <v>4095</v>
      </c>
      <c r="E612" s="1" t="s">
        <v>4096</v>
      </c>
      <c r="F612" s="1" t="s">
        <v>112</v>
      </c>
      <c r="G612" s="1">
        <v>285255</v>
      </c>
    </row>
    <row r="613" spans="1:9" x14ac:dyDescent="0.35">
      <c r="A613" s="1" t="str">
        <f t="shared" si="9"/>
        <v>19 Testo + Pro 111</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4097</v>
      </c>
      <c r="D613" s="1" t="s">
        <v>811</v>
      </c>
      <c r="E613" s="1" t="s">
        <v>4098</v>
      </c>
      <c r="F613" s="1" t="s">
        <v>112</v>
      </c>
      <c r="G613" s="1">
        <v>259602</v>
      </c>
    </row>
    <row r="614" spans="1:9" x14ac:dyDescent="0.35">
      <c r="A614" s="1" t="str">
        <f t="shared" si="9"/>
        <v>19 Testo + Pro 111</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4099</v>
      </c>
      <c r="D614" s="1" t="s">
        <v>254</v>
      </c>
      <c r="E614" s="1" t="s">
        <v>4100</v>
      </c>
      <c r="F614" s="1" t="s">
        <v>112</v>
      </c>
      <c r="G614" s="1">
        <v>84184</v>
      </c>
    </row>
    <row r="615" spans="1:9" x14ac:dyDescent="0.35">
      <c r="A615" s="1" t="str">
        <f t="shared" si="9"/>
        <v>19 Testo + Pro 111</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4101</v>
      </c>
      <c r="D615" s="1" t="s">
        <v>336</v>
      </c>
      <c r="E615" s="1" t="s">
        <v>4102</v>
      </c>
      <c r="F615" s="1" t="s">
        <v>112</v>
      </c>
      <c r="G615" s="1">
        <v>96340</v>
      </c>
    </row>
    <row r="616" spans="1:9" x14ac:dyDescent="0.35">
      <c r="A616" s="1" t="str">
        <f t="shared" si="9"/>
        <v>19 Testo + Pro 111</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4103</v>
      </c>
      <c r="D616" s="1" t="s">
        <v>187</v>
      </c>
      <c r="E616" s="1" t="s">
        <v>4104</v>
      </c>
      <c r="F616" s="1" t="s">
        <v>112</v>
      </c>
      <c r="G616" s="1">
        <v>56714</v>
      </c>
    </row>
    <row r="617" spans="1:9" x14ac:dyDescent="0.35">
      <c r="A617" s="1" t="str">
        <f t="shared" si="9"/>
        <v>19 Testo + Pro 111</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4105</v>
      </c>
      <c r="D617" s="1" t="s">
        <v>4106</v>
      </c>
      <c r="E617" s="1" t="s">
        <v>4107</v>
      </c>
      <c r="F617" s="1" t="s">
        <v>112</v>
      </c>
      <c r="G617" s="1">
        <v>1230936</v>
      </c>
    </row>
    <row r="618" spans="1:9" x14ac:dyDescent="0.35">
      <c r="A618" s="1" t="str">
        <f t="shared" si="9"/>
        <v>19 Testo + Pro 111</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4108</v>
      </c>
      <c r="D618" s="1" t="s">
        <v>4109</v>
      </c>
      <c r="E618" s="1" t="s">
        <v>4110</v>
      </c>
      <c r="F618" s="1" t="s">
        <v>112</v>
      </c>
      <c r="G618" s="1">
        <v>1022726</v>
      </c>
    </row>
    <row r="619" spans="1:9" x14ac:dyDescent="0.35">
      <c r="A619" s="1" t="str">
        <f t="shared" si="9"/>
        <v>19 Testo + Pro 111</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4111</v>
      </c>
      <c r="D619" s="1" t="s">
        <v>4112</v>
      </c>
      <c r="E619" s="1" t="s">
        <v>4113</v>
      </c>
      <c r="F619" s="1" t="s">
        <v>112</v>
      </c>
      <c r="G619" s="1">
        <v>1372676</v>
      </c>
    </row>
    <row r="620" spans="1:9" x14ac:dyDescent="0.3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9"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241</v>
      </c>
      <c r="D621" s="1" t="s">
        <v>112</v>
      </c>
      <c r="E621" s="1" t="s">
        <v>242</v>
      </c>
      <c r="F621" s="1" t="s">
        <v>243</v>
      </c>
      <c r="G621" s="1" t="s">
        <v>244</v>
      </c>
      <c r="H621" s="1" t="s">
        <v>245</v>
      </c>
      <c r="I621" s="1" t="s">
        <v>246</v>
      </c>
    </row>
    <row r="622" spans="1:9" x14ac:dyDescent="0.35">
      <c r="A622" s="1" t="str">
        <f t="shared" si="9"/>
        <v>19 Testo + Pro 111</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4114</v>
      </c>
      <c r="D622" s="1" t="s">
        <v>112</v>
      </c>
      <c r="E622" s="1" t="s">
        <v>4115</v>
      </c>
      <c r="F622" s="1" t="s">
        <v>4116</v>
      </c>
      <c r="G622" s="1" t="s">
        <v>4117</v>
      </c>
      <c r="H622" s="1" t="s">
        <v>4118</v>
      </c>
      <c r="I622" s="1">
        <v>24</v>
      </c>
    </row>
    <row r="623" spans="1:9"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9"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252</v>
      </c>
      <c r="D628" s="1" t="s">
        <v>110</v>
      </c>
      <c r="E628" s="1" t="s">
        <v>111</v>
      </c>
      <c r="F628" s="1" t="s">
        <v>112</v>
      </c>
      <c r="G628" s="1" t="s">
        <v>113</v>
      </c>
    </row>
    <row r="629" spans="1:7" x14ac:dyDescent="0.35">
      <c r="A629" s="1" t="str">
        <f t="shared" si="9"/>
        <v>20 Testo + Pro 333</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4119</v>
      </c>
      <c r="D629" s="1" t="s">
        <v>387</v>
      </c>
      <c r="E629" s="1" t="s">
        <v>4120</v>
      </c>
      <c r="F629" s="1" t="s">
        <v>112</v>
      </c>
      <c r="G629" s="1">
        <v>23231</v>
      </c>
    </row>
    <row r="630" spans="1:7" x14ac:dyDescent="0.35">
      <c r="A630" s="1" t="str">
        <f t="shared" si="9"/>
        <v>20 Testo + Pro 333</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4121</v>
      </c>
      <c r="D630" s="1" t="s">
        <v>2100</v>
      </c>
      <c r="E630" s="1" t="s">
        <v>4122</v>
      </c>
      <c r="F630" s="1" t="s">
        <v>112</v>
      </c>
      <c r="G630" s="1">
        <v>261592</v>
      </c>
    </row>
    <row r="631" spans="1:7" x14ac:dyDescent="0.35">
      <c r="A631" s="1" t="str">
        <f t="shared" si="9"/>
        <v>20 Testo + Pro 333</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4123</v>
      </c>
      <c r="D631" s="1" t="s">
        <v>4124</v>
      </c>
      <c r="E631" s="1" t="s">
        <v>4125</v>
      </c>
      <c r="F631" s="1" t="s">
        <v>112</v>
      </c>
      <c r="G631" s="1">
        <v>135468</v>
      </c>
    </row>
    <row r="632" spans="1:7" x14ac:dyDescent="0.35">
      <c r="A632" s="1" t="str">
        <f t="shared" si="9"/>
        <v>20 Testo + Pro 333</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4126</v>
      </c>
      <c r="D632" s="1" t="s">
        <v>4127</v>
      </c>
      <c r="E632" s="1" t="s">
        <v>4128</v>
      </c>
      <c r="F632" s="1" t="s">
        <v>112</v>
      </c>
      <c r="G632" s="1">
        <v>203191</v>
      </c>
    </row>
    <row r="633" spans="1:7" x14ac:dyDescent="0.35">
      <c r="A633" s="1" t="str">
        <f t="shared" si="9"/>
        <v>20 Testo + Pro 333</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4129</v>
      </c>
    </row>
    <row r="634" spans="1:7" x14ac:dyDescent="0.35">
      <c r="A634" s="1" t="str">
        <f t="shared" si="9"/>
        <v>20 Testo + Pro 333</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4130</v>
      </c>
    </row>
    <row r="635" spans="1:7" x14ac:dyDescent="0.35">
      <c r="A635" s="1" t="str">
        <f t="shared" si="9"/>
        <v>20 Testo + Pro 333</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4131</v>
      </c>
      <c r="D635" s="1" t="s">
        <v>3891</v>
      </c>
      <c r="E635" s="1" t="s">
        <v>4132</v>
      </c>
      <c r="F635" s="1" t="s">
        <v>112</v>
      </c>
      <c r="G635" s="1">
        <v>277598</v>
      </c>
    </row>
    <row r="636" spans="1:7" x14ac:dyDescent="0.35">
      <c r="A636" s="1" t="str">
        <f t="shared" si="9"/>
        <v>20 Testo + Pro 333</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4133</v>
      </c>
      <c r="D636" s="1" t="s">
        <v>2268</v>
      </c>
      <c r="E636" s="1" t="s">
        <v>4134</v>
      </c>
      <c r="F636" s="1" t="s">
        <v>112</v>
      </c>
      <c r="G636" s="1">
        <v>234641</v>
      </c>
    </row>
    <row r="637" spans="1:7" x14ac:dyDescent="0.35">
      <c r="A637" s="1" t="str">
        <f t="shared" si="9"/>
        <v>20 Testo + Pro 333</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4135</v>
      </c>
    </row>
    <row r="638" spans="1:7" x14ac:dyDescent="0.35">
      <c r="A638" s="1" t="str">
        <f t="shared" si="9"/>
        <v>20 Testo + Pro 333</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4136</v>
      </c>
      <c r="D638" s="1" t="s">
        <v>4137</v>
      </c>
      <c r="E638" s="1" t="s">
        <v>4138</v>
      </c>
      <c r="F638" s="1" t="s">
        <v>112</v>
      </c>
      <c r="G638" s="1">
        <v>1601434</v>
      </c>
    </row>
    <row r="639" spans="1:7" x14ac:dyDescent="0.35">
      <c r="A639" s="1" t="str">
        <f t="shared" si="9"/>
        <v>20 Testo + Pro 333</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4139</v>
      </c>
      <c r="D639" s="1" t="s">
        <v>3143</v>
      </c>
      <c r="E639" s="1" t="s">
        <v>4140</v>
      </c>
      <c r="F639" s="1" t="s">
        <v>112</v>
      </c>
      <c r="G639" s="1">
        <v>1601975</v>
      </c>
    </row>
    <row r="640" spans="1:7" x14ac:dyDescent="0.35">
      <c r="A640" s="1" t="str">
        <f t="shared" si="9"/>
        <v>20 Testo + Pro 333</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4141</v>
      </c>
      <c r="D640" s="1" t="s">
        <v>1937</v>
      </c>
      <c r="E640" s="1" t="s">
        <v>4142</v>
      </c>
      <c r="F640" s="1" t="s">
        <v>112</v>
      </c>
      <c r="G640" s="1">
        <v>1912191</v>
      </c>
    </row>
    <row r="641" spans="1:9" x14ac:dyDescent="0.35">
      <c r="A641" s="1" t="str">
        <f t="shared" si="9"/>
        <v>20 Testo + Pro 333</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4143</v>
      </c>
      <c r="D641" s="1" t="s">
        <v>1845</v>
      </c>
      <c r="E641" s="1" t="s">
        <v>4144</v>
      </c>
      <c r="F641" s="1" t="s">
        <v>112</v>
      </c>
      <c r="G641" s="1">
        <v>343894</v>
      </c>
    </row>
    <row r="642" spans="1:9" x14ac:dyDescent="0.35">
      <c r="A642" s="1" t="str">
        <f t="shared" ref="A642:A705" si="10">IFERROR(LEFT(RIGHT(C642,LEN(C642)-SEARCH("@",C642)),SEARCH("/",RIGHT(C642,LEN(C642)-SEARCH("@",C642)-1))),"")</f>
        <v>20 Testo + Pro 333</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4145</v>
      </c>
      <c r="D642" s="1" t="s">
        <v>2212</v>
      </c>
      <c r="E642" s="1" t="s">
        <v>4146</v>
      </c>
      <c r="F642" s="1" t="s">
        <v>112</v>
      </c>
      <c r="G642" s="1">
        <v>357758</v>
      </c>
    </row>
    <row r="643" spans="1:9" x14ac:dyDescent="0.35">
      <c r="A643" s="1" t="str">
        <f t="shared" si="10"/>
        <v>20 Testo + Pro 333</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4147</v>
      </c>
      <c r="D643" s="1" t="s">
        <v>408</v>
      </c>
      <c r="E643" s="1" t="s">
        <v>4148</v>
      </c>
      <c r="F643" s="1" t="s">
        <v>112</v>
      </c>
      <c r="G643" s="1">
        <v>235268</v>
      </c>
    </row>
    <row r="644" spans="1:9" x14ac:dyDescent="0.35">
      <c r="A644" s="1" t="str">
        <f t="shared" si="10"/>
        <v>20 Testo + Pro 333</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4149</v>
      </c>
      <c r="D644" s="1" t="s">
        <v>726</v>
      </c>
      <c r="E644" s="1" t="s">
        <v>4150</v>
      </c>
      <c r="F644" s="1" t="s">
        <v>112</v>
      </c>
      <c r="G644" s="1">
        <v>19402</v>
      </c>
    </row>
    <row r="645" spans="1:9" x14ac:dyDescent="0.35">
      <c r="A645" s="1" t="str">
        <f t="shared" si="10"/>
        <v>20 Testo + Pro 333</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4151</v>
      </c>
      <c r="D645" s="1" t="s">
        <v>1365</v>
      </c>
      <c r="E645" s="1" t="s">
        <v>4152</v>
      </c>
      <c r="F645" s="1" t="s">
        <v>112</v>
      </c>
      <c r="G645" s="1">
        <v>46461</v>
      </c>
    </row>
    <row r="646" spans="1:9" x14ac:dyDescent="0.35">
      <c r="A646" s="1" t="str">
        <f t="shared" si="10"/>
        <v>20 Testo + Pro 333</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4153</v>
      </c>
      <c r="D646" s="1" t="s">
        <v>1485</v>
      </c>
      <c r="E646" s="1" t="s">
        <v>4154</v>
      </c>
      <c r="F646" s="1" t="s">
        <v>112</v>
      </c>
      <c r="G646" s="1">
        <v>34370</v>
      </c>
    </row>
    <row r="647" spans="1:9" x14ac:dyDescent="0.35">
      <c r="A647" s="1" t="str">
        <f t="shared" si="10"/>
        <v>20 Testo + Pro 333</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4155</v>
      </c>
      <c r="D647" s="1" t="s">
        <v>3088</v>
      </c>
      <c r="E647" s="1" t="s">
        <v>4156</v>
      </c>
      <c r="F647" s="1" t="s">
        <v>112</v>
      </c>
      <c r="G647" s="1">
        <v>673944</v>
      </c>
    </row>
    <row r="648" spans="1:9" x14ac:dyDescent="0.35">
      <c r="A648" s="1" t="str">
        <f t="shared" si="10"/>
        <v>20 Testo + Pro 333</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4157</v>
      </c>
      <c r="D648" s="1" t="s">
        <v>2412</v>
      </c>
      <c r="E648" s="1" t="s">
        <v>4158</v>
      </c>
      <c r="F648" s="1" t="s">
        <v>112</v>
      </c>
      <c r="G648" s="1">
        <v>663432</v>
      </c>
    </row>
    <row r="649" spans="1:9" x14ac:dyDescent="0.35">
      <c r="A649" s="1" t="str">
        <f t="shared" si="10"/>
        <v>20 Testo + Pro 333</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4159</v>
      </c>
      <c r="D649" s="1" t="s">
        <v>1229</v>
      </c>
      <c r="E649" s="1" t="s">
        <v>4160</v>
      </c>
      <c r="F649" s="1" t="s">
        <v>112</v>
      </c>
      <c r="G649" s="1">
        <v>512564</v>
      </c>
    </row>
    <row r="650" spans="1:9" x14ac:dyDescent="0.35">
      <c r="A650" s="1" t="str">
        <f t="shared" si="10"/>
        <v>20 Testo + Pro 333</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4161</v>
      </c>
      <c r="D650" s="1" t="s">
        <v>4162</v>
      </c>
      <c r="E650" s="1" t="s">
        <v>4163</v>
      </c>
      <c r="F650" s="1" t="s">
        <v>112</v>
      </c>
      <c r="G650" s="1">
        <v>214936</v>
      </c>
    </row>
    <row r="651" spans="1:9" x14ac:dyDescent="0.35">
      <c r="A651" s="1" t="str">
        <f t="shared" si="10"/>
        <v>20 Testo + Pro 333</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4164</v>
      </c>
      <c r="D651" s="1" t="s">
        <v>360</v>
      </c>
      <c r="E651" s="1" t="s">
        <v>4165</v>
      </c>
      <c r="F651" s="1" t="s">
        <v>112</v>
      </c>
      <c r="G651" s="1">
        <v>124372</v>
      </c>
    </row>
    <row r="652" spans="1:9" x14ac:dyDescent="0.35">
      <c r="A652" s="1" t="str">
        <f t="shared" si="10"/>
        <v>20 Testo + Pro 333</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4166</v>
      </c>
      <c r="D652" s="1" t="s">
        <v>369</v>
      </c>
      <c r="E652" s="1" t="s">
        <v>4167</v>
      </c>
      <c r="F652" s="1" t="s">
        <v>112</v>
      </c>
      <c r="G652" s="1">
        <v>136982</v>
      </c>
    </row>
    <row r="653" spans="1:9"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9"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241</v>
      </c>
      <c r="D654" s="1" t="s">
        <v>112</v>
      </c>
      <c r="E654" s="1" t="s">
        <v>242</v>
      </c>
      <c r="F654" s="1" t="s">
        <v>243</v>
      </c>
      <c r="G654" s="1" t="s">
        <v>244</v>
      </c>
      <c r="H654" s="1" t="s">
        <v>245</v>
      </c>
      <c r="I654" s="1" t="s">
        <v>246</v>
      </c>
    </row>
    <row r="655" spans="1:9" x14ac:dyDescent="0.35">
      <c r="A655" s="1" t="str">
        <f t="shared" si="10"/>
        <v>20 Testo + Pro 333</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4168</v>
      </c>
      <c r="D655" s="1" t="s">
        <v>112</v>
      </c>
      <c r="E655" s="1" t="s">
        <v>4169</v>
      </c>
      <c r="F655" s="1" t="s">
        <v>4170</v>
      </c>
      <c r="G655" s="1" t="s">
        <v>4171</v>
      </c>
      <c r="H655" s="1" t="s">
        <v>4172</v>
      </c>
      <c r="I655" s="1">
        <v>24</v>
      </c>
    </row>
    <row r="656" spans="1:9"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252</v>
      </c>
      <c r="D661" s="1" t="s">
        <v>110</v>
      </c>
      <c r="E661" s="1" t="s">
        <v>111</v>
      </c>
      <c r="F661" s="1" t="s">
        <v>112</v>
      </c>
      <c r="G661" s="1" t="s">
        <v>113</v>
      </c>
    </row>
    <row r="662" spans="1:7" x14ac:dyDescent="0.35">
      <c r="A662" s="1" t="str">
        <f t="shared" si="10"/>
        <v>21 Testo +  Pro 1000</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4173</v>
      </c>
      <c r="D662" s="1" t="s">
        <v>2175</v>
      </c>
      <c r="E662" s="1" t="s">
        <v>4174</v>
      </c>
      <c r="F662" s="1" t="s">
        <v>112</v>
      </c>
      <c r="G662" s="1">
        <v>24701</v>
      </c>
    </row>
    <row r="663" spans="1:7" x14ac:dyDescent="0.35">
      <c r="A663" s="1" t="str">
        <f t="shared" si="10"/>
        <v>21 Testo +  Pro 1000</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4175</v>
      </c>
      <c r="D663" s="1" t="s">
        <v>726</v>
      </c>
      <c r="E663" s="1" t="s">
        <v>4176</v>
      </c>
      <c r="F663" s="1" t="s">
        <v>112</v>
      </c>
      <c r="G663" s="1">
        <v>19056</v>
      </c>
    </row>
    <row r="664" spans="1:7" x14ac:dyDescent="0.35">
      <c r="A664" s="1" t="str">
        <f t="shared" si="10"/>
        <v>21 Testo +  Pro 1000</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4177</v>
      </c>
      <c r="D664" s="1" t="s">
        <v>1669</v>
      </c>
      <c r="E664" s="1" t="s">
        <v>4178</v>
      </c>
      <c r="F664" s="1" t="s">
        <v>112</v>
      </c>
      <c r="G664" s="1">
        <v>13497</v>
      </c>
    </row>
    <row r="665" spans="1:7" x14ac:dyDescent="0.35">
      <c r="A665" s="1" t="str">
        <f t="shared" si="10"/>
        <v>21 Testo +  Pro 1000</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4179</v>
      </c>
      <c r="D665" s="1" t="s">
        <v>4180</v>
      </c>
      <c r="E665" s="1" t="s">
        <v>4181</v>
      </c>
      <c r="F665" s="1" t="s">
        <v>112</v>
      </c>
      <c r="G665" s="1">
        <v>1105677</v>
      </c>
    </row>
    <row r="666" spans="1:7" x14ac:dyDescent="0.35">
      <c r="A666" s="1" t="str">
        <f t="shared" si="10"/>
        <v>21 Testo +  Pro 1000</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4182</v>
      </c>
      <c r="D666" s="1" t="s">
        <v>993</v>
      </c>
      <c r="E666" s="1" t="s">
        <v>4183</v>
      </c>
      <c r="F666" s="1" t="s">
        <v>112</v>
      </c>
      <c r="G666" s="1">
        <v>1026771</v>
      </c>
    </row>
    <row r="667" spans="1:7" x14ac:dyDescent="0.35">
      <c r="A667" s="1" t="str">
        <f t="shared" si="10"/>
        <v>21 Testo +  Pro 1000</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4184</v>
      </c>
      <c r="D667" s="1" t="s">
        <v>2383</v>
      </c>
      <c r="E667" s="1" t="s">
        <v>4185</v>
      </c>
      <c r="F667" s="1" t="s">
        <v>112</v>
      </c>
      <c r="G667" s="1">
        <v>838029</v>
      </c>
    </row>
    <row r="668" spans="1:7" x14ac:dyDescent="0.35">
      <c r="A668" s="1" t="str">
        <f t="shared" si="10"/>
        <v>21 Testo +  Pro 1000</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4186</v>
      </c>
      <c r="D668" s="1" t="s">
        <v>1130</v>
      </c>
      <c r="E668" s="1" t="s">
        <v>4187</v>
      </c>
      <c r="F668" s="1" t="s">
        <v>112</v>
      </c>
      <c r="G668" s="1">
        <v>178598</v>
      </c>
    </row>
    <row r="669" spans="1:7" x14ac:dyDescent="0.35">
      <c r="A669" s="1" t="str">
        <f t="shared" si="10"/>
        <v>21 Testo +  Pro 1000</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4188</v>
      </c>
      <c r="D669" s="1" t="s">
        <v>800</v>
      </c>
      <c r="E669" s="1" t="s">
        <v>4189</v>
      </c>
      <c r="F669" s="1" t="s">
        <v>112</v>
      </c>
      <c r="G669" s="1">
        <v>92771</v>
      </c>
    </row>
    <row r="670" spans="1:7" x14ac:dyDescent="0.35">
      <c r="A670" s="1" t="str">
        <f t="shared" si="10"/>
        <v>21 Testo +  Pro 1000</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4190</v>
      </c>
      <c r="D670" s="1" t="s">
        <v>2254</v>
      </c>
      <c r="E670" s="1" t="s">
        <v>4191</v>
      </c>
      <c r="F670" s="1" t="s">
        <v>112</v>
      </c>
      <c r="G670" s="1">
        <v>252378</v>
      </c>
    </row>
    <row r="671" spans="1:7" x14ac:dyDescent="0.35">
      <c r="A671" s="1" t="str">
        <f t="shared" si="10"/>
        <v>21 Testo +  Pro 1000</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4192</v>
      </c>
      <c r="D671" s="1" t="s">
        <v>218</v>
      </c>
      <c r="E671" s="1" t="s">
        <v>4193</v>
      </c>
      <c r="F671" s="1" t="s">
        <v>112</v>
      </c>
      <c r="G671" s="1">
        <v>53556</v>
      </c>
    </row>
    <row r="672" spans="1:7" x14ac:dyDescent="0.35">
      <c r="A672" s="1" t="str">
        <f t="shared" si="10"/>
        <v>21 Testo +  Pro 1000</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4194</v>
      </c>
      <c r="D672" s="1" t="s">
        <v>4195</v>
      </c>
      <c r="E672" s="1" t="s">
        <v>4196</v>
      </c>
      <c r="F672" s="1" t="s">
        <v>112</v>
      </c>
      <c r="G672" s="1">
        <v>551130</v>
      </c>
    </row>
    <row r="673" spans="1:9" x14ac:dyDescent="0.35">
      <c r="A673" s="1" t="str">
        <f t="shared" si="10"/>
        <v>21 Testo +  Pro 1000</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4197</v>
      </c>
      <c r="D673" s="1" t="s">
        <v>1797</v>
      </c>
      <c r="E673" s="1" t="s">
        <v>4198</v>
      </c>
      <c r="F673" s="1" t="s">
        <v>112</v>
      </c>
      <c r="G673" s="1">
        <v>202348</v>
      </c>
    </row>
    <row r="674" spans="1:9" x14ac:dyDescent="0.35">
      <c r="A674" s="1" t="str">
        <f t="shared" si="10"/>
        <v>21 Testo +  Pro 1000</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4199</v>
      </c>
      <c r="D674" s="1" t="s">
        <v>2939</v>
      </c>
      <c r="E674" s="1" t="s">
        <v>337</v>
      </c>
      <c r="F674" s="1" t="s">
        <v>112</v>
      </c>
      <c r="G674" s="1">
        <v>58401</v>
      </c>
    </row>
    <row r="675" spans="1:9" x14ac:dyDescent="0.35">
      <c r="A675" s="1" t="str">
        <f t="shared" si="10"/>
        <v>21 Testo +  Pro 1000</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4200</v>
      </c>
      <c r="D675" s="1" t="s">
        <v>2313</v>
      </c>
      <c r="E675" s="1" t="s">
        <v>4201</v>
      </c>
      <c r="F675" s="1" t="s">
        <v>112</v>
      </c>
      <c r="G675" s="1">
        <v>289624</v>
      </c>
    </row>
    <row r="676" spans="1:9" x14ac:dyDescent="0.35">
      <c r="A676" s="1" t="str">
        <f t="shared" si="10"/>
        <v>21 Testo +  Pro 1000</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4202</v>
      </c>
      <c r="D676" s="1" t="s">
        <v>4203</v>
      </c>
      <c r="E676" s="1" t="s">
        <v>4204</v>
      </c>
      <c r="F676" s="1" t="s">
        <v>112</v>
      </c>
      <c r="G676" s="1">
        <v>520004</v>
      </c>
    </row>
    <row r="677" spans="1:9" x14ac:dyDescent="0.35">
      <c r="A677" s="1" t="str">
        <f t="shared" si="10"/>
        <v>21 Testo +  Pro 1000</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4205</v>
      </c>
      <c r="D677" s="1" t="s">
        <v>2165</v>
      </c>
      <c r="E677" s="1" t="s">
        <v>4206</v>
      </c>
      <c r="F677" s="1" t="s">
        <v>112</v>
      </c>
      <c r="G677" s="1">
        <v>311752</v>
      </c>
    </row>
    <row r="678" spans="1:9" x14ac:dyDescent="0.35">
      <c r="A678" s="1" t="str">
        <f t="shared" si="10"/>
        <v>21 Testo +  Pro 1000</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4207</v>
      </c>
      <c r="D678" s="1" t="s">
        <v>1548</v>
      </c>
      <c r="E678" s="1" t="s">
        <v>4208</v>
      </c>
      <c r="F678" s="1" t="s">
        <v>112</v>
      </c>
      <c r="G678" s="1">
        <v>370693</v>
      </c>
    </row>
    <row r="679" spans="1:9" x14ac:dyDescent="0.35">
      <c r="A679" s="1" t="str">
        <f t="shared" si="10"/>
        <v>21 Testo +  Pro 1000</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4209</v>
      </c>
      <c r="D679" s="1" t="s">
        <v>4210</v>
      </c>
      <c r="E679" s="1" t="s">
        <v>4211</v>
      </c>
      <c r="F679" s="1" t="s">
        <v>112</v>
      </c>
      <c r="G679" s="1">
        <v>374673</v>
      </c>
    </row>
    <row r="680" spans="1:9" x14ac:dyDescent="0.35">
      <c r="A680" s="1" t="str">
        <f t="shared" si="10"/>
        <v>21 Testo +  Pro 1000</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4212</v>
      </c>
      <c r="D680" s="1" t="s">
        <v>1558</v>
      </c>
      <c r="E680" s="1" t="s">
        <v>4213</v>
      </c>
      <c r="F680" s="1" t="s">
        <v>112</v>
      </c>
      <c r="G680" s="1">
        <v>124026</v>
      </c>
    </row>
    <row r="681" spans="1:9" x14ac:dyDescent="0.35">
      <c r="A681" s="1" t="str">
        <f t="shared" si="10"/>
        <v>21 Testo +  Pro 1000</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4214</v>
      </c>
      <c r="D681" s="1" t="s">
        <v>291</v>
      </c>
      <c r="E681" s="1" t="s">
        <v>4215</v>
      </c>
      <c r="F681" s="1" t="s">
        <v>112</v>
      </c>
      <c r="G681" s="1">
        <v>201807</v>
      </c>
    </row>
    <row r="682" spans="1:9" x14ac:dyDescent="0.35">
      <c r="A682" s="1" t="str">
        <f t="shared" si="10"/>
        <v>21 Testo +  Pro 1000</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4216</v>
      </c>
    </row>
    <row r="683" spans="1:9" x14ac:dyDescent="0.35">
      <c r="A683" s="1" t="str">
        <f t="shared" si="10"/>
        <v>21 Testo +  Pro 1000</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4217</v>
      </c>
      <c r="D683" s="1" t="s">
        <v>736</v>
      </c>
      <c r="E683" s="1" t="s">
        <v>4218</v>
      </c>
      <c r="F683" s="1" t="s">
        <v>112</v>
      </c>
      <c r="G683" s="1">
        <v>620886</v>
      </c>
    </row>
    <row r="684" spans="1:9" x14ac:dyDescent="0.35">
      <c r="A684" s="1" t="str">
        <f t="shared" si="10"/>
        <v>21 Testo +  Pro 1000</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4219</v>
      </c>
      <c r="D684" s="1" t="s">
        <v>4220</v>
      </c>
      <c r="E684" s="1" t="s">
        <v>4221</v>
      </c>
      <c r="F684" s="1" t="s">
        <v>112</v>
      </c>
      <c r="G684" s="1">
        <v>804740</v>
      </c>
    </row>
    <row r="685" spans="1:9" x14ac:dyDescent="0.35">
      <c r="A685" s="1" t="str">
        <f t="shared" si="10"/>
        <v>21 Testo +  Pro 1000</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4222</v>
      </c>
    </row>
    <row r="686" spans="1:9"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9"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241</v>
      </c>
      <c r="D687" s="1" t="s">
        <v>112</v>
      </c>
      <c r="E687" s="1" t="s">
        <v>242</v>
      </c>
      <c r="F687" s="1" t="s">
        <v>243</v>
      </c>
      <c r="G687" s="1" t="s">
        <v>244</v>
      </c>
      <c r="H687" s="1" t="s">
        <v>245</v>
      </c>
      <c r="I687" s="1" t="s">
        <v>246</v>
      </c>
    </row>
    <row r="688" spans="1:9" x14ac:dyDescent="0.35">
      <c r="A688" s="1" t="str">
        <f t="shared" si="10"/>
        <v>21 Testo +  Pro 1000</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4223</v>
      </c>
      <c r="D688" s="1" t="s">
        <v>112</v>
      </c>
      <c r="E688" s="1" t="s">
        <v>4224</v>
      </c>
      <c r="F688" s="1" t="s">
        <v>4225</v>
      </c>
      <c r="G688" s="1" t="s">
        <v>4226</v>
      </c>
      <c r="H688" s="1" t="s">
        <v>4227</v>
      </c>
      <c r="I688" s="1">
        <v>24</v>
      </c>
    </row>
    <row r="689" spans="1:4"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4"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4"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1" s="1" t="s">
        <v>112</v>
      </c>
    </row>
    <row r="692" spans="1:4"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2" s="1" t="s">
        <v>112</v>
      </c>
    </row>
    <row r="693" spans="1:4"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3" s="1" t="s">
        <v>112</v>
      </c>
    </row>
    <row r="694" spans="1:4"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4" s="1" t="s">
        <v>112</v>
      </c>
    </row>
    <row r="695" spans="1:4"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D695" s="1" t="s">
        <v>1597</v>
      </c>
    </row>
    <row r="696" spans="1:4"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D696" s="1">
        <v>504</v>
      </c>
    </row>
    <row r="697" spans="1:4"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4"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4"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4"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4"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4"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4"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4"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H14" zoomScale="70" zoomScaleNormal="70" zoomScaleSheetLayoutView="40" zoomScalePageLayoutView="30" workbookViewId="0">
      <selection activeCell="U60" sqref="U60"/>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0" t="s">
        <v>43</v>
      </c>
      <c r="B1" s="211"/>
      <c r="C1" s="211"/>
      <c r="D1" s="211"/>
      <c r="E1" s="211"/>
      <c r="F1" s="211"/>
      <c r="G1" s="211"/>
      <c r="H1" s="211"/>
      <c r="I1" s="211"/>
      <c r="J1" s="211"/>
      <c r="K1" s="211"/>
      <c r="L1" s="211"/>
      <c r="M1" s="211"/>
      <c r="N1" s="211"/>
      <c r="O1" s="211"/>
      <c r="P1" s="211"/>
      <c r="Q1" s="211"/>
      <c r="R1" s="211"/>
      <c r="S1" s="211"/>
      <c r="T1" s="211"/>
      <c r="U1" s="211"/>
      <c r="V1" s="211"/>
    </row>
    <row r="2" spans="1:22" ht="15" thickBot="1" x14ac:dyDescent="0.4"/>
    <row r="3" spans="1:22" ht="15" thickBot="1" x14ac:dyDescent="0.4">
      <c r="A3" s="153" t="s">
        <v>22</v>
      </c>
      <c r="B3" s="218" t="s">
        <v>6</v>
      </c>
      <c r="C3" s="219"/>
      <c r="D3" s="219"/>
      <c r="E3" s="219"/>
      <c r="F3" s="219"/>
      <c r="G3" s="219"/>
      <c r="H3" s="219"/>
      <c r="I3" s="219"/>
      <c r="J3" s="219"/>
      <c r="K3" s="219"/>
      <c r="L3" s="219"/>
      <c r="M3" s="219"/>
      <c r="O3" s="218" t="s">
        <v>3</v>
      </c>
      <c r="P3" s="219"/>
      <c r="Q3" s="219"/>
      <c r="R3" s="219"/>
      <c r="S3" s="219"/>
      <c r="T3" s="219"/>
      <c r="U3" s="219"/>
      <c r="V3" s="219"/>
    </row>
    <row r="4" spans="1:22" x14ac:dyDescent="0.3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Prochloraz-12µg/L</v>
      </c>
      <c r="J4" s="35" t="str">
        <f>'Page de garde'!A15</f>
        <v>Prochloraz-37µg/L</v>
      </c>
      <c r="K4" s="35" t="str">
        <f>'Page de garde'!A16</f>
        <v>Prochloraz-111µg/L</v>
      </c>
      <c r="L4" s="35" t="str">
        <f>'Page de garde'!A17</f>
        <v>Prochloraz-333µg/L</v>
      </c>
      <c r="M4" s="35" t="str">
        <f>'Page de garde'!A18</f>
        <v>Prochloraz-1000µg/L</v>
      </c>
      <c r="N4" s="3"/>
      <c r="O4" s="36" t="str">
        <f>'Page de garde'!A35</f>
        <v>Testo -30µg/L</v>
      </c>
      <c r="P4" s="36" t="str">
        <f>'Page de garde'!A36</f>
        <v>Testo 30µg/L + EE2 -64ng/L</v>
      </c>
      <c r="Q4" s="36" t="str">
        <f>'Page de garde'!A37</f>
        <v>Testo 30µg/L + FAD-10mg/L</v>
      </c>
      <c r="R4" s="36" t="str">
        <f>'Page de garde'!A38</f>
        <v>Prochloraz-12µg/L + Testostérone</v>
      </c>
      <c r="S4" s="36" t="str">
        <f>'Page de garde'!A39</f>
        <v>Prochloraz-37µg/L + Testostérone</v>
      </c>
      <c r="T4" s="36" t="str">
        <f>'Page de garde'!A40</f>
        <v>Prochloraz-111µg/L + Testostérone</v>
      </c>
      <c r="U4" s="36" t="str">
        <f>'Page de garde'!A41</f>
        <v>Prochloraz-333µg/L + Testostérone</v>
      </c>
      <c r="V4" s="36" t="str">
        <f>'Page de garde'!A42</f>
        <v>Prochloraz-1000µg/L + Testostérone</v>
      </c>
    </row>
    <row r="5" spans="1:22" x14ac:dyDescent="0.35">
      <c r="A5" s="220" t="s">
        <v>33</v>
      </c>
      <c r="B5" s="32">
        <v>391789.66666666669</v>
      </c>
      <c r="C5" s="32">
        <v>103852</v>
      </c>
      <c r="D5" s="32">
        <v>148035</v>
      </c>
      <c r="E5" s="32">
        <v>1047946.6666666666</v>
      </c>
      <c r="F5" s="32">
        <v>2034428.6666666667</v>
      </c>
      <c r="G5" s="32">
        <v>4235371.333333333</v>
      </c>
      <c r="H5" s="32">
        <v>7055628.666666667</v>
      </c>
      <c r="I5" s="32">
        <v>303568.33333333331</v>
      </c>
      <c r="J5" s="32">
        <v>405539</v>
      </c>
      <c r="K5" s="13">
        <v>121783.33333333333</v>
      </c>
      <c r="L5" s="13">
        <v>665998.66666666663</v>
      </c>
      <c r="M5" s="13">
        <v>96361</v>
      </c>
      <c r="N5" s="3"/>
      <c r="O5" s="32">
        <v>2626554.3333333335</v>
      </c>
      <c r="P5" s="13">
        <v>3665835</v>
      </c>
      <c r="Q5" s="13">
        <v>473168.33333333331</v>
      </c>
      <c r="R5" s="32">
        <v>1947029.3333333333</v>
      </c>
      <c r="S5" s="32">
        <v>1897662.6666666667</v>
      </c>
      <c r="T5" s="32">
        <v>1507214.3333333333</v>
      </c>
      <c r="U5" s="32">
        <v>140097</v>
      </c>
      <c r="V5" s="32">
        <v>19084.666666666668</v>
      </c>
    </row>
    <row r="6" spans="1:22" ht="16.5" x14ac:dyDescent="0.35">
      <c r="A6" s="220"/>
      <c r="B6" s="14">
        <v>16496</v>
      </c>
      <c r="C6" s="13">
        <v>327296.33333333331</v>
      </c>
      <c r="D6" s="32">
        <v>193955.33333333334</v>
      </c>
      <c r="E6" s="32">
        <v>1676317</v>
      </c>
      <c r="F6" s="32">
        <v>3752981.3333333335</v>
      </c>
      <c r="G6" s="32">
        <v>5047985</v>
      </c>
      <c r="H6" s="32">
        <v>8997589</v>
      </c>
      <c r="I6" s="32">
        <v>36749.333333333336</v>
      </c>
      <c r="J6" s="32">
        <v>151675.66666666666</v>
      </c>
      <c r="K6" s="13">
        <v>221793</v>
      </c>
      <c r="L6" s="13">
        <v>788907</v>
      </c>
      <c r="M6" s="13">
        <v>639974.5</v>
      </c>
      <c r="N6" s="3"/>
      <c r="O6" s="32"/>
      <c r="P6" s="13">
        <v>4255725</v>
      </c>
      <c r="Q6" s="13">
        <v>22192.333333333332</v>
      </c>
      <c r="R6" s="32">
        <v>3316338.6666666665</v>
      </c>
      <c r="S6" s="32">
        <v>250171.66666666666</v>
      </c>
      <c r="T6" s="32">
        <v>116938.66666666667</v>
      </c>
      <c r="U6" s="32">
        <v>203191</v>
      </c>
      <c r="V6" s="32">
        <v>990159</v>
      </c>
    </row>
    <row r="7" spans="1:22" ht="16.5" x14ac:dyDescent="0.35">
      <c r="A7" s="220"/>
      <c r="B7" s="14">
        <v>259234</v>
      </c>
      <c r="C7" s="13">
        <v>117234</v>
      </c>
      <c r="D7" s="32">
        <v>390628.33333333331</v>
      </c>
      <c r="E7" s="32">
        <v>869579.33333333337</v>
      </c>
      <c r="F7" s="32">
        <v>1853811.3333333333</v>
      </c>
      <c r="G7" s="32">
        <v>3336923</v>
      </c>
      <c r="H7" s="32">
        <v>7815263</v>
      </c>
      <c r="I7" s="32">
        <v>49806.333333333336</v>
      </c>
      <c r="J7" s="32">
        <v>206400</v>
      </c>
      <c r="K7" s="13">
        <v>74998</v>
      </c>
      <c r="L7" s="13">
        <v>833399.66666666663</v>
      </c>
      <c r="M7" s="13">
        <v>12480.333333333334</v>
      </c>
      <c r="N7" s="3"/>
      <c r="O7" s="32">
        <v>421170</v>
      </c>
      <c r="P7" s="13">
        <v>5121656</v>
      </c>
      <c r="Q7" s="13">
        <v>46843.333333333336</v>
      </c>
      <c r="R7" s="32">
        <v>932969.33333333337</v>
      </c>
      <c r="S7" s="32">
        <v>824308</v>
      </c>
      <c r="T7" s="32">
        <v>899032.33333333337</v>
      </c>
      <c r="U7" s="32">
        <v>256119.5</v>
      </c>
      <c r="V7" s="32">
        <v>174582.33333333334</v>
      </c>
    </row>
    <row r="8" spans="1:22" ht="16.5" x14ac:dyDescent="0.35">
      <c r="A8" s="220"/>
      <c r="B8" s="14">
        <v>328385</v>
      </c>
      <c r="C8" s="13">
        <v>2137120</v>
      </c>
      <c r="D8" s="32">
        <v>266386.66666666669</v>
      </c>
      <c r="E8" s="32">
        <v>221425</v>
      </c>
      <c r="F8" s="32">
        <v>3336807.6666666665</v>
      </c>
      <c r="G8" s="32">
        <v>4599647.333333333</v>
      </c>
      <c r="H8" s="32">
        <v>5948221</v>
      </c>
      <c r="I8" s="32">
        <v>46194.666666666664</v>
      </c>
      <c r="J8" s="32">
        <v>18515.5</v>
      </c>
      <c r="K8" s="13">
        <v>177451.66666666666</v>
      </c>
      <c r="L8" s="13">
        <v>367023.33333333331</v>
      </c>
      <c r="M8" s="13">
        <v>13605</v>
      </c>
      <c r="N8" s="3"/>
      <c r="O8" s="32">
        <v>6590441.666666667</v>
      </c>
      <c r="P8" s="13">
        <v>3972178.6666666665</v>
      </c>
      <c r="Q8" s="13">
        <v>329755</v>
      </c>
      <c r="R8" s="32">
        <v>154964</v>
      </c>
      <c r="S8" s="32">
        <v>3447754.6666666665</v>
      </c>
      <c r="T8" s="32">
        <v>3635488</v>
      </c>
      <c r="U8" s="32">
        <v>1705200</v>
      </c>
      <c r="V8" s="32">
        <v>269011.33333333331</v>
      </c>
    </row>
    <row r="9" spans="1:22" ht="16.5" x14ac:dyDescent="0.35">
      <c r="A9" s="220"/>
      <c r="B9" s="14">
        <v>488684</v>
      </c>
      <c r="C9" s="13">
        <v>110139.5</v>
      </c>
      <c r="D9" s="32">
        <v>378711</v>
      </c>
      <c r="E9" s="32">
        <v>1350628</v>
      </c>
      <c r="F9" s="32">
        <v>2763724</v>
      </c>
      <c r="G9" s="32">
        <v>4399228.5</v>
      </c>
      <c r="H9" s="32">
        <v>5163322.666666667</v>
      </c>
      <c r="I9" s="32">
        <v>36403.333333333336</v>
      </c>
      <c r="J9" s="32">
        <v>249709.66666666666</v>
      </c>
      <c r="K9" s="13">
        <v>27852</v>
      </c>
      <c r="L9" s="13">
        <v>69071.333333333328</v>
      </c>
      <c r="M9" s="13">
        <v>504906.66666666669</v>
      </c>
      <c r="N9" s="3"/>
      <c r="O9" s="32">
        <v>4981083.5</v>
      </c>
      <c r="P9" s="13">
        <v>3413110.6666666665</v>
      </c>
      <c r="Q9" s="13">
        <v>226032.33333333334</v>
      </c>
      <c r="R9" s="32">
        <v>2658443.6666666665</v>
      </c>
      <c r="S9" s="32">
        <v>1346670</v>
      </c>
      <c r="T9" s="32">
        <v>387686.66666666669</v>
      </c>
      <c r="U9" s="32">
        <v>312306.66666666669</v>
      </c>
      <c r="V9" s="32">
        <v>289343</v>
      </c>
    </row>
    <row r="10" spans="1:22" ht="16.5" x14ac:dyDescent="0.35">
      <c r="A10" s="220"/>
      <c r="B10" s="14">
        <v>922807</v>
      </c>
      <c r="C10" s="13">
        <v>534377.5</v>
      </c>
      <c r="D10" s="32">
        <v>284000.66666666669</v>
      </c>
      <c r="E10" s="32">
        <v>1297281.6666666667</v>
      </c>
      <c r="F10" s="32">
        <v>2751106.3333333335</v>
      </c>
      <c r="G10" s="32">
        <v>3148887.6666666665</v>
      </c>
      <c r="H10" s="32">
        <v>8350019</v>
      </c>
      <c r="I10" s="32">
        <v>120514.66666666667</v>
      </c>
      <c r="J10" s="32">
        <v>288997</v>
      </c>
      <c r="K10" s="13">
        <v>388415.66666666669</v>
      </c>
      <c r="L10" s="13">
        <v>331334</v>
      </c>
      <c r="M10" s="13">
        <v>201446.33333333334</v>
      </c>
      <c r="N10" s="3"/>
      <c r="O10" s="32">
        <v>2913633.3333333335</v>
      </c>
      <c r="P10" s="13">
        <v>5490547</v>
      </c>
      <c r="Q10" s="13">
        <v>70989</v>
      </c>
      <c r="R10" s="32">
        <v>2339157.6666666665</v>
      </c>
      <c r="S10" s="32">
        <v>5240707.333333333</v>
      </c>
      <c r="T10" s="32">
        <v>350101.33333333331</v>
      </c>
      <c r="U10" s="32">
        <v>33411</v>
      </c>
      <c r="V10" s="32">
        <v>352372.66666666669</v>
      </c>
    </row>
    <row r="11" spans="1:22" ht="16.5" x14ac:dyDescent="0.35">
      <c r="A11" s="220"/>
      <c r="B11" s="14">
        <v>389414</v>
      </c>
      <c r="C11" s="13">
        <v>350577.33333333331</v>
      </c>
      <c r="D11" s="32">
        <v>261022.33333333334</v>
      </c>
      <c r="E11" s="32">
        <v>2538015.6666666665</v>
      </c>
      <c r="F11" s="32">
        <v>1591808.6666666667</v>
      </c>
      <c r="G11" s="32">
        <v>4079816.3333333335</v>
      </c>
      <c r="H11" s="32">
        <v>10631360</v>
      </c>
      <c r="I11" s="32">
        <v>156333.66666666666</v>
      </c>
      <c r="J11" s="32">
        <v>985624</v>
      </c>
      <c r="K11" s="13">
        <v>417118</v>
      </c>
      <c r="L11" s="13">
        <v>172080.33333333334</v>
      </c>
      <c r="M11" s="13">
        <v>292695.66666666669</v>
      </c>
      <c r="N11" s="3"/>
      <c r="O11" s="32">
        <v>103549.66666666667</v>
      </c>
      <c r="P11" s="13">
        <v>5619742.333333333</v>
      </c>
      <c r="Q11" s="13">
        <v>307480</v>
      </c>
      <c r="R11" s="32">
        <v>1256942</v>
      </c>
      <c r="S11" s="32">
        <v>3438071.6666666665</v>
      </c>
      <c r="T11" s="32">
        <v>79079.333333333328</v>
      </c>
      <c r="U11" s="32">
        <v>616646.66666666663</v>
      </c>
      <c r="V11" s="32">
        <v>162916.5</v>
      </c>
    </row>
    <row r="12" spans="1:22" ht="16.5" x14ac:dyDescent="0.35">
      <c r="A12" s="220"/>
      <c r="B12" s="14">
        <v>139246</v>
      </c>
      <c r="C12" s="13">
        <v>161539.33333333334</v>
      </c>
      <c r="D12" s="32">
        <v>91025.666666666672</v>
      </c>
      <c r="E12" s="32">
        <v>831085.33333333337</v>
      </c>
      <c r="F12" s="32">
        <v>2694263</v>
      </c>
      <c r="G12" s="32">
        <v>3583749</v>
      </c>
      <c r="H12" s="32">
        <v>6463509.666666667</v>
      </c>
      <c r="I12" s="32">
        <v>86887.333333333328</v>
      </c>
      <c r="J12" s="32">
        <v>409302.33333333331</v>
      </c>
      <c r="K12" s="13">
        <v>196150.5</v>
      </c>
      <c r="L12" s="13">
        <v>69100.333333333328</v>
      </c>
      <c r="M12" s="13">
        <v>143449.5</v>
      </c>
      <c r="N12" s="3"/>
      <c r="O12" s="32">
        <v>239356.33333333334</v>
      </c>
      <c r="P12" s="13">
        <v>6926447.333333333</v>
      </c>
      <c r="Q12" s="13">
        <v>302393</v>
      </c>
      <c r="R12" s="32">
        <v>772526</v>
      </c>
      <c r="S12" s="32">
        <v>1247864.6666666667</v>
      </c>
      <c r="T12" s="32">
        <v>1208779.3333333333</v>
      </c>
      <c r="U12" s="32">
        <v>158763.33333333334</v>
      </c>
      <c r="V12" s="32">
        <v>712813</v>
      </c>
    </row>
    <row r="13" spans="1:22" ht="16.5" x14ac:dyDescent="0.35">
      <c r="A13" s="220"/>
      <c r="B13" s="14"/>
      <c r="C13" s="13"/>
      <c r="D13" s="32"/>
      <c r="E13" s="32"/>
      <c r="F13" s="32"/>
      <c r="G13" s="32"/>
      <c r="H13" s="32"/>
      <c r="I13" s="32"/>
      <c r="J13" s="32"/>
      <c r="K13" s="13"/>
      <c r="L13" s="13"/>
      <c r="M13" s="13"/>
      <c r="N13" s="3"/>
      <c r="O13" s="32">
        <v>705372.5</v>
      </c>
      <c r="P13" s="13"/>
      <c r="Q13" s="13"/>
      <c r="R13" s="32"/>
      <c r="S13" s="32"/>
      <c r="T13" s="32"/>
      <c r="U13" s="32"/>
      <c r="V13" s="32"/>
    </row>
    <row r="14" spans="1:22" ht="16.5" x14ac:dyDescent="0.35">
      <c r="A14" s="220"/>
      <c r="B14" s="14"/>
      <c r="C14" s="32"/>
      <c r="D14" s="32"/>
      <c r="E14" s="32"/>
      <c r="F14" s="32"/>
      <c r="G14" s="32"/>
      <c r="H14" s="32"/>
      <c r="I14" s="32"/>
      <c r="J14" s="32"/>
      <c r="K14" s="13"/>
      <c r="L14" s="13"/>
      <c r="M14" s="13"/>
      <c r="N14" s="3"/>
      <c r="O14" s="32">
        <v>2864728</v>
      </c>
      <c r="P14" s="13"/>
      <c r="Q14" s="13"/>
      <c r="R14" s="32"/>
      <c r="S14" s="32"/>
      <c r="T14" s="32"/>
      <c r="U14" s="32"/>
      <c r="V14" s="32"/>
    </row>
    <row r="15" spans="1:22" ht="16.5" x14ac:dyDescent="0.35">
      <c r="A15" s="220"/>
      <c r="B15" s="14"/>
      <c r="C15" s="32"/>
      <c r="D15" s="32"/>
      <c r="E15" s="32"/>
      <c r="F15" s="32"/>
      <c r="G15" s="32"/>
      <c r="H15" s="32"/>
      <c r="I15" s="32"/>
      <c r="J15" s="32"/>
      <c r="K15" s="13"/>
      <c r="L15" s="13"/>
      <c r="M15" s="13"/>
      <c r="N15" s="3"/>
      <c r="O15" s="32">
        <v>4294788.666666667</v>
      </c>
      <c r="P15" s="13"/>
      <c r="Q15" s="13"/>
      <c r="R15" s="32"/>
      <c r="S15" s="32"/>
      <c r="T15" s="32"/>
      <c r="U15" s="32"/>
      <c r="V15" s="32"/>
    </row>
    <row r="16" spans="1:22" ht="16.5" x14ac:dyDescent="0.35">
      <c r="A16" s="220"/>
      <c r="B16" s="14"/>
      <c r="C16" s="32"/>
      <c r="D16" s="32"/>
      <c r="E16" s="32"/>
      <c r="F16" s="32"/>
      <c r="G16" s="32"/>
      <c r="H16" s="32"/>
      <c r="I16" s="32"/>
      <c r="J16" s="32"/>
      <c r="K16" s="13"/>
      <c r="L16" s="13"/>
      <c r="M16" s="13"/>
      <c r="N16" s="3"/>
      <c r="O16" s="32">
        <v>2954117.3333333335</v>
      </c>
      <c r="P16" s="13"/>
      <c r="Q16" s="13"/>
      <c r="R16" s="32"/>
      <c r="S16" s="32"/>
      <c r="T16" s="32"/>
      <c r="U16" s="32"/>
      <c r="V16" s="32"/>
    </row>
    <row r="17" spans="1:22" ht="16.5" x14ac:dyDescent="0.35">
      <c r="A17" s="220"/>
      <c r="B17" s="14"/>
      <c r="C17" s="32"/>
      <c r="D17" s="32"/>
      <c r="E17" s="32"/>
      <c r="F17" s="32"/>
      <c r="G17" s="32"/>
      <c r="H17" s="32"/>
      <c r="I17" s="32"/>
      <c r="J17" s="32"/>
      <c r="K17" s="13"/>
      <c r="L17" s="13"/>
      <c r="M17" s="13"/>
      <c r="N17" s="3"/>
      <c r="O17" s="32">
        <v>3627615</v>
      </c>
      <c r="P17" s="13"/>
      <c r="Q17" s="13"/>
      <c r="R17" s="32"/>
      <c r="S17" s="32"/>
      <c r="T17" s="32"/>
      <c r="U17" s="32"/>
      <c r="V17" s="32"/>
    </row>
    <row r="18" spans="1:22" ht="16.5" x14ac:dyDescent="0.35">
      <c r="A18" s="220"/>
      <c r="B18" s="14"/>
      <c r="C18" s="32"/>
      <c r="D18" s="32"/>
      <c r="E18" s="32"/>
      <c r="F18" s="32"/>
      <c r="G18" s="32"/>
      <c r="H18" s="32"/>
      <c r="I18" s="32"/>
      <c r="J18" s="32"/>
      <c r="K18" s="13"/>
      <c r="L18" s="13"/>
      <c r="M18" s="13"/>
      <c r="N18" s="3"/>
      <c r="O18" s="32">
        <v>3845910.6666666665</v>
      </c>
      <c r="P18" s="13"/>
      <c r="Q18" s="13"/>
      <c r="R18" s="32"/>
      <c r="S18" s="32"/>
      <c r="T18" s="32"/>
      <c r="U18" s="32"/>
      <c r="V18" s="32"/>
    </row>
    <row r="19" spans="1:22" ht="16.5" x14ac:dyDescent="0.35">
      <c r="A19" s="220"/>
      <c r="B19" s="14"/>
      <c r="C19" s="32"/>
      <c r="D19" s="32"/>
      <c r="E19" s="32"/>
      <c r="F19" s="32"/>
      <c r="G19" s="32"/>
      <c r="H19" s="32"/>
      <c r="I19" s="32"/>
      <c r="J19" s="32"/>
      <c r="K19" s="13"/>
      <c r="L19" s="13"/>
      <c r="M19" s="13"/>
      <c r="N19" s="3"/>
      <c r="O19" s="32">
        <v>340357</v>
      </c>
      <c r="P19" s="13"/>
      <c r="Q19" s="13"/>
      <c r="R19" s="32"/>
      <c r="S19" s="32"/>
      <c r="T19" s="32"/>
      <c r="U19" s="32"/>
      <c r="V19" s="32"/>
    </row>
    <row r="20" spans="1:22" ht="16.5" x14ac:dyDescent="0.35">
      <c r="A20" s="220"/>
      <c r="B20" s="14"/>
      <c r="C20" s="32"/>
      <c r="D20" s="32"/>
      <c r="E20" s="32"/>
      <c r="F20" s="32"/>
      <c r="G20" s="32"/>
      <c r="H20" s="32"/>
      <c r="I20" s="32"/>
      <c r="J20" s="32"/>
      <c r="K20" s="13"/>
      <c r="L20" s="13"/>
      <c r="M20" s="13"/>
      <c r="N20" s="3"/>
      <c r="O20" s="32">
        <v>1444574</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Prochloraz-12µg/L</v>
      </c>
      <c r="J22" s="3" t="str">
        <f t="shared" si="0"/>
        <v>Prochloraz-37µg/L</v>
      </c>
      <c r="K22" s="3" t="str">
        <f t="shared" si="0"/>
        <v>Prochloraz-111µg/L</v>
      </c>
      <c r="L22" s="3" t="str">
        <f t="shared" si="0"/>
        <v>Prochloraz-333µg/L</v>
      </c>
      <c r="M22" s="3" t="str">
        <f t="shared" si="0"/>
        <v>Prochloraz-1000µg/L</v>
      </c>
      <c r="N22" s="3" t="s">
        <v>41</v>
      </c>
      <c r="O22" s="3" t="str">
        <f t="shared" si="0"/>
        <v>Testo -30µg/L</v>
      </c>
      <c r="P22" s="3" t="str">
        <f t="shared" si="0"/>
        <v>Testo 30µg/L + EE2 -64ng/L</v>
      </c>
      <c r="Q22" s="3" t="str">
        <f t="shared" si="0"/>
        <v>Testo 30µg/L + FAD-10mg/L</v>
      </c>
      <c r="R22" s="3" t="str">
        <f t="shared" si="0"/>
        <v>Prochloraz-12µg/L + Testostérone</v>
      </c>
      <c r="S22" s="3" t="str">
        <f t="shared" si="0"/>
        <v>Prochloraz-37µg/L + Testostérone</v>
      </c>
      <c r="T22" s="3" t="str">
        <f t="shared" si="0"/>
        <v>Prochloraz-111µg/L + Testostérone</v>
      </c>
      <c r="U22" s="3" t="str">
        <f t="shared" si="0"/>
        <v>Prochloraz-333µg/L + Testostérone</v>
      </c>
      <c r="V22" s="3" t="str">
        <f t="shared" si="0"/>
        <v>Prochloraz-1000µg/L + Testostérone</v>
      </c>
    </row>
    <row r="23" spans="1:22" x14ac:dyDescent="0.35">
      <c r="A23" s="5" t="s">
        <v>0</v>
      </c>
      <c r="B23" s="5">
        <f t="shared" ref="B23:J23" si="1">AVERAGE(B5:B20)</f>
        <v>367006.95833333337</v>
      </c>
      <c r="C23" s="5">
        <f t="shared" si="1"/>
        <v>480267</v>
      </c>
      <c r="D23" s="5">
        <f t="shared" si="1"/>
        <v>251720.62500000003</v>
      </c>
      <c r="E23" s="5">
        <f t="shared" si="1"/>
        <v>1229034.8333333335</v>
      </c>
      <c r="F23" s="5">
        <f t="shared" si="1"/>
        <v>2597366.375</v>
      </c>
      <c r="G23" s="5">
        <f t="shared" si="1"/>
        <v>4053951.020833333</v>
      </c>
      <c r="H23" s="5">
        <f t="shared" si="1"/>
        <v>7553114.125</v>
      </c>
      <c r="I23" s="5">
        <f t="shared" si="1"/>
        <v>104557.20833333333</v>
      </c>
      <c r="J23" s="5">
        <f t="shared" si="1"/>
        <v>339470.39583333331</v>
      </c>
      <c r="K23" s="5"/>
      <c r="L23" s="5">
        <f>AVERAGE(L5:L20)</f>
        <v>412114.33333333337</v>
      </c>
      <c r="M23" s="5"/>
      <c r="N23" s="5" t="s">
        <v>0</v>
      </c>
      <c r="O23" s="5">
        <f>AVERAGE(O5:O20)</f>
        <v>2530216.7999999998</v>
      </c>
      <c r="P23" s="5">
        <f>AVERAGE(P5:P20)</f>
        <v>4808155.25</v>
      </c>
      <c r="Q23" s="5">
        <f>AVERAGE(Q5:Q20)</f>
        <v>222356.66666666666</v>
      </c>
      <c r="R23" s="5">
        <f>AVERAGE(R5:R20)</f>
        <v>1672296.3333333333</v>
      </c>
      <c r="S23" s="5">
        <f>AVERAGE(S5:S20)</f>
        <v>2211651.333333333</v>
      </c>
      <c r="T23" s="5">
        <f t="shared" ref="T23:V23" si="2">AVERAGE(T5:T20)</f>
        <v>1023040</v>
      </c>
      <c r="U23" s="5">
        <f t="shared" si="2"/>
        <v>428216.89583333331</v>
      </c>
      <c r="V23" s="5">
        <f t="shared" si="2"/>
        <v>371285.3125</v>
      </c>
    </row>
    <row r="24" spans="1:22" x14ac:dyDescent="0.35">
      <c r="A24" s="3" t="s">
        <v>1</v>
      </c>
      <c r="B24" s="3">
        <f t="shared" ref="B24:J24" si="3">STDEV(B5:B20)</f>
        <v>270627.5509150899</v>
      </c>
      <c r="C24" s="3">
        <f t="shared" si="3"/>
        <v>686645.27620982134</v>
      </c>
      <c r="D24" s="3">
        <f t="shared" si="3"/>
        <v>104659.94581765057</v>
      </c>
      <c r="E24" s="3">
        <f t="shared" si="3"/>
        <v>683329.79367415351</v>
      </c>
      <c r="F24" s="3">
        <f t="shared" si="3"/>
        <v>739095.81962459616</v>
      </c>
      <c r="G24" s="3">
        <f t="shared" si="3"/>
        <v>653894.45381644624</v>
      </c>
      <c r="H24" s="3">
        <f t="shared" si="3"/>
        <v>1772302.7618565934</v>
      </c>
      <c r="I24" s="3">
        <f t="shared" si="3"/>
        <v>91417.251922064155</v>
      </c>
      <c r="J24" s="3">
        <f t="shared" si="3"/>
        <v>291142.38736054825</v>
      </c>
      <c r="K24" s="3"/>
      <c r="L24" s="3">
        <f>STDEV(L5:L20)</f>
        <v>312917.92310059076</v>
      </c>
      <c r="M24" s="3"/>
      <c r="N24" s="3" t="s">
        <v>1</v>
      </c>
      <c r="O24" s="3">
        <f>STDEV(O5:O20)</f>
        <v>1961742.9487158884</v>
      </c>
      <c r="P24" s="3">
        <f>STDEV(P5:P20)</f>
        <v>1193126.573150757</v>
      </c>
      <c r="Q24" s="3">
        <f>STDEV(Q5:Q20)</f>
        <v>161196.00412639719</v>
      </c>
      <c r="R24" s="3">
        <f>STDEV(R5:R20)</f>
        <v>1070817.5590701045</v>
      </c>
      <c r="S24" s="3">
        <f>STDEV(S5:S20)</f>
        <v>1679924.6952413891</v>
      </c>
      <c r="T24" s="3">
        <f t="shared" ref="T24:V24" si="4">STDEV(T5:T20)</f>
        <v>1175815.0980038797</v>
      </c>
      <c r="U24" s="3">
        <f t="shared" si="4"/>
        <v>543976.22947552067</v>
      </c>
      <c r="V24" s="3">
        <f t="shared" si="4"/>
        <v>321454.93328545924</v>
      </c>
    </row>
    <row r="25" spans="1:22" ht="15" thickBot="1" x14ac:dyDescent="0.4"/>
    <row r="26" spans="1:22" ht="15" thickBot="1" x14ac:dyDescent="0.4">
      <c r="B26" s="218" t="s">
        <v>6</v>
      </c>
      <c r="C26" s="219"/>
      <c r="D26" s="219"/>
      <c r="E26" s="219"/>
      <c r="F26" s="219"/>
      <c r="G26" s="219"/>
      <c r="H26" s="219"/>
      <c r="I26" s="219"/>
      <c r="J26" s="219"/>
      <c r="K26" s="219"/>
      <c r="L26" s="219"/>
      <c r="M26" s="219"/>
      <c r="O26" s="218" t="s">
        <v>3</v>
      </c>
      <c r="P26" s="219"/>
      <c r="Q26" s="219"/>
      <c r="R26" s="219"/>
      <c r="S26" s="219"/>
      <c r="T26" s="219"/>
      <c r="U26" s="219"/>
      <c r="V26" s="219"/>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Prochloraz-12µg/L</v>
      </c>
      <c r="J27" s="35" t="str">
        <f t="shared" si="5"/>
        <v>Prochloraz-37µg/L</v>
      </c>
      <c r="K27" s="35" t="str">
        <f t="shared" si="5"/>
        <v>Prochloraz-111µg/L</v>
      </c>
      <c r="L27" s="35" t="str">
        <f t="shared" si="5"/>
        <v>Prochloraz-333µg/L</v>
      </c>
      <c r="M27" s="35" t="str">
        <f t="shared" si="5"/>
        <v>Prochloraz-1000µg/L</v>
      </c>
      <c r="N27" s="3"/>
      <c r="O27" s="36" t="str">
        <f>O4</f>
        <v>Testo -30µg/L</v>
      </c>
      <c r="P27" s="36" t="str">
        <f t="shared" ref="P27:V27" si="6">P4</f>
        <v>Testo 30µg/L + EE2 -64ng/L</v>
      </c>
      <c r="Q27" s="36" t="str">
        <f t="shared" si="6"/>
        <v>Testo 30µg/L + FAD-10mg/L</v>
      </c>
      <c r="R27" s="36" t="str">
        <f t="shared" si="6"/>
        <v>Prochloraz-12µg/L + Testostérone</v>
      </c>
      <c r="S27" s="36" t="str">
        <f t="shared" si="6"/>
        <v>Prochloraz-37µg/L + Testostérone</v>
      </c>
      <c r="T27" s="36" t="str">
        <f t="shared" si="6"/>
        <v>Prochloraz-111µg/L + Testostérone</v>
      </c>
      <c r="U27" s="36" t="str">
        <f t="shared" si="6"/>
        <v>Prochloraz-333µg/L + Testostérone</v>
      </c>
      <c r="V27" s="36" t="str">
        <f t="shared" si="6"/>
        <v>Prochloraz-1000µg/L + Testostérone</v>
      </c>
    </row>
    <row r="28" spans="1:22" x14ac:dyDescent="0.35">
      <c r="A28" s="221" t="s">
        <v>34</v>
      </c>
      <c r="B28" s="11">
        <f t="shared" ref="B28:M28" si="7">IF(B5="","",(B5/$O$23))</f>
        <v>0.15484430688574463</v>
      </c>
      <c r="C28" s="11">
        <f t="shared" si="7"/>
        <v>4.1044704153414838E-2</v>
      </c>
      <c r="D28" s="11">
        <f t="shared" si="7"/>
        <v>5.85068441565956E-2</v>
      </c>
      <c r="E28" s="11">
        <f t="shared" si="7"/>
        <v>0.41417267748228798</v>
      </c>
      <c r="F28" s="11">
        <f t="shared" si="7"/>
        <v>0.80405310195816693</v>
      </c>
      <c r="G28" s="11">
        <f t="shared" si="7"/>
        <v>1.6739163748076187</v>
      </c>
      <c r="H28" s="11">
        <f t="shared" si="7"/>
        <v>2.7885470789169795</v>
      </c>
      <c r="I28" s="11">
        <f t="shared" si="7"/>
        <v>0.11997720248056741</v>
      </c>
      <c r="J28" s="11">
        <f t="shared" si="7"/>
        <v>0.16027836033655299</v>
      </c>
      <c r="K28" s="11">
        <f t="shared" si="7"/>
        <v>4.8131580397906354E-2</v>
      </c>
      <c r="L28" s="11">
        <f t="shared" si="7"/>
        <v>0.26321802411029233</v>
      </c>
      <c r="M28" s="11">
        <f t="shared" si="7"/>
        <v>3.8084088288402797E-2</v>
      </c>
      <c r="N28" s="6"/>
      <c r="O28" s="11">
        <f t="shared" ref="O28:V39" si="8">IF(O5="","",(O5/$O$23))</f>
        <v>1.0380748137208375</v>
      </c>
      <c r="P28" s="11">
        <f t="shared" si="8"/>
        <v>1.4488224882547616</v>
      </c>
      <c r="Q28" s="11">
        <f t="shared" si="8"/>
        <v>0.18700703170310676</v>
      </c>
      <c r="R28" s="11">
        <f t="shared" si="8"/>
        <v>0.76951087089981118</v>
      </c>
      <c r="S28" s="11">
        <f t="shared" si="8"/>
        <v>0.7500000263482034</v>
      </c>
      <c r="T28" s="11">
        <f t="shared" si="8"/>
        <v>0.59568584531307089</v>
      </c>
      <c r="U28" s="11">
        <f t="shared" si="8"/>
        <v>5.5369563588384997E-2</v>
      </c>
      <c r="V28" s="11">
        <f t="shared" si="8"/>
        <v>7.5427001617674305E-3</v>
      </c>
    </row>
    <row r="29" spans="1:22" x14ac:dyDescent="0.35">
      <c r="A29" s="221"/>
      <c r="B29" s="11">
        <f t="shared" ref="B29:M29" si="9">IF(B6="","",(B6/$O$23))</f>
        <v>6.5195994272111389E-3</v>
      </c>
      <c r="C29" s="11">
        <f t="shared" si="9"/>
        <v>0.12935505500292835</v>
      </c>
      <c r="D29" s="11">
        <f t="shared" si="9"/>
        <v>7.6655618338054413E-2</v>
      </c>
      <c r="E29" s="11">
        <f t="shared" si="9"/>
        <v>0.66251911693891219</v>
      </c>
      <c r="F29" s="11">
        <f t="shared" si="9"/>
        <v>1.4832647278815529</v>
      </c>
      <c r="G29" s="11">
        <f t="shared" si="9"/>
        <v>1.9950800263439878</v>
      </c>
      <c r="H29" s="11">
        <f t="shared" si="9"/>
        <v>3.5560545641780581</v>
      </c>
      <c r="I29" s="11">
        <f t="shared" si="9"/>
        <v>1.4524183593015957E-2</v>
      </c>
      <c r="J29" s="11">
        <f t="shared" si="9"/>
        <v>5.9945719539395467E-2</v>
      </c>
      <c r="K29" s="11">
        <f t="shared" si="9"/>
        <v>8.765770585350631E-2</v>
      </c>
      <c r="L29" s="11">
        <f t="shared" si="9"/>
        <v>0.31179423043906751</v>
      </c>
      <c r="M29" s="11">
        <f t="shared" si="9"/>
        <v>0.252932673595401</v>
      </c>
      <c r="N29" s="6"/>
      <c r="O29" s="11" t="str">
        <f t="shared" si="8"/>
        <v/>
      </c>
      <c r="P29" s="11">
        <f t="shared" si="8"/>
        <v>1.6819606130194062</v>
      </c>
      <c r="Q29" s="11">
        <f t="shared" si="8"/>
        <v>8.7709216590978814E-3</v>
      </c>
      <c r="R29" s="11">
        <f t="shared" si="8"/>
        <v>1.3106934815493545</v>
      </c>
      <c r="S29" s="11">
        <f t="shared" si="8"/>
        <v>9.8873609038824931E-2</v>
      </c>
      <c r="T29" s="11">
        <f t="shared" si="8"/>
        <v>4.6216856463314401E-2</v>
      </c>
      <c r="U29" s="11">
        <f t="shared" si="8"/>
        <v>8.0305766683708688E-2</v>
      </c>
      <c r="V29" s="11">
        <f t="shared" si="8"/>
        <v>0.39133365962948319</v>
      </c>
    </row>
    <row r="30" spans="1:22" x14ac:dyDescent="0.35">
      <c r="A30" s="221"/>
      <c r="B30" s="11">
        <f t="shared" ref="B30:M30" si="10">IF(B7="","",(B7/$O$23))</f>
        <v>0.10245525205587126</v>
      </c>
      <c r="C30" s="11">
        <f t="shared" si="10"/>
        <v>4.6333579003981003E-2</v>
      </c>
      <c r="D30" s="11">
        <f t="shared" si="10"/>
        <v>0.15438532118407139</v>
      </c>
      <c r="E30" s="11">
        <f t="shared" si="10"/>
        <v>0.34367779604235238</v>
      </c>
      <c r="F30" s="11">
        <f t="shared" si="10"/>
        <v>0.73266896865649356</v>
      </c>
      <c r="G30" s="11">
        <f t="shared" si="10"/>
        <v>1.3188288845445972</v>
      </c>
      <c r="H30" s="11">
        <f t="shared" si="10"/>
        <v>3.0887720767643314</v>
      </c>
      <c r="I30" s="11">
        <f t="shared" si="10"/>
        <v>1.9684610952442234E-2</v>
      </c>
      <c r="J30" s="11">
        <f t="shared" si="10"/>
        <v>8.1574037450071482E-2</v>
      </c>
      <c r="K30" s="11">
        <f t="shared" si="10"/>
        <v>2.9640938278490604E-2</v>
      </c>
      <c r="L30" s="11">
        <f t="shared" si="10"/>
        <v>0.32937875784662668</v>
      </c>
      <c r="M30" s="11">
        <f t="shared" si="10"/>
        <v>4.9325154007883176E-3</v>
      </c>
      <c r="N30" s="6"/>
      <c r="O30" s="11">
        <f t="shared" si="8"/>
        <v>0.1664560918258072</v>
      </c>
      <c r="P30" s="11">
        <f t="shared" si="8"/>
        <v>2.024196503635578</v>
      </c>
      <c r="Q30" s="11">
        <f t="shared" si="8"/>
        <v>1.8513565056296099E-2</v>
      </c>
      <c r="R30" s="11">
        <f t="shared" si="8"/>
        <v>0.36873098516037578</v>
      </c>
      <c r="S30" s="11">
        <f t="shared" si="8"/>
        <v>0.32578552162012364</v>
      </c>
      <c r="T30" s="11">
        <f t="shared" si="8"/>
        <v>0.35531830052402363</v>
      </c>
      <c r="U30" s="11">
        <f t="shared" si="8"/>
        <v>0.10122432986770147</v>
      </c>
      <c r="V30" s="11">
        <f t="shared" si="8"/>
        <v>6.8998962196968008E-2</v>
      </c>
    </row>
    <row r="31" spans="1:22" x14ac:dyDescent="0.35">
      <c r="A31" s="221"/>
      <c r="B31" s="11">
        <f t="shared" ref="B31:M31" si="11">IF(B8="","",(B8/$O$23))</f>
        <v>0.12978532116299285</v>
      </c>
      <c r="C31" s="11">
        <f t="shared" si="11"/>
        <v>0.84463908389194164</v>
      </c>
      <c r="D31" s="11">
        <f t="shared" si="11"/>
        <v>0.10528215078908128</v>
      </c>
      <c r="E31" s="11">
        <f t="shared" si="11"/>
        <v>8.7512263771230989E-2</v>
      </c>
      <c r="F31" s="11">
        <f t="shared" si="11"/>
        <v>1.3187833021528697</v>
      </c>
      <c r="G31" s="11">
        <f t="shared" si="11"/>
        <v>1.8178866464460015</v>
      </c>
      <c r="H31" s="11">
        <f t="shared" si="11"/>
        <v>2.3508740436787869</v>
      </c>
      <c r="I31" s="11">
        <f t="shared" si="11"/>
        <v>1.8257197038082533E-2</v>
      </c>
      <c r="J31" s="11">
        <f t="shared" si="11"/>
        <v>7.3177523760019304E-3</v>
      </c>
      <c r="K31" s="11">
        <f t="shared" si="11"/>
        <v>7.0132988867462526E-2</v>
      </c>
      <c r="L31" s="11">
        <f t="shared" si="11"/>
        <v>0.14505608109681881</v>
      </c>
      <c r="M31" s="11">
        <f t="shared" si="11"/>
        <v>5.3770095906406131E-3</v>
      </c>
      <c r="N31" s="6"/>
      <c r="O31" s="11">
        <f t="shared" si="8"/>
        <v>2.6046944541142354</v>
      </c>
      <c r="P31" s="11">
        <f t="shared" si="8"/>
        <v>1.5698965664391553</v>
      </c>
      <c r="Q31" s="11">
        <f t="shared" si="8"/>
        <v>0.13032677674102869</v>
      </c>
      <c r="R31" s="11">
        <f t="shared" si="8"/>
        <v>6.1245344667698043E-2</v>
      </c>
      <c r="S31" s="11">
        <f t="shared" si="8"/>
        <v>1.3626321138436306</v>
      </c>
      <c r="T31" s="11">
        <f t="shared" si="8"/>
        <v>1.436828654366693</v>
      </c>
      <c r="U31" s="11">
        <f t="shared" si="8"/>
        <v>0.67393434428227661</v>
      </c>
      <c r="V31" s="11">
        <f t="shared" si="8"/>
        <v>0.10631947955342536</v>
      </c>
    </row>
    <row r="32" spans="1:22" x14ac:dyDescent="0.35">
      <c r="A32" s="221"/>
      <c r="B32" s="11">
        <f t="shared" ref="B32:M32" si="12">IF(B9="","",(B9/$O$23))</f>
        <v>0.19313918080063339</v>
      </c>
      <c r="C32" s="11">
        <f t="shared" si="12"/>
        <v>4.3529669078159632E-2</v>
      </c>
      <c r="D32" s="11">
        <f t="shared" si="12"/>
        <v>0.14967531636024234</v>
      </c>
      <c r="E32" s="11">
        <f t="shared" si="12"/>
        <v>0.53379931711780593</v>
      </c>
      <c r="F32" s="11">
        <f t="shared" si="12"/>
        <v>1.0922874277018475</v>
      </c>
      <c r="G32" s="11">
        <f t="shared" si="12"/>
        <v>1.738676503926462</v>
      </c>
      <c r="H32" s="11">
        <f t="shared" si="12"/>
        <v>2.0406641307047946</v>
      </c>
      <c r="I32" s="11">
        <f t="shared" si="12"/>
        <v>1.4387436417833183E-2</v>
      </c>
      <c r="J32" s="11">
        <f t="shared" si="12"/>
        <v>9.8691015989881448E-2</v>
      </c>
      <c r="K32" s="11">
        <f t="shared" si="12"/>
        <v>1.1007752379163715E-2</v>
      </c>
      <c r="L32" s="11">
        <f t="shared" si="12"/>
        <v>2.7298583004165228E-2</v>
      </c>
      <c r="M32" s="11">
        <f t="shared" si="12"/>
        <v>0.19955075259427046</v>
      </c>
      <c r="N32" s="6"/>
      <c r="O32" s="11">
        <f t="shared" si="8"/>
        <v>1.9686390114870791</v>
      </c>
      <c r="P32" s="11">
        <f t="shared" si="8"/>
        <v>1.3489400065111681</v>
      </c>
      <c r="Q32" s="11">
        <f t="shared" si="8"/>
        <v>8.9333188102036692E-2</v>
      </c>
      <c r="R32" s="11">
        <f t="shared" si="8"/>
        <v>1.0506782132924999</v>
      </c>
      <c r="S32" s="11">
        <f t="shared" si="8"/>
        <v>0.53223502428724689</v>
      </c>
      <c r="T32" s="11">
        <f t="shared" si="8"/>
        <v>0.15322270671298471</v>
      </c>
      <c r="U32" s="11">
        <f t="shared" si="8"/>
        <v>0.12343079322952354</v>
      </c>
      <c r="V32" s="11">
        <f t="shared" si="8"/>
        <v>0.11435502285812031</v>
      </c>
    </row>
    <row r="33" spans="1:22" x14ac:dyDescent="0.35">
      <c r="A33" s="221"/>
      <c r="B33" s="11">
        <f t="shared" ref="B33:M33" si="13">IF(B10="","",(B10/$O$23))</f>
        <v>0.36471459678870211</v>
      </c>
      <c r="C33" s="11">
        <f t="shared" si="13"/>
        <v>0.21119830522032737</v>
      </c>
      <c r="D33" s="11">
        <f t="shared" si="13"/>
        <v>0.11224360958581364</v>
      </c>
      <c r="E33" s="11">
        <f t="shared" si="13"/>
        <v>0.5127156165695631</v>
      </c>
      <c r="F33" s="11">
        <f t="shared" si="13"/>
        <v>1.0873006350022392</v>
      </c>
      <c r="G33" s="11">
        <f t="shared" si="13"/>
        <v>1.2445129866605371</v>
      </c>
      <c r="H33" s="11">
        <f t="shared" si="13"/>
        <v>3.3001199739089553</v>
      </c>
      <c r="I33" s="11">
        <f t="shared" si="13"/>
        <v>4.7630174088902848E-2</v>
      </c>
      <c r="J33" s="11">
        <f t="shared" si="13"/>
        <v>0.11421827568293753</v>
      </c>
      <c r="K33" s="11">
        <f t="shared" si="13"/>
        <v>0.15351082431618773</v>
      </c>
      <c r="L33" s="11">
        <f t="shared" si="13"/>
        <v>0.13095083393644372</v>
      </c>
      <c r="M33" s="11">
        <f t="shared" si="13"/>
        <v>7.961623420306646E-2</v>
      </c>
      <c r="N33" s="6"/>
      <c r="O33" s="11">
        <f t="shared" si="8"/>
        <v>1.1515350515945248</v>
      </c>
      <c r="P33" s="11">
        <f t="shared" si="8"/>
        <v>2.1699907296481471</v>
      </c>
      <c r="Q33" s="11">
        <f t="shared" si="8"/>
        <v>2.8056489072398858E-2</v>
      </c>
      <c r="R33" s="11">
        <f t="shared" si="8"/>
        <v>0.9244890266583744</v>
      </c>
      <c r="S33" s="11">
        <f t="shared" si="8"/>
        <v>2.0712483346618096</v>
      </c>
      <c r="T33" s="11">
        <f t="shared" si="8"/>
        <v>0.13836811665045198</v>
      </c>
      <c r="U33" s="11">
        <f t="shared" si="8"/>
        <v>1.320479731223032E-2</v>
      </c>
      <c r="V33" s="11">
        <f t="shared" si="8"/>
        <v>0.13926579993724914</v>
      </c>
    </row>
    <row r="34" spans="1:22" x14ac:dyDescent="0.35">
      <c r="A34" s="221"/>
      <c r="B34" s="11">
        <f t="shared" ref="B34:M34" si="14">IF(B11="","",(B11/$O$23))</f>
        <v>0.15390538866076617</v>
      </c>
      <c r="C34" s="11">
        <f t="shared" si="14"/>
        <v>0.13855624282209072</v>
      </c>
      <c r="D34" s="11">
        <f t="shared" si="14"/>
        <v>0.10316204260968205</v>
      </c>
      <c r="E34" s="11">
        <f t="shared" si="14"/>
        <v>1.003082291867901</v>
      </c>
      <c r="F34" s="11">
        <f t="shared" si="14"/>
        <v>0.62911947571712701</v>
      </c>
      <c r="G34" s="11">
        <f t="shared" si="14"/>
        <v>1.6124374533175709</v>
      </c>
      <c r="H34" s="11">
        <f t="shared" si="14"/>
        <v>4.2017585212460844</v>
      </c>
      <c r="I34" s="11">
        <f t="shared" si="14"/>
        <v>6.1786668504717333E-2</v>
      </c>
      <c r="J34" s="11">
        <f t="shared" si="14"/>
        <v>0.38954132309926964</v>
      </c>
      <c r="K34" s="11">
        <f t="shared" si="14"/>
        <v>0.16485464802858002</v>
      </c>
      <c r="L34" s="11">
        <f t="shared" si="14"/>
        <v>6.801011412671569E-2</v>
      </c>
      <c r="M34" s="11">
        <f t="shared" si="14"/>
        <v>0.11568007400261776</v>
      </c>
      <c r="N34" s="6"/>
      <c r="O34" s="11">
        <f t="shared" si="8"/>
        <v>4.0925215051400607E-2</v>
      </c>
      <c r="P34" s="11">
        <f t="shared" si="8"/>
        <v>2.2210517032901422</v>
      </c>
      <c r="Q34" s="11">
        <f t="shared" si="8"/>
        <v>0.12152318330982548</v>
      </c>
      <c r="R34" s="11">
        <f t="shared" si="8"/>
        <v>0.49677245048724683</v>
      </c>
      <c r="S34" s="11">
        <f t="shared" si="8"/>
        <v>1.3588051690537613</v>
      </c>
      <c r="T34" s="11">
        <f t="shared" si="8"/>
        <v>3.1253975285174512E-2</v>
      </c>
      <c r="U34" s="11">
        <f t="shared" si="8"/>
        <v>0.24371297616341284</v>
      </c>
      <c r="V34" s="11">
        <f t="shared" si="8"/>
        <v>6.4388355970128736E-2</v>
      </c>
    </row>
    <row r="35" spans="1:22" x14ac:dyDescent="0.35">
      <c r="A35" s="221"/>
      <c r="B35" s="11">
        <f t="shared" ref="B35:M35" si="15">IF(B12="","",(B12/$O$23))</f>
        <v>5.5033228773123319E-2</v>
      </c>
      <c r="C35" s="11">
        <f t="shared" si="15"/>
        <v>6.3844067960236991E-2</v>
      </c>
      <c r="D35" s="11">
        <f t="shared" si="15"/>
        <v>3.5975441577443749E-2</v>
      </c>
      <c r="E35" s="11">
        <f t="shared" si="15"/>
        <v>0.32846407996869414</v>
      </c>
      <c r="F35" s="11">
        <f t="shared" si="15"/>
        <v>1.064834839449331</v>
      </c>
      <c r="G35" s="11">
        <f t="shared" si="15"/>
        <v>1.4163802090002724</v>
      </c>
      <c r="H35" s="11">
        <f t="shared" si="15"/>
        <v>2.5545280019746399</v>
      </c>
      <c r="I35" s="11">
        <f t="shared" si="15"/>
        <v>3.4339876856929151E-2</v>
      </c>
      <c r="J35" s="11">
        <f t="shared" si="15"/>
        <v>0.16176571641344462</v>
      </c>
      <c r="K35" s="11">
        <f t="shared" si="15"/>
        <v>7.7523198802569013E-2</v>
      </c>
      <c r="L35" s="11">
        <f t="shared" si="15"/>
        <v>2.7310044472605405E-2</v>
      </c>
      <c r="M35" s="11">
        <f t="shared" si="15"/>
        <v>5.6694548862374169E-2</v>
      </c>
      <c r="N35" s="6"/>
      <c r="O35" s="11">
        <f t="shared" si="8"/>
        <v>9.4599140015722505E-2</v>
      </c>
      <c r="P35" s="11">
        <f t="shared" si="8"/>
        <v>2.7374916383976795</v>
      </c>
      <c r="Q35" s="11">
        <f t="shared" si="8"/>
        <v>0.11951268365619895</v>
      </c>
      <c r="R35" s="11">
        <f t="shared" si="8"/>
        <v>0.30532008166256741</v>
      </c>
      <c r="S35" s="11">
        <f t="shared" si="8"/>
        <v>0.49318487912445558</v>
      </c>
      <c r="T35" s="11">
        <f t="shared" si="8"/>
        <v>0.47773745448743099</v>
      </c>
      <c r="U35" s="11">
        <f t="shared" si="8"/>
        <v>6.27469287743775E-2</v>
      </c>
      <c r="V35" s="11">
        <f t="shared" si="8"/>
        <v>0.28172012769814825</v>
      </c>
    </row>
    <row r="36" spans="1:22" x14ac:dyDescent="0.35">
      <c r="A36" s="221"/>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0.27877947059714409</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1"/>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1.1322065366098273</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1"/>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1.6973994744903549</v>
      </c>
      <c r="P38" s="11" t="str">
        <f t="shared" si="8"/>
        <v/>
      </c>
      <c r="Q38" s="11" t="str">
        <f t="shared" si="8"/>
        <v/>
      </c>
      <c r="R38" s="11" t="str">
        <f t="shared" si="8"/>
        <v/>
      </c>
      <c r="S38" s="11" t="str">
        <f t="shared" si="8"/>
        <v/>
      </c>
      <c r="T38" s="11" t="str">
        <f t="shared" si="8"/>
        <v/>
      </c>
      <c r="U38" s="11" t="str">
        <f t="shared" si="8"/>
        <v/>
      </c>
      <c r="V38" s="11" t="str">
        <f t="shared" si="8"/>
        <v/>
      </c>
    </row>
    <row r="39" spans="1:22" x14ac:dyDescent="0.35">
      <c r="A39" s="221"/>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1.1675352615370089</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5">
      <c r="A40" s="221"/>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1.4337170632967104</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5">
      <c r="A41" s="221"/>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1.5199925424045351</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5">
      <c r="A42" s="221"/>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0.13451693151353672</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5">
      <c r="A43" s="221"/>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0.57092894174127695</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Prochloraz-12µg/L</v>
      </c>
      <c r="J45" s="7" t="str">
        <f t="shared" si="26"/>
        <v>Prochloraz-37µg/L</v>
      </c>
      <c r="K45" s="7" t="str">
        <f t="shared" si="26"/>
        <v>Prochloraz-111µg/L</v>
      </c>
      <c r="L45" s="7" t="str">
        <f t="shared" si="26"/>
        <v>Prochloraz-333µg/L</v>
      </c>
      <c r="M45" s="7" t="str">
        <f t="shared" si="26"/>
        <v>Prochloraz-1000µg/L</v>
      </c>
      <c r="N45" s="7"/>
      <c r="O45" s="7" t="str">
        <f t="shared" si="26"/>
        <v>Testo -30µg/L</v>
      </c>
      <c r="P45" s="7" t="str">
        <f t="shared" si="26"/>
        <v>Testo 30µg/L + EE2 -64ng/L</v>
      </c>
      <c r="Q45" s="7" t="str">
        <f t="shared" si="26"/>
        <v>Testo 30µg/L + FAD-10mg/L</v>
      </c>
      <c r="R45" s="7" t="str">
        <f t="shared" si="26"/>
        <v>Prochloraz-12µg/L + Testostérone</v>
      </c>
      <c r="S45" s="7" t="str">
        <f t="shared" si="26"/>
        <v>Prochloraz-37µg/L + Testostérone</v>
      </c>
      <c r="T45" s="7" t="str">
        <f t="shared" si="26"/>
        <v>Prochloraz-111µg/L + Testostérone</v>
      </c>
      <c r="U45" s="7" t="str">
        <f t="shared" si="26"/>
        <v>Prochloraz-333µg/L + Testostérone</v>
      </c>
      <c r="V45" s="7" t="str">
        <f t="shared" si="26"/>
        <v>Prochloraz-1000µg/L + Testostérone</v>
      </c>
    </row>
    <row r="46" spans="1:22" x14ac:dyDescent="0.35">
      <c r="A46" s="8" t="s">
        <v>0</v>
      </c>
      <c r="B46" s="10">
        <f t="shared" ref="B46:H46" si="27">AVERAGE(B28:B43)</f>
        <v>0.1450496093193806</v>
      </c>
      <c r="C46" s="10">
        <f t="shared" si="27"/>
        <v>0.18981258839163509</v>
      </c>
      <c r="D46" s="10">
        <f t="shared" si="27"/>
        <v>9.9485793075123063E-2</v>
      </c>
      <c r="E46" s="10">
        <f t="shared" si="27"/>
        <v>0.48574289496984346</v>
      </c>
      <c r="F46" s="10">
        <f t="shared" si="27"/>
        <v>1.0265390598149535</v>
      </c>
      <c r="G46" s="10">
        <f t="shared" si="27"/>
        <v>1.6022148856308811</v>
      </c>
      <c r="H46" s="10">
        <f t="shared" si="27"/>
        <v>2.9851647989215784</v>
      </c>
      <c r="I46" s="10">
        <f>AVERAGE(I28:I43)</f>
        <v>4.1323418741561327E-2</v>
      </c>
      <c r="J46" s="9">
        <f>AVERAGE(J28:J43)</f>
        <v>0.1341665251109444</v>
      </c>
      <c r="K46" s="9">
        <f t="shared" ref="K46:M46" si="28">AVERAGE(K28:K43)</f>
        <v>8.030745461548329E-2</v>
      </c>
      <c r="L46" s="9">
        <f t="shared" si="28"/>
        <v>0.16287708362909195</v>
      </c>
      <c r="M46" s="9">
        <f t="shared" si="28"/>
        <v>9.4108487067195198E-2</v>
      </c>
      <c r="N46" s="8" t="s">
        <v>0</v>
      </c>
      <c r="O46" s="10">
        <f t="shared" ref="O46:V46" si="29">AVERAGE(O28:O43)</f>
        <v>1.0000000000000002</v>
      </c>
      <c r="P46" s="10">
        <f t="shared" si="29"/>
        <v>1.9002937811495046</v>
      </c>
      <c r="Q46" s="10">
        <f t="shared" si="29"/>
        <v>8.7880479912498671E-2</v>
      </c>
      <c r="R46" s="10">
        <f t="shared" si="29"/>
        <v>0.66093005679724093</v>
      </c>
      <c r="S46" s="10">
        <f t="shared" si="29"/>
        <v>0.87409558474725702</v>
      </c>
      <c r="T46" s="10">
        <f t="shared" si="29"/>
        <v>0.40432898872539297</v>
      </c>
      <c r="U46" s="10">
        <f t="shared" si="29"/>
        <v>0.16924118748770201</v>
      </c>
      <c r="V46" s="10">
        <f t="shared" si="29"/>
        <v>0.14674051350066131</v>
      </c>
    </row>
    <row r="47" spans="1:22" x14ac:dyDescent="0.35">
      <c r="A47" s="8" t="s">
        <v>1</v>
      </c>
      <c r="B47" s="8">
        <f t="shared" ref="B47:M47" si="30">STDEV(B28:B43)</f>
        <v>0.10695824599500328</v>
      </c>
      <c r="C47" s="8">
        <f t="shared" si="30"/>
        <v>0.27137804009910194</v>
      </c>
      <c r="D47" s="8">
        <f t="shared" si="30"/>
        <v>4.1364022963427734E-2</v>
      </c>
      <c r="E47" s="8">
        <f t="shared" si="30"/>
        <v>0.27006768498025713</v>
      </c>
      <c r="F47" s="8">
        <f t="shared" si="30"/>
        <v>0.29210770382387585</v>
      </c>
      <c r="G47" s="8">
        <f t="shared" si="30"/>
        <v>0.25843416019388005</v>
      </c>
      <c r="H47" s="8">
        <f t="shared" si="30"/>
        <v>0.70045490246393094</v>
      </c>
      <c r="I47" s="8">
        <f t="shared" si="30"/>
        <v>3.6130205096284305E-2</v>
      </c>
      <c r="J47" s="8">
        <f t="shared" si="30"/>
        <v>0.11506618221827798</v>
      </c>
      <c r="K47" s="8">
        <f t="shared" si="30"/>
        <v>5.4872697824738838E-2</v>
      </c>
      <c r="L47" s="8">
        <f t="shared" si="30"/>
        <v>0.12367237586146404</v>
      </c>
      <c r="M47" s="8">
        <f t="shared" si="30"/>
        <v>9.0540217890929045E-2</v>
      </c>
      <c r="N47" s="8" t="s">
        <v>1</v>
      </c>
      <c r="O47" s="8">
        <f t="shared" ref="O47:V47" si="31">STDEV(O28:O43)</f>
        <v>0.77532603084284624</v>
      </c>
      <c r="P47" s="8">
        <f t="shared" si="31"/>
        <v>0.47155112287245832</v>
      </c>
      <c r="Q47" s="8">
        <f t="shared" si="31"/>
        <v>6.370837634403391E-2</v>
      </c>
      <c r="R47" s="8">
        <f t="shared" si="31"/>
        <v>0.42321178132644816</v>
      </c>
      <c r="S47" s="8">
        <f t="shared" si="31"/>
        <v>0.66394496125446167</v>
      </c>
      <c r="T47" s="8">
        <f t="shared" si="31"/>
        <v>0.46470922887077482</v>
      </c>
      <c r="U47" s="8">
        <f t="shared" si="31"/>
        <v>0.2149919443565155</v>
      </c>
      <c r="V47" s="8">
        <f t="shared" si="31"/>
        <v>0.12704639906171647</v>
      </c>
    </row>
    <row r="48" spans="1:22" x14ac:dyDescent="0.35">
      <c r="A48" s="8" t="s">
        <v>2</v>
      </c>
      <c r="B48" s="8">
        <f t="shared" ref="B48:M48" si="32" xml:space="preserve"> B47/SQRT(COUNT(B28:B43))</f>
        <v>3.7815450523442852E-2</v>
      </c>
      <c r="C48" s="8">
        <f t="shared" si="32"/>
        <v>9.594662620959489E-2</v>
      </c>
      <c r="D48" s="8">
        <f t="shared" si="32"/>
        <v>1.4624390567297909E-2</v>
      </c>
      <c r="E48" s="8">
        <f t="shared" si="32"/>
        <v>9.5483345714446055E-2</v>
      </c>
      <c r="F48" s="8">
        <f t="shared" si="32"/>
        <v>0.10327566910534711</v>
      </c>
      <c r="G48" s="8">
        <f t="shared" si="32"/>
        <v>9.1370273581671546E-2</v>
      </c>
      <c r="H48" s="8">
        <f t="shared" si="32"/>
        <v>0.24764820572380364</v>
      </c>
      <c r="I48" s="8">
        <f t="shared" si="32"/>
        <v>1.2773956514621694E-2</v>
      </c>
      <c r="J48" s="8">
        <f t="shared" si="32"/>
        <v>4.0682038865895644E-2</v>
      </c>
      <c r="K48" s="8">
        <f t="shared" si="32"/>
        <v>1.9400428366936572E-2</v>
      </c>
      <c r="L48" s="8">
        <f t="shared" si="32"/>
        <v>4.3724787808546356E-2</v>
      </c>
      <c r="M48" s="8">
        <f t="shared" si="32"/>
        <v>3.2010801020391749E-2</v>
      </c>
      <c r="N48" s="8" t="s">
        <v>2</v>
      </c>
      <c r="O48" s="8">
        <f t="shared" ref="O48:V48" si="33" xml:space="preserve"> O47/SQRT(COUNT(O28:O43))</f>
        <v>0.20018832035569609</v>
      </c>
      <c r="P48" s="8">
        <f t="shared" si="33"/>
        <v>0.16671849832962307</v>
      </c>
      <c r="Q48" s="8">
        <f t="shared" si="33"/>
        <v>2.2524312465625501E-2</v>
      </c>
      <c r="R48" s="8">
        <f t="shared" si="33"/>
        <v>0.14962796022698488</v>
      </c>
      <c r="S48" s="8">
        <f t="shared" si="33"/>
        <v>0.23473999221883468</v>
      </c>
      <c r="T48" s="8">
        <f t="shared" si="33"/>
        <v>0.16429952350724808</v>
      </c>
      <c r="U48" s="8">
        <f t="shared" si="33"/>
        <v>7.6011130877486496E-2</v>
      </c>
      <c r="V48" s="8">
        <f t="shared" si="33"/>
        <v>4.4917685150935971E-2</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2" t="s">
        <v>44</v>
      </c>
      <c r="B50" s="213"/>
      <c r="C50" s="213"/>
      <c r="D50" s="213"/>
      <c r="E50" s="213"/>
      <c r="F50" s="213"/>
      <c r="G50" s="213"/>
      <c r="H50" s="213"/>
      <c r="I50" s="213"/>
      <c r="J50" s="213"/>
      <c r="K50" s="213"/>
      <c r="L50" s="213"/>
      <c r="M50" s="213"/>
      <c r="N50" s="213"/>
      <c r="O50" s="213"/>
      <c r="P50" s="213"/>
      <c r="Q50" s="213"/>
      <c r="R50" s="213"/>
      <c r="S50" s="213"/>
      <c r="T50" s="213"/>
      <c r="U50" s="213"/>
      <c r="V50" s="213"/>
    </row>
    <row r="51" spans="1:22" ht="15" thickBot="1" x14ac:dyDescent="0.4"/>
    <row r="52" spans="1:22" x14ac:dyDescent="0.35">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Prochloraz-12µg/L</v>
      </c>
      <c r="J52" s="46" t="str">
        <f>J4</f>
        <v>Prochloraz-37µg/L</v>
      </c>
      <c r="K52" s="46" t="str">
        <f t="shared" ref="K52:M52" si="35">K4</f>
        <v>Prochloraz-111µg/L</v>
      </c>
      <c r="L52" s="46" t="str">
        <f t="shared" si="35"/>
        <v>Prochloraz-333µg/L</v>
      </c>
      <c r="M52" s="46" t="str">
        <f t="shared" si="35"/>
        <v>Prochloraz-1000µg/L</v>
      </c>
      <c r="N52" s="47"/>
      <c r="O52" s="46" t="str">
        <f>O27</f>
        <v>Testo -30µg/L</v>
      </c>
      <c r="P52" s="46" t="str">
        <f>P27</f>
        <v>Testo 30µg/L + EE2 -64ng/L</v>
      </c>
      <c r="Q52" s="46" t="str">
        <f>Q27</f>
        <v>Testo 30µg/L + FAD-10mg/L</v>
      </c>
      <c r="R52" s="46" t="str">
        <f>R27</f>
        <v>Prochloraz-12µg/L + Testostérone</v>
      </c>
      <c r="S52" s="46" t="str">
        <f t="shared" ref="S52:V52" si="36">S27</f>
        <v>Prochloraz-37µg/L + Testostérone</v>
      </c>
      <c r="T52" s="46" t="str">
        <f t="shared" si="36"/>
        <v>Prochloraz-111µg/L + Testostérone</v>
      </c>
      <c r="U52" s="46" t="str">
        <f t="shared" si="36"/>
        <v>Prochloraz-333µg/L + Testostérone</v>
      </c>
      <c r="V52" s="46" t="str">
        <f t="shared" si="36"/>
        <v>Prochloraz-1000µg/L + Testostérone</v>
      </c>
    </row>
    <row r="53" spans="1:22" s="3" customFormat="1" x14ac:dyDescent="0.35">
      <c r="A53" s="61" t="s">
        <v>32</v>
      </c>
      <c r="B53" s="142">
        <f t="shared" ref="B53:V53" si="37">B46</f>
        <v>0.1450496093193806</v>
      </c>
      <c r="C53" s="142">
        <f t="shared" si="37"/>
        <v>0.18981258839163509</v>
      </c>
      <c r="D53" s="142">
        <f t="shared" si="37"/>
        <v>9.9485793075123063E-2</v>
      </c>
      <c r="E53" s="142">
        <f t="shared" si="37"/>
        <v>0.48574289496984346</v>
      </c>
      <c r="F53" s="142">
        <f t="shared" si="37"/>
        <v>1.0265390598149535</v>
      </c>
      <c r="G53" s="142">
        <f t="shared" si="37"/>
        <v>1.6022148856308811</v>
      </c>
      <c r="H53" s="142">
        <f t="shared" si="37"/>
        <v>2.9851647989215784</v>
      </c>
      <c r="I53" s="142">
        <f t="shared" si="37"/>
        <v>4.1323418741561327E-2</v>
      </c>
      <c r="J53" s="142">
        <f t="shared" si="37"/>
        <v>0.1341665251109444</v>
      </c>
      <c r="K53" s="142">
        <f t="shared" si="37"/>
        <v>8.030745461548329E-2</v>
      </c>
      <c r="L53" s="142">
        <f t="shared" si="37"/>
        <v>0.16287708362909195</v>
      </c>
      <c r="M53" s="142">
        <f t="shared" si="37"/>
        <v>9.4108487067195198E-2</v>
      </c>
      <c r="N53" s="142"/>
      <c r="O53" s="142">
        <f t="shared" si="37"/>
        <v>1.0000000000000002</v>
      </c>
      <c r="P53" s="142">
        <f t="shared" si="37"/>
        <v>1.9002937811495046</v>
      </c>
      <c r="Q53" s="142">
        <f t="shared" si="37"/>
        <v>8.7880479912498671E-2</v>
      </c>
      <c r="R53" s="142">
        <f t="shared" si="37"/>
        <v>0.66093005679724093</v>
      </c>
      <c r="S53" s="142">
        <f t="shared" si="37"/>
        <v>0.87409558474725702</v>
      </c>
      <c r="T53" s="142">
        <f t="shared" si="37"/>
        <v>0.40432898872539297</v>
      </c>
      <c r="U53" s="142">
        <f t="shared" si="37"/>
        <v>0.16924118748770201</v>
      </c>
      <c r="V53" s="142">
        <f t="shared" si="37"/>
        <v>0.14674051350066131</v>
      </c>
    </row>
    <row r="54" spans="1:22" s="3" customFormat="1" x14ac:dyDescent="0.35">
      <c r="A54" s="61" t="s">
        <v>2</v>
      </c>
      <c r="B54" s="142">
        <f t="shared" ref="B54:V54" si="38">B48</f>
        <v>3.7815450523442852E-2</v>
      </c>
      <c r="C54" s="142">
        <f t="shared" si="38"/>
        <v>9.594662620959489E-2</v>
      </c>
      <c r="D54" s="142">
        <f t="shared" si="38"/>
        <v>1.4624390567297909E-2</v>
      </c>
      <c r="E54" s="142">
        <f t="shared" si="38"/>
        <v>9.5483345714446055E-2</v>
      </c>
      <c r="F54" s="142">
        <f t="shared" si="38"/>
        <v>0.10327566910534711</v>
      </c>
      <c r="G54" s="142">
        <f t="shared" si="38"/>
        <v>9.1370273581671546E-2</v>
      </c>
      <c r="H54" s="142">
        <f t="shared" si="38"/>
        <v>0.24764820572380364</v>
      </c>
      <c r="I54" s="142">
        <f t="shared" si="38"/>
        <v>1.2773956514621694E-2</v>
      </c>
      <c r="J54" s="142">
        <f t="shared" si="38"/>
        <v>4.0682038865895644E-2</v>
      </c>
      <c r="K54" s="142">
        <f t="shared" si="38"/>
        <v>1.9400428366936572E-2</v>
      </c>
      <c r="L54" s="142">
        <f t="shared" si="38"/>
        <v>4.3724787808546356E-2</v>
      </c>
      <c r="M54" s="142">
        <f t="shared" si="38"/>
        <v>3.2010801020391749E-2</v>
      </c>
      <c r="N54" s="142"/>
      <c r="O54" s="142">
        <f t="shared" si="38"/>
        <v>0.20018832035569609</v>
      </c>
      <c r="P54" s="142">
        <f t="shared" si="38"/>
        <v>0.16671849832962307</v>
      </c>
      <c r="Q54" s="142">
        <f t="shared" si="38"/>
        <v>2.2524312465625501E-2</v>
      </c>
      <c r="R54" s="142">
        <f t="shared" si="38"/>
        <v>0.14962796022698488</v>
      </c>
      <c r="S54" s="142">
        <f t="shared" si="38"/>
        <v>0.23473999221883468</v>
      </c>
      <c r="T54" s="142">
        <f t="shared" si="38"/>
        <v>0.16429952350724808</v>
      </c>
      <c r="U54" s="142">
        <f t="shared" si="38"/>
        <v>7.6011130877486496E-2</v>
      </c>
      <c r="V54" s="142">
        <f t="shared" si="38"/>
        <v>4.4917685150935971E-2</v>
      </c>
    </row>
    <row r="55" spans="1:22" s="3" customFormat="1" x14ac:dyDescent="0.35">
      <c r="A55" s="61" t="s">
        <v>79</v>
      </c>
      <c r="B55" s="142">
        <f>(B53*100/$B53)-100</f>
        <v>0</v>
      </c>
      <c r="C55" s="142">
        <f t="shared" ref="C55:V55" si="39">(C53*100/$B53)-100</f>
        <v>30.860461660184257</v>
      </c>
      <c r="D55" s="142">
        <f t="shared" si="39"/>
        <v>-31.412574262045666</v>
      </c>
      <c r="E55" s="142">
        <f t="shared" si="39"/>
        <v>234.88052622072223</v>
      </c>
      <c r="F55" s="142">
        <f t="shared" si="39"/>
        <v>607.71583917516557</v>
      </c>
      <c r="G55" s="142">
        <f t="shared" si="39"/>
        <v>1004.5978635509523</v>
      </c>
      <c r="H55" s="142">
        <f t="shared" si="39"/>
        <v>1958.0302235414019</v>
      </c>
      <c r="I55" s="142">
        <f t="shared" si="39"/>
        <v>-71.510837612411308</v>
      </c>
      <c r="J55" s="142">
        <f t="shared" si="39"/>
        <v>-7.5030082876493935</v>
      </c>
      <c r="K55" s="142">
        <f t="shared" si="39"/>
        <v>-44.634490921891008</v>
      </c>
      <c r="L55" s="142">
        <f t="shared" si="39"/>
        <v>12.290604844345054</v>
      </c>
      <c r="M55" s="142">
        <f t="shared" si="39"/>
        <v>-35.119792801385344</v>
      </c>
      <c r="N55" s="142"/>
      <c r="O55" s="142">
        <f t="shared" si="39"/>
        <v>589.41929915724813</v>
      </c>
      <c r="P55" s="142">
        <f t="shared" si="39"/>
        <v>1210.0992067929683</v>
      </c>
      <c r="Q55" s="142">
        <f t="shared" si="39"/>
        <v>-39.413501129122558</v>
      </c>
      <c r="R55" s="142">
        <f t="shared" si="39"/>
        <v>355.65793654911391</v>
      </c>
      <c r="S55" s="142">
        <f t="shared" si="39"/>
        <v>502.61836543289883</v>
      </c>
      <c r="T55" s="142">
        <f t="shared" si="39"/>
        <v>178.75220803601923</v>
      </c>
      <c r="U55" s="142">
        <f t="shared" si="39"/>
        <v>16.678140866311935</v>
      </c>
      <c r="V55" s="142">
        <f t="shared" si="39"/>
        <v>1.1657419756006107</v>
      </c>
    </row>
    <row r="56" spans="1:22" s="3" customFormat="1" x14ac:dyDescent="0.35">
      <c r="A56" s="61" t="s">
        <v>81</v>
      </c>
      <c r="B56" s="142">
        <f>[1]!SWTEST(B28:B43)</f>
        <v>0.4040284820737875</v>
      </c>
      <c r="C56" s="142">
        <f>[1]!SWTEST(C28:C43)</f>
        <v>1.8877171850173458E-4</v>
      </c>
      <c r="D56" s="142">
        <f>[1]!SWTEST(D28:D43)</f>
        <v>0.74094465336840898</v>
      </c>
      <c r="E56" s="142">
        <f>[1]!SWTEST(E28:E43)</f>
        <v>0.76749532554956201</v>
      </c>
      <c r="F56" s="142">
        <f>[1]!SWTEST(F28:F43)</f>
        <v>0.72814919369749265</v>
      </c>
      <c r="G56" s="142">
        <f>[1]!SWTEST(G28:G43)</f>
        <v>0.86174667725052778</v>
      </c>
      <c r="H56" s="142">
        <f>[1]!SWTEST(H28:H43)</f>
        <v>0.971379745165455</v>
      </c>
      <c r="I56" s="142">
        <f>[1]!SWTEST(I28:I43)</f>
        <v>2.0807949992098229E-2</v>
      </c>
      <c r="J56" s="142">
        <f>[1]!SWTEST(J28:J43)</f>
        <v>6.6365541972254971E-2</v>
      </c>
      <c r="K56" s="142">
        <f>[1]!SWTEST(K28:K43)</f>
        <v>0.46908116277895773</v>
      </c>
      <c r="L56" s="142">
        <f>[1]!SWTEST(L28:L43)</f>
        <v>0.20805600620157949</v>
      </c>
      <c r="M56" s="142">
        <f>[1]!SWTEST(M28:M43)</f>
        <v>0.24893834435526863</v>
      </c>
      <c r="N56" s="142" t="e">
        <f>[1]!SWTEST(N28:N43)</f>
        <v>#VALUE!</v>
      </c>
      <c r="O56" s="142">
        <f>[1]!SWTEST(O28:O43)</f>
        <v>0.2742251506283816</v>
      </c>
      <c r="P56" s="142">
        <f>[1]!SWTEST(P28:P43)</f>
        <v>0.59934788870665856</v>
      </c>
      <c r="Q56" s="142">
        <f>[1]!SWTEST(Q28:Q43)</f>
        <v>0.39479425191621675</v>
      </c>
      <c r="R56" s="142">
        <f>[1]!SWTEST(R28:R43)</f>
        <v>0.92022292043028719</v>
      </c>
      <c r="S56" s="142">
        <f>[1]!SWTEST(S28:S43)</f>
        <v>0.4328805887799001</v>
      </c>
      <c r="T56" s="142">
        <f>[1]!SWTEST(T28:T43)</f>
        <v>2.4266970980658664E-2</v>
      </c>
      <c r="U56" s="142">
        <f>[1]!SWTEST(U28:U43)</f>
        <v>1.5676360789779187E-3</v>
      </c>
      <c r="V56" s="142">
        <f>[1]!SWTEST(V28:V43)</f>
        <v>0.15441874094038111</v>
      </c>
    </row>
    <row r="57" spans="1:22" s="3" customFormat="1" x14ac:dyDescent="0.35">
      <c r="A57" s="61" t="s">
        <v>85</v>
      </c>
      <c r="B57" s="142" t="str">
        <f>IF(B56&gt;0.05,"Oui","Non")</f>
        <v>Oui</v>
      </c>
      <c r="C57" s="142" t="str">
        <f t="shared" ref="C57:V57" si="40">IF(C56&gt;0.05,"Oui","Non")</f>
        <v>Non</v>
      </c>
      <c r="D57" s="142" t="str">
        <f t="shared" si="40"/>
        <v>Oui</v>
      </c>
      <c r="E57" s="142" t="str">
        <f t="shared" si="40"/>
        <v>Oui</v>
      </c>
      <c r="F57" s="142" t="str">
        <f t="shared" si="40"/>
        <v>Oui</v>
      </c>
      <c r="G57" s="142" t="str">
        <f t="shared" si="40"/>
        <v>Oui</v>
      </c>
      <c r="H57" s="142" t="str">
        <f t="shared" si="40"/>
        <v>Oui</v>
      </c>
      <c r="I57" s="142" t="str">
        <f t="shared" si="40"/>
        <v>Non</v>
      </c>
      <c r="J57" s="142" t="str">
        <f t="shared" si="40"/>
        <v>Oui</v>
      </c>
      <c r="K57" s="142" t="str">
        <f t="shared" si="40"/>
        <v>Oui</v>
      </c>
      <c r="L57" s="142" t="str">
        <f t="shared" si="40"/>
        <v>Oui</v>
      </c>
      <c r="M57" s="142" t="str">
        <f t="shared" si="40"/>
        <v>Oui</v>
      </c>
      <c r="N57" s="142"/>
      <c r="O57" s="142" t="str">
        <f t="shared" si="40"/>
        <v>Oui</v>
      </c>
      <c r="P57" s="142" t="str">
        <f t="shared" si="40"/>
        <v>Oui</v>
      </c>
      <c r="Q57" s="142" t="str">
        <f t="shared" si="40"/>
        <v>Oui</v>
      </c>
      <c r="R57" s="142" t="str">
        <f t="shared" si="40"/>
        <v>Oui</v>
      </c>
      <c r="S57" s="142" t="str">
        <f t="shared" si="40"/>
        <v>Oui</v>
      </c>
      <c r="T57" s="142" t="str">
        <f t="shared" si="40"/>
        <v>Non</v>
      </c>
      <c r="U57" s="142" t="str">
        <f t="shared" si="40"/>
        <v>Non</v>
      </c>
      <c r="V57" s="142" t="str">
        <f t="shared" si="40"/>
        <v>Oui</v>
      </c>
    </row>
    <row r="58" spans="1:22" s="3" customFormat="1" x14ac:dyDescent="0.3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35">
      <c r="A59" s="61" t="s">
        <v>82</v>
      </c>
      <c r="B59" s="151"/>
      <c r="C59" s="151" t="str">
        <f t="shared" ref="C59:O59" si="41">IF($B57="Non",IF(C57="Non","MW",IF(C57="Oui","MW","")),IF($B57="Oui",IF(C57="Oui","T-Test Welch",IF(C57="Non","MW",""))))</f>
        <v>MW</v>
      </c>
      <c r="D59" s="151" t="str">
        <f t="shared" si="41"/>
        <v>T-Test Welch</v>
      </c>
      <c r="E59" s="151" t="str">
        <f t="shared" si="41"/>
        <v>T-Test Welch</v>
      </c>
      <c r="F59" s="151" t="str">
        <f t="shared" si="41"/>
        <v>T-Test Welch</v>
      </c>
      <c r="G59" s="151" t="str">
        <f t="shared" si="41"/>
        <v>T-Test Welch</v>
      </c>
      <c r="H59" s="151" t="str">
        <f t="shared" si="41"/>
        <v>T-Test Welch</v>
      </c>
      <c r="I59" s="151" t="str">
        <f t="shared" si="41"/>
        <v>MW</v>
      </c>
      <c r="J59" s="151" t="str">
        <f t="shared" si="41"/>
        <v>T-Test Welch</v>
      </c>
      <c r="K59" s="151" t="str">
        <f t="shared" si="41"/>
        <v>T-Test Welch</v>
      </c>
      <c r="L59" s="151" t="str">
        <f t="shared" si="41"/>
        <v>T-Test Welch</v>
      </c>
      <c r="M59" s="151" t="str">
        <f t="shared" si="41"/>
        <v>T-Test Welch</v>
      </c>
      <c r="N59" s="151"/>
      <c r="O59" s="151" t="str">
        <f t="shared" si="41"/>
        <v>T-Test Welch</v>
      </c>
      <c r="P59" s="151" t="str">
        <f>IF($O57="Non",IF(P57="Non","MW",IF(P57="Oui","MW","")),IF($O57="Oui",IF(P57="Oui","T-Test Welch",IF(P57="Non","MW",""))))</f>
        <v>T-Test Welch</v>
      </c>
      <c r="Q59" s="151" t="str">
        <f t="shared" ref="Q59:V59" si="42">IF($O57="Non",IF(Q57="Non","MW",IF(Q57="Oui","MW","")),IF($O57="Oui",IF(Q57="Oui","T-Test Welch",IF(Q57="Non","MW",""))))</f>
        <v>T-Test Welch</v>
      </c>
      <c r="R59" s="151" t="str">
        <f t="shared" si="42"/>
        <v>T-Test Welch</v>
      </c>
      <c r="S59" s="151" t="str">
        <f t="shared" si="42"/>
        <v>T-Test Welch</v>
      </c>
      <c r="T59" s="151" t="str">
        <f t="shared" si="42"/>
        <v>MW</v>
      </c>
      <c r="U59" s="151" t="str">
        <f t="shared" si="42"/>
        <v>MW</v>
      </c>
      <c r="V59" s="151" t="str">
        <f t="shared" si="42"/>
        <v>T-Test Welch</v>
      </c>
    </row>
    <row r="60" spans="1:22" s="3" customFormat="1" x14ac:dyDescent="0.35">
      <c r="A60" s="61" t="s">
        <v>83</v>
      </c>
      <c r="B60" s="152"/>
      <c r="C60" s="152">
        <f>IF(C59="MW",[1]!MTEST($B28:$B43,C28:C43,2), IF(C59="T-Test Welch",_xlfn.T.TEST($B28:$B43,C28:C43,2,3),""))</f>
        <v>0.59951017856000322</v>
      </c>
      <c r="D60" s="152">
        <f>IF(D59="MW",[2]!MTEST($B28:$B43,D28:D43,2), IF(D59="T-Test Welch",_xlfn.T.TEST($B28:$B43,D28:D43,2,3),""))</f>
        <v>0.29003290317526637</v>
      </c>
      <c r="E60" s="152">
        <f>IF(E59="MW",[2]!MTEST($B28:$B43,E28:E43,2), IF(E59="T-Test Welch",_xlfn.T.TEST($B28:$B43,E28:E43,2,3),""))</f>
        <v>8.785001248709649E-3</v>
      </c>
      <c r="F60" s="152">
        <f>IF(F59="MW",[2]!MTEST($B28:$B43,F28:F43,2), IF(F59="T-Test Welch",_xlfn.T.TEST($B28:$B43,F28:F43,2,3),""))</f>
        <v>2.4172514281880582E-5</v>
      </c>
      <c r="G60" s="152">
        <f>IF(G59="MW",[2]!MTEST($B28:$B43,G28:G43,2), IF(G59="T-Test Welch",_xlfn.T.TEST($B28:$B43,G28:G43,2,3),""))</f>
        <v>8.9412348754981667E-8</v>
      </c>
      <c r="H60" s="152">
        <f>IF(H59="MW",[2]!MTEST($B28:$B43,H28:H43,2), IF(H59="T-Test Welch",_xlfn.T.TEST($B28:$B43,H28:H43,2,3),""))</f>
        <v>6.5858802255410716E-6</v>
      </c>
      <c r="I60" s="152">
        <f>IF(I59="MW",[1]!MTEST($B28:$B43,I28:I43,2), IF(I59="T-Test Welch",_xlfn.T.TEST($B28:$B43,I28:I43,2,3),""))</f>
        <v>2.7423154381354564E-2</v>
      </c>
      <c r="J60" s="152">
        <f>IF(J59="MW",[2]!MTEST($B28:$B43,J28:J43,2), IF(J59="T-Test Welch",_xlfn.T.TEST($B28:$B43,J28:J43,2,3),""))</f>
        <v>0.84748794957240514</v>
      </c>
      <c r="K60" s="152">
        <f>IF(K59="MW",[2]!MTEST($B28:$B43,K28:K43,2), IF(K59="T-Test Welch",_xlfn.T.TEST($B28:$B43,K28:K43,2,3),""))</f>
        <v>0.15736937090752973</v>
      </c>
      <c r="L60" s="152">
        <f>IF(L59="MW",[2]!MTEST($B28:$B43,L28:L43,2), IF(L59="T-Test Welch",_xlfn.T.TEST($B28:$B43,L28:L43,2,3),""))</f>
        <v>0.76242248264546386</v>
      </c>
      <c r="M60" s="152">
        <f>IF(M59="MW",[2]!MTEST($B28:$B43,M28:M43,2), IF(M59="T-Test Welch",_xlfn.T.TEST($B28:$B43,M28:M43,2,3),""))</f>
        <v>0.3217685679962049</v>
      </c>
      <c r="N60" s="152"/>
      <c r="O60" s="152">
        <f>IF(O59="MW",[2]!MTEST($B28:$B43,O28:O43,2), IF(O59="T-Test Welch",_xlfn.T.TEST($B28:$B43,O28:O43,2,3),""))</f>
        <v>7.8060386813240477E-4</v>
      </c>
      <c r="P60" s="152">
        <f>IF(P59="MW",[2]!MTEST($O28:$O43,P28:P43,2), IF(P59="T-Test Welch",_xlfn.T.TEST($O28:$O43,P28:P43,2,3),""))</f>
        <v>2.4348273220751965E-3</v>
      </c>
      <c r="Q60" s="152">
        <f>IF(Q59="MW",[2]!MTEST($O28:$O43,Q28:Q43,2), IF(Q59="T-Test Welch",_xlfn.T.TEST($O28:$O43,Q28:Q43,2,3),""))</f>
        <v>4.4564885973766749E-4</v>
      </c>
      <c r="R60" s="152">
        <f>IF(R59="MW",[2]!MTEST($O28:$O43,R28:R43,2), IF(R59="T-Test Welch",_xlfn.T.TEST($O28:$O43,R28:R43,2,3),""))</f>
        <v>0.18933213067824245</v>
      </c>
      <c r="S60" s="152">
        <f>IF(S59="MW",[2]!MTEST($O28:$O43,S28:S43,2), IF(S59="T-Test Welch",_xlfn.T.TEST($O28:$O43,S28:S43,2,3),""))</f>
        <v>0.68843814314205454</v>
      </c>
      <c r="T60" s="152">
        <f>IF(T59="MW",[1]!MTEST($B28:$B43,T28:T43,2), IF(T59="T-Test Welch",_xlfn.T.TEST($B28:$B43,T28:T43,2,3),""))</f>
        <v>0.34456236532569795</v>
      </c>
      <c r="U60" s="152">
        <f>IF(U59="MW",[1]!MTEST($B28:$B43,U28:U43,2), IF(U59="T-Test Welch",_xlfn.T.TEST($B28:$B43,U28:U43,2,3),""))</f>
        <v>0.59951017856000322</v>
      </c>
      <c r="V60" s="152">
        <f>IF(V59="MW",[2]!MTEST($O28:$O43,V28:V43,2), IF(V59="T-Test Welch",_xlfn.T.TEST($O28:$O43,V28:V43,2,3),""))</f>
        <v>8.0053130902524663E-4</v>
      </c>
    </row>
    <row r="61" spans="1:22" s="3" customFormat="1" ht="15" thickBot="1" x14ac:dyDescent="0.4">
      <c r="A61" s="62" t="s">
        <v>84</v>
      </c>
      <c r="B61" s="143"/>
      <c r="C61" s="143" t="str">
        <f t="shared" ref="C61:O61" si="43">IF(C60&gt;0.05,"NS",IF(C60&gt;0.01,"*",IF(C60&gt;0.001,"**","***")))</f>
        <v>NS</v>
      </c>
      <c r="D61" s="143" t="str">
        <f t="shared" si="43"/>
        <v>NS</v>
      </c>
      <c r="E61" s="143" t="str">
        <f t="shared" si="43"/>
        <v>**</v>
      </c>
      <c r="F61" s="143" t="str">
        <f t="shared" si="43"/>
        <v>***</v>
      </c>
      <c r="G61" s="143" t="str">
        <f t="shared" si="43"/>
        <v>***</v>
      </c>
      <c r="H61" s="143" t="str">
        <f t="shared" si="43"/>
        <v>***</v>
      </c>
      <c r="I61" s="143" t="str">
        <f t="shared" si="43"/>
        <v>*</v>
      </c>
      <c r="J61" s="143" t="str">
        <f t="shared" si="43"/>
        <v>NS</v>
      </c>
      <c r="K61" s="143" t="str">
        <f t="shared" si="43"/>
        <v>NS</v>
      </c>
      <c r="L61" s="143" t="str">
        <f t="shared" si="43"/>
        <v>NS</v>
      </c>
      <c r="M61" s="143" t="str">
        <f t="shared" si="43"/>
        <v>NS</v>
      </c>
      <c r="N61" s="143"/>
      <c r="O61" s="143" t="str">
        <f t="shared" si="43"/>
        <v>***</v>
      </c>
      <c r="P61" s="143" t="str">
        <f>IF(P60&gt;0.05,"NS",IF(P60&gt;0.01,"*",IF(P60&gt;0.001,"**","***")))</f>
        <v>**</v>
      </c>
      <c r="Q61" s="143" t="str">
        <f t="shared" ref="Q61:V61" si="44">IF(Q60&gt;0.05,"NS",IF(Q60&gt;0.01,"*",IF(Q60&gt;0.001,"**","***")))</f>
        <v>***</v>
      </c>
      <c r="R61" s="143" t="str">
        <f t="shared" si="44"/>
        <v>NS</v>
      </c>
      <c r="S61" s="143" t="str">
        <f t="shared" si="44"/>
        <v>NS</v>
      </c>
      <c r="T61" s="143" t="str">
        <f t="shared" si="44"/>
        <v>NS</v>
      </c>
      <c r="U61" s="143" t="str">
        <f t="shared" si="44"/>
        <v>NS</v>
      </c>
      <c r="V61" s="143" t="str">
        <f t="shared" si="44"/>
        <v>***</v>
      </c>
    </row>
    <row r="63" spans="1:22" x14ac:dyDescent="0.35">
      <c r="A63" s="2" t="s">
        <v>39</v>
      </c>
    </row>
    <row r="64" spans="1:22" x14ac:dyDescent="0.35">
      <c r="A64" s="1" t="s">
        <v>23</v>
      </c>
      <c r="B64" s="1">
        <f>B46+(3*B47)</f>
        <v>0.46592434730439047</v>
      </c>
    </row>
    <row r="65" spans="1:22" x14ac:dyDescent="0.35">
      <c r="A65" s="1" t="s">
        <v>24</v>
      </c>
      <c r="B65" s="1">
        <f>B46+(10*B47)</f>
        <v>1.2146320692694133</v>
      </c>
    </row>
    <row r="66" spans="1:22" ht="15" thickBot="1" x14ac:dyDescent="0.4"/>
    <row r="67" spans="1:22" ht="26.5" thickBot="1" x14ac:dyDescent="0.65">
      <c r="A67" s="212" t="s">
        <v>45</v>
      </c>
      <c r="B67" s="213"/>
      <c r="C67" s="213"/>
      <c r="D67" s="213"/>
      <c r="E67" s="213"/>
      <c r="F67" s="213"/>
      <c r="G67" s="213"/>
      <c r="H67" s="213"/>
      <c r="I67" s="213"/>
      <c r="J67" s="213"/>
      <c r="K67" s="213"/>
      <c r="L67" s="213"/>
      <c r="M67" s="213"/>
      <c r="N67" s="213"/>
      <c r="O67" s="213"/>
      <c r="P67" s="213"/>
      <c r="Q67" s="213"/>
      <c r="R67" s="213"/>
      <c r="S67" s="213"/>
      <c r="T67" s="213"/>
      <c r="U67" s="213"/>
      <c r="V67" s="213"/>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93"/>
  <sheetViews>
    <sheetView showGridLines="0" topLeftCell="G46" zoomScale="70" zoomScaleNormal="70" workbookViewId="0">
      <selection activeCell="V83" sqref="V83"/>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18" t="s">
        <v>6</v>
      </c>
      <c r="C3" s="219"/>
      <c r="D3" s="219"/>
      <c r="E3" s="219"/>
      <c r="F3" s="219"/>
      <c r="G3" s="219"/>
      <c r="H3" s="219"/>
      <c r="I3" s="219"/>
      <c r="J3" s="219"/>
      <c r="K3" s="219"/>
      <c r="L3" s="219"/>
      <c r="M3" s="219"/>
      <c r="N3" s="72"/>
      <c r="O3" s="218" t="s">
        <v>3</v>
      </c>
      <c r="P3" s="219"/>
      <c r="Q3" s="219"/>
      <c r="R3" s="219"/>
      <c r="S3" s="219"/>
      <c r="T3" s="219"/>
      <c r="U3" s="219"/>
      <c r="V3" s="219"/>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Prochloraz-12µg/L</v>
      </c>
      <c r="J4" s="35" t="str">
        <f>'R1'!J4</f>
        <v>Prochloraz-37µg/L</v>
      </c>
      <c r="K4" s="35" t="str">
        <f>'R1'!K4</f>
        <v>Prochloraz-111µg/L</v>
      </c>
      <c r="L4" s="35" t="str">
        <f>'R1'!L4</f>
        <v>Prochloraz-333µg/L</v>
      </c>
      <c r="M4" s="35" t="str">
        <f>'R1'!M4</f>
        <v>Prochloraz-1000µg/L</v>
      </c>
      <c r="O4" s="35" t="str">
        <f>'R1'!O4</f>
        <v>Testo -30µg/L</v>
      </c>
      <c r="P4" s="35" t="str">
        <f>'R1'!P4</f>
        <v>Testo 30µg/L + EE2 -64ng/L</v>
      </c>
      <c r="Q4" s="35" t="str">
        <f>'R1'!Q4</f>
        <v>Testo 30µg/L + FAD-10mg/L</v>
      </c>
      <c r="R4" s="35" t="str">
        <f>'R1'!R4</f>
        <v>Prochloraz-12µg/L + Testostérone</v>
      </c>
      <c r="S4" s="35" t="str">
        <f>'R1'!S4</f>
        <v>Prochloraz-37µg/L + Testostérone</v>
      </c>
      <c r="T4" s="35" t="str">
        <f>'R1'!T4</f>
        <v>Prochloraz-111µg/L + Testostérone</v>
      </c>
      <c r="U4" s="35" t="str">
        <f>'R1'!U4</f>
        <v>Prochloraz-333µg/L + Testostérone</v>
      </c>
      <c r="V4" s="35" t="str">
        <f>'R1'!V4</f>
        <v>Prochloraz-1000µg/L + Testostérone</v>
      </c>
    </row>
    <row r="5" spans="1:22" s="1" customFormat="1" x14ac:dyDescent="0.35">
      <c r="A5" s="34"/>
      <c r="B5" s="35"/>
      <c r="C5" s="195" t="s">
        <v>165</v>
      </c>
      <c r="D5" s="35"/>
      <c r="E5" s="35"/>
      <c r="F5" s="35"/>
      <c r="G5" s="35"/>
      <c r="H5" s="35"/>
      <c r="I5" s="35"/>
      <c r="J5" s="35"/>
      <c r="K5" s="35"/>
      <c r="L5" s="35"/>
      <c r="M5" s="35"/>
      <c r="O5" s="35"/>
      <c r="P5" s="35"/>
      <c r="Q5" s="35"/>
      <c r="R5" s="35"/>
      <c r="S5" s="35"/>
      <c r="T5" s="35"/>
      <c r="U5" s="35"/>
      <c r="V5" s="35"/>
    </row>
    <row r="6" spans="1:22" s="1" customFormat="1" x14ac:dyDescent="0.35">
      <c r="A6" s="71" t="s">
        <v>4</v>
      </c>
      <c r="B6" s="53">
        <f>'R1'!B28</f>
        <v>0.53617308922853635</v>
      </c>
      <c r="C6" s="53">
        <f>'R1'!C28</f>
        <v>6.8564307602998364E-2</v>
      </c>
      <c r="D6" s="53">
        <f>'R1'!D28</f>
        <v>0.10221379447992045</v>
      </c>
      <c r="E6" s="53">
        <f>'R1'!E28</f>
        <v>0.30230829425003897</v>
      </c>
      <c r="F6" s="53">
        <f>'R1'!F28</f>
        <v>0.69250586256997049</v>
      </c>
      <c r="G6" s="53">
        <f>'R1'!G28</f>
        <v>2.7997224076833618</v>
      </c>
      <c r="H6" s="53">
        <f>'R1'!H28</f>
        <v>3.2205161414667991</v>
      </c>
      <c r="I6" s="53">
        <f>'R1'!I28</f>
        <v>0.10288600308728361</v>
      </c>
      <c r="J6" s="53">
        <f>'R1'!J28</f>
        <v>8.8072912437187414E-2</v>
      </c>
      <c r="K6" s="53">
        <f>'R1'!K28</f>
        <v>0.4775936629965476</v>
      </c>
      <c r="L6" s="53">
        <f>'R1'!L28</f>
        <v>0.39075915725029814</v>
      </c>
      <c r="M6" s="53">
        <f>'R1'!M28</f>
        <v>0.17599396540551546</v>
      </c>
      <c r="N6"/>
      <c r="O6" s="53">
        <f>'R1'!O28</f>
        <v>1.3273145878668047</v>
      </c>
      <c r="P6" s="53">
        <f>'R1'!P28</f>
        <v>1.2872604400200889</v>
      </c>
      <c r="Q6" s="53">
        <f>'R1'!Q28</f>
        <v>1.4146218956974103E-2</v>
      </c>
      <c r="R6" s="53">
        <f>'R1'!R28</f>
        <v>0.19152559878206768</v>
      </c>
      <c r="S6" s="53">
        <f>'R1'!S28</f>
        <v>2.9677461768438693</v>
      </c>
      <c r="T6" s="53">
        <f>'R1'!T28</f>
        <v>0.73446225646310936</v>
      </c>
      <c r="U6" s="53">
        <f>'R1'!U28</f>
        <v>1.7237020063583269E-2</v>
      </c>
      <c r="V6" s="53" t="str">
        <f>'R1'!V28</f>
        <v/>
      </c>
    </row>
    <row r="7" spans="1:22" s="1" customFormat="1" x14ac:dyDescent="0.35">
      <c r="A7" s="222" t="s">
        <v>34</v>
      </c>
      <c r="B7" s="53">
        <f>'R1'!B29</f>
        <v>4.0486801780758475E-2</v>
      </c>
      <c r="C7" s="53">
        <f>'R1'!C29</f>
        <v>0.29374982450345927</v>
      </c>
      <c r="D7" s="53">
        <f>'R1'!D29</f>
        <v>0.10259223021701409</v>
      </c>
      <c r="E7" s="53">
        <f>'R1'!E29</f>
        <v>0.20452801998237727</v>
      </c>
      <c r="F7" s="53">
        <f>'R1'!F29</f>
        <v>1.354904008622998</v>
      </c>
      <c r="G7" s="53">
        <f>'R1'!G29</f>
        <v>2.9612448449502091</v>
      </c>
      <c r="H7" s="53">
        <f>'R1'!H29</f>
        <v>4.2015565716851597</v>
      </c>
      <c r="I7" s="53">
        <f>'R1'!I29</f>
        <v>5.8316461912110852E-2</v>
      </c>
      <c r="J7" s="53">
        <f>'R1'!J29</f>
        <v>1.8721895157653965E-2</v>
      </c>
      <c r="K7" s="53">
        <f>'R1'!K29</f>
        <v>2.1959461405892406E-2</v>
      </c>
      <c r="L7" s="53">
        <f>'R1'!L29</f>
        <v>0.12370627588971972</v>
      </c>
      <c r="M7" s="53">
        <f>'R1'!M29</f>
        <v>2.9223972036024903E-2</v>
      </c>
      <c r="N7"/>
      <c r="O7" s="53">
        <f>'R1'!O29</f>
        <v>3.9238048753803239</v>
      </c>
      <c r="P7" s="53">
        <f>'R1'!P29</f>
        <v>1.2321027035776553</v>
      </c>
      <c r="Q7" s="53">
        <f>'R1'!Q29</f>
        <v>0.13063747196679665</v>
      </c>
      <c r="R7" s="53">
        <f>'R1'!R29</f>
        <v>2.7789331860183282</v>
      </c>
      <c r="S7" s="53">
        <f>'R1'!S29</f>
        <v>1.8615353368311551</v>
      </c>
      <c r="T7" s="53">
        <f>'R1'!T29</f>
        <v>1.5700625553060483</v>
      </c>
      <c r="U7" s="53">
        <f>'R1'!U29</f>
        <v>0.13884952746172904</v>
      </c>
      <c r="V7" s="53">
        <f>'R1'!V29</f>
        <v>9.4385269049311826E-2</v>
      </c>
    </row>
    <row r="8" spans="1:22" s="1" customFormat="1" x14ac:dyDescent="0.35">
      <c r="A8" s="223"/>
      <c r="B8" s="53">
        <f>'R1'!B30</f>
        <v>9.5502988702298383E-2</v>
      </c>
      <c r="C8" s="53">
        <f>'R1'!C30</f>
        <v>8.9673501535484812E-2</v>
      </c>
      <c r="D8" s="53">
        <f>'R1'!D30</f>
        <v>0.40963315446382237</v>
      </c>
      <c r="E8" s="53">
        <f>'R1'!E30</f>
        <v>0.17658721194081195</v>
      </c>
      <c r="F8" s="53">
        <f>'R1'!F30</f>
        <v>1.4100248718397661</v>
      </c>
      <c r="G8" s="53">
        <f>'R1'!G30</f>
        <v>2.2217638271109061</v>
      </c>
      <c r="H8" s="53">
        <f>'R1'!H30</f>
        <v>3.0712510193961058</v>
      </c>
      <c r="I8" s="53">
        <f>'R1'!I30</f>
        <v>1.1585955643328929E-2</v>
      </c>
      <c r="J8" s="53">
        <f>'R1'!J30</f>
        <v>8.2411416775461904E-2</v>
      </c>
      <c r="K8" s="53">
        <f>'R1'!K30</f>
        <v>1.7716978464762632E-2</v>
      </c>
      <c r="L8" s="53">
        <f>'R1'!L30</f>
        <v>0.27775169630483582</v>
      </c>
      <c r="M8" s="53">
        <f>'R1'!M30</f>
        <v>0.15410800786394316</v>
      </c>
      <c r="N8"/>
      <c r="O8" s="53">
        <f>'R1'!O30</f>
        <v>1.6524005895106957</v>
      </c>
      <c r="P8" s="53">
        <f>'R1'!P30</f>
        <v>3.1722950593091888</v>
      </c>
      <c r="Q8" s="53">
        <f>'R1'!Q30</f>
        <v>0.16439272678049621</v>
      </c>
      <c r="R8" s="53">
        <f>'R1'!R30</f>
        <v>1.2970698096886706</v>
      </c>
      <c r="S8" s="53">
        <f>'R1'!S30</f>
        <v>0.17953597835250551</v>
      </c>
      <c r="T8" s="53">
        <f>'R1'!T30</f>
        <v>0.14701682565313978</v>
      </c>
      <c r="U8" s="53">
        <f>'R1'!U30</f>
        <v>0.44201852042664508</v>
      </c>
      <c r="V8" s="53">
        <f>'R1'!V30</f>
        <v>0.26806034521708477</v>
      </c>
    </row>
    <row r="9" spans="1:22" s="1" customFormat="1" x14ac:dyDescent="0.35">
      <c r="A9" s="223"/>
      <c r="B9" s="53">
        <f>'R1'!B31</f>
        <v>0.3203269296629272</v>
      </c>
      <c r="C9" s="53">
        <f>'R1'!C31</f>
        <v>0.43991965760784102</v>
      </c>
      <c r="D9" s="53">
        <f>'R1'!D31</f>
        <v>0.1966781468948044</v>
      </c>
      <c r="E9" s="53">
        <f>'R1'!E31</f>
        <v>0.19635283771311043</v>
      </c>
      <c r="F9" s="53">
        <f>'R1'!F31</f>
        <v>0.38658763100987342</v>
      </c>
      <c r="G9" s="53">
        <f>'R1'!G31</f>
        <v>3.1248819131915728</v>
      </c>
      <c r="H9" s="53">
        <f>'R1'!H31</f>
        <v>2.1570485263172641</v>
      </c>
      <c r="I9" s="53">
        <f>'R1'!I31</f>
        <v>0.20769183977928468</v>
      </c>
      <c r="J9" s="53">
        <f>'R1'!J31</f>
        <v>8.0758428882797675E-2</v>
      </c>
      <c r="K9" s="53">
        <f>'R1'!K31</f>
        <v>9.9302022587397884E-2</v>
      </c>
      <c r="L9" s="53">
        <f>'R1'!L31</f>
        <v>6.3920464452239451E-2</v>
      </c>
      <c r="M9" s="53">
        <f>'R1'!M31</f>
        <v>0.34241229372750653</v>
      </c>
      <c r="N9"/>
      <c r="O9" s="53">
        <f>'R1'!O31</f>
        <v>2.7838496969694031</v>
      </c>
      <c r="P9" s="53">
        <f>'R1'!P31</f>
        <v>2.8010343182386195</v>
      </c>
      <c r="Q9" s="53">
        <f>'R1'!Q31</f>
        <v>0.39015560076703593</v>
      </c>
      <c r="R9" s="53">
        <f>'R1'!R31</f>
        <v>3.3273479435808118</v>
      </c>
      <c r="S9" s="53">
        <f>'R1'!S31</f>
        <v>7.3942704222936501E-2</v>
      </c>
      <c r="T9" s="53">
        <f>'R1'!T31</f>
        <v>2.9432890395731586</v>
      </c>
      <c r="U9" s="53">
        <f>'R1'!U31</f>
        <v>0.63029054221775116</v>
      </c>
      <c r="V9" s="53">
        <f>'R1'!V31</f>
        <v>0.12738995965110894</v>
      </c>
    </row>
    <row r="10" spans="1:22" s="1" customFormat="1" x14ac:dyDescent="0.35">
      <c r="A10" s="223"/>
      <c r="B10" s="53">
        <f>'R1'!B32</f>
        <v>2.6623924452582704E-2</v>
      </c>
      <c r="C10" s="53">
        <f>'R1'!C32</f>
        <v>0.10312689198916439</v>
      </c>
      <c r="D10" s="53">
        <f>'R1'!D32</f>
        <v>0.23215940829146639</v>
      </c>
      <c r="E10" s="53">
        <f>'R1'!E32</f>
        <v>0.26821754160018524</v>
      </c>
      <c r="F10" s="53">
        <f>'R1'!F32</f>
        <v>0.46033602303703297</v>
      </c>
      <c r="G10" s="53">
        <f>'R1'!G32</f>
        <v>1.9819307851953274</v>
      </c>
      <c r="H10" s="53">
        <f>'R1'!H32</f>
        <v>2.4681666104572351</v>
      </c>
      <c r="I10" s="53">
        <f>'R1'!I32</f>
        <v>3.5313148598068445E-2</v>
      </c>
      <c r="J10" s="53" t="str">
        <f>'R1'!J32</f>
        <v/>
      </c>
      <c r="K10" s="53">
        <f>'R1'!K32</f>
        <v>9.2480961013295657E-2</v>
      </c>
      <c r="L10" s="53">
        <f>'R1'!L32</f>
        <v>0.29498871636841911</v>
      </c>
      <c r="M10" s="53">
        <f>'R1'!M32</f>
        <v>0.25828457384952053</v>
      </c>
      <c r="N10"/>
      <c r="O10" s="53">
        <f>'R1'!O32</f>
        <v>0.79132004267833289</v>
      </c>
      <c r="P10" s="53">
        <f>'R1'!P32</f>
        <v>1.309526410114326</v>
      </c>
      <c r="Q10" s="53">
        <f>'R1'!Q32</f>
        <v>5.6700589832123123E-2</v>
      </c>
      <c r="R10" s="53">
        <f>'R1'!R32</f>
        <v>0.37949341646143303</v>
      </c>
      <c r="S10" s="53">
        <f>'R1'!S32</f>
        <v>0.49673547627016895</v>
      </c>
      <c r="T10" s="53">
        <f>'R1'!T32</f>
        <v>0.4375896093675945</v>
      </c>
      <c r="U10" s="53">
        <f>'R1'!U32</f>
        <v>1.773855900525741</v>
      </c>
      <c r="V10" s="53">
        <f>'R1'!V32</f>
        <v>0.48550660870696943</v>
      </c>
    </row>
    <row r="11" spans="1:22" s="1" customFormat="1" x14ac:dyDescent="0.35">
      <c r="A11" s="223"/>
      <c r="B11" s="53">
        <f>'R1'!B33</f>
        <v>5.9324168355628197E-2</v>
      </c>
      <c r="C11" s="53">
        <f>'R1'!C33</f>
        <v>6.6766980438814433E-2</v>
      </c>
      <c r="D11" s="53">
        <f>'R1'!D33</f>
        <v>0.27126613256688781</v>
      </c>
      <c r="E11" s="53">
        <f>'R1'!E33</f>
        <v>0.28678733470196888</v>
      </c>
      <c r="F11" s="53">
        <f>'R1'!F33</f>
        <v>1.9328146782607896</v>
      </c>
      <c r="G11" s="53">
        <f>'R1'!G33</f>
        <v>2.1669339470137814</v>
      </c>
      <c r="H11" s="53">
        <f>'R1'!H33</f>
        <v>2.6325751053934434</v>
      </c>
      <c r="I11" s="53">
        <f>'R1'!I33</f>
        <v>5.6889322526648037E-2</v>
      </c>
      <c r="J11" s="53">
        <f>'R1'!J33</f>
        <v>0.3459171908618201</v>
      </c>
      <c r="K11" s="53">
        <f>'R1'!K33</f>
        <v>0.21525327691082913</v>
      </c>
      <c r="L11" s="53">
        <f>'R1'!L33</f>
        <v>0.13074809164379325</v>
      </c>
      <c r="M11" s="53">
        <f>'R1'!M33</f>
        <v>0.29499914760989032</v>
      </c>
      <c r="N11"/>
      <c r="O11" s="53">
        <f>'R1'!O33</f>
        <v>0.2046643538825354</v>
      </c>
      <c r="P11" s="53">
        <f>'R1'!P33</f>
        <v>3.2828048443898332</v>
      </c>
      <c r="Q11" s="53">
        <f>'R1'!Q33</f>
        <v>0.1607904309612832</v>
      </c>
      <c r="R11" s="53">
        <f>'R1'!R33</f>
        <v>0.77337491112976475</v>
      </c>
      <c r="S11" s="53">
        <f>'R1'!S33</f>
        <v>0.81834253758991871</v>
      </c>
      <c r="T11" s="53">
        <f>'R1'!T33</f>
        <v>6.8233661507063323E-2</v>
      </c>
      <c r="U11" s="53">
        <f>'R1'!U33</f>
        <v>0.10272856411717221</v>
      </c>
      <c r="V11" s="53">
        <f>'R1'!V33</f>
        <v>0.16161680361410982</v>
      </c>
    </row>
    <row r="12" spans="1:22" s="1" customFormat="1" x14ac:dyDescent="0.35">
      <c r="A12" s="223"/>
      <c r="B12" s="53">
        <f>'R1'!B34</f>
        <v>7.2253085691617702E-2</v>
      </c>
      <c r="C12" s="53">
        <f>'R1'!C34</f>
        <v>0.13303059282989213</v>
      </c>
      <c r="D12" s="53">
        <f>'R1'!D34</f>
        <v>2.0605583297738747E-2</v>
      </c>
      <c r="E12" s="53">
        <f>'R1'!E34</f>
        <v>0.17464542421160287</v>
      </c>
      <c r="F12" s="53">
        <f>'R1'!F34</f>
        <v>3.6988920262801792</v>
      </c>
      <c r="G12" s="53">
        <f>'R1'!G34</f>
        <v>2.7513544390906168</v>
      </c>
      <c r="H12" s="53">
        <f>'R1'!H34</f>
        <v>4.6198631821387561</v>
      </c>
      <c r="I12" s="53">
        <f>'R1'!I34</f>
        <v>0.37763083339130155</v>
      </c>
      <c r="J12" s="53">
        <f>'R1'!J34</f>
        <v>5.7099160291126258E-2</v>
      </c>
      <c r="K12" s="53">
        <f>'R1'!K34</f>
        <v>0.26232510310402818</v>
      </c>
      <c r="L12" s="53">
        <f>'R1'!L34</f>
        <v>3.4274391017148541E-2</v>
      </c>
      <c r="M12" s="53">
        <f>'R1'!M34</f>
        <v>0.8253212807211433</v>
      </c>
      <c r="N12"/>
      <c r="O12" s="53">
        <f>'R1'!O34</f>
        <v>0.124708645418996</v>
      </c>
      <c r="P12" s="53">
        <f>'R1'!P34</f>
        <v>1.3117514181788279</v>
      </c>
      <c r="Q12" s="53">
        <f>'R1'!Q34</f>
        <v>0.33149781893050789</v>
      </c>
      <c r="R12" s="53">
        <f>'R1'!R34</f>
        <v>1.0495626489749577</v>
      </c>
      <c r="S12" s="53">
        <f>'R1'!S34</f>
        <v>0.17989791817285405</v>
      </c>
      <c r="T12" s="53">
        <f>'R1'!T34</f>
        <v>1.0767534992721481</v>
      </c>
      <c r="U12" s="53">
        <f>'R1'!U34</f>
        <v>0.4375634099704111</v>
      </c>
      <c r="V12" s="53">
        <f>'R1'!V34</f>
        <v>0.53166048565070545</v>
      </c>
    </row>
    <row r="13" spans="1:22" s="1" customFormat="1" x14ac:dyDescent="0.35">
      <c r="A13" s="223"/>
      <c r="B13" s="53">
        <f>'R1'!B35</f>
        <v>0.10143751604485653</v>
      </c>
      <c r="C13" s="53">
        <f>'R1'!C35</f>
        <v>0.21680122462774876</v>
      </c>
      <c r="D13" s="53">
        <f>'R1'!D35</f>
        <v>2.725877466025841E-2</v>
      </c>
      <c r="E13" s="53">
        <f>'R1'!E35</f>
        <v>0.18933212702899019</v>
      </c>
      <c r="F13" s="53">
        <f>'R1'!F35</f>
        <v>1.6764535768211508</v>
      </c>
      <c r="G13" s="53">
        <f>'R1'!G35</f>
        <v>3.0411481546193815</v>
      </c>
      <c r="H13" s="53">
        <f>'R1'!H35</f>
        <v>5.3229261888385846</v>
      </c>
      <c r="I13" s="53">
        <f>'R1'!I35</f>
        <v>0.1116957929772152</v>
      </c>
      <c r="J13" s="53">
        <f>'R1'!J35</f>
        <v>0.1672106174997782</v>
      </c>
      <c r="K13" s="53">
        <f>'R1'!K35</f>
        <v>0.10968595959143254</v>
      </c>
      <c r="L13" s="53">
        <f>'R1'!L35</f>
        <v>0.30361486789105591</v>
      </c>
      <c r="M13" s="53">
        <f>'R1'!M35</f>
        <v>0.3887701863474578</v>
      </c>
      <c r="N13"/>
      <c r="O13" s="53">
        <f>'R1'!O35</f>
        <v>0.12586821133137271</v>
      </c>
      <c r="P13" s="53">
        <f>'R1'!P35</f>
        <v>0.92355810374342695</v>
      </c>
      <c r="Q13" s="53">
        <f>'R1'!Q35</f>
        <v>0.11987861673732722</v>
      </c>
      <c r="R13" s="53">
        <f>'R1'!R35</f>
        <v>0.38230063335223291</v>
      </c>
      <c r="S13" s="53">
        <f>'R1'!S35</f>
        <v>2.8447640231818578</v>
      </c>
      <c r="T13" s="53">
        <f>'R1'!T35</f>
        <v>0.41362079974994137</v>
      </c>
      <c r="U13" s="53">
        <f>'R1'!U35</f>
        <v>3.4935440622007652E-2</v>
      </c>
      <c r="V13" s="53">
        <f>'R1'!V35</f>
        <v>0.32028981385025074</v>
      </c>
    </row>
    <row r="14" spans="1:22" s="1" customFormat="1" x14ac:dyDescent="0.35">
      <c r="A14" s="223"/>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0.11098210199097833</v>
      </c>
      <c r="P14" s="53" t="str">
        <f>'R1'!P36</f>
        <v/>
      </c>
      <c r="Q14" s="53" t="str">
        <f>'R1'!Q36</f>
        <v/>
      </c>
      <c r="R14" s="53" t="str">
        <f>'R1'!R36</f>
        <v/>
      </c>
      <c r="S14" s="53" t="str">
        <f>'R1'!S36</f>
        <v/>
      </c>
      <c r="T14" s="53" t="str">
        <f>'R1'!T36</f>
        <v/>
      </c>
      <c r="U14" s="53" t="str">
        <f>'R1'!U36</f>
        <v/>
      </c>
      <c r="V14" s="53" t="str">
        <f>'R1'!V36</f>
        <v/>
      </c>
    </row>
    <row r="15" spans="1:22" s="1" customFormat="1" x14ac:dyDescent="0.35">
      <c r="A15" s="223"/>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1.9493079265487774E-2</v>
      </c>
      <c r="P15" s="53" t="str">
        <f>'R1'!P37</f>
        <v/>
      </c>
      <c r="Q15" s="53" t="str">
        <f>'R1'!Q37</f>
        <v/>
      </c>
      <c r="R15" s="53" t="str">
        <f>'R1'!R37</f>
        <v/>
      </c>
      <c r="S15" s="53" t="str">
        <f>'R1'!S37</f>
        <v/>
      </c>
      <c r="T15" s="53" t="str">
        <f>'R1'!T37</f>
        <v/>
      </c>
      <c r="U15" s="53" t="str">
        <f>'R1'!U37</f>
        <v/>
      </c>
      <c r="V15" s="53" t="str">
        <f>'R1'!V37</f>
        <v/>
      </c>
    </row>
    <row r="16" spans="1:22" s="1" customFormat="1" x14ac:dyDescent="0.35">
      <c r="A16" s="223"/>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1.3416599707597749</v>
      </c>
      <c r="P16" s="53" t="str">
        <f>'R1'!P38</f>
        <v/>
      </c>
      <c r="Q16" s="53" t="str">
        <f>'R1'!Q38</f>
        <v/>
      </c>
      <c r="R16" s="53" t="str">
        <f>'R1'!R38</f>
        <v/>
      </c>
      <c r="S16" s="53" t="str">
        <f>'R1'!S38</f>
        <v/>
      </c>
      <c r="T16" s="53" t="str">
        <f>'R1'!T38</f>
        <v/>
      </c>
      <c r="U16" s="53" t="str">
        <f>'R1'!U38</f>
        <v/>
      </c>
      <c r="V16" s="53" t="str">
        <f>'R1'!V38</f>
        <v/>
      </c>
    </row>
    <row r="17" spans="1:22" s="1" customFormat="1" x14ac:dyDescent="0.35">
      <c r="A17" s="223"/>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0.39345090272388222</v>
      </c>
      <c r="P17" s="53" t="str">
        <f>'R1'!P39</f>
        <v/>
      </c>
      <c r="Q17" s="53" t="str">
        <f>'R1'!Q39</f>
        <v/>
      </c>
      <c r="R17" s="53" t="str">
        <f>'R1'!R39</f>
        <v/>
      </c>
      <c r="S17" s="53" t="str">
        <f>'R1'!S39</f>
        <v/>
      </c>
      <c r="T17" s="53" t="str">
        <f>'R1'!T39</f>
        <v/>
      </c>
      <c r="U17" s="53" t="str">
        <f>'R1'!U39</f>
        <v/>
      </c>
      <c r="V17" s="53" t="str">
        <f>'R1'!V39</f>
        <v/>
      </c>
    </row>
    <row r="18" spans="1:22" s="1" customFormat="1" x14ac:dyDescent="0.35">
      <c r="A18" s="223"/>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0.45158396885570928</v>
      </c>
      <c r="P18" s="53" t="str">
        <f>'R1'!P40</f>
        <v/>
      </c>
      <c r="Q18" s="53" t="str">
        <f>'R1'!Q40</f>
        <v/>
      </c>
      <c r="R18" s="53" t="str">
        <f>'R1'!R40</f>
        <v/>
      </c>
      <c r="S18" s="53" t="str">
        <f>'R1'!S40</f>
        <v/>
      </c>
      <c r="T18" s="53" t="str">
        <f>'R1'!T40</f>
        <v/>
      </c>
      <c r="U18" s="53" t="str">
        <f>'R1'!U40</f>
        <v/>
      </c>
      <c r="V18" s="53" t="str">
        <f>'R1'!V40</f>
        <v/>
      </c>
    </row>
    <row r="19" spans="1:22" s="1" customFormat="1" x14ac:dyDescent="0.35">
      <c r="A19" s="223"/>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0.67129187104875043</v>
      </c>
      <c r="P19" s="53" t="str">
        <f>'R1'!P41</f>
        <v/>
      </c>
      <c r="Q19" s="53" t="str">
        <f>'R1'!Q41</f>
        <v/>
      </c>
      <c r="R19" s="53" t="str">
        <f>'R1'!R41</f>
        <v/>
      </c>
      <c r="S19" s="53" t="str">
        <f>'R1'!S41</f>
        <v/>
      </c>
      <c r="T19" s="53" t="str">
        <f>'R1'!T41</f>
        <v/>
      </c>
      <c r="U19" s="53" t="str">
        <f>'R1'!U41</f>
        <v/>
      </c>
      <c r="V19" s="53" t="str">
        <f>'R1'!V41</f>
        <v/>
      </c>
    </row>
    <row r="20" spans="1:22" s="1" customFormat="1" x14ac:dyDescent="0.35">
      <c r="A20" s="223"/>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1.7689236214189534</v>
      </c>
      <c r="P20" s="53" t="str">
        <f>'R1'!P42</f>
        <v/>
      </c>
      <c r="Q20" s="53" t="str">
        <f>'R1'!Q42</f>
        <v/>
      </c>
      <c r="R20" s="53" t="str">
        <f>'R1'!R42</f>
        <v/>
      </c>
      <c r="S20" s="53" t="str">
        <f>'R1'!S42</f>
        <v/>
      </c>
      <c r="T20" s="53" t="str">
        <f>'R1'!T42</f>
        <v/>
      </c>
      <c r="U20" s="53" t="str">
        <f>'R1'!U42</f>
        <v/>
      </c>
      <c r="V20" s="53" t="str">
        <f>'R1'!V42</f>
        <v/>
      </c>
    </row>
    <row r="21" spans="1:22" s="1" customFormat="1" x14ac:dyDescent="0.35">
      <c r="A21" s="224"/>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0.30868348089800135</v>
      </c>
      <c r="P21" s="53" t="str">
        <f>'R1'!P43</f>
        <v/>
      </c>
      <c r="Q21" s="53" t="str">
        <f>'R1'!Q43</f>
        <v/>
      </c>
      <c r="R21" s="53" t="str">
        <f>'R1'!R43</f>
        <v/>
      </c>
      <c r="S21" s="53" t="str">
        <f>'R1'!S43</f>
        <v/>
      </c>
      <c r="T21" s="53" t="str">
        <f>'R1'!T43</f>
        <v/>
      </c>
      <c r="U21" s="53" t="str">
        <f>'R1'!U43</f>
        <v/>
      </c>
      <c r="V21" s="53" t="str">
        <f>'R1'!V43</f>
        <v/>
      </c>
    </row>
    <row r="22" spans="1:22" x14ac:dyDescent="0.35">
      <c r="A22" s="39" t="s">
        <v>5</v>
      </c>
      <c r="B22" s="54">
        <f>'R2'!B28</f>
        <v>3.7227624165813898E-2</v>
      </c>
      <c r="C22" s="54">
        <f>'R2'!C28</f>
        <v>1.420937116042708E-2</v>
      </c>
      <c r="D22" s="54">
        <f>'R2'!D28</f>
        <v>0.14322032168328055</v>
      </c>
      <c r="E22" s="54">
        <f>'R2'!E28</f>
        <v>1.0307903590290166</v>
      </c>
      <c r="F22" s="54">
        <f>'R2'!F28</f>
        <v>1.3930923280643674</v>
      </c>
      <c r="G22" s="54">
        <f>'R2'!G28</f>
        <v>1.2389301861011097</v>
      </c>
      <c r="H22" s="54">
        <f>'R2'!H28</f>
        <v>2.6742085276802277</v>
      </c>
      <c r="I22" s="54">
        <f>'R2'!I28</f>
        <v>7.527038168679373E-2</v>
      </c>
      <c r="J22" s="54">
        <f>'R2'!J28</f>
        <v>3.1595558677401811E-2</v>
      </c>
      <c r="K22" s="54">
        <f>'R2'!K28</f>
        <v>0.12273167826082601</v>
      </c>
      <c r="L22" s="54">
        <f>'R2'!L28</f>
        <v>0.13674936196709309</v>
      </c>
      <c r="M22" s="54">
        <f>'R2'!M28</f>
        <v>0.20388170634182232</v>
      </c>
      <c r="O22" s="54">
        <f>'R2'!O28</f>
        <v>1.1785348493477961</v>
      </c>
      <c r="P22" s="54">
        <f>'R2'!P28</f>
        <v>2.4708461133625845</v>
      </c>
      <c r="Q22" s="54">
        <f>'R2'!Q28</f>
        <v>0.10071052011172811</v>
      </c>
      <c r="R22" s="54">
        <f>'R2'!R28</f>
        <v>0.2109012590546295</v>
      </c>
      <c r="S22" s="54">
        <f>'R2'!S28</f>
        <v>0.93861023841073243</v>
      </c>
      <c r="T22" s="54">
        <f>'R2'!T28</f>
        <v>0.68496649359163952</v>
      </c>
      <c r="U22" s="54">
        <f>'R2'!U28</f>
        <v>0.13059012520140859</v>
      </c>
      <c r="V22" s="54">
        <f>'R2'!V28</f>
        <v>4.0750758318477208E-2</v>
      </c>
    </row>
    <row r="23" spans="1:22" x14ac:dyDescent="0.35">
      <c r="A23" s="222" t="s">
        <v>34</v>
      </c>
      <c r="B23" s="54">
        <f>'R2'!B29</f>
        <v>2.5660080388233576E-2</v>
      </c>
      <c r="C23" s="54">
        <f>'R2'!C29</f>
        <v>6.6842166256903188E-2</v>
      </c>
      <c r="D23" s="54">
        <f>'R2'!D29</f>
        <v>6.1797228237270192E-2</v>
      </c>
      <c r="E23" s="54">
        <f>'R2'!E29</f>
        <v>4.9799464929463716E-2</v>
      </c>
      <c r="F23" s="54">
        <f>'R2'!F29</f>
        <v>0.38949856533343935</v>
      </c>
      <c r="G23" s="54">
        <f>'R2'!G29</f>
        <v>0.63119650066980959</v>
      </c>
      <c r="H23" s="54">
        <f>'R2'!H29</f>
        <v>2.4722253519938975</v>
      </c>
      <c r="I23" s="54">
        <f>'R2'!I29</f>
        <v>9.56284018665612E-2</v>
      </c>
      <c r="J23" s="54">
        <f>'R2'!J29</f>
        <v>8.361857345245563E-2</v>
      </c>
      <c r="K23" s="54">
        <f>'R2'!K29</f>
        <v>1.4281269344903277E-2</v>
      </c>
      <c r="L23" s="54">
        <f>'R2'!L29</f>
        <v>4.1549640714138261E-2</v>
      </c>
      <c r="M23" s="54">
        <f>'R2'!M29</f>
        <v>0.11362449281828779</v>
      </c>
      <c r="O23" s="54">
        <f>'R2'!O29</f>
        <v>1.3889621220835326</v>
      </c>
      <c r="P23" s="54">
        <f>'R2'!P29</f>
        <v>1.6545067400200508</v>
      </c>
      <c r="Q23" s="54">
        <f>'R2'!Q29</f>
        <v>0.1862931205110139</v>
      </c>
      <c r="R23" s="54" t="str">
        <f>'R2'!R29</f>
        <v/>
      </c>
      <c r="S23" s="54">
        <f>'R2'!S29</f>
        <v>0.54043058286844003</v>
      </c>
      <c r="T23" s="54">
        <f>'R2'!T29</f>
        <v>0.64738713464320841</v>
      </c>
      <c r="U23" s="54">
        <f>'R2'!U29</f>
        <v>0.63922004258536236</v>
      </c>
      <c r="V23" s="54">
        <f>'R2'!V29</f>
        <v>1.143722831821721E-2</v>
      </c>
    </row>
    <row r="24" spans="1:22" x14ac:dyDescent="0.35">
      <c r="A24" s="223"/>
      <c r="B24" s="54">
        <f>'R2'!B30</f>
        <v>5.5709766542732325E-2</v>
      </c>
      <c r="C24" s="54">
        <f>'R2'!C30</f>
        <v>2.6155303756479308E-2</v>
      </c>
      <c r="D24" s="54">
        <f>'R2'!D30</f>
        <v>7.4143894721113573E-2</v>
      </c>
      <c r="E24" s="54">
        <f>'R2'!E30</f>
        <v>4.7291030839219629E-2</v>
      </c>
      <c r="F24" s="54">
        <f>'R2'!F30</f>
        <v>0.18374208920873425</v>
      </c>
      <c r="G24" s="54">
        <f>'R2'!G30</f>
        <v>1.443577534239606</v>
      </c>
      <c r="H24" s="54">
        <f>'R2'!H30</f>
        <v>1.7149870249707766</v>
      </c>
      <c r="I24" s="54">
        <f>'R2'!I30</f>
        <v>0.14710941020812793</v>
      </c>
      <c r="J24" s="54">
        <f>'R2'!J30</f>
        <v>0.10046417033923347</v>
      </c>
      <c r="K24" s="54">
        <f>'R2'!K30</f>
        <v>6.8967225438827273E-2</v>
      </c>
      <c r="L24" s="54">
        <f>'R2'!L30</f>
        <v>0.15494514273940255</v>
      </c>
      <c r="M24" s="54">
        <f>'R2'!M30</f>
        <v>0.22021613668417347</v>
      </c>
      <c r="O24" s="54">
        <f>'R2'!O30</f>
        <v>0.30670534364250496</v>
      </c>
      <c r="P24" s="54">
        <f>'R2'!P30</f>
        <v>1.6490210562805123</v>
      </c>
      <c r="Q24" s="54">
        <f>'R2'!Q30</f>
        <v>0.10818152940411448</v>
      </c>
      <c r="R24" s="54">
        <f>'R2'!R30</f>
        <v>0.1861626203816564</v>
      </c>
      <c r="S24" s="54">
        <f>'R2'!S30</f>
        <v>1.2942658112352408</v>
      </c>
      <c r="T24" s="54">
        <f>'R2'!T30</f>
        <v>0.36564141810027717</v>
      </c>
      <c r="U24" s="54">
        <f>'R2'!U30</f>
        <v>0.33741830286012964</v>
      </c>
      <c r="V24" s="54">
        <f>'R2'!V30</f>
        <v>6.8759533251821534E-2</v>
      </c>
    </row>
    <row r="25" spans="1:22" x14ac:dyDescent="0.35">
      <c r="A25" s="223"/>
      <c r="B25" s="54">
        <f>'R2'!B31</f>
        <v>0.13511958771007954</v>
      </c>
      <c r="C25" s="54">
        <f>'R2'!C31</f>
        <v>6.4115329119979692E-2</v>
      </c>
      <c r="D25" s="54">
        <f>'R2'!D31</f>
        <v>0.10509778672473123</v>
      </c>
      <c r="E25" s="54">
        <f>'R2'!E31</f>
        <v>0.89457075371911721</v>
      </c>
      <c r="F25" s="54">
        <f>'R2'!F31</f>
        <v>0.89584103705374962</v>
      </c>
      <c r="G25" s="54">
        <f>'R2'!G31</f>
        <v>1.522666522070061</v>
      </c>
      <c r="H25" s="54">
        <f>'R2'!H31</f>
        <v>1.0448079196219542</v>
      </c>
      <c r="I25" s="54">
        <f>'R2'!I31</f>
        <v>6.6927360680974296E-2</v>
      </c>
      <c r="J25" s="54">
        <f>'R2'!J31</f>
        <v>2.5971495555412592E-2</v>
      </c>
      <c r="K25" s="54">
        <f>'R2'!K31</f>
        <v>0.12758886845284564</v>
      </c>
      <c r="L25" s="54">
        <f>'R2'!L31</f>
        <v>7.4729667943267256E-2</v>
      </c>
      <c r="M25" s="54">
        <f>'R2'!M31</f>
        <v>1.8346225261059314E-2</v>
      </c>
      <c r="O25" s="54">
        <f>'R2'!O31</f>
        <v>0.78246424825458194</v>
      </c>
      <c r="P25" s="54">
        <f>'R2'!P31</f>
        <v>1.7868994905932065</v>
      </c>
      <c r="Q25" s="54">
        <f>'R2'!Q31</f>
        <v>4.4372383134806549E-2</v>
      </c>
      <c r="R25" s="54">
        <f>'R2'!R31</f>
        <v>0.82704961744956618</v>
      </c>
      <c r="S25" s="54">
        <f>'R2'!S31</f>
        <v>0.97607768734257316</v>
      </c>
      <c r="T25" s="54">
        <f>'R2'!T31</f>
        <v>1.4627492343755162</v>
      </c>
      <c r="U25" s="54">
        <f>'R2'!U31</f>
        <v>0.63428295184244377</v>
      </c>
      <c r="V25" s="54">
        <f>'R2'!V31</f>
        <v>0.12404185031424331</v>
      </c>
    </row>
    <row r="26" spans="1:22" x14ac:dyDescent="0.35">
      <c r="A26" s="223"/>
      <c r="B26" s="54">
        <f>'R2'!B32</f>
        <v>2.0954504261594835E-2</v>
      </c>
      <c r="C26" s="54">
        <f>'R2'!C32</f>
        <v>0.17067508663350348</v>
      </c>
      <c r="D26" s="54">
        <f>'R2'!D32</f>
        <v>0.12113003539962205</v>
      </c>
      <c r="E26" s="54">
        <f>'R2'!E32</f>
        <v>7.5584690017217931E-2</v>
      </c>
      <c r="F26" s="54">
        <f>'R2'!F32</f>
        <v>0.72007718405528176</v>
      </c>
      <c r="G26" s="54">
        <f>'R2'!G32</f>
        <v>1.6005956592225192</v>
      </c>
      <c r="H26" s="54">
        <f>'R2'!H32</f>
        <v>3.0742734176384174</v>
      </c>
      <c r="I26" s="54">
        <f>'R2'!I32</f>
        <v>6.431501894056256E-2</v>
      </c>
      <c r="J26" s="54">
        <f>'R2'!J32</f>
        <v>0.15420215379537197</v>
      </c>
      <c r="K26" s="54">
        <f>'R2'!K32</f>
        <v>6.529561661068742E-3</v>
      </c>
      <c r="L26" s="54">
        <f>'R2'!L32</f>
        <v>9.4787045372194179E-2</v>
      </c>
      <c r="M26" s="54">
        <f>'R2'!M32</f>
        <v>0.20951660343681477</v>
      </c>
      <c r="O26" s="54">
        <f>'R2'!O32</f>
        <v>0.75203623483827609</v>
      </c>
      <c r="P26" s="54">
        <f>'R2'!P32</f>
        <v>1.4503639103061838</v>
      </c>
      <c r="Q26" s="54">
        <f>'R2'!Q32</f>
        <v>0.10803231604866045</v>
      </c>
      <c r="R26" s="54">
        <f>'R2'!R32</f>
        <v>0.44957688526307821</v>
      </c>
      <c r="S26" s="54">
        <f>'R2'!S32</f>
        <v>1.3452154624463295</v>
      </c>
      <c r="T26" s="54">
        <f>'R2'!T32</f>
        <v>0.67068780962665753</v>
      </c>
      <c r="U26" s="54">
        <f>'R2'!U32</f>
        <v>0.93246429788464302</v>
      </c>
      <c r="V26" s="54">
        <f>'R2'!V32</f>
        <v>5.2960399666495225E-2</v>
      </c>
    </row>
    <row r="27" spans="1:22" x14ac:dyDescent="0.35">
      <c r="A27" s="223"/>
      <c r="B27" s="54">
        <f>'R2'!B33</f>
        <v>8.2036874950644059E-2</v>
      </c>
      <c r="C27" s="54">
        <f>'R2'!C33</f>
        <v>4.2034461006034272E-2</v>
      </c>
      <c r="D27" s="54">
        <f>'R2'!D33</f>
        <v>4.1610951152270356E-2</v>
      </c>
      <c r="E27" s="54">
        <f>'R2'!E33</f>
        <v>0.10988578722552546</v>
      </c>
      <c r="F27" s="54">
        <f>'R2'!F33</f>
        <v>0.35104307037503407</v>
      </c>
      <c r="G27" s="54">
        <f>'R2'!G33</f>
        <v>0.98852019755349652</v>
      </c>
      <c r="H27" s="54">
        <f>'R2'!H33</f>
        <v>1.9498041563167792</v>
      </c>
      <c r="I27" s="54">
        <f>'R2'!I33</f>
        <v>8.4888918343752992E-2</v>
      </c>
      <c r="J27" s="54">
        <f>'R2'!J33</f>
        <v>0.10915067753458817</v>
      </c>
      <c r="K27" s="54">
        <f>'R2'!K33</f>
        <v>3.2684742304218473E-2</v>
      </c>
      <c r="L27" s="54">
        <f>'R2'!L33</f>
        <v>0.17568936943407043</v>
      </c>
      <c r="M27" s="54">
        <f>'R2'!M33</f>
        <v>3.2264064057034955E-2</v>
      </c>
      <c r="O27" s="54">
        <f>'R2'!O33</f>
        <v>0.35623592906016049</v>
      </c>
      <c r="P27" s="54">
        <f>'R2'!P33</f>
        <v>1.3560245050003519</v>
      </c>
      <c r="Q27" s="54">
        <f>'R2'!Q33</f>
        <v>1.9476774966615706E-2</v>
      </c>
      <c r="R27" s="54">
        <f>'R2'!R33</f>
        <v>0.52111385523028175</v>
      </c>
      <c r="S27" s="54">
        <f>'R2'!S33</f>
        <v>1.8250699166369637</v>
      </c>
      <c r="T27" s="54">
        <f>'R2'!T33</f>
        <v>5.7396788498001755E-2</v>
      </c>
      <c r="U27" s="54">
        <f>'R2'!U33</f>
        <v>5.4495561329724607E-2</v>
      </c>
      <c r="V27" s="54">
        <f>'R2'!V33</f>
        <v>5.8392652220994858E-2</v>
      </c>
    </row>
    <row r="28" spans="1:22" x14ac:dyDescent="0.35">
      <c r="A28" s="223"/>
      <c r="B28" s="54">
        <f>'R2'!B34</f>
        <v>1.5543550313112976E-2</v>
      </c>
      <c r="C28" s="54">
        <f>'R2'!C34</f>
        <v>0.13187893709214332</v>
      </c>
      <c r="D28" s="54">
        <f>'R2'!D34</f>
        <v>7.7728093085249819E-2</v>
      </c>
      <c r="E28" s="54">
        <f>'R2'!E34</f>
        <v>0.16569010480537716</v>
      </c>
      <c r="F28" s="54">
        <f>'R2'!F34</f>
        <v>1.287129054632671</v>
      </c>
      <c r="G28" s="54">
        <f>'R2'!G34</f>
        <v>2.0676919406251804</v>
      </c>
      <c r="H28" s="54">
        <f>'R2'!H34</f>
        <v>2.4225137899817559</v>
      </c>
      <c r="I28" s="54">
        <f>'R2'!I34</f>
        <v>0.11402387245945352</v>
      </c>
      <c r="J28" s="54">
        <f>'R2'!J34</f>
        <v>8.9546357158524964E-2</v>
      </c>
      <c r="K28" s="54">
        <f>'R2'!K34</f>
        <v>4.5938261573766771E-2</v>
      </c>
      <c r="L28" s="54">
        <f>'R2'!L34</f>
        <v>1.7179849576594408E-2</v>
      </c>
      <c r="M28" s="54">
        <f>'R2'!M34</f>
        <v>0.12468905708785868</v>
      </c>
      <c r="O28" s="54">
        <f>'R2'!O34</f>
        <v>0.19104387922960941</v>
      </c>
      <c r="P28" s="54">
        <f>'R2'!P34</f>
        <v>1.8943433249264627</v>
      </c>
      <c r="Q28" s="54">
        <f>'R2'!Q34</f>
        <v>9.5505780990296999E-3</v>
      </c>
      <c r="R28" s="54">
        <f>'R2'!R34</f>
        <v>0.83398926961147446</v>
      </c>
      <c r="S28" s="54">
        <f>'R2'!S34</f>
        <v>0.77059292233625665</v>
      </c>
      <c r="T28" s="54">
        <f>'R2'!T34</f>
        <v>0.14785910882862074</v>
      </c>
      <c r="U28" s="54">
        <f>'R2'!U34</f>
        <v>8.9079080516094464E-2</v>
      </c>
      <c r="V28" s="54">
        <f>'R2'!V34</f>
        <v>7.2684755538901399E-2</v>
      </c>
    </row>
    <row r="29" spans="1:22" x14ac:dyDescent="0.35">
      <c r="A29" s="223"/>
      <c r="B29" s="54">
        <f>'R2'!B35</f>
        <v>6.1438968448185027E-2</v>
      </c>
      <c r="C29" s="54">
        <f>'R2'!C35</f>
        <v>7.5645815785355661E-2</v>
      </c>
      <c r="D29" s="54" t="str">
        <f>'R2'!D35</f>
        <v/>
      </c>
      <c r="E29" s="54">
        <f>'R2'!E35</f>
        <v>0.20048919543184604</v>
      </c>
      <c r="F29" s="54">
        <f>'R2'!F35</f>
        <v>1.0477877546511698</v>
      </c>
      <c r="G29" s="54">
        <f>'R2'!G35</f>
        <v>1.3912789918329465</v>
      </c>
      <c r="H29" s="54">
        <f>'R2'!H35</f>
        <v>2.9574348051247186</v>
      </c>
      <c r="I29" s="54">
        <f>'R2'!I35</f>
        <v>0.15965595118254855</v>
      </c>
      <c r="J29" s="54">
        <f>'R2'!J35</f>
        <v>0.12095035149509635</v>
      </c>
      <c r="K29" s="54">
        <f>'R2'!K35</f>
        <v>4.4145916165039482E-2</v>
      </c>
      <c r="L29" s="54">
        <f>'R2'!L35</f>
        <v>7.1789967859495554E-2</v>
      </c>
      <c r="M29" s="54">
        <f>'R2'!M35</f>
        <v>0.11986375324820092</v>
      </c>
      <c r="O29" s="54">
        <f>'R2'!O35</f>
        <v>1.3551896735124527</v>
      </c>
      <c r="P29" s="54">
        <f>'R2'!P35</f>
        <v>1.0921467184330516</v>
      </c>
      <c r="Q29" s="54">
        <f>'R2'!Q35</f>
        <v>8.6690189468875009E-2</v>
      </c>
      <c r="R29" s="54">
        <f>'R2'!R35</f>
        <v>0.7981248793441279</v>
      </c>
      <c r="S29" s="54">
        <f>'R2'!S35</f>
        <v>5.7255577508970597E-2</v>
      </c>
      <c r="T29" s="54">
        <f>'R2'!T35</f>
        <v>8.4832840222128142E-2</v>
      </c>
      <c r="U29" s="54">
        <f>'R2'!U35</f>
        <v>0.2434767998355083</v>
      </c>
      <c r="V29" s="54">
        <f>'R2'!V35</f>
        <v>0.10965408793925115</v>
      </c>
    </row>
    <row r="30" spans="1:22" x14ac:dyDescent="0.35">
      <c r="A30" s="223"/>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1.6031255150321104</v>
      </c>
      <c r="P30" s="54" t="str">
        <f>'R2'!P36</f>
        <v/>
      </c>
      <c r="Q30" s="54" t="str">
        <f>'R2'!Q36</f>
        <v/>
      </c>
      <c r="R30" s="54" t="str">
        <f>'R2'!R36</f>
        <v/>
      </c>
      <c r="S30" s="54" t="str">
        <f>'R2'!S36</f>
        <v/>
      </c>
      <c r="T30" s="54" t="str">
        <f>'R2'!T36</f>
        <v/>
      </c>
      <c r="U30" s="54" t="str">
        <f>'R2'!U36</f>
        <v/>
      </c>
      <c r="V30" s="54" t="str">
        <f>'R2'!V36</f>
        <v/>
      </c>
    </row>
    <row r="31" spans="1:22" s="1" customFormat="1" x14ac:dyDescent="0.35">
      <c r="A31" s="223"/>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0.20752456820750462</v>
      </c>
      <c r="P31" s="54" t="str">
        <f>'R2'!P37</f>
        <v/>
      </c>
      <c r="Q31" s="54" t="str">
        <f>'R2'!Q37</f>
        <v/>
      </c>
      <c r="R31" s="54" t="str">
        <f>'R2'!R37</f>
        <v/>
      </c>
      <c r="S31" s="54" t="str">
        <f>'R2'!S37</f>
        <v/>
      </c>
      <c r="T31" s="54" t="str">
        <f>'R2'!T37</f>
        <v/>
      </c>
      <c r="U31" s="54" t="str">
        <f>'R2'!U37</f>
        <v/>
      </c>
      <c r="V31" s="54" t="str">
        <f>'R2'!V37</f>
        <v/>
      </c>
    </row>
    <row r="32" spans="1:22" s="1" customFormat="1" x14ac:dyDescent="0.35">
      <c r="A32" s="223"/>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1.229756273233938</v>
      </c>
      <c r="P32" s="54" t="str">
        <f>'R2'!P38</f>
        <v/>
      </c>
      <c r="Q32" s="54" t="str">
        <f>'R2'!Q38</f>
        <v/>
      </c>
      <c r="R32" s="54" t="str">
        <f>'R2'!R38</f>
        <v/>
      </c>
      <c r="S32" s="54" t="str">
        <f>'R2'!S38</f>
        <v/>
      </c>
      <c r="T32" s="54" t="str">
        <f>'R2'!T38</f>
        <v/>
      </c>
      <c r="U32" s="54" t="str">
        <f>'R2'!U38</f>
        <v/>
      </c>
      <c r="V32" s="54" t="str">
        <f>'R2'!V38</f>
        <v/>
      </c>
    </row>
    <row r="33" spans="1:22" s="1" customFormat="1" x14ac:dyDescent="0.35">
      <c r="A33" s="223"/>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1.6875509732466503</v>
      </c>
      <c r="P33" s="54" t="str">
        <f>'R2'!P39</f>
        <v/>
      </c>
      <c r="Q33" s="54" t="str">
        <f>'R2'!Q39</f>
        <v/>
      </c>
      <c r="R33" s="54" t="str">
        <f>'R2'!R39</f>
        <v/>
      </c>
      <c r="S33" s="54" t="str">
        <f>'R2'!S39</f>
        <v/>
      </c>
      <c r="T33" s="54" t="str">
        <f>'R2'!T39</f>
        <v/>
      </c>
      <c r="U33" s="54" t="str">
        <f>'R2'!U39</f>
        <v/>
      </c>
      <c r="V33" s="54" t="str">
        <f>'R2'!V39</f>
        <v/>
      </c>
    </row>
    <row r="34" spans="1:22" s="1" customFormat="1" x14ac:dyDescent="0.35">
      <c r="A34" s="223"/>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1.6450372320485511</v>
      </c>
      <c r="P34" s="54" t="str">
        <f>'R2'!P40</f>
        <v/>
      </c>
      <c r="Q34" s="54" t="str">
        <f>'R2'!Q40</f>
        <v/>
      </c>
      <c r="R34" s="54" t="str">
        <f>'R2'!R40</f>
        <v/>
      </c>
      <c r="S34" s="54" t="str">
        <f>'R2'!S40</f>
        <v/>
      </c>
      <c r="T34" s="54" t="str">
        <f>'R2'!T40</f>
        <v/>
      </c>
      <c r="U34" s="54" t="str">
        <f>'R2'!U40</f>
        <v/>
      </c>
      <c r="V34" s="54" t="str">
        <f>'R2'!V40</f>
        <v/>
      </c>
    </row>
    <row r="35" spans="1:22" s="1" customFormat="1" x14ac:dyDescent="0.35">
      <c r="A35" s="223"/>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0.84342793769391355</v>
      </c>
      <c r="P35" s="54" t="str">
        <f>'R2'!P41</f>
        <v/>
      </c>
      <c r="Q35" s="54" t="str">
        <f>'R2'!Q41</f>
        <v/>
      </c>
      <c r="R35" s="54" t="str">
        <f>'R2'!R41</f>
        <v/>
      </c>
      <c r="S35" s="54" t="str">
        <f>'R2'!S41</f>
        <v/>
      </c>
      <c r="T35" s="54" t="str">
        <f>'R2'!T41</f>
        <v/>
      </c>
      <c r="U35" s="54" t="str">
        <f>'R2'!U41</f>
        <v/>
      </c>
      <c r="V35" s="54" t="str">
        <f>'R2'!V41</f>
        <v/>
      </c>
    </row>
    <row r="36" spans="1:22" x14ac:dyDescent="0.35">
      <c r="A36" s="223"/>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0.23732285694299585</v>
      </c>
      <c r="P36" s="54" t="str">
        <f>'R2'!P42</f>
        <v/>
      </c>
      <c r="Q36" s="54" t="str">
        <f>'R2'!Q42</f>
        <v/>
      </c>
      <c r="R36" s="54" t="str">
        <f>'R2'!R42</f>
        <v/>
      </c>
      <c r="S36" s="54" t="str">
        <f>'R2'!S42</f>
        <v/>
      </c>
      <c r="T36" s="54" t="str">
        <f>'R2'!T42</f>
        <v/>
      </c>
      <c r="U36" s="54" t="str">
        <f>'R2'!U42</f>
        <v/>
      </c>
      <c r="V36" s="54" t="str">
        <f>'R2'!V42</f>
        <v/>
      </c>
    </row>
    <row r="37" spans="1:22" x14ac:dyDescent="0.35">
      <c r="A37" s="224"/>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2.235082363625422</v>
      </c>
      <c r="P37" s="54" t="str">
        <f>'R2'!P43</f>
        <v/>
      </c>
      <c r="Q37" s="54" t="str">
        <f>'R2'!Q43</f>
        <v/>
      </c>
      <c r="R37" s="54" t="str">
        <f>'R2'!R43</f>
        <v/>
      </c>
      <c r="S37" s="54" t="str">
        <f>'R2'!S43</f>
        <v/>
      </c>
      <c r="T37" s="54" t="str">
        <f>'R2'!T43</f>
        <v/>
      </c>
      <c r="U37" s="54" t="str">
        <f>'R2'!U43</f>
        <v/>
      </c>
      <c r="V37" s="54" t="str">
        <f>'R2'!V43</f>
        <v/>
      </c>
    </row>
    <row r="38" spans="1:22" s="1" customFormat="1" x14ac:dyDescent="0.35">
      <c r="A38" s="154" t="s">
        <v>116</v>
      </c>
      <c r="B38" s="155">
        <f>'R3'!B28</f>
        <v>0.15484430688574463</v>
      </c>
      <c r="C38" s="155">
        <f>'R3'!C28</f>
        <v>4.1044704153414838E-2</v>
      </c>
      <c r="D38" s="155">
        <f>'R3'!D28</f>
        <v>5.85068441565956E-2</v>
      </c>
      <c r="E38" s="155">
        <f>'R3'!E28</f>
        <v>0.41417267748228798</v>
      </c>
      <c r="F38" s="155">
        <f>'R3'!F28</f>
        <v>0.80405310195816693</v>
      </c>
      <c r="G38" s="155">
        <f>'R3'!G28</f>
        <v>1.6739163748076187</v>
      </c>
      <c r="H38" s="155">
        <f>'R3'!H28</f>
        <v>2.7885470789169795</v>
      </c>
      <c r="I38" s="155">
        <f>'R3'!I28</f>
        <v>0.11997720248056741</v>
      </c>
      <c r="J38" s="155">
        <f>'R3'!J28</f>
        <v>0.16027836033655299</v>
      </c>
      <c r="K38" s="155">
        <f>'R3'!K28</f>
        <v>4.8131580397906354E-2</v>
      </c>
      <c r="L38" s="155">
        <f>'R3'!L28</f>
        <v>0.26321802411029233</v>
      </c>
      <c r="M38" s="155">
        <f>'R3'!M28</f>
        <v>3.8084088288402797E-2</v>
      </c>
      <c r="N38"/>
      <c r="O38" s="155">
        <f>'R3'!O28</f>
        <v>1.0380748137208375</v>
      </c>
      <c r="P38" s="155">
        <f>'R3'!P28</f>
        <v>1.4488224882547616</v>
      </c>
      <c r="Q38" s="155">
        <f>'R3'!Q28</f>
        <v>0.18700703170310676</v>
      </c>
      <c r="R38" s="155">
        <f>'R3'!R28</f>
        <v>0.76951087089981118</v>
      </c>
      <c r="S38" s="155">
        <f>'R3'!S28</f>
        <v>0.7500000263482034</v>
      </c>
      <c r="T38" s="155">
        <f>'R3'!T28</f>
        <v>0.59568584531307089</v>
      </c>
      <c r="U38" s="155">
        <f>'R3'!U28</f>
        <v>5.5369563588384997E-2</v>
      </c>
      <c r="V38" s="155">
        <f>'R3'!V28</f>
        <v>7.5427001617674305E-3</v>
      </c>
    </row>
    <row r="39" spans="1:22" s="1" customFormat="1" x14ac:dyDescent="0.35">
      <c r="A39" s="222" t="s">
        <v>34</v>
      </c>
      <c r="B39" s="155">
        <f>'R3'!B29</f>
        <v>6.5195994272111389E-3</v>
      </c>
      <c r="C39" s="155">
        <f>'R3'!C29</f>
        <v>0.12935505500292835</v>
      </c>
      <c r="D39" s="155">
        <f>'R3'!D29</f>
        <v>7.6655618338054413E-2</v>
      </c>
      <c r="E39" s="155">
        <f>'R3'!E29</f>
        <v>0.66251911693891219</v>
      </c>
      <c r="F39" s="155">
        <f>'R3'!F29</f>
        <v>1.4832647278815529</v>
      </c>
      <c r="G39" s="155">
        <f>'R3'!G29</f>
        <v>1.9950800263439878</v>
      </c>
      <c r="H39" s="155">
        <f>'R3'!H29</f>
        <v>3.5560545641780581</v>
      </c>
      <c r="I39" s="155">
        <f>'R3'!I29</f>
        <v>1.4524183593015957E-2</v>
      </c>
      <c r="J39" s="155">
        <f>'R3'!J29</f>
        <v>5.9945719539395467E-2</v>
      </c>
      <c r="K39" s="155">
        <f>'R3'!K29</f>
        <v>8.765770585350631E-2</v>
      </c>
      <c r="L39" s="155">
        <f>'R3'!L29</f>
        <v>0.31179423043906751</v>
      </c>
      <c r="M39" s="155">
        <f>'R3'!M29</f>
        <v>0.252932673595401</v>
      </c>
      <c r="N39"/>
      <c r="O39" s="155" t="str">
        <f>'R3'!O29</f>
        <v/>
      </c>
      <c r="P39" s="155">
        <f>'R3'!P29</f>
        <v>1.6819606130194062</v>
      </c>
      <c r="Q39" s="155">
        <f>'R3'!Q29</f>
        <v>8.7709216590978814E-3</v>
      </c>
      <c r="R39" s="155">
        <f>'R3'!R29</f>
        <v>1.3106934815493545</v>
      </c>
      <c r="S39" s="155">
        <f>'R3'!S29</f>
        <v>9.8873609038824931E-2</v>
      </c>
      <c r="T39" s="155">
        <f>'R3'!T29</f>
        <v>4.6216856463314401E-2</v>
      </c>
      <c r="U39" s="155">
        <f>'R3'!U29</f>
        <v>8.0305766683708688E-2</v>
      </c>
      <c r="V39" s="155">
        <f>'R3'!V29</f>
        <v>0.39133365962948319</v>
      </c>
    </row>
    <row r="40" spans="1:22" s="1" customFormat="1" x14ac:dyDescent="0.35">
      <c r="A40" s="223"/>
      <c r="B40" s="155">
        <f>'R3'!B30</f>
        <v>0.10245525205587126</v>
      </c>
      <c r="C40" s="155">
        <f>'R3'!C30</f>
        <v>4.6333579003981003E-2</v>
      </c>
      <c r="D40" s="155">
        <f>'R3'!D30</f>
        <v>0.15438532118407139</v>
      </c>
      <c r="E40" s="155">
        <f>'R3'!E30</f>
        <v>0.34367779604235238</v>
      </c>
      <c r="F40" s="155">
        <f>'R3'!F30</f>
        <v>0.73266896865649356</v>
      </c>
      <c r="G40" s="155">
        <f>'R3'!G30</f>
        <v>1.3188288845445972</v>
      </c>
      <c r="H40" s="155">
        <f>'R3'!H30</f>
        <v>3.0887720767643314</v>
      </c>
      <c r="I40" s="155">
        <f>'R3'!I30</f>
        <v>1.9684610952442234E-2</v>
      </c>
      <c r="J40" s="155">
        <f>'R3'!J30</f>
        <v>8.1574037450071482E-2</v>
      </c>
      <c r="K40" s="155">
        <f>'R3'!K30</f>
        <v>2.9640938278490604E-2</v>
      </c>
      <c r="L40" s="155">
        <f>'R3'!L30</f>
        <v>0.32937875784662668</v>
      </c>
      <c r="M40" s="155">
        <f>'R3'!M30</f>
        <v>4.9325154007883176E-3</v>
      </c>
      <c r="N40"/>
      <c r="O40" s="155">
        <f>'R3'!O30</f>
        <v>0.1664560918258072</v>
      </c>
      <c r="P40" s="155">
        <f>'R3'!P30</f>
        <v>2.024196503635578</v>
      </c>
      <c r="Q40" s="155">
        <f>'R3'!Q30</f>
        <v>1.8513565056296099E-2</v>
      </c>
      <c r="R40" s="155">
        <f>'R3'!R30</f>
        <v>0.36873098516037578</v>
      </c>
      <c r="S40" s="155">
        <f>'R3'!S30</f>
        <v>0.32578552162012364</v>
      </c>
      <c r="T40" s="155">
        <f>'R3'!T30</f>
        <v>0.35531830052402363</v>
      </c>
      <c r="U40" s="155">
        <f>'R3'!U30</f>
        <v>0.10122432986770147</v>
      </c>
      <c r="V40" s="155">
        <f>'R3'!V30</f>
        <v>6.8998962196968008E-2</v>
      </c>
    </row>
    <row r="41" spans="1:22" s="1" customFormat="1" x14ac:dyDescent="0.35">
      <c r="A41" s="223"/>
      <c r="B41" s="155">
        <f>'R3'!B31</f>
        <v>0.12978532116299285</v>
      </c>
      <c r="C41" s="155">
        <f>'R3'!C31</f>
        <v>0.84463908389194164</v>
      </c>
      <c r="D41" s="155">
        <f>'R3'!D31</f>
        <v>0.10528215078908128</v>
      </c>
      <c r="E41" s="155">
        <f>'R3'!E31</f>
        <v>8.7512263771230989E-2</v>
      </c>
      <c r="F41" s="155">
        <f>'R3'!F31</f>
        <v>1.3187833021528697</v>
      </c>
      <c r="G41" s="155">
        <f>'R3'!G31</f>
        <v>1.8178866464460015</v>
      </c>
      <c r="H41" s="155">
        <f>'R3'!H31</f>
        <v>2.3508740436787869</v>
      </c>
      <c r="I41" s="155">
        <f>'R3'!I31</f>
        <v>1.8257197038082533E-2</v>
      </c>
      <c r="J41" s="155">
        <f>'R3'!J31</f>
        <v>7.3177523760019304E-3</v>
      </c>
      <c r="K41" s="155">
        <f>'R3'!K31</f>
        <v>7.0132988867462526E-2</v>
      </c>
      <c r="L41" s="155">
        <f>'R3'!L31</f>
        <v>0.14505608109681881</v>
      </c>
      <c r="M41" s="155">
        <f>'R3'!M31</f>
        <v>5.3770095906406131E-3</v>
      </c>
      <c r="N41"/>
      <c r="O41" s="155">
        <f>'R3'!O31</f>
        <v>2.6046944541142354</v>
      </c>
      <c r="P41" s="155">
        <f>'R3'!P31</f>
        <v>1.5698965664391553</v>
      </c>
      <c r="Q41" s="155">
        <f>'R3'!Q31</f>
        <v>0.13032677674102869</v>
      </c>
      <c r="R41" s="155">
        <f>'R3'!R31</f>
        <v>6.1245344667698043E-2</v>
      </c>
      <c r="S41" s="155">
        <f>'R3'!S31</f>
        <v>1.3626321138436306</v>
      </c>
      <c r="T41" s="155">
        <f>'R3'!T31</f>
        <v>1.436828654366693</v>
      </c>
      <c r="U41" s="155">
        <f>'R3'!U31</f>
        <v>0.67393434428227661</v>
      </c>
      <c r="V41" s="155">
        <f>'R3'!V31</f>
        <v>0.10631947955342536</v>
      </c>
    </row>
    <row r="42" spans="1:22" s="1" customFormat="1" x14ac:dyDescent="0.35">
      <c r="A42" s="223"/>
      <c r="B42" s="155">
        <f>'R3'!B32</f>
        <v>0.19313918080063339</v>
      </c>
      <c r="C42" s="155">
        <f>'R3'!C32</f>
        <v>4.3529669078159632E-2</v>
      </c>
      <c r="D42" s="155">
        <f>'R3'!D32</f>
        <v>0.14967531636024234</v>
      </c>
      <c r="E42" s="155">
        <f>'R3'!E32</f>
        <v>0.53379931711780593</v>
      </c>
      <c r="F42" s="155">
        <f>'R3'!F32</f>
        <v>1.0922874277018475</v>
      </c>
      <c r="G42" s="155">
        <f>'R3'!G32</f>
        <v>1.738676503926462</v>
      </c>
      <c r="H42" s="155">
        <f>'R3'!H32</f>
        <v>2.0406641307047946</v>
      </c>
      <c r="I42" s="155">
        <f>'R3'!I32</f>
        <v>1.4387436417833183E-2</v>
      </c>
      <c r="J42" s="155">
        <f>'R3'!J32</f>
        <v>9.8691015989881448E-2</v>
      </c>
      <c r="K42" s="155">
        <f>'R3'!K32</f>
        <v>1.1007752379163715E-2</v>
      </c>
      <c r="L42" s="155">
        <f>'R3'!L32</f>
        <v>2.7298583004165228E-2</v>
      </c>
      <c r="M42" s="155">
        <f>'R3'!M32</f>
        <v>0.19955075259427046</v>
      </c>
      <c r="N42"/>
      <c r="O42" s="155">
        <f>'R3'!O32</f>
        <v>1.9686390114870791</v>
      </c>
      <c r="P42" s="155">
        <f>'R3'!P32</f>
        <v>1.3489400065111681</v>
      </c>
      <c r="Q42" s="155">
        <f>'R3'!Q32</f>
        <v>8.9333188102036692E-2</v>
      </c>
      <c r="R42" s="155">
        <f>'R3'!R32</f>
        <v>1.0506782132924999</v>
      </c>
      <c r="S42" s="155">
        <f>'R3'!S32</f>
        <v>0.53223502428724689</v>
      </c>
      <c r="T42" s="155">
        <f>'R3'!T32</f>
        <v>0.15322270671298471</v>
      </c>
      <c r="U42" s="155">
        <f>'R3'!U32</f>
        <v>0.12343079322952354</v>
      </c>
      <c r="V42" s="155">
        <f>'R3'!V32</f>
        <v>0.11435502285812031</v>
      </c>
    </row>
    <row r="43" spans="1:22" s="1" customFormat="1" x14ac:dyDescent="0.35">
      <c r="A43" s="223"/>
      <c r="B43" s="155">
        <f>'R3'!B33</f>
        <v>0.36471459678870211</v>
      </c>
      <c r="C43" s="155">
        <f>'R3'!C33</f>
        <v>0.21119830522032737</v>
      </c>
      <c r="D43" s="155">
        <f>'R3'!D33</f>
        <v>0.11224360958581364</v>
      </c>
      <c r="E43" s="155">
        <f>'R3'!E33</f>
        <v>0.5127156165695631</v>
      </c>
      <c r="F43" s="155">
        <f>'R3'!F33</f>
        <v>1.0873006350022392</v>
      </c>
      <c r="G43" s="155">
        <f>'R3'!G33</f>
        <v>1.2445129866605371</v>
      </c>
      <c r="H43" s="155">
        <f>'R3'!H33</f>
        <v>3.3001199739089553</v>
      </c>
      <c r="I43" s="155">
        <f>'R3'!I33</f>
        <v>4.7630174088902848E-2</v>
      </c>
      <c r="J43" s="155">
        <f>'R3'!J33</f>
        <v>0.11421827568293753</v>
      </c>
      <c r="K43" s="155">
        <f>'R3'!K33</f>
        <v>0.15351082431618773</v>
      </c>
      <c r="L43" s="155">
        <f>'R3'!L33</f>
        <v>0.13095083393644372</v>
      </c>
      <c r="M43" s="155">
        <f>'R3'!M33</f>
        <v>7.961623420306646E-2</v>
      </c>
      <c r="N43"/>
      <c r="O43" s="155">
        <f>'R3'!O33</f>
        <v>1.1515350515945248</v>
      </c>
      <c r="P43" s="155">
        <f>'R3'!P33</f>
        <v>2.1699907296481471</v>
      </c>
      <c r="Q43" s="155">
        <f>'R3'!Q33</f>
        <v>2.8056489072398858E-2</v>
      </c>
      <c r="R43" s="155">
        <f>'R3'!R33</f>
        <v>0.9244890266583744</v>
      </c>
      <c r="S43" s="155">
        <f>'R3'!S33</f>
        <v>2.0712483346618096</v>
      </c>
      <c r="T43" s="155">
        <f>'R3'!T33</f>
        <v>0.13836811665045198</v>
      </c>
      <c r="U43" s="155">
        <f>'R3'!U33</f>
        <v>1.320479731223032E-2</v>
      </c>
      <c r="V43" s="155">
        <f>'R3'!V33</f>
        <v>0.13926579993724914</v>
      </c>
    </row>
    <row r="44" spans="1:22" s="1" customFormat="1" x14ac:dyDescent="0.35">
      <c r="A44" s="223"/>
      <c r="B44" s="155">
        <f>'R3'!B34</f>
        <v>0.15390538866076617</v>
      </c>
      <c r="C44" s="155">
        <f>'R3'!C34</f>
        <v>0.13855624282209072</v>
      </c>
      <c r="D44" s="155">
        <f>'R3'!D34</f>
        <v>0.10316204260968205</v>
      </c>
      <c r="E44" s="155">
        <f>'R3'!E34</f>
        <v>1.003082291867901</v>
      </c>
      <c r="F44" s="155">
        <f>'R3'!F34</f>
        <v>0.62911947571712701</v>
      </c>
      <c r="G44" s="155">
        <f>'R3'!G34</f>
        <v>1.6124374533175709</v>
      </c>
      <c r="H44" s="155">
        <f>'R3'!H34</f>
        <v>4.2017585212460844</v>
      </c>
      <c r="I44" s="155">
        <f>'R3'!I34</f>
        <v>6.1786668504717333E-2</v>
      </c>
      <c r="J44" s="155">
        <f>'R3'!J34</f>
        <v>0.38954132309926964</v>
      </c>
      <c r="K44" s="155">
        <f>'R3'!K34</f>
        <v>0.16485464802858002</v>
      </c>
      <c r="L44" s="155">
        <f>'R3'!L34</f>
        <v>6.801011412671569E-2</v>
      </c>
      <c r="M44" s="155">
        <f>'R3'!M34</f>
        <v>0.11568007400261776</v>
      </c>
      <c r="N44"/>
      <c r="O44" s="155">
        <f>'R3'!O34</f>
        <v>4.0925215051400607E-2</v>
      </c>
      <c r="P44" s="155">
        <f>'R3'!P34</f>
        <v>2.2210517032901422</v>
      </c>
      <c r="Q44" s="155">
        <f>'R3'!Q34</f>
        <v>0.12152318330982548</v>
      </c>
      <c r="R44" s="155">
        <f>'R3'!R34</f>
        <v>0.49677245048724683</v>
      </c>
      <c r="S44" s="155">
        <f>'R3'!S34</f>
        <v>1.3588051690537613</v>
      </c>
      <c r="T44" s="155">
        <f>'R3'!T34</f>
        <v>3.1253975285174512E-2</v>
      </c>
      <c r="U44" s="155">
        <f>'R3'!U34</f>
        <v>0.24371297616341284</v>
      </c>
      <c r="V44" s="155">
        <f>'R3'!V34</f>
        <v>6.4388355970128736E-2</v>
      </c>
    </row>
    <row r="45" spans="1:22" s="1" customFormat="1" x14ac:dyDescent="0.35">
      <c r="A45" s="223"/>
      <c r="B45" s="155">
        <f>'R3'!B35</f>
        <v>5.5033228773123319E-2</v>
      </c>
      <c r="C45" s="155">
        <f>'R3'!C35</f>
        <v>6.3844067960236991E-2</v>
      </c>
      <c r="D45" s="155">
        <f>'R3'!D35</f>
        <v>3.5975441577443749E-2</v>
      </c>
      <c r="E45" s="155">
        <f>'R3'!E35</f>
        <v>0.32846407996869414</v>
      </c>
      <c r="F45" s="155">
        <f>'R3'!F35</f>
        <v>1.064834839449331</v>
      </c>
      <c r="G45" s="155">
        <f>'R3'!G35</f>
        <v>1.4163802090002724</v>
      </c>
      <c r="H45" s="155">
        <f>'R3'!H35</f>
        <v>2.5545280019746399</v>
      </c>
      <c r="I45" s="155">
        <f>'R3'!I35</f>
        <v>3.4339876856929151E-2</v>
      </c>
      <c r="J45" s="155">
        <f>'R3'!J35</f>
        <v>0.16176571641344462</v>
      </c>
      <c r="K45" s="155">
        <f>'R3'!K35</f>
        <v>7.7523198802569013E-2</v>
      </c>
      <c r="L45" s="155">
        <f>'R3'!L35</f>
        <v>2.7310044472605405E-2</v>
      </c>
      <c r="M45" s="155">
        <f>'R3'!M35</f>
        <v>5.6694548862374169E-2</v>
      </c>
      <c r="N45"/>
      <c r="O45" s="155">
        <f>'R3'!O35</f>
        <v>9.4599140015722505E-2</v>
      </c>
      <c r="P45" s="155">
        <f>'R3'!P35</f>
        <v>2.7374916383976795</v>
      </c>
      <c r="Q45" s="155">
        <f>'R3'!Q35</f>
        <v>0.11951268365619895</v>
      </c>
      <c r="R45" s="155">
        <f>'R3'!R35</f>
        <v>0.30532008166256741</v>
      </c>
      <c r="S45" s="155">
        <f>'R3'!S35</f>
        <v>0.49318487912445558</v>
      </c>
      <c r="T45" s="155">
        <f>'R3'!T35</f>
        <v>0.47773745448743099</v>
      </c>
      <c r="U45" s="155">
        <f>'R3'!U35</f>
        <v>6.27469287743775E-2</v>
      </c>
      <c r="V45" s="155">
        <f>'R3'!V35</f>
        <v>0.28172012769814825</v>
      </c>
    </row>
    <row r="46" spans="1:22" s="1" customFormat="1" x14ac:dyDescent="0.35">
      <c r="A46" s="223"/>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0.27877947059714409</v>
      </c>
      <c r="P46" s="155" t="str">
        <f>'R3'!P36</f>
        <v/>
      </c>
      <c r="Q46" s="155" t="str">
        <f>'R3'!Q36</f>
        <v/>
      </c>
      <c r="R46" s="155" t="str">
        <f>'R3'!R36</f>
        <v/>
      </c>
      <c r="S46" s="155" t="str">
        <f>'R3'!S36</f>
        <v/>
      </c>
      <c r="T46" s="155" t="str">
        <f>'R3'!T36</f>
        <v/>
      </c>
      <c r="U46" s="155" t="str">
        <f>'R3'!U36</f>
        <v/>
      </c>
      <c r="V46" s="155" t="str">
        <f>'R3'!V36</f>
        <v/>
      </c>
    </row>
    <row r="47" spans="1:22" s="1" customFormat="1" x14ac:dyDescent="0.35">
      <c r="A47" s="223"/>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1.1322065366098273</v>
      </c>
      <c r="P47" s="155" t="str">
        <f>'R3'!P37</f>
        <v/>
      </c>
      <c r="Q47" s="155" t="str">
        <f>'R3'!Q37</f>
        <v/>
      </c>
      <c r="R47" s="155" t="str">
        <f>'R3'!R37</f>
        <v/>
      </c>
      <c r="S47" s="155" t="str">
        <f>'R3'!S37</f>
        <v/>
      </c>
      <c r="T47" s="155" t="str">
        <f>'R3'!T37</f>
        <v/>
      </c>
      <c r="U47" s="155" t="str">
        <f>'R3'!U37</f>
        <v/>
      </c>
      <c r="V47" s="155" t="str">
        <f>'R3'!V37</f>
        <v/>
      </c>
    </row>
    <row r="48" spans="1:22" s="1" customFormat="1" x14ac:dyDescent="0.35">
      <c r="A48" s="223"/>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1.6973994744903549</v>
      </c>
      <c r="P48" s="155" t="str">
        <f>'R3'!P38</f>
        <v/>
      </c>
      <c r="Q48" s="155" t="str">
        <f>'R3'!Q38</f>
        <v/>
      </c>
      <c r="R48" s="155" t="str">
        <f>'R3'!R38</f>
        <v/>
      </c>
      <c r="S48" s="155" t="str">
        <f>'R3'!S38</f>
        <v/>
      </c>
      <c r="T48" s="155" t="str">
        <f>'R3'!T38</f>
        <v/>
      </c>
      <c r="U48" s="155" t="str">
        <f>'R3'!U38</f>
        <v/>
      </c>
      <c r="V48" s="155" t="str">
        <f>'R3'!V38</f>
        <v/>
      </c>
    </row>
    <row r="49" spans="1:24" s="1" customFormat="1" x14ac:dyDescent="0.35">
      <c r="A49" s="223"/>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1.1675352615370089</v>
      </c>
      <c r="P49" s="155" t="str">
        <f>'R3'!P39</f>
        <v/>
      </c>
      <c r="Q49" s="155" t="str">
        <f>'R3'!Q39</f>
        <v/>
      </c>
      <c r="R49" s="155" t="str">
        <f>'R3'!R39</f>
        <v/>
      </c>
      <c r="S49" s="155" t="str">
        <f>'R3'!S39</f>
        <v/>
      </c>
      <c r="T49" s="155" t="str">
        <f>'R3'!T39</f>
        <v/>
      </c>
      <c r="U49" s="155" t="str">
        <f>'R3'!U39</f>
        <v/>
      </c>
      <c r="V49" s="155" t="str">
        <f>'R3'!V39</f>
        <v/>
      </c>
    </row>
    <row r="50" spans="1:24" s="1" customFormat="1" x14ac:dyDescent="0.35">
      <c r="A50" s="223"/>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1.4337170632967104</v>
      </c>
      <c r="P50" s="155" t="str">
        <f>'R3'!P40</f>
        <v/>
      </c>
      <c r="Q50" s="155" t="str">
        <f>'R3'!Q40</f>
        <v/>
      </c>
      <c r="R50" s="155" t="str">
        <f>'R3'!R40</f>
        <v/>
      </c>
      <c r="S50" s="155" t="str">
        <f>'R3'!S40</f>
        <v/>
      </c>
      <c r="T50" s="155" t="str">
        <f>'R3'!T40</f>
        <v/>
      </c>
      <c r="U50" s="155" t="str">
        <f>'R3'!U40</f>
        <v/>
      </c>
      <c r="V50" s="155" t="str">
        <f>'R3'!V40</f>
        <v/>
      </c>
    </row>
    <row r="51" spans="1:24" s="1" customFormat="1" x14ac:dyDescent="0.35">
      <c r="A51" s="223"/>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1.5199925424045351</v>
      </c>
      <c r="P51" s="155" t="str">
        <f>'R3'!P41</f>
        <v/>
      </c>
      <c r="Q51" s="155" t="str">
        <f>'R3'!Q41</f>
        <v/>
      </c>
      <c r="R51" s="155" t="str">
        <f>'R3'!R41</f>
        <v/>
      </c>
      <c r="S51" s="155" t="str">
        <f>'R3'!S41</f>
        <v/>
      </c>
      <c r="T51" s="155" t="str">
        <f>'R3'!T41</f>
        <v/>
      </c>
      <c r="U51" s="155" t="str">
        <f>'R3'!U41</f>
        <v/>
      </c>
      <c r="V51" s="155" t="str">
        <f>'R3'!V41</f>
        <v/>
      </c>
    </row>
    <row r="52" spans="1:24" s="1" customFormat="1" x14ac:dyDescent="0.35">
      <c r="A52" s="223"/>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0.13451693151353672</v>
      </c>
      <c r="P52" s="155" t="str">
        <f>'R3'!P42</f>
        <v/>
      </c>
      <c r="Q52" s="155" t="str">
        <f>'R3'!Q42</f>
        <v/>
      </c>
      <c r="R52" s="155" t="str">
        <f>'R3'!R42</f>
        <v/>
      </c>
      <c r="S52" s="155" t="str">
        <f>'R3'!S42</f>
        <v/>
      </c>
      <c r="T52" s="155" t="str">
        <f>'R3'!T42</f>
        <v/>
      </c>
      <c r="U52" s="155" t="str">
        <f>'R3'!U42</f>
        <v/>
      </c>
      <c r="V52" s="155" t="str">
        <f>'R3'!V42</f>
        <v/>
      </c>
    </row>
    <row r="53" spans="1:24" s="1" customFormat="1" x14ac:dyDescent="0.35">
      <c r="A53" s="224"/>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0.57092894174127695</v>
      </c>
      <c r="P53" s="155" t="str">
        <f>'R3'!P43</f>
        <v/>
      </c>
      <c r="Q53" s="155" t="str">
        <f>'R3'!Q43</f>
        <v/>
      </c>
      <c r="R53" s="155" t="str">
        <f>'R3'!R43</f>
        <v/>
      </c>
      <c r="S53" s="155" t="str">
        <f>'R3'!S43</f>
        <v/>
      </c>
      <c r="T53" s="155" t="str">
        <f>'R3'!T43</f>
        <v/>
      </c>
      <c r="U53" s="155" t="str">
        <f>'R3'!U43</f>
        <v/>
      </c>
      <c r="V53" s="155"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Prochloraz-12µg/L</v>
      </c>
      <c r="J55" s="15" t="str">
        <f t="shared" si="0"/>
        <v>Prochloraz-37µg/L</v>
      </c>
      <c r="K55" s="15" t="str">
        <f t="shared" si="0"/>
        <v>Prochloraz-111µg/L</v>
      </c>
      <c r="L55" s="15" t="str">
        <f t="shared" si="0"/>
        <v>Prochloraz-333µg/L</v>
      </c>
      <c r="M55" s="15" t="str">
        <f t="shared" si="0"/>
        <v>Prochloraz-1000µg/L</v>
      </c>
      <c r="O55" s="15" t="str">
        <f t="shared" ref="O55:V55" si="1">O4</f>
        <v>Testo -30µg/L</v>
      </c>
      <c r="P55" s="15" t="str">
        <f t="shared" si="1"/>
        <v>Testo 30µg/L + EE2 -64ng/L</v>
      </c>
      <c r="Q55" s="15" t="str">
        <f t="shared" si="1"/>
        <v>Testo 30µg/L + FAD-10mg/L</v>
      </c>
      <c r="R55" s="15" t="str">
        <f t="shared" si="1"/>
        <v>Prochloraz-12µg/L + Testostérone</v>
      </c>
      <c r="S55" s="15" t="str">
        <f t="shared" si="1"/>
        <v>Prochloraz-37µg/L + Testostérone</v>
      </c>
      <c r="T55" s="15" t="str">
        <f t="shared" si="1"/>
        <v>Prochloraz-111µg/L + Testostérone</v>
      </c>
      <c r="U55" s="15" t="str">
        <f t="shared" si="1"/>
        <v>Prochloraz-333µg/L + Testostérone</v>
      </c>
      <c r="V55" s="15" t="str">
        <f t="shared" si="1"/>
        <v>Prochloraz-1000µg/L + Testostérone</v>
      </c>
    </row>
    <row r="56" spans="1:24" x14ac:dyDescent="0.35">
      <c r="A56" t="s">
        <v>48</v>
      </c>
      <c r="B56" s="9">
        <f t="shared" ref="B56:V56" si="2">AVERAGE(B6:B53)</f>
        <v>0.11859234730227697</v>
      </c>
      <c r="C56" s="9">
        <f t="shared" si="2"/>
        <v>0.1467370899616379</v>
      </c>
      <c r="D56" s="9">
        <f t="shared" si="2"/>
        <v>0.12100095132506238</v>
      </c>
      <c r="E56" s="9">
        <f t="shared" si="2"/>
        <v>0.34411680571602571</v>
      </c>
      <c r="F56" s="9">
        <f t="shared" si="2"/>
        <v>1.0872100933473268</v>
      </c>
      <c r="G56" s="9">
        <f t="shared" si="2"/>
        <v>1.8646315390090387</v>
      </c>
      <c r="H56" s="9">
        <f t="shared" si="2"/>
        <v>2.9118948637664377</v>
      </c>
      <c r="I56" s="9">
        <f t="shared" si="2"/>
        <v>8.7517334300687769E-2</v>
      </c>
      <c r="J56" s="9">
        <f t="shared" si="2"/>
        <v>0.114305354817455</v>
      </c>
      <c r="K56" s="9">
        <f t="shared" si="2"/>
        <v>0.10006852442498115</v>
      </c>
      <c r="L56" s="9">
        <f t="shared" si="2"/>
        <v>0.15375834897735421</v>
      </c>
      <c r="M56" s="9">
        <f t="shared" si="2"/>
        <v>0.177682640126409</v>
      </c>
      <c r="N56" s="9"/>
      <c r="O56" s="9">
        <f t="shared" si="2"/>
        <v>1.0000000000000004</v>
      </c>
      <c r="P56" s="9">
        <f t="shared" si="2"/>
        <v>1.8282014752371005</v>
      </c>
      <c r="Q56" s="9">
        <f t="shared" si="2"/>
        <v>0.11393961358239073</v>
      </c>
      <c r="R56" s="9">
        <f t="shared" si="2"/>
        <v>0.83886812994352211</v>
      </c>
      <c r="S56" s="9">
        <f t="shared" si="2"/>
        <v>1.0067826261762012</v>
      </c>
      <c r="T56" s="9">
        <f t="shared" si="2"/>
        <v>0.61446587435755828</v>
      </c>
      <c r="U56" s="9">
        <f t="shared" si="2"/>
        <v>0.3330181494734154</v>
      </c>
      <c r="V56" s="9">
        <f t="shared" si="2"/>
        <v>0.1609354199701406</v>
      </c>
    </row>
    <row r="57" spans="1:24" x14ac:dyDescent="0.35">
      <c r="A57" t="s">
        <v>1</v>
      </c>
      <c r="B57" s="3">
        <f>STDEV(B6:B53)</f>
        <v>0.12615311631572609</v>
      </c>
      <c r="C57" s="3">
        <f t="shared" ref="C57:V57" si="3">STDEV(C6:C53)</f>
        <v>0.17727646190704482</v>
      </c>
      <c r="D57" s="3">
        <f t="shared" si="3"/>
        <v>8.8890324529780421E-2</v>
      </c>
      <c r="E57" s="3">
        <f t="shared" si="3"/>
        <v>0.28986998760248955</v>
      </c>
      <c r="F57" s="3">
        <f t="shared" si="3"/>
        <v>0.71859977072924719</v>
      </c>
      <c r="G57" s="3">
        <f t="shared" si="3"/>
        <v>0.67232352716539923</v>
      </c>
      <c r="H57" s="3">
        <f t="shared" si="3"/>
        <v>0.96003103255574151</v>
      </c>
      <c r="I57" s="3">
        <f t="shared" si="3"/>
        <v>7.9826361129725937E-2</v>
      </c>
      <c r="J57" s="3">
        <f t="shared" si="3"/>
        <v>9.1842839172705193E-2</v>
      </c>
      <c r="K57" s="3">
        <f t="shared" si="3"/>
        <v>0.10390207933407759</v>
      </c>
      <c r="L57" s="3">
        <f t="shared" si="3"/>
        <v>0.11304364691458337</v>
      </c>
      <c r="M57" s="3">
        <f t="shared" si="3"/>
        <v>0.1753934968601257</v>
      </c>
      <c r="N57" s="3"/>
      <c r="O57" s="3">
        <f t="shared" si="3"/>
        <v>0.84226221286876013</v>
      </c>
      <c r="P57" s="3">
        <f t="shared" si="3"/>
        <v>0.6546780190172784</v>
      </c>
      <c r="Q57" s="3">
        <f t="shared" si="3"/>
        <v>9.4786012002867626E-2</v>
      </c>
      <c r="R57" s="3">
        <f t="shared" si="3"/>
        <v>0.78726525648298973</v>
      </c>
      <c r="S57" s="3">
        <f t="shared" si="3"/>
        <v>0.82782915720985806</v>
      </c>
      <c r="T57" s="3">
        <f t="shared" si="3"/>
        <v>0.67943098321410178</v>
      </c>
      <c r="U57" s="3">
        <f t="shared" si="3"/>
        <v>0.40295569657538144</v>
      </c>
      <c r="V57" s="3">
        <f t="shared" si="3"/>
        <v>0.14756330451567956</v>
      </c>
      <c r="W57" s="3"/>
      <c r="X57" s="3"/>
    </row>
    <row r="58" spans="1:24" x14ac:dyDescent="0.35">
      <c r="A58" t="s">
        <v>2</v>
      </c>
      <c r="B58" s="3">
        <f xml:space="preserve"> B57/SQRT(COUNT(B6:B53))</f>
        <v>2.5750897036292023E-2</v>
      </c>
      <c r="C58" s="3">
        <f t="shared" ref="C58:V58" si="4" xml:space="preserve"> C57/SQRT(COUNT(C6:C53))</f>
        <v>3.6186406256516597E-2</v>
      </c>
      <c r="D58" s="3">
        <f t="shared" si="4"/>
        <v>1.8534913934670386E-2</v>
      </c>
      <c r="E58" s="3">
        <f t="shared" si="4"/>
        <v>5.9169463447748767E-2</v>
      </c>
      <c r="F58" s="3">
        <f t="shared" si="4"/>
        <v>0.14668356396396956</v>
      </c>
      <c r="G58" s="3">
        <f t="shared" si="4"/>
        <v>0.13723746530195441</v>
      </c>
      <c r="H58" s="3">
        <f t="shared" si="4"/>
        <v>0.19596551391656936</v>
      </c>
      <c r="I58" s="3">
        <f t="shared" si="4"/>
        <v>1.6294487732580791E-2</v>
      </c>
      <c r="J58" s="3">
        <f t="shared" si="4"/>
        <v>1.9150555795434777E-2</v>
      </c>
      <c r="K58" s="3">
        <f t="shared" si="4"/>
        <v>2.1208923131888924E-2</v>
      </c>
      <c r="L58" s="3">
        <f t="shared" si="4"/>
        <v>2.3074937800339604E-2</v>
      </c>
      <c r="M58" s="3">
        <f t="shared" si="4"/>
        <v>3.5802047625812627E-2</v>
      </c>
      <c r="N58" s="3"/>
      <c r="O58" s="3">
        <f t="shared" si="4"/>
        <v>0.12285657051909955</v>
      </c>
      <c r="P58" s="3">
        <f t="shared" si="4"/>
        <v>0.13363559103403616</v>
      </c>
      <c r="Q58" s="3">
        <f t="shared" si="4"/>
        <v>1.9348113680028957E-2</v>
      </c>
      <c r="R58" s="3">
        <f t="shared" si="4"/>
        <v>0.16415615366304329</v>
      </c>
      <c r="S58" s="3">
        <f t="shared" si="4"/>
        <v>0.16897991911353255</v>
      </c>
      <c r="T58" s="3">
        <f t="shared" si="4"/>
        <v>0.13868826869266934</v>
      </c>
      <c r="U58" s="3">
        <f t="shared" si="4"/>
        <v>8.2252987129787292E-2</v>
      </c>
      <c r="V58" s="3">
        <f t="shared" si="4"/>
        <v>3.0769075977412619E-2</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25" t="s">
        <v>46</v>
      </c>
      <c r="B60" s="226"/>
      <c r="C60" s="226"/>
      <c r="D60" s="226"/>
      <c r="E60" s="226"/>
      <c r="F60" s="226"/>
      <c r="G60" s="226"/>
      <c r="H60" s="226"/>
      <c r="I60" s="226"/>
      <c r="J60" s="226"/>
      <c r="K60" s="226"/>
      <c r="L60" s="226"/>
      <c r="M60" s="226"/>
      <c r="N60" s="226"/>
      <c r="O60" s="226"/>
      <c r="P60" s="226"/>
      <c r="Q60" s="226"/>
      <c r="R60" s="226"/>
      <c r="S60" s="226"/>
      <c r="T60" s="226"/>
      <c r="U60" s="226"/>
      <c r="V60" s="226"/>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Prochloraz-12µg/L</v>
      </c>
      <c r="J62" s="3" t="str">
        <f t="shared" si="6"/>
        <v>Prochloraz-37µg/L</v>
      </c>
      <c r="K62" s="3" t="str">
        <f t="shared" si="6"/>
        <v>Prochloraz-111µg/L</v>
      </c>
      <c r="L62" s="3" t="str">
        <f t="shared" si="6"/>
        <v>Prochloraz-333µg/L</v>
      </c>
      <c r="M62" s="3" t="str">
        <f t="shared" si="6"/>
        <v>Prochloraz-1000µg/L</v>
      </c>
      <c r="N62" s="3"/>
      <c r="O62" s="3" t="str">
        <f t="shared" si="6"/>
        <v>Testo -30µg/L</v>
      </c>
      <c r="P62" s="3" t="str">
        <f t="shared" si="6"/>
        <v>Testo 30µg/L + EE2 -64ng/L</v>
      </c>
      <c r="Q62" s="3" t="str">
        <f t="shared" si="6"/>
        <v>Testo 30µg/L + FAD-10mg/L</v>
      </c>
      <c r="R62" s="3" t="str">
        <f t="shared" si="6"/>
        <v>Prochloraz-12µg/L + Testostérone</v>
      </c>
      <c r="S62" s="3" t="str">
        <f t="shared" si="6"/>
        <v>Prochloraz-37µg/L + Testostérone</v>
      </c>
      <c r="T62" s="3" t="str">
        <f t="shared" si="6"/>
        <v>Prochloraz-111µg/L + Testostérone</v>
      </c>
      <c r="U62" s="3" t="str">
        <f t="shared" si="6"/>
        <v>Prochloraz-333µg/L + Testostérone</v>
      </c>
      <c r="V62" s="3" t="str">
        <f t="shared" si="6"/>
        <v>Prochloraz-1000µg/L + Testostérone</v>
      </c>
    </row>
    <row r="63" spans="1:24" s="1" customFormat="1" x14ac:dyDescent="0.35">
      <c r="A63" s="1" t="s">
        <v>49</v>
      </c>
      <c r="B63" s="3">
        <f>COUNT(B6:B53)</f>
        <v>24</v>
      </c>
      <c r="C63" s="3">
        <f t="shared" ref="C63:V63" si="7">COUNT(C6:C53)</f>
        <v>24</v>
      </c>
      <c r="D63" s="3">
        <f t="shared" si="7"/>
        <v>23</v>
      </c>
      <c r="E63" s="3">
        <f t="shared" si="7"/>
        <v>24</v>
      </c>
      <c r="F63" s="3">
        <f t="shared" si="7"/>
        <v>24</v>
      </c>
      <c r="G63" s="3">
        <f t="shared" si="7"/>
        <v>24</v>
      </c>
      <c r="H63" s="3">
        <f t="shared" si="7"/>
        <v>24</v>
      </c>
      <c r="I63" s="3">
        <f t="shared" si="7"/>
        <v>24</v>
      </c>
      <c r="J63" s="3">
        <f t="shared" si="7"/>
        <v>23</v>
      </c>
      <c r="K63" s="3">
        <f t="shared" si="7"/>
        <v>24</v>
      </c>
      <c r="L63" s="3">
        <f t="shared" si="7"/>
        <v>24</v>
      </c>
      <c r="M63" s="3">
        <f t="shared" si="7"/>
        <v>24</v>
      </c>
      <c r="N63" s="3"/>
      <c r="O63" s="3">
        <f t="shared" si="7"/>
        <v>47</v>
      </c>
      <c r="P63" s="3">
        <f t="shared" si="7"/>
        <v>24</v>
      </c>
      <c r="Q63" s="3">
        <f t="shared" si="7"/>
        <v>24</v>
      </c>
      <c r="R63" s="3">
        <f t="shared" si="7"/>
        <v>23</v>
      </c>
      <c r="S63" s="3">
        <f t="shared" si="7"/>
        <v>24</v>
      </c>
      <c r="T63" s="3">
        <f t="shared" si="7"/>
        <v>24</v>
      </c>
      <c r="U63" s="3">
        <f t="shared" si="7"/>
        <v>24</v>
      </c>
      <c r="V63" s="3">
        <f t="shared" si="7"/>
        <v>23</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25" t="s">
        <v>58</v>
      </c>
      <c r="B65" s="226"/>
      <c r="C65" s="226"/>
      <c r="D65" s="226"/>
      <c r="E65" s="226"/>
      <c r="F65" s="226"/>
      <c r="G65" s="226"/>
      <c r="H65" s="226"/>
      <c r="I65" s="226"/>
      <c r="J65" s="226"/>
      <c r="K65" s="226"/>
      <c r="L65" s="226"/>
      <c r="M65" s="226"/>
      <c r="N65" s="226"/>
      <c r="O65" s="226"/>
      <c r="P65" s="226"/>
      <c r="Q65" s="226"/>
      <c r="R65" s="226"/>
      <c r="S65" s="226"/>
      <c r="T65" s="226"/>
      <c r="U65" s="226"/>
      <c r="V65" s="226"/>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25" t="s">
        <v>53</v>
      </c>
      <c r="B70" s="226"/>
      <c r="C70" s="226"/>
      <c r="D70" s="226"/>
      <c r="E70" s="226"/>
      <c r="F70" s="226"/>
      <c r="G70" s="226"/>
      <c r="H70" s="226"/>
      <c r="I70" s="226"/>
      <c r="J70" s="226"/>
      <c r="K70" s="226"/>
      <c r="L70" s="226"/>
      <c r="M70" s="226"/>
      <c r="N70" s="226"/>
      <c r="O70" s="226"/>
      <c r="P70" s="226"/>
      <c r="Q70" s="226"/>
      <c r="R70" s="226"/>
      <c r="S70" s="226"/>
      <c r="T70" s="226"/>
      <c r="U70" s="226"/>
      <c r="V70" s="226"/>
    </row>
    <row r="71" spans="1:22" ht="15" thickBot="1" x14ac:dyDescent="0.4"/>
    <row r="72" spans="1:22" s="48" customFormat="1" ht="26.5" thickBot="1" x14ac:dyDescent="0.4">
      <c r="A72" s="225" t="s">
        <v>54</v>
      </c>
      <c r="B72" s="226"/>
      <c r="C72" s="226"/>
      <c r="D72" s="226"/>
      <c r="E72" s="226"/>
      <c r="F72" s="226"/>
      <c r="G72" s="226"/>
      <c r="H72" s="226"/>
      <c r="I72" s="226"/>
      <c r="J72" s="226"/>
      <c r="K72" s="226"/>
      <c r="L72" s="226"/>
      <c r="M72" s="226"/>
      <c r="N72" s="226"/>
      <c r="O72" s="226"/>
      <c r="P72" s="226"/>
      <c r="Q72" s="226"/>
      <c r="R72" s="226"/>
      <c r="S72" s="226"/>
      <c r="T72" s="226"/>
      <c r="U72" s="226"/>
      <c r="V72" s="226"/>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Prochloraz-12µg/L</v>
      </c>
      <c r="J74" s="46" t="str">
        <f t="shared" si="9"/>
        <v>Prochloraz-37µg/L</v>
      </c>
      <c r="K74" s="46" t="str">
        <f t="shared" si="9"/>
        <v>Prochloraz-111µg/L</v>
      </c>
      <c r="L74" s="46" t="str">
        <f t="shared" si="9"/>
        <v>Prochloraz-333µg/L</v>
      </c>
      <c r="M74" s="46" t="str">
        <f t="shared" si="9"/>
        <v>Prochloraz-1000µg/L</v>
      </c>
      <c r="N74" s="46"/>
      <c r="O74" s="46" t="str">
        <f t="shared" ref="O74:V74" si="10">O4</f>
        <v>Testo -30µg/L</v>
      </c>
      <c r="P74" s="46" t="str">
        <f t="shared" si="10"/>
        <v>Testo 30µg/L + EE2 -64ng/L</v>
      </c>
      <c r="Q74" s="46" t="str">
        <f t="shared" si="10"/>
        <v>Testo 30µg/L + FAD-10mg/L</v>
      </c>
      <c r="R74" s="46" t="str">
        <f t="shared" si="10"/>
        <v>Prochloraz-12µg/L + Testostérone</v>
      </c>
      <c r="S74" s="46" t="str">
        <f t="shared" si="10"/>
        <v>Prochloraz-37µg/L + Testostérone</v>
      </c>
      <c r="T74" s="46" t="str">
        <f t="shared" si="10"/>
        <v>Prochloraz-111µg/L + Testostérone</v>
      </c>
      <c r="U74" s="46" t="str">
        <f t="shared" si="10"/>
        <v>Prochloraz-333µg/L + Testostérone</v>
      </c>
      <c r="V74" s="46" t="str">
        <f t="shared" si="10"/>
        <v>Prochloraz-1000µg/L + Testostérone</v>
      </c>
    </row>
    <row r="75" spans="1:22" s="3" customFormat="1" x14ac:dyDescent="0.35">
      <c r="A75" s="61" t="s">
        <v>32</v>
      </c>
      <c r="B75" s="142">
        <f>B56</f>
        <v>0.11859234730227697</v>
      </c>
      <c r="C75" s="142">
        <f t="shared" ref="C75:V75" si="11">C56</f>
        <v>0.1467370899616379</v>
      </c>
      <c r="D75" s="142">
        <f t="shared" si="11"/>
        <v>0.12100095132506238</v>
      </c>
      <c r="E75" s="142">
        <f t="shared" si="11"/>
        <v>0.34411680571602571</v>
      </c>
      <c r="F75" s="142">
        <f t="shared" si="11"/>
        <v>1.0872100933473268</v>
      </c>
      <c r="G75" s="142">
        <f t="shared" si="11"/>
        <v>1.8646315390090387</v>
      </c>
      <c r="H75" s="142">
        <f t="shared" si="11"/>
        <v>2.9118948637664377</v>
      </c>
      <c r="I75" s="142">
        <f t="shared" si="11"/>
        <v>8.7517334300687769E-2</v>
      </c>
      <c r="J75" s="142">
        <f t="shared" si="11"/>
        <v>0.114305354817455</v>
      </c>
      <c r="K75" s="142">
        <f t="shared" si="11"/>
        <v>0.10006852442498115</v>
      </c>
      <c r="L75" s="142">
        <f t="shared" si="11"/>
        <v>0.15375834897735421</v>
      </c>
      <c r="M75" s="142">
        <f t="shared" si="11"/>
        <v>0.177682640126409</v>
      </c>
      <c r="N75" s="142"/>
      <c r="O75" s="142">
        <f t="shared" si="11"/>
        <v>1.0000000000000004</v>
      </c>
      <c r="P75" s="142">
        <f t="shared" si="11"/>
        <v>1.8282014752371005</v>
      </c>
      <c r="Q75" s="142">
        <f t="shared" si="11"/>
        <v>0.11393961358239073</v>
      </c>
      <c r="R75" s="142">
        <f t="shared" si="11"/>
        <v>0.83886812994352211</v>
      </c>
      <c r="S75" s="142">
        <f t="shared" si="11"/>
        <v>1.0067826261762012</v>
      </c>
      <c r="T75" s="142">
        <f t="shared" si="11"/>
        <v>0.61446587435755828</v>
      </c>
      <c r="U75" s="142">
        <f t="shared" si="11"/>
        <v>0.3330181494734154</v>
      </c>
      <c r="V75" s="142">
        <f t="shared" si="11"/>
        <v>0.1609354199701406</v>
      </c>
    </row>
    <row r="76" spans="1:22" s="3" customFormat="1" x14ac:dyDescent="0.35">
      <c r="A76" s="61" t="s">
        <v>2</v>
      </c>
      <c r="B76" s="142">
        <f>B58</f>
        <v>2.5750897036292023E-2</v>
      </c>
      <c r="C76" s="142">
        <f t="shared" ref="C76:V76" si="12">C58</f>
        <v>3.6186406256516597E-2</v>
      </c>
      <c r="D76" s="142">
        <f t="shared" si="12"/>
        <v>1.8534913934670386E-2</v>
      </c>
      <c r="E76" s="142">
        <f t="shared" si="12"/>
        <v>5.9169463447748767E-2</v>
      </c>
      <c r="F76" s="142">
        <f t="shared" si="12"/>
        <v>0.14668356396396956</v>
      </c>
      <c r="G76" s="142">
        <f t="shared" si="12"/>
        <v>0.13723746530195441</v>
      </c>
      <c r="H76" s="142">
        <f t="shared" si="12"/>
        <v>0.19596551391656936</v>
      </c>
      <c r="I76" s="142">
        <f t="shared" si="12"/>
        <v>1.6294487732580791E-2</v>
      </c>
      <c r="J76" s="142">
        <f t="shared" si="12"/>
        <v>1.9150555795434777E-2</v>
      </c>
      <c r="K76" s="142">
        <f t="shared" si="12"/>
        <v>2.1208923131888924E-2</v>
      </c>
      <c r="L76" s="142">
        <f t="shared" si="12"/>
        <v>2.3074937800339604E-2</v>
      </c>
      <c r="M76" s="142">
        <f t="shared" si="12"/>
        <v>3.5802047625812627E-2</v>
      </c>
      <c r="N76" s="142"/>
      <c r="O76" s="142">
        <f t="shared" si="12"/>
        <v>0.12285657051909955</v>
      </c>
      <c r="P76" s="142">
        <f t="shared" si="12"/>
        <v>0.13363559103403616</v>
      </c>
      <c r="Q76" s="142">
        <f t="shared" si="12"/>
        <v>1.9348113680028957E-2</v>
      </c>
      <c r="R76" s="142">
        <f t="shared" si="12"/>
        <v>0.16415615366304329</v>
      </c>
      <c r="S76" s="142">
        <f t="shared" si="12"/>
        <v>0.16897991911353255</v>
      </c>
      <c r="T76" s="142">
        <f t="shared" si="12"/>
        <v>0.13868826869266934</v>
      </c>
      <c r="U76" s="142">
        <f t="shared" si="12"/>
        <v>8.2252987129787292E-2</v>
      </c>
      <c r="V76" s="142">
        <f t="shared" si="12"/>
        <v>3.0769075977412619E-2</v>
      </c>
    </row>
    <row r="77" spans="1:22" s="3" customFormat="1" x14ac:dyDescent="0.35">
      <c r="A77" s="61" t="s">
        <v>79</v>
      </c>
      <c r="B77" s="142">
        <f>(B75*100/$B$75)-100</f>
        <v>0</v>
      </c>
      <c r="C77" s="142">
        <f t="shared" ref="C77:M77" si="13">(C75*100/$B$75)-100</f>
        <v>23.732343021783279</v>
      </c>
      <c r="D77" s="142">
        <f t="shared" si="13"/>
        <v>2.0309944760990106</v>
      </c>
      <c r="E77" s="142">
        <f t="shared" si="13"/>
        <v>190.16780048961783</v>
      </c>
      <c r="F77" s="142">
        <f t="shared" si="13"/>
        <v>816.76243710411177</v>
      </c>
      <c r="G77" s="142">
        <f t="shared" si="13"/>
        <v>1472.3034254953463</v>
      </c>
      <c r="H77" s="142">
        <f t="shared" si="13"/>
        <v>2355.3817594523057</v>
      </c>
      <c r="I77" s="142">
        <f t="shared" si="13"/>
        <v>-26.203219439094923</v>
      </c>
      <c r="J77" s="142">
        <f t="shared" si="13"/>
        <v>-3.6148980792959264</v>
      </c>
      <c r="K77" s="142">
        <f t="shared" si="13"/>
        <v>-15.619745538960387</v>
      </c>
      <c r="L77" s="142">
        <f t="shared" si="13"/>
        <v>29.652842257556074</v>
      </c>
      <c r="M77" s="142">
        <f t="shared" si="13"/>
        <v>49.826396195294365</v>
      </c>
      <c r="N77" s="142"/>
      <c r="O77" s="142">
        <f t="shared" ref="O77:V77" si="14">(O75*100/$O$75)-100</f>
        <v>0</v>
      </c>
      <c r="P77" s="142">
        <f t="shared" si="14"/>
        <v>82.820147523709977</v>
      </c>
      <c r="Q77" s="142">
        <f t="shared" si="14"/>
        <v>-88.606038641760932</v>
      </c>
      <c r="R77" s="142">
        <f t="shared" si="14"/>
        <v>-16.113187005647831</v>
      </c>
      <c r="S77" s="142">
        <f t="shared" si="14"/>
        <v>0.67826261762007789</v>
      </c>
      <c r="T77" s="142">
        <f t="shared" si="14"/>
        <v>-38.553412564244198</v>
      </c>
      <c r="U77" s="142">
        <f t="shared" si="14"/>
        <v>-66.698185052658474</v>
      </c>
      <c r="V77" s="142">
        <f t="shared" si="14"/>
        <v>-83.906458002985943</v>
      </c>
    </row>
    <row r="78" spans="1:22" s="3" customFormat="1" x14ac:dyDescent="0.35">
      <c r="A78" s="61" t="s">
        <v>81</v>
      </c>
      <c r="B78" s="142">
        <f>[1]!DPTEST(B6:B53)</f>
        <v>2.0440695778889406E-5</v>
      </c>
      <c r="C78" s="142">
        <f>[1]!DPTEST(C6:C53)</f>
        <v>9.3504636256014351E-9</v>
      </c>
      <c r="D78" s="142">
        <f>[1]!DPTEST(D6:D53)</f>
        <v>1.402203197093943E-4</v>
      </c>
      <c r="E78" s="142">
        <f>[1]!DPTEST(E6:E53)</f>
        <v>1.5942202743693845E-2</v>
      </c>
      <c r="F78" s="142">
        <f>[1]!DPTEST(F6:F53)</f>
        <v>4.0960137761558713E-6</v>
      </c>
      <c r="G78" s="142">
        <f>[1]!DPTEST(G6:G53)</f>
        <v>0.54076829676204929</v>
      </c>
      <c r="H78" s="142">
        <f>[1]!DPTEST(H6:H53)</f>
        <v>0.19039096157474023</v>
      </c>
      <c r="I78" s="142">
        <f>[1]!DPTEST(I6:I53)</f>
        <v>1.8012258423683036E-6</v>
      </c>
      <c r="J78" s="142">
        <f>[1]!DPTEST(J6:J53)</f>
        <v>9.6886487857883452E-5</v>
      </c>
      <c r="K78" s="142">
        <f>[1]!DPTEST(K6:K53)</f>
        <v>1.3113280193932653E-6</v>
      </c>
      <c r="L78" s="142">
        <f>[1]!DPTEST(L6:L53)</f>
        <v>0.20083568661383622</v>
      </c>
      <c r="M78" s="142">
        <f>[1]!DPTEST(M6:M53)</f>
        <v>1.2304984318145529E-6</v>
      </c>
      <c r="N78" s="142"/>
      <c r="O78" s="142">
        <f>[1]!DPTEST(O6:O53)</f>
        <v>1.2847597980560899E-3</v>
      </c>
      <c r="P78" s="142">
        <f>[1]!DPTEST(P6:P53)</f>
        <v>0.15754291720274027</v>
      </c>
      <c r="Q78" s="142">
        <f>[1]!DPTEST(Q6:Q53)</f>
        <v>1.9704618440432586E-3</v>
      </c>
      <c r="R78" s="142">
        <f>[1]!DPTEST(R6:R53)</f>
        <v>1.8458763119233446E-5</v>
      </c>
      <c r="S78" s="142">
        <f>[1]!DPTEST(S6:S53)</f>
        <v>9.4119847204162776E-2</v>
      </c>
      <c r="T78" s="142">
        <f>[1]!DPTEST(T6:T53)</f>
        <v>2.1593765484495542E-5</v>
      </c>
      <c r="U78" s="142">
        <f>[1]!DPTEST(U6:U53)</f>
        <v>3.4213723171250265E-6</v>
      </c>
      <c r="V78" s="142">
        <f>[1]!DPTEST(V6:V53)</f>
        <v>1.4218191783478051E-2</v>
      </c>
    </row>
    <row r="79" spans="1:22" s="3" customFormat="1" x14ac:dyDescent="0.35">
      <c r="A79" s="61" t="s">
        <v>85</v>
      </c>
      <c r="B79" s="142" t="str">
        <f>IF(B78&gt;0.05,"Oui","Non")</f>
        <v>Non</v>
      </c>
      <c r="C79" s="142" t="str">
        <f t="shared" ref="C79:V79" si="15">IF(C78&gt;0.05,"Oui","Non")</f>
        <v>Non</v>
      </c>
      <c r="D79" s="142" t="str">
        <f t="shared" si="15"/>
        <v>Non</v>
      </c>
      <c r="E79" s="142" t="str">
        <f t="shared" si="15"/>
        <v>Non</v>
      </c>
      <c r="F79" s="142" t="str">
        <f t="shared" si="15"/>
        <v>Non</v>
      </c>
      <c r="G79" s="142" t="str">
        <f t="shared" si="15"/>
        <v>Oui</v>
      </c>
      <c r="H79" s="142" t="str">
        <f t="shared" si="15"/>
        <v>Oui</v>
      </c>
      <c r="I79" s="142" t="str">
        <f t="shared" si="15"/>
        <v>Non</v>
      </c>
      <c r="J79" s="142" t="str">
        <f t="shared" si="15"/>
        <v>Non</v>
      </c>
      <c r="K79" s="142" t="str">
        <f t="shared" si="15"/>
        <v>Non</v>
      </c>
      <c r="L79" s="142" t="str">
        <f t="shared" si="15"/>
        <v>Oui</v>
      </c>
      <c r="M79" s="142" t="str">
        <f t="shared" si="15"/>
        <v>Non</v>
      </c>
      <c r="N79" s="142"/>
      <c r="O79" s="142" t="str">
        <f t="shared" si="15"/>
        <v>Non</v>
      </c>
      <c r="P79" s="142" t="str">
        <f t="shared" si="15"/>
        <v>Oui</v>
      </c>
      <c r="Q79" s="142" t="str">
        <f t="shared" si="15"/>
        <v>Non</v>
      </c>
      <c r="R79" s="142" t="str">
        <f t="shared" si="15"/>
        <v>Non</v>
      </c>
      <c r="S79" s="142" t="str">
        <f t="shared" si="15"/>
        <v>Oui</v>
      </c>
      <c r="T79" s="142" t="str">
        <f t="shared" si="15"/>
        <v>Non</v>
      </c>
      <c r="U79" s="142" t="str">
        <f t="shared" si="15"/>
        <v>Non</v>
      </c>
      <c r="V79" s="142" t="str">
        <f t="shared" si="15"/>
        <v>Non</v>
      </c>
    </row>
    <row r="80" spans="1:22" s="3" customFormat="1" x14ac:dyDescent="0.35">
      <c r="A80" s="61" t="s">
        <v>122</v>
      </c>
      <c r="B80" s="142" t="str">
        <f>IF(COUNTIF(B79:I79, "Non")=0, "Oui","Non")</f>
        <v>Non</v>
      </c>
      <c r="C80" s="142"/>
      <c r="D80" s="142"/>
      <c r="E80" s="142"/>
      <c r="F80" s="142"/>
      <c r="G80" s="142"/>
      <c r="H80" s="142"/>
      <c r="I80" s="142"/>
      <c r="J80" s="142" t="str">
        <f>IF(COUNTIF(J79:M79, "Non")&gt;0, "Oui","Non")</f>
        <v>Oui</v>
      </c>
      <c r="K80" s="142"/>
      <c r="L80" s="142"/>
      <c r="M80" s="142"/>
      <c r="N80" s="142"/>
      <c r="O80" s="142"/>
      <c r="P80" s="142"/>
      <c r="Q80" s="142"/>
      <c r="R80" s="142" t="str">
        <f>IF(COUNTIF(R79:V79, "Non")&gt;0, "Oui","Non")</f>
        <v>Oui</v>
      </c>
      <c r="S80" s="142"/>
      <c r="T80" s="142"/>
      <c r="U80" s="142"/>
      <c r="V80" s="142"/>
    </row>
    <row r="81" spans="1:22" s="3" customFormat="1" x14ac:dyDescent="0.35">
      <c r="A81" s="61" t="s">
        <v>82</v>
      </c>
      <c r="B81" s="142"/>
      <c r="C81" s="142"/>
      <c r="D81" s="142"/>
      <c r="E81" s="142"/>
      <c r="F81" s="142"/>
      <c r="G81" s="142"/>
      <c r="H81" s="142"/>
      <c r="I81" s="142"/>
      <c r="J81" s="142"/>
      <c r="K81" s="142"/>
      <c r="L81" s="142"/>
      <c r="M81" s="142"/>
      <c r="N81" s="142"/>
      <c r="O81" s="142" t="str">
        <f>IF($B79="Non",IF(O79="Non","Mann Withney",IF(O79="Oui","Mann Withney","")),IF($B79="Oui",IF(O79="Oui","T-Test Welch",IF(O79="Non","Mann Withney",""))))</f>
        <v>Mann Withney</v>
      </c>
      <c r="P81" s="142" t="str">
        <f t="shared" ref="P81:Q81" si="16">IF($O79="Non",IF(P79="Non","Mann Withney",IF(P$79="Oui","Mann Withney","")),IF($O79="Oui",IF(P79="Oui","T-Test Welch",IF(P79="Non","Mann Withney",""))))</f>
        <v>Mann Withney</v>
      </c>
      <c r="Q81" s="142" t="str">
        <f t="shared" si="16"/>
        <v>Mann Withney</v>
      </c>
      <c r="R81" s="142"/>
      <c r="S81" s="142"/>
      <c r="T81" s="142"/>
      <c r="U81" s="142"/>
      <c r="V81" s="142"/>
    </row>
    <row r="82" spans="1:22" s="3" customFormat="1" x14ac:dyDescent="0.35">
      <c r="A82" s="61" t="s">
        <v>83</v>
      </c>
      <c r="B82" s="142"/>
      <c r="C82" s="142"/>
      <c r="D82" s="142"/>
      <c r="E82" s="142"/>
      <c r="F82" s="142"/>
      <c r="G82" s="142"/>
      <c r="H82" s="142"/>
      <c r="I82" s="142"/>
      <c r="J82" s="142"/>
      <c r="K82" s="142"/>
      <c r="L82" s="142"/>
      <c r="M82" s="142"/>
      <c r="N82" s="142"/>
      <c r="O82" s="142">
        <f>IF(O81="Mann Withney",[1]!MTEST($B6:$B37,O6:O53,2), IF(O81="T-Test Welch",_xlfn.T.TEST($B6:$B37,O6:O53,2,3),""))</f>
        <v>6.5598923537635301E-7</v>
      </c>
      <c r="P82" s="142">
        <f>IF(P81="Mann Withney",[1]!MTEST($O6:$O53,P6:P53,2), IF(P81="T-Test Welch",_xlfn.T.TEST($O6:$O53,P6:P53,2,3),""))</f>
        <v>5.446337736669804E-5</v>
      </c>
      <c r="Q82" s="142">
        <f>IF(Q81="Mann Withney",[1]!MTEST($O6:$O53,Q6:Q53,2), IF(Q81="T-Test Welch",_xlfn.T.TEST($O6:$O53,Q6:Q53,2,3),""))</f>
        <v>2.0988824456225075E-8</v>
      </c>
      <c r="R82" s="142"/>
      <c r="S82" s="142"/>
      <c r="T82" s="142"/>
      <c r="U82" s="142"/>
      <c r="V82" s="142"/>
    </row>
    <row r="83" spans="1:22" s="3" customFormat="1" ht="15" thickBot="1" x14ac:dyDescent="0.4">
      <c r="A83" s="62" t="s">
        <v>84</v>
      </c>
      <c r="B83" s="143"/>
      <c r="C83" s="143" t="s">
        <v>4228</v>
      </c>
      <c r="D83" s="143" t="s">
        <v>4228</v>
      </c>
      <c r="E83" s="143" t="s">
        <v>4228</v>
      </c>
      <c r="F83" s="143" t="s">
        <v>4229</v>
      </c>
      <c r="G83" s="143" t="s">
        <v>4230</v>
      </c>
      <c r="H83" s="143" t="s">
        <v>4229</v>
      </c>
      <c r="I83" s="143" t="s">
        <v>4228</v>
      </c>
      <c r="J83" s="143" t="s">
        <v>4228</v>
      </c>
      <c r="K83" s="143" t="s">
        <v>4228</v>
      </c>
      <c r="L83" s="143" t="s">
        <v>4228</v>
      </c>
      <c r="M83" s="143" t="s">
        <v>4228</v>
      </c>
      <c r="N83" s="143"/>
      <c r="O83" s="143" t="str">
        <f t="shared" ref="O83" si="17">IF(O82&gt;0.05,"NS",IF(O82&gt;0.01,"*",IF(O82&gt;0.001,"**","***")))</f>
        <v>***</v>
      </c>
      <c r="P83" s="143" t="str">
        <f t="shared" ref="P83" si="18">IF(P82&gt;0.05,"NS",IF(P82&gt;0.01,"*",IF(P82&gt;0.001,"**","***")))</f>
        <v>***</v>
      </c>
      <c r="Q83" s="143" t="str">
        <f t="shared" ref="Q83" si="19">IF(Q82&gt;0.05,"NS",IF(Q82&gt;0.01,"*",IF(Q82&gt;0.001,"**","***")))</f>
        <v>***</v>
      </c>
      <c r="R83" s="143" t="s">
        <v>4228</v>
      </c>
      <c r="S83" s="143" t="s">
        <v>4228</v>
      </c>
      <c r="T83" s="143" t="s">
        <v>4228</v>
      </c>
      <c r="U83" s="143" t="s">
        <v>4229</v>
      </c>
      <c r="V83" s="143" t="s">
        <v>4229</v>
      </c>
    </row>
    <row r="84" spans="1:22" s="1" customFormat="1" x14ac:dyDescent="0.35"/>
    <row r="85" spans="1:22" s="1" customFormat="1" x14ac:dyDescent="0.35">
      <c r="A85" s="2" t="s">
        <v>39</v>
      </c>
    </row>
    <row r="86" spans="1:22" x14ac:dyDescent="0.35">
      <c r="A86" s="1" t="s">
        <v>23</v>
      </c>
      <c r="B86" s="1">
        <f>B56+(3*B57)</f>
        <v>0.49705169624945522</v>
      </c>
    </row>
    <row r="87" spans="1:22" x14ac:dyDescent="0.35">
      <c r="A87" s="1" t="s">
        <v>24</v>
      </c>
      <c r="B87" s="1">
        <f>B56+(10*B57)</f>
        <v>1.380123510459538</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25" t="s">
        <v>57</v>
      </c>
      <c r="B93" s="226"/>
      <c r="C93" s="226"/>
      <c r="D93" s="226"/>
      <c r="E93" s="226"/>
      <c r="F93" s="226"/>
      <c r="G93" s="226"/>
      <c r="H93" s="226"/>
      <c r="I93" s="226"/>
      <c r="J93" s="226"/>
      <c r="K93" s="226"/>
      <c r="L93" s="226"/>
      <c r="M93" s="226"/>
      <c r="N93" s="226"/>
      <c r="O93" s="226"/>
      <c r="P93" s="226"/>
      <c r="Q93" s="226"/>
      <c r="R93" s="226"/>
      <c r="S93" s="226"/>
      <c r="T93" s="226"/>
      <c r="U93" s="226"/>
      <c r="V93" s="226"/>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25" t="s">
        <v>104</v>
      </c>
      <c r="B1" s="226"/>
      <c r="C1" s="226"/>
      <c r="D1" s="226"/>
      <c r="E1" s="226"/>
      <c r="F1" s="226"/>
      <c r="G1" s="226"/>
      <c r="H1" s="226"/>
      <c r="I1" s="226"/>
      <c r="J1" s="226"/>
      <c r="K1" s="226"/>
      <c r="L1" s="226"/>
      <c r="M1" s="226"/>
      <c r="N1" s="226"/>
      <c r="O1" s="227"/>
    </row>
    <row r="2" spans="1:15" s="48" customFormat="1" ht="26.5" thickBot="1" x14ac:dyDescent="0.4">
      <c r="A2" s="225" t="s">
        <v>105</v>
      </c>
      <c r="B2" s="226"/>
      <c r="C2" s="226"/>
      <c r="D2" s="226"/>
      <c r="E2" s="226"/>
      <c r="F2" s="226"/>
      <c r="G2" s="226"/>
      <c r="H2" s="226"/>
      <c r="I2" s="226"/>
      <c r="J2" s="226"/>
      <c r="K2" s="226"/>
      <c r="L2" s="226"/>
      <c r="M2" s="226"/>
      <c r="N2" s="226"/>
      <c r="O2" s="227"/>
    </row>
    <row r="3" spans="1:15" s="77" customFormat="1" ht="15.5" x14ac:dyDescent="0.35">
      <c r="H3" s="78"/>
      <c r="I3" s="78"/>
      <c r="J3" s="78"/>
      <c r="K3" s="78"/>
      <c r="L3" s="78"/>
      <c r="M3" s="78"/>
      <c r="N3" s="78"/>
    </row>
    <row r="4" spans="1:15" s="77" customFormat="1" ht="15.5" x14ac:dyDescent="0.35">
      <c r="O4"/>
    </row>
    <row r="5" spans="1:15" s="77" customFormat="1" ht="45.75" customHeight="1" thickBot="1" x14ac:dyDescent="0.4">
      <c r="A5" s="79"/>
      <c r="B5" s="88" t="s">
        <v>25</v>
      </c>
      <c r="C5" s="88" t="s">
        <v>26</v>
      </c>
      <c r="D5" s="88" t="s">
        <v>27</v>
      </c>
      <c r="E5" s="89" t="s">
        <v>64</v>
      </c>
      <c r="F5" s="127" t="s">
        <v>80</v>
      </c>
      <c r="G5" s="95" t="s">
        <v>42</v>
      </c>
      <c r="H5" s="95" t="s">
        <v>65</v>
      </c>
      <c r="I5" s="95" t="s">
        <v>66</v>
      </c>
      <c r="J5" s="96" t="s">
        <v>77</v>
      </c>
      <c r="K5" s="96" t="s">
        <v>67</v>
      </c>
      <c r="L5" s="97" t="s">
        <v>76</v>
      </c>
      <c r="M5" s="97" t="s">
        <v>68</v>
      </c>
      <c r="N5" s="97" t="s">
        <v>69</v>
      </c>
      <c r="O5"/>
    </row>
    <row r="6" spans="1:15" s="77" customFormat="1" ht="15.5" x14ac:dyDescent="0.35">
      <c r="A6" s="80" t="s">
        <v>28</v>
      </c>
      <c r="B6" s="100">
        <v>64</v>
      </c>
      <c r="C6" s="80"/>
      <c r="D6" s="80"/>
      <c r="E6" s="90"/>
      <c r="F6" s="91"/>
      <c r="G6" s="129">
        <f>IF(F6="NS","NC",ROUND(B6,2-(1+INT(LOG10(ABS(B6))))))</f>
        <v>64</v>
      </c>
      <c r="H6" s="121"/>
      <c r="I6" s="121"/>
      <c r="J6" s="122"/>
      <c r="K6" s="123"/>
      <c r="L6" s="125"/>
      <c r="M6" s="122"/>
      <c r="N6" s="92"/>
      <c r="O6"/>
    </row>
    <row r="7" spans="1:15" s="77" customFormat="1" ht="15.5" x14ac:dyDescent="0.35">
      <c r="A7" s="80" t="str">
        <f>'Page de garde'!A14</f>
        <v>Prochloraz-12µg/L</v>
      </c>
      <c r="B7" s="99"/>
      <c r="C7" s="81"/>
      <c r="D7" s="81"/>
      <c r="E7" s="82"/>
      <c r="F7" s="98" t="str">
        <f>HLOOKUP(A7,'pooled normalised values'!$B$74:$V$83,10,FALSE)</f>
        <v>ns</v>
      </c>
      <c r="G7" s="129" t="str">
        <f>IF(F7="NS","NC",ROUND(B7,2-(1+INT(LOG10(ABS(B7))))))</f>
        <v>NC</v>
      </c>
      <c r="H7" s="120" t="str">
        <f>IF(VLOOKUP(A7,liste_groupe[],4,FALSE)="%",VLOOKUP(A7,liste_groupe[],3,FALSE)/100,IF(ISBLANK(VLOOKUP(A7,liste_groupe[],4,FALSE)),"Non","Non"))</f>
        <v>Non</v>
      </c>
      <c r="I7" s="129" t="str">
        <f>IF(F7="NS","NC",IF(H7="Non",G7,G7*(1/H7)))</f>
        <v>NC</v>
      </c>
      <c r="J7" s="130">
        <v>64</v>
      </c>
      <c r="K7" s="131">
        <f>IF(F7="NS",0,ROUND(I7/J7*100,0))</f>
        <v>0</v>
      </c>
      <c r="L7" s="126">
        <v>1</v>
      </c>
      <c r="M7" s="132">
        <f>IF(K7&gt;100,125,K7)</f>
        <v>0</v>
      </c>
      <c r="N7" s="93" t="str">
        <f>IF(H7="Non",CONCATENATE(VLOOKUP(A7,liste_groupe[],5,FALSE),"-",VLOOKUP(A7,liste_groupe[],3,FALSE),VLOOKUP(A7,liste_groupe[],4,FALSE)," : ",ROUND(K7,0),"%"),CONCATENATE(VLOOKUP(A7,liste_groupe[],5,FALSE)," : ",ROUND(K7,0),"%"))</f>
        <v>Prochloraz-12µg/L : 0%</v>
      </c>
      <c r="O7"/>
    </row>
    <row r="8" spans="1:15" s="77" customFormat="1" ht="15.5" x14ac:dyDescent="0.35">
      <c r="A8" s="80" t="str">
        <f>'Page de garde'!A15</f>
        <v>Prochloraz-37µg/L</v>
      </c>
      <c r="B8" s="99"/>
      <c r="C8" s="83"/>
      <c r="D8" s="81"/>
      <c r="E8" s="82"/>
      <c r="F8" s="98" t="str">
        <f>HLOOKUP(A8,'pooled normalised values'!$B$74:$V$83,10,FALSE)</f>
        <v>ns</v>
      </c>
      <c r="G8" s="129" t="str">
        <f t="shared" ref="G8:G13" si="0">IF(F8="NS","NC",ROUND(B8,2-(1+INT(LOG10(ABS(B8))))))</f>
        <v>NC</v>
      </c>
      <c r="H8" s="120" t="str">
        <f>IF(VLOOKUP(A8,liste_groupe[],4,FALSE)="%",VLOOKUP(A8,liste_groupe[],3,FALSE)/100,IF(ISBLANK(VLOOKUP(A8,liste_groupe[],4,FALSE)),"Non","Non"))</f>
        <v>Non</v>
      </c>
      <c r="I8" s="129" t="str">
        <f t="shared" ref="I8:I26" si="1">IF(F8="NS","NC",IF(H8="Non",G8,G8*(1/H8)))</f>
        <v>NC</v>
      </c>
      <c r="J8" s="130">
        <v>64</v>
      </c>
      <c r="K8" s="131">
        <f t="shared" ref="K8:K26" si="2">IF(F8="NS",0,ROUND(I8/J8*100,0))</f>
        <v>0</v>
      </c>
      <c r="L8" s="126"/>
      <c r="M8" s="132">
        <f t="shared" ref="M8:M26" si="3">IF(K8&gt;100,125,K8)</f>
        <v>0</v>
      </c>
      <c r="N8" s="93" t="str">
        <f>IF(H8="Non",CONCATENATE(VLOOKUP(A8,liste_groupe[],5,FALSE),"-",VLOOKUP(A8,liste_groupe[],3,FALSE),VLOOKUP(A8,liste_groupe[],4,FALSE)," : ",ROUND(K8,0),"%"),CONCATENATE(VLOOKUP(A8,liste_groupe[],5,FALSE)," : ",ROUND(K8,0),"%"))</f>
        <v>Prochloraz-37µg/L : 0%</v>
      </c>
      <c r="O8"/>
    </row>
    <row r="9" spans="1:15" s="77" customFormat="1" ht="15.5" x14ac:dyDescent="0.35">
      <c r="A9" s="80" t="str">
        <f>'Page de garde'!A16</f>
        <v>Prochloraz-111µg/L</v>
      </c>
      <c r="B9" s="99"/>
      <c r="C9" s="83"/>
      <c r="D9" s="81"/>
      <c r="E9" s="82"/>
      <c r="F9" s="98" t="str">
        <f>HLOOKUP(A9,'pooled normalised values'!$B$74:$V$83,10,FALSE)</f>
        <v>ns</v>
      </c>
      <c r="G9" s="129" t="str">
        <f t="shared" si="0"/>
        <v>NC</v>
      </c>
      <c r="H9" s="120" t="str">
        <f>IF(VLOOKUP(A9,liste_groupe[],4,FALSE)="%",VLOOKUP(A9,liste_groupe[],3,FALSE)/100,IF(ISBLANK(VLOOKUP(A9,liste_groupe[],4,FALSE)),"Non","Non"))</f>
        <v>Non</v>
      </c>
      <c r="I9" s="129" t="str">
        <f t="shared" si="1"/>
        <v>NC</v>
      </c>
      <c r="J9" s="130">
        <v>64</v>
      </c>
      <c r="K9" s="131">
        <f t="shared" si="2"/>
        <v>0</v>
      </c>
      <c r="L9" s="126"/>
      <c r="M9" s="132">
        <f t="shared" si="3"/>
        <v>0</v>
      </c>
      <c r="N9" s="93" t="str">
        <f>IF(H9="Non",CONCATENATE(VLOOKUP(A9,liste_groupe[],5,FALSE),"-",VLOOKUP(A9,liste_groupe[],3,FALSE),VLOOKUP(A9,liste_groupe[],4,FALSE)," : ",ROUND(K9,0),"%"),CONCATENATE(VLOOKUP(A9,liste_groupe[],5,FALSE)," : ",ROUND(K9,0),"%"))</f>
        <v>Prochloraz-111µg/L : 0%</v>
      </c>
      <c r="O9"/>
    </row>
    <row r="10" spans="1:15" s="77" customFormat="1" ht="15.5" x14ac:dyDescent="0.35">
      <c r="A10" s="80" t="str">
        <f>'Page de garde'!A17</f>
        <v>Prochloraz-333µg/L</v>
      </c>
      <c r="B10" s="100"/>
      <c r="C10" s="80"/>
      <c r="D10" s="85"/>
      <c r="E10" s="82"/>
      <c r="F10" s="98" t="str">
        <f>HLOOKUP(A10,'pooled normalised values'!$B$74:$V$83,10,FALSE)</f>
        <v>ns</v>
      </c>
      <c r="G10" s="129" t="str">
        <f t="shared" si="0"/>
        <v>NC</v>
      </c>
      <c r="H10" s="120" t="str">
        <f>IF(VLOOKUP(A10,liste_groupe[],4,FALSE)="%",VLOOKUP(A10,liste_groupe[],3,FALSE)/100,IF(ISBLANK(VLOOKUP(A10,liste_groupe[],4,FALSE)),"Non","Non"))</f>
        <v>Non</v>
      </c>
      <c r="I10" s="129" t="str">
        <f t="shared" si="1"/>
        <v>NC</v>
      </c>
      <c r="J10" s="130">
        <v>64</v>
      </c>
      <c r="K10" s="131">
        <f t="shared" si="2"/>
        <v>0</v>
      </c>
      <c r="L10" s="126"/>
      <c r="M10" s="132">
        <f t="shared" si="3"/>
        <v>0</v>
      </c>
      <c r="N10" s="93" t="str">
        <f>IF(H10="Non",CONCATENATE(VLOOKUP(A10,liste_groupe[],5,FALSE),"-",VLOOKUP(A10,liste_groupe[],3,FALSE),VLOOKUP(A10,liste_groupe[],4,FALSE)," : ",ROUND(K10,0),"%"),CONCATENATE(VLOOKUP(A10,liste_groupe[],5,FALSE)," : ",ROUND(K10,0),"%"))</f>
        <v>Prochloraz-333µg/L : 0%</v>
      </c>
      <c r="O10"/>
    </row>
    <row r="11" spans="1:15" s="77" customFormat="1" ht="15.5" x14ac:dyDescent="0.35">
      <c r="A11" s="80" t="str">
        <f>'Page de garde'!A18</f>
        <v>Prochloraz-1000µg/L</v>
      </c>
      <c r="B11" s="100"/>
      <c r="C11" s="80"/>
      <c r="D11" s="85"/>
      <c r="E11" s="82"/>
      <c r="F11" s="98" t="str">
        <f>HLOOKUP(A11,'pooled normalised values'!$B$74:$V$83,10,FALSE)</f>
        <v>ns</v>
      </c>
      <c r="G11" s="129" t="str">
        <f t="shared" si="0"/>
        <v>NC</v>
      </c>
      <c r="H11" s="120" t="str">
        <f>IF(VLOOKUP(A11,liste_groupe[],4,FALSE)="%",VLOOKUP(A11,liste_groupe[],3,FALSE)/100,IF(ISBLANK(VLOOKUP(A11,liste_groupe[],4,FALSE)),"Non","Non"))</f>
        <v>Non</v>
      </c>
      <c r="I11" s="129" t="str">
        <f t="shared" si="1"/>
        <v>NC</v>
      </c>
      <c r="J11" s="130">
        <v>64</v>
      </c>
      <c r="K11" s="131">
        <f t="shared" si="2"/>
        <v>0</v>
      </c>
      <c r="L11" s="126"/>
      <c r="M11" s="132">
        <f t="shared" si="3"/>
        <v>0</v>
      </c>
      <c r="N11" s="93" t="str">
        <f>IF(H11="Non",CONCATENATE(VLOOKUP(A11,liste_groupe[],5,FALSE),"-",VLOOKUP(A11,liste_groupe[],3,FALSE),VLOOKUP(A11,liste_groupe[],4,FALSE)," : ",ROUND(K11,0),"%"),CONCATENATE(VLOOKUP(A11,liste_groupe[],5,FALSE)," : ",ROUND(K11,0),"%"))</f>
        <v>Prochloraz-1000µg/L : 0%</v>
      </c>
      <c r="O11"/>
    </row>
    <row r="12" spans="1:15" s="77" customFormat="1" ht="15.5" x14ac:dyDescent="0.35">
      <c r="A12" s="80" t="str">
        <f>'Page de garde'!A19</f>
        <v xml:space="preserve"> </v>
      </c>
      <c r="B12" s="100"/>
      <c r="C12" s="80"/>
      <c r="D12" s="85"/>
      <c r="E12" s="82"/>
      <c r="F12" s="98" t="e">
        <f>HLOOKUP(A12,'pooled normalised values'!$B$74:$V$83,10,FALSE)</f>
        <v>#N/A</v>
      </c>
      <c r="G12" s="129" t="e">
        <f t="shared" si="0"/>
        <v>#N/A</v>
      </c>
      <c r="H12" s="120" t="str">
        <f>IF(VLOOKUP(A12,liste_groupe[],4,FALSE)="%",VLOOKUP(A12,liste_groupe[],3,FALSE)/100,IF(ISBLANK(VLOOKUP(A12,liste_groupe[],4,FALSE)),"Non","Non"))</f>
        <v>Non</v>
      </c>
      <c r="I12" s="129" t="e">
        <f t="shared" si="1"/>
        <v>#N/A</v>
      </c>
      <c r="J12" s="130">
        <v>64</v>
      </c>
      <c r="K12" s="131" t="e">
        <f t="shared" si="2"/>
        <v>#N/A</v>
      </c>
      <c r="L12" s="126"/>
      <c r="M12" s="132" t="e">
        <f t="shared" si="3"/>
        <v>#N/A</v>
      </c>
      <c r="N12" s="93" t="e">
        <f>IF(H12="Non",CONCATENATE(VLOOKUP(A12,liste_groupe[],5,FALSE),"-",VLOOKUP(A12,liste_groupe[],3,FALSE),VLOOKUP(A12,liste_groupe[],4,FALSE)," : ",ROUND(K12,0),"%"),CONCATENATE(VLOOKUP(A12,liste_groupe[],5,FALSE)," : ",ROUND(K12,0),"%"))</f>
        <v>#N/A</v>
      </c>
      <c r="O12"/>
    </row>
    <row r="13" spans="1:15" s="77" customFormat="1" ht="15.5" x14ac:dyDescent="0.35">
      <c r="A13" s="80" t="str">
        <f>'Page de garde'!A20</f>
        <v xml:space="preserve"> </v>
      </c>
      <c r="B13" s="100"/>
      <c r="C13" s="80"/>
      <c r="D13" s="80"/>
      <c r="E13" s="82"/>
      <c r="F13" s="98" t="e">
        <f>HLOOKUP(A13,'pooled normalised values'!$B$74:$V$83,10,FALSE)</f>
        <v>#N/A</v>
      </c>
      <c r="G13" s="129" t="e">
        <f t="shared" si="0"/>
        <v>#N/A</v>
      </c>
      <c r="H13" s="120" t="str">
        <f>IF(VLOOKUP(A13,liste_groupe[],4,FALSE)="%",VLOOKUP(A13,liste_groupe[],3,FALSE)/100,IF(ISBLANK(VLOOKUP(A13,liste_groupe[],4,FALSE)),"Non","Non"))</f>
        <v>Non</v>
      </c>
      <c r="I13" s="129" t="e">
        <f t="shared" si="1"/>
        <v>#N/A</v>
      </c>
      <c r="J13" s="130">
        <v>64</v>
      </c>
      <c r="K13" s="131" t="e">
        <f t="shared" si="2"/>
        <v>#N/A</v>
      </c>
      <c r="L13" s="126"/>
      <c r="M13" s="132" t="e">
        <f t="shared" si="3"/>
        <v>#N/A</v>
      </c>
      <c r="N13" s="93" t="e">
        <f>IF(H13="Non",CONCATENATE(VLOOKUP(A13,liste_groupe[],5,FALSE),"-",VLOOKUP(A13,liste_groupe[],3,FALSE),VLOOKUP(A13,liste_groupe[],4,FALSE)," : ",ROUND(K13,0),"%"),CONCATENATE(VLOOKUP(A13,liste_groupe[],5,FALSE)," : ",ROUND(K13,0),"%"))</f>
        <v>#N/A</v>
      </c>
      <c r="O13"/>
    </row>
    <row r="14" spans="1:15" s="77" customFormat="1" ht="15.5" x14ac:dyDescent="0.35">
      <c r="A14" s="80" t="str">
        <f>'Page de garde'!A21</f>
        <v xml:space="preserve"> </v>
      </c>
      <c r="B14" s="100"/>
      <c r="C14" s="80"/>
      <c r="D14" s="80"/>
      <c r="E14" s="82"/>
      <c r="F14" s="98" t="e">
        <f>HLOOKUP(A14,'pooled normalised values'!$B$74:$V$83,10,FALSE)</f>
        <v>#N/A</v>
      </c>
      <c r="G14" s="129" t="e">
        <f t="shared" ref="G14:G25" si="4">IF(F14="NS","NC",ROUND(B14,2-(1+INT(LOG10(ABS(B14))))))</f>
        <v>#N/A</v>
      </c>
      <c r="H14" s="120" t="str">
        <f>IF(VLOOKUP(A14,liste_groupe[],4,FALSE)="%",VLOOKUP(A14,liste_groupe[],3,FALSE)/100,IF(ISBLANK(VLOOKUP(A14,liste_groupe[],4,FALSE)),"Non","Non"))</f>
        <v>Non</v>
      </c>
      <c r="I14" s="129" t="e">
        <f t="shared" si="1"/>
        <v>#N/A</v>
      </c>
      <c r="J14" s="130">
        <v>64</v>
      </c>
      <c r="K14" s="131" t="e">
        <f t="shared" si="2"/>
        <v>#N/A</v>
      </c>
      <c r="L14" s="126"/>
      <c r="M14" s="132" t="e">
        <f t="shared" si="3"/>
        <v>#N/A</v>
      </c>
      <c r="N14" s="93" t="e">
        <f>IF(H14="Non",CONCATENATE(VLOOKUP(A14,liste_groupe[],5,FALSE),"-",VLOOKUP(A14,liste_groupe[],3,FALSE),VLOOKUP(A14,liste_groupe[],4,FALSE)," : ",ROUND(K14,0),"%"),CONCATENATE(VLOOKUP(A14,liste_groupe[],5,FALSE)," : ",ROUND(K14,0),"%"))</f>
        <v>#N/A</v>
      </c>
      <c r="O14" s="1"/>
    </row>
    <row r="15" spans="1:15" s="77" customFormat="1" ht="15.5" x14ac:dyDescent="0.35">
      <c r="A15" s="80" t="str">
        <f>'Page de garde'!A22</f>
        <v xml:space="preserve"> </v>
      </c>
      <c r="B15" s="100"/>
      <c r="C15" s="80"/>
      <c r="D15" s="80"/>
      <c r="E15" s="82"/>
      <c r="F15" s="98" t="e">
        <f>HLOOKUP(A15,'pooled normalised values'!$B$74:$V$83,10,FALSE)</f>
        <v>#N/A</v>
      </c>
      <c r="G15" s="129" t="e">
        <f t="shared" si="4"/>
        <v>#N/A</v>
      </c>
      <c r="H15" s="120" t="str">
        <f>IF(VLOOKUP(A15,liste_groupe[],4,FALSE)="%",VLOOKUP(A15,liste_groupe[],3,FALSE)/100,IF(ISBLANK(VLOOKUP(A15,liste_groupe[],4,FALSE)),"Non","Non"))</f>
        <v>Non</v>
      </c>
      <c r="I15" s="129" t="e">
        <f t="shared" si="1"/>
        <v>#N/A</v>
      </c>
      <c r="J15" s="130">
        <v>64</v>
      </c>
      <c r="K15" s="131" t="e">
        <f t="shared" si="2"/>
        <v>#N/A</v>
      </c>
      <c r="L15" s="126"/>
      <c r="M15" s="132" t="e">
        <f t="shared" si="3"/>
        <v>#N/A</v>
      </c>
      <c r="N15" s="93" t="e">
        <f>IF(H15="Non",CONCATENATE(VLOOKUP(A15,liste_groupe[],5,FALSE),"-",VLOOKUP(A15,liste_groupe[],3,FALSE),VLOOKUP(A15,liste_groupe[],4,FALSE)," : ",ROUND(K15,0),"%"),CONCATENATE(VLOOKUP(A15,liste_groupe[],5,FALSE)," : ",ROUND(K15,0),"%"))</f>
        <v>#N/A</v>
      </c>
      <c r="O15" s="1"/>
    </row>
    <row r="16" spans="1:15" s="77" customFormat="1" ht="15.5" x14ac:dyDescent="0.35">
      <c r="A16" s="80" t="str">
        <f>'Page de garde'!A23</f>
        <v xml:space="preserve"> </v>
      </c>
      <c r="B16" s="100"/>
      <c r="C16" s="80"/>
      <c r="D16" s="80"/>
      <c r="E16" s="82"/>
      <c r="F16" s="98" t="e">
        <f>HLOOKUP(A16,'pooled normalised values'!$B$74:$V$83,10,FALSE)</f>
        <v>#N/A</v>
      </c>
      <c r="G16" s="129" t="e">
        <f t="shared" si="4"/>
        <v>#N/A</v>
      </c>
      <c r="H16" s="120" t="str">
        <f>IF(VLOOKUP(A16,liste_groupe[],4,FALSE)="%",VLOOKUP(A16,liste_groupe[],3,FALSE)/100,IF(ISBLANK(VLOOKUP(A16,liste_groupe[],4,FALSE)),"Non","Non"))</f>
        <v>Non</v>
      </c>
      <c r="I16" s="129" t="e">
        <f t="shared" si="1"/>
        <v>#N/A</v>
      </c>
      <c r="J16" s="130">
        <v>64</v>
      </c>
      <c r="K16" s="131" t="e">
        <f t="shared" si="2"/>
        <v>#N/A</v>
      </c>
      <c r="L16" s="126"/>
      <c r="M16" s="132" t="e">
        <f t="shared" si="3"/>
        <v>#N/A</v>
      </c>
      <c r="N16" s="93" t="e">
        <f>IF(H16="Non",CONCATENATE(VLOOKUP(A16,liste_groupe[],5,FALSE),"-",VLOOKUP(A16,liste_groupe[],3,FALSE),VLOOKUP(A16,liste_groupe[],4,FALSE)," : ",ROUND(K16,0),"%"),CONCATENATE(VLOOKUP(A16,liste_groupe[],5,FALSE)," : ",ROUND(K16,0),"%"))</f>
        <v>#N/A</v>
      </c>
      <c r="O16" s="1"/>
    </row>
    <row r="17" spans="1:15" s="77" customFormat="1" ht="15.5" x14ac:dyDescent="0.35">
      <c r="A17" s="80" t="str">
        <f>'Page de garde'!A24</f>
        <v xml:space="preserve"> </v>
      </c>
      <c r="B17" s="100"/>
      <c r="C17" s="80"/>
      <c r="D17" s="80"/>
      <c r="E17" s="82"/>
      <c r="F17" s="98" t="e">
        <f>HLOOKUP(A17,'pooled normalised values'!$B$74:$V$83,10,FALSE)</f>
        <v>#N/A</v>
      </c>
      <c r="G17" s="129" t="e">
        <f t="shared" si="4"/>
        <v>#N/A</v>
      </c>
      <c r="H17" s="120" t="str">
        <f>IF(VLOOKUP(A17,liste_groupe[],4,FALSE)="%",VLOOKUP(A17,liste_groupe[],3,FALSE)/100,IF(ISBLANK(VLOOKUP(A17,liste_groupe[],4,FALSE)),"Non","Non"))</f>
        <v>Non</v>
      </c>
      <c r="I17" s="129" t="e">
        <f t="shared" si="1"/>
        <v>#N/A</v>
      </c>
      <c r="J17" s="130">
        <v>64</v>
      </c>
      <c r="K17" s="131" t="e">
        <f t="shared" si="2"/>
        <v>#N/A</v>
      </c>
      <c r="L17" s="126"/>
      <c r="M17" s="132" t="e">
        <f t="shared" si="3"/>
        <v>#N/A</v>
      </c>
      <c r="N17" s="93" t="e">
        <f>IF(H17="Non",CONCATENATE(VLOOKUP(A17,liste_groupe[],5,FALSE),"-",VLOOKUP(A17,liste_groupe[],3,FALSE),VLOOKUP(A17,liste_groupe[],4,FALSE)," : ",ROUND(K17,0),"%"),CONCATENATE(VLOOKUP(A17,liste_groupe[],5,FALSE)," : ",ROUND(K17,0),"%"))</f>
        <v>#N/A</v>
      </c>
      <c r="O17" s="1"/>
    </row>
    <row r="18" spans="1:15" s="77" customFormat="1" ht="15.5" x14ac:dyDescent="0.35">
      <c r="A18" s="80" t="str">
        <f>'Page de garde'!A25</f>
        <v xml:space="preserve"> </v>
      </c>
      <c r="B18" s="100"/>
      <c r="C18" s="80"/>
      <c r="D18" s="80"/>
      <c r="E18" s="82"/>
      <c r="F18" s="98" t="e">
        <f>HLOOKUP(A18,'pooled normalised values'!$B$74:$V$83,10,FALSE)</f>
        <v>#N/A</v>
      </c>
      <c r="G18" s="129" t="e">
        <f t="shared" si="4"/>
        <v>#N/A</v>
      </c>
      <c r="H18" s="120" t="str">
        <f>IF(VLOOKUP(A18,liste_groupe[],4,FALSE)="%",VLOOKUP(A18,liste_groupe[],3,FALSE)/100,IF(ISBLANK(VLOOKUP(A18,liste_groupe[],4,FALSE)),"Non","Non"))</f>
        <v>Non</v>
      </c>
      <c r="I18" s="129" t="e">
        <f t="shared" si="1"/>
        <v>#N/A</v>
      </c>
      <c r="J18" s="130">
        <v>64</v>
      </c>
      <c r="K18" s="131" t="e">
        <f t="shared" si="2"/>
        <v>#N/A</v>
      </c>
      <c r="L18" s="126"/>
      <c r="M18" s="132" t="e">
        <f t="shared" si="3"/>
        <v>#N/A</v>
      </c>
      <c r="N18" s="93" t="e">
        <f>IF(H18="Non",CONCATENATE(VLOOKUP(A18,liste_groupe[],5,FALSE),"-",VLOOKUP(A18,liste_groupe[],3,FALSE),VLOOKUP(A18,liste_groupe[],4,FALSE)," : ",ROUND(K18,0),"%"),CONCATENATE(VLOOKUP(A18,liste_groupe[],5,FALSE)," : ",ROUND(K18,0),"%"))</f>
        <v>#N/A</v>
      </c>
      <c r="O18" s="1"/>
    </row>
    <row r="19" spans="1:15" s="77" customFormat="1" ht="15.5" x14ac:dyDescent="0.35">
      <c r="A19" s="80" t="str">
        <f>'Page de garde'!A26</f>
        <v xml:space="preserve"> </v>
      </c>
      <c r="B19" s="100"/>
      <c r="C19" s="80"/>
      <c r="D19" s="80"/>
      <c r="E19" s="82"/>
      <c r="F19" s="98" t="e">
        <f>HLOOKUP(A19,'pooled normalised values'!$B$74:$V$83,10,FALSE)</f>
        <v>#N/A</v>
      </c>
      <c r="G19" s="129" t="e">
        <f t="shared" si="4"/>
        <v>#N/A</v>
      </c>
      <c r="H19" s="120" t="str">
        <f>IF(VLOOKUP(A19,liste_groupe[],4,FALSE)="%",VLOOKUP(A19,liste_groupe[],3,FALSE)/100,IF(ISBLANK(VLOOKUP(A19,liste_groupe[],4,FALSE)),"Non","Non"))</f>
        <v>Non</v>
      </c>
      <c r="I19" s="129" t="e">
        <f t="shared" si="1"/>
        <v>#N/A</v>
      </c>
      <c r="J19" s="130">
        <v>64</v>
      </c>
      <c r="K19" s="131" t="e">
        <f t="shared" si="2"/>
        <v>#N/A</v>
      </c>
      <c r="L19" s="126"/>
      <c r="M19" s="132" t="e">
        <f t="shared" si="3"/>
        <v>#N/A</v>
      </c>
      <c r="N19" s="93" t="e">
        <f>IF(H19="Non",CONCATENATE(VLOOKUP(A19,liste_groupe[],5,FALSE),"-",VLOOKUP(A19,liste_groupe[],3,FALSE),VLOOKUP(A19,liste_groupe[],4,FALSE)," : ",ROUND(K19,0),"%"),CONCATENATE(VLOOKUP(A19,liste_groupe[],5,FALSE)," : ",ROUND(K19,0),"%"))</f>
        <v>#N/A</v>
      </c>
      <c r="O19" s="1"/>
    </row>
    <row r="20" spans="1:15" s="77" customFormat="1" ht="15.5" x14ac:dyDescent="0.35">
      <c r="A20" s="80" t="str">
        <f>'Page de garde'!A27</f>
        <v xml:space="preserve"> </v>
      </c>
      <c r="B20" s="100"/>
      <c r="C20" s="80"/>
      <c r="D20" s="80"/>
      <c r="E20" s="82"/>
      <c r="F20" s="98" t="e">
        <f>HLOOKUP(A20,'pooled normalised values'!$B$74:$V$83,10,FALSE)</f>
        <v>#N/A</v>
      </c>
      <c r="G20" s="129" t="e">
        <f t="shared" si="4"/>
        <v>#N/A</v>
      </c>
      <c r="H20" s="120" t="str">
        <f>IF(VLOOKUP(A20,liste_groupe[],4,FALSE)="%",VLOOKUP(A20,liste_groupe[],3,FALSE)/100,IF(ISBLANK(VLOOKUP(A20,liste_groupe[],4,FALSE)),"Non","Non"))</f>
        <v>Non</v>
      </c>
      <c r="I20" s="129" t="e">
        <f t="shared" si="1"/>
        <v>#N/A</v>
      </c>
      <c r="J20" s="130">
        <v>64</v>
      </c>
      <c r="K20" s="131" t="e">
        <f t="shared" si="2"/>
        <v>#N/A</v>
      </c>
      <c r="L20" s="126"/>
      <c r="M20" s="132" t="e">
        <f t="shared" si="3"/>
        <v>#N/A</v>
      </c>
      <c r="N20" s="93" t="e">
        <f>IF(H20="Non",CONCATENATE(VLOOKUP(A20,liste_groupe[],5,FALSE),"-",VLOOKUP(A20,liste_groupe[],3,FALSE),VLOOKUP(A20,liste_groupe[],4,FALSE)," : ",ROUND(K20,0),"%"),CONCATENATE(VLOOKUP(A20,liste_groupe[],5,FALSE)," : ",ROUND(K20,0),"%"))</f>
        <v>#N/A</v>
      </c>
      <c r="O20" s="1"/>
    </row>
    <row r="21" spans="1:15" s="77" customFormat="1" ht="15.5" x14ac:dyDescent="0.35">
      <c r="A21" s="80" t="str">
        <f>'Page de garde'!A28</f>
        <v xml:space="preserve"> </v>
      </c>
      <c r="B21" s="100"/>
      <c r="C21" s="80"/>
      <c r="D21" s="80"/>
      <c r="E21" s="82"/>
      <c r="F21" s="98" t="e">
        <f>HLOOKUP(A21,'pooled normalised values'!$B$74:$V$83,10,FALSE)</f>
        <v>#N/A</v>
      </c>
      <c r="G21" s="129" t="e">
        <f t="shared" si="4"/>
        <v>#N/A</v>
      </c>
      <c r="H21" s="120" t="str">
        <f>IF(VLOOKUP(A21,liste_groupe[],4,FALSE)="%",VLOOKUP(A21,liste_groupe[],3,FALSE)/100,IF(ISBLANK(VLOOKUP(A21,liste_groupe[],4,FALSE)),"Non","Non"))</f>
        <v>Non</v>
      </c>
      <c r="I21" s="129" t="e">
        <f t="shared" si="1"/>
        <v>#N/A</v>
      </c>
      <c r="J21" s="130">
        <v>64</v>
      </c>
      <c r="K21" s="131" t="e">
        <f t="shared" si="2"/>
        <v>#N/A</v>
      </c>
      <c r="L21" s="126"/>
      <c r="M21" s="132" t="e">
        <f t="shared" si="3"/>
        <v>#N/A</v>
      </c>
      <c r="N21" s="93" t="e">
        <f>IF(H21="Non",CONCATENATE(VLOOKUP(A21,liste_groupe[],5,FALSE),"-",VLOOKUP(A21,liste_groupe[],3,FALSE),VLOOKUP(A21,liste_groupe[],4,FALSE)," : ",ROUND(K21,0),"%"),CONCATENATE(VLOOKUP(A21,liste_groupe[],5,FALSE)," : ",ROUND(K21,0),"%"))</f>
        <v>#N/A</v>
      </c>
      <c r="O21" s="1"/>
    </row>
    <row r="22" spans="1:15" s="77" customFormat="1" ht="15.5" x14ac:dyDescent="0.35">
      <c r="A22" s="80" t="str">
        <f>'Page de garde'!A29</f>
        <v xml:space="preserve"> </v>
      </c>
      <c r="B22" s="100"/>
      <c r="C22" s="80"/>
      <c r="D22" s="80"/>
      <c r="E22" s="82"/>
      <c r="F22" s="98" t="e">
        <f>HLOOKUP(A22,'pooled normalised values'!$B$74:$V$83,10,FALSE)</f>
        <v>#N/A</v>
      </c>
      <c r="G22" s="129" t="e">
        <f t="shared" si="4"/>
        <v>#N/A</v>
      </c>
      <c r="H22" s="120" t="str">
        <f>IF(VLOOKUP(A22,liste_groupe[],4,FALSE)="%",VLOOKUP(A22,liste_groupe[],3,FALSE)/100,IF(ISBLANK(VLOOKUP(A22,liste_groupe[],4,FALSE)),"Non","Non"))</f>
        <v>Non</v>
      </c>
      <c r="I22" s="129" t="e">
        <f t="shared" si="1"/>
        <v>#N/A</v>
      </c>
      <c r="J22" s="130">
        <v>64</v>
      </c>
      <c r="K22" s="131" t="e">
        <f t="shared" si="2"/>
        <v>#N/A</v>
      </c>
      <c r="L22" s="126"/>
      <c r="M22" s="132" t="e">
        <f t="shared" si="3"/>
        <v>#N/A</v>
      </c>
      <c r="N22" s="93" t="e">
        <f>IF(H22="Non",CONCATENATE(VLOOKUP(A22,liste_groupe[],5,FALSE),"-",VLOOKUP(A22,liste_groupe[],3,FALSE),VLOOKUP(A22,liste_groupe[],4,FALSE)," : ",ROUND(K22,0),"%"),CONCATENATE(VLOOKUP(A22,liste_groupe[],5,FALSE)," : ",ROUND(K22,0),"%"))</f>
        <v>#N/A</v>
      </c>
      <c r="O22" s="1"/>
    </row>
    <row r="23" spans="1:15" s="77" customFormat="1" ht="15.5" x14ac:dyDescent="0.35">
      <c r="A23" s="80" t="str">
        <f>'Page de garde'!A30</f>
        <v xml:space="preserve"> </v>
      </c>
      <c r="B23" s="100"/>
      <c r="C23" s="80"/>
      <c r="D23" s="80"/>
      <c r="E23" s="82"/>
      <c r="F23" s="98" t="e">
        <f>HLOOKUP(A23,'pooled normalised values'!$B$74:$V$83,10,FALSE)</f>
        <v>#N/A</v>
      </c>
      <c r="G23" s="129" t="e">
        <f t="shared" si="4"/>
        <v>#N/A</v>
      </c>
      <c r="H23" s="120" t="str">
        <f>IF(VLOOKUP(A23,liste_groupe[],4,FALSE)="%",VLOOKUP(A23,liste_groupe[],3,FALSE)/100,IF(ISBLANK(VLOOKUP(A23,liste_groupe[],4,FALSE)),"Non","Non"))</f>
        <v>Non</v>
      </c>
      <c r="I23" s="129" t="e">
        <f t="shared" si="1"/>
        <v>#N/A</v>
      </c>
      <c r="J23" s="130">
        <v>64</v>
      </c>
      <c r="K23" s="131" t="e">
        <f t="shared" si="2"/>
        <v>#N/A</v>
      </c>
      <c r="L23" s="126"/>
      <c r="M23" s="132" t="e">
        <f t="shared" si="3"/>
        <v>#N/A</v>
      </c>
      <c r="N23" s="93" t="e">
        <f>IF(H23="Non",CONCATENATE(VLOOKUP(A23,liste_groupe[],5,FALSE),"-",VLOOKUP(A23,liste_groupe[],3,FALSE),VLOOKUP(A23,liste_groupe[],4,FALSE)," : ",ROUND(K23,0),"%"),CONCATENATE(VLOOKUP(A23,liste_groupe[],5,FALSE)," : ",ROUND(K23,0),"%"))</f>
        <v>#N/A</v>
      </c>
      <c r="O23" s="1"/>
    </row>
    <row r="24" spans="1:15" s="77" customFormat="1" ht="15.5" x14ac:dyDescent="0.35">
      <c r="A24" s="80" t="str">
        <f>'Page de garde'!A31</f>
        <v xml:space="preserve"> </v>
      </c>
      <c r="B24" s="100"/>
      <c r="C24" s="80"/>
      <c r="D24" s="80"/>
      <c r="E24" s="82"/>
      <c r="F24" s="98" t="e">
        <f>HLOOKUP(A24,'pooled normalised values'!$B$74:$V$83,10,FALSE)</f>
        <v>#N/A</v>
      </c>
      <c r="G24" s="129" t="e">
        <f t="shared" si="4"/>
        <v>#N/A</v>
      </c>
      <c r="H24" s="120" t="str">
        <f>IF(VLOOKUP(A24,liste_groupe[],4,FALSE)="%",VLOOKUP(A24,liste_groupe[],3,FALSE)/100,IF(ISBLANK(VLOOKUP(A24,liste_groupe[],4,FALSE)),"Non","Non"))</f>
        <v>Non</v>
      </c>
      <c r="I24" s="129" t="e">
        <f t="shared" si="1"/>
        <v>#N/A</v>
      </c>
      <c r="J24" s="130">
        <v>64</v>
      </c>
      <c r="K24" s="131" t="e">
        <f t="shared" si="2"/>
        <v>#N/A</v>
      </c>
      <c r="L24" s="126"/>
      <c r="M24" s="132" t="e">
        <f t="shared" si="3"/>
        <v>#N/A</v>
      </c>
      <c r="N24" s="93" t="e">
        <f>IF(H24="Non",CONCATENATE(VLOOKUP(A24,liste_groupe[],5,FALSE),"-",VLOOKUP(A24,liste_groupe[],3,FALSE),VLOOKUP(A24,liste_groupe[],4,FALSE)," : ",ROUND(K24,0),"%"),CONCATENATE(VLOOKUP(A24,liste_groupe[],5,FALSE)," : ",ROUND(K24,0),"%"))</f>
        <v>#N/A</v>
      </c>
      <c r="O24" s="1"/>
    </row>
    <row r="25" spans="1:15" s="77" customFormat="1" ht="15.5" x14ac:dyDescent="0.35">
      <c r="A25" s="80" t="str">
        <f>'Page de garde'!A32</f>
        <v xml:space="preserve"> </v>
      </c>
      <c r="B25" s="100"/>
      <c r="C25" s="80"/>
      <c r="D25" s="80"/>
      <c r="E25" s="82"/>
      <c r="F25" s="98" t="e">
        <f>HLOOKUP(A25,'pooled normalised values'!$B$74:$V$83,10,FALSE)</f>
        <v>#N/A</v>
      </c>
      <c r="G25" s="129" t="e">
        <f t="shared" si="4"/>
        <v>#N/A</v>
      </c>
      <c r="H25" s="120" t="str">
        <f>IF(VLOOKUP(A25,liste_groupe[],4,FALSE)="%",VLOOKUP(A25,liste_groupe[],3,FALSE)/100,IF(ISBLANK(VLOOKUP(A25,liste_groupe[],4,FALSE)),"Non","Non"))</f>
        <v>Non</v>
      </c>
      <c r="I25" s="129" t="e">
        <f t="shared" si="1"/>
        <v>#N/A</v>
      </c>
      <c r="J25" s="130">
        <v>64</v>
      </c>
      <c r="K25" s="131" t="e">
        <f t="shared" si="2"/>
        <v>#N/A</v>
      </c>
      <c r="L25" s="126"/>
      <c r="M25" s="132" t="e">
        <f t="shared" si="3"/>
        <v>#N/A</v>
      </c>
      <c r="N25" s="93" t="e">
        <f>IF(H25="Non",CONCATENATE(VLOOKUP(A25,liste_groupe[],5,FALSE),"-",VLOOKUP(A25,liste_groupe[],3,FALSE),VLOOKUP(A25,liste_groupe[],4,FALSE)," : ",ROUND(K25,0),"%"),CONCATENATE(VLOOKUP(A25,liste_groupe[],5,FALSE)," : ",ROUND(K25,0),"%"))</f>
        <v>#N/A</v>
      </c>
      <c r="O25" s="1"/>
    </row>
    <row r="26" spans="1:15" s="77" customFormat="1" ht="15.5" x14ac:dyDescent="0.35">
      <c r="A26" s="80" t="str">
        <f>'Page de garde'!A33</f>
        <v xml:space="preserve"> </v>
      </c>
      <c r="B26" s="99"/>
      <c r="C26" s="86"/>
      <c r="D26" s="86"/>
      <c r="E26" s="82"/>
      <c r="F26" s="98" t="e">
        <f>HLOOKUP(A26,'pooled normalised values'!$B$74:$V$83,10,FALSE)</f>
        <v>#N/A</v>
      </c>
      <c r="G26" s="129" t="e">
        <f t="shared" ref="G26" si="5">IF(F26="NS","NC",ROUND(B26,2-(1+INT(LOG10(ABS(B26))))))</f>
        <v>#N/A</v>
      </c>
      <c r="H26" s="120" t="str">
        <f>IF(VLOOKUP(A26,liste_groupe[],4,FALSE)="%",VLOOKUP(A26,liste_groupe[],3,FALSE)/100,IF(ISBLANK(VLOOKUP(A26,liste_groupe[],4,FALSE)),"Non","Non"))</f>
        <v>Non</v>
      </c>
      <c r="I26" s="129" t="e">
        <f t="shared" si="1"/>
        <v>#N/A</v>
      </c>
      <c r="J26" s="130">
        <v>64</v>
      </c>
      <c r="K26" s="131" t="e">
        <f t="shared" si="2"/>
        <v>#N/A</v>
      </c>
      <c r="L26" s="126"/>
      <c r="M26" s="132" t="e">
        <f t="shared" si="3"/>
        <v>#N/A</v>
      </c>
      <c r="N26" s="93" t="e">
        <f>IF(H26="Non",CONCATENATE(VLOOKUP(A26,liste_groupe[],5,FALSE),"-",VLOOKUP(A26,liste_groupe[],3,FALSE),VLOOKUP(A26,liste_groupe[],4,FALSE)," : ",ROUND(K26,0),"%"),CONCATENATE(VLOOKUP(A26,liste_groupe[],5,FALSE)," : ",ROUND(K26,0),"%"))</f>
        <v>#N/A</v>
      </c>
      <c r="O26"/>
    </row>
    <row r="27" spans="1:15" s="77" customFormat="1" ht="15.5" x14ac:dyDescent="0.35">
      <c r="A27"/>
      <c r="B27"/>
      <c r="C27"/>
      <c r="D27"/>
      <c r="E27"/>
      <c r="F27"/>
      <c r="G27"/>
      <c r="H27"/>
      <c r="I27"/>
      <c r="J27"/>
      <c r="K27"/>
      <c r="L27"/>
      <c r="M27"/>
      <c r="N27"/>
      <c r="O27" s="1"/>
    </row>
    <row r="28" spans="1:15" s="77" customFormat="1" ht="31.5" thickBot="1" x14ac:dyDescent="0.4">
      <c r="A28"/>
      <c r="B28" s="88" t="s">
        <v>25</v>
      </c>
      <c r="C28" s="88" t="s">
        <v>26</v>
      </c>
      <c r="D28" s="88" t="s">
        <v>27</v>
      </c>
      <c r="E28" s="89" t="s">
        <v>64</v>
      </c>
      <c r="F28" s="127" t="s">
        <v>80</v>
      </c>
      <c r="G28" s="95" t="s">
        <v>42</v>
      </c>
      <c r="H28" s="95" t="s">
        <v>65</v>
      </c>
      <c r="I28" s="95" t="s">
        <v>66</v>
      </c>
      <c r="J28" s="96" t="s">
        <v>77</v>
      </c>
      <c r="K28" s="96" t="s">
        <v>67</v>
      </c>
      <c r="L28" s="97" t="s">
        <v>76</v>
      </c>
      <c r="M28" s="97" t="s">
        <v>68</v>
      </c>
      <c r="N28" s="97" t="s">
        <v>69</v>
      </c>
      <c r="O28" s="1"/>
    </row>
    <row r="29" spans="1:15" s="77" customFormat="1" ht="15.5" x14ac:dyDescent="0.35">
      <c r="A29" s="84" t="s">
        <v>29</v>
      </c>
      <c r="B29" s="100"/>
      <c r="C29" s="80"/>
      <c r="D29" s="80"/>
      <c r="E29" s="82"/>
      <c r="F29" s="91"/>
      <c r="G29" s="134"/>
      <c r="H29" s="121"/>
      <c r="I29" s="121"/>
      <c r="J29" s="122"/>
      <c r="K29" s="123"/>
      <c r="L29" s="125"/>
      <c r="M29" s="122"/>
      <c r="N29" s="92"/>
      <c r="O29"/>
    </row>
    <row r="30" spans="1:15" s="77" customFormat="1" ht="15.5" x14ac:dyDescent="0.35">
      <c r="A30" s="84" t="s">
        <v>31</v>
      </c>
      <c r="B30" s="100"/>
      <c r="C30" s="80"/>
      <c r="D30" s="80"/>
      <c r="E30" s="82"/>
      <c r="F30" s="91"/>
      <c r="G30" s="133" t="e">
        <f>IF(F30="NS","NC",ROUND(B30-$B$29,2-(1+INT(LOG10(ABS(B30-$B$29))))))</f>
        <v>#NUM!</v>
      </c>
      <c r="H30" s="121"/>
      <c r="I30" s="134"/>
      <c r="J30" s="135"/>
      <c r="K30" s="136"/>
      <c r="L30" s="135"/>
      <c r="M30" s="135"/>
      <c r="N30" s="137"/>
      <c r="O30"/>
    </row>
    <row r="31" spans="1:15" s="77" customFormat="1" ht="15.5" x14ac:dyDescent="0.35">
      <c r="A31" s="84" t="s">
        <v>30</v>
      </c>
      <c r="B31" s="100"/>
      <c r="C31" s="80"/>
      <c r="D31" s="80"/>
      <c r="E31" s="82"/>
      <c r="F31" s="91"/>
      <c r="G31" s="133" t="e">
        <f t="shared" ref="G31:G51" si="6">IF(F31="NS","NC",ROUND(B31-$B$29,2-(1+INT(LOG10(ABS(B31-$B$29))))))</f>
        <v>#NUM!</v>
      </c>
      <c r="H31" s="121"/>
      <c r="I31" s="134"/>
      <c r="J31" s="135"/>
      <c r="K31" s="136"/>
      <c r="L31" s="135"/>
      <c r="M31" s="135"/>
      <c r="N31" s="137"/>
    </row>
    <row r="32" spans="1:15" s="77" customFormat="1" ht="15.5" x14ac:dyDescent="0.35">
      <c r="A32" s="128" t="str">
        <f>'Page de garde'!A38</f>
        <v>Prochloraz-12µg/L + Testostérone</v>
      </c>
      <c r="B32" s="100"/>
      <c r="C32" s="80"/>
      <c r="D32" s="80"/>
      <c r="E32" s="82"/>
      <c r="F32" s="94" t="str">
        <f>HLOOKUP(A32,'pooled normalised values'!$B$74:$V$83,10,FALSE)</f>
        <v>ns</v>
      </c>
      <c r="G32" s="133" t="str">
        <f t="shared" si="6"/>
        <v>NC</v>
      </c>
      <c r="H32" s="124" t="str">
        <f>IF(VLOOKUP(A32,liste_groupe[],4,FALSE)="%",VLOOKUP(A32,liste_groupe[],3,FALSE)/100,IF(ISBLANK(VLOOKUP(A32,liste_groupe[],4,FALSE)),"Non","Non"))</f>
        <v>Non</v>
      </c>
      <c r="I32" s="133" t="str">
        <f>IF(F32="NS","NC",IF(H32="Non",G32,G32*(1/H32)))</f>
        <v>NC</v>
      </c>
      <c r="J32" s="138" t="e">
        <f>IF(G32&lt;0,$G$31,$G$30)</f>
        <v>#NUM!</v>
      </c>
      <c r="K32" s="139">
        <f>IF(F32="NS",0,IF(I32&lt;0,-ROUND(I32/J32*100,0),ROUND(I32/J32*100,0)))</f>
        <v>0</v>
      </c>
      <c r="L32" s="140">
        <v>1</v>
      </c>
      <c r="M32" s="132">
        <f>IF(I32&lt;0,IF(K32&lt;-100,-125,K32),IF(K32&gt;100,125,K32))</f>
        <v>0</v>
      </c>
      <c r="N32" s="141" t="str">
        <f>IF(H32="Non",CONCATENATE(VLOOKUP(A32,liste_groupe[],5,FALSE),"-",VLOOKUP(A32,liste_groupe[],3,FALSE),VLOOKUP(A32,liste_groupe[],4,FALSE)," : ",ROUND(K32,0),"%"),CONCATENATE(VLOOKUP(A32,liste_groupe[],5,FALSE)," : ",ROUND(K32,0),"%"))</f>
        <v>Prochloraz-12µg/L : 0%</v>
      </c>
    </row>
    <row r="33" spans="1:14" s="77" customFormat="1" ht="15.5" x14ac:dyDescent="0.35">
      <c r="A33" s="128" t="str">
        <f>'Page de garde'!A39</f>
        <v>Prochloraz-37µg/L + Testostérone</v>
      </c>
      <c r="B33" s="99"/>
      <c r="C33" s="87"/>
      <c r="D33" s="87"/>
      <c r="E33" s="82"/>
      <c r="F33" s="94" t="str">
        <f>HLOOKUP(A33,'pooled normalised values'!$B$74:$V$83,10,FALSE)</f>
        <v>ns</v>
      </c>
      <c r="G33" s="133" t="str">
        <f>IF(F33="NS","NC",ROUND(B33-$B$29,2-(1+INT(LOG10(ABS(B33-$B$29))))))</f>
        <v>NC</v>
      </c>
      <c r="H33" s="124" t="str">
        <f>IF(VLOOKUP(A33,liste_groupe[],4,FALSE)="%",VLOOKUP(A33,liste_groupe[],3,FALSE)/100,IF(ISBLANK(VLOOKUP(A33,liste_groupe[],4,FALSE)),"Non","Non"))</f>
        <v>Non</v>
      </c>
      <c r="I33" s="133" t="str">
        <f t="shared" ref="I33:I51" si="7">IF(F33="NS","NC",IF(H33="Non",G33,G33*(1/H33)))</f>
        <v>NC</v>
      </c>
      <c r="J33" s="138" t="e">
        <f t="shared" ref="J33:J51" si="8">IF(G33&lt;0,$G$31,$G$30)</f>
        <v>#NUM!</v>
      </c>
      <c r="K33" s="139">
        <f t="shared" ref="K33:K51" si="9">IF(F33="NS",0,IF(I33&lt;0,-ROUND(I33/J33*100,0),ROUND(I33/J33*100,0)))</f>
        <v>0</v>
      </c>
      <c r="L33" s="140"/>
      <c r="M33" s="132">
        <f t="shared" ref="M33:M51" si="10">IF(I33&lt;0,IF(K33&lt;-100,-125,K33),IF(K33&gt;100,125,K33))</f>
        <v>0</v>
      </c>
      <c r="N33" s="141" t="str">
        <f>IF(H33="Non",CONCATENATE(VLOOKUP(A33,liste_groupe[],5,FALSE),"-",VLOOKUP(A33,liste_groupe[],3,FALSE),VLOOKUP(A33,liste_groupe[],4,FALSE)," : ",ROUND(K33,0),"%"),CONCATENATE(VLOOKUP(A33,liste_groupe[],5,FALSE)," : ",ROUND(K33,0),"%"))</f>
        <v>Prochloraz-37µg/L : 0%</v>
      </c>
    </row>
    <row r="34" spans="1:14" s="77" customFormat="1" ht="15.5" x14ac:dyDescent="0.35">
      <c r="A34" s="128" t="str">
        <f>'Page de garde'!A40</f>
        <v>Prochloraz-111µg/L + Testostérone</v>
      </c>
      <c r="B34" s="100"/>
      <c r="C34" s="80"/>
      <c r="D34" s="80"/>
      <c r="E34" s="82"/>
      <c r="F34" s="94" t="str">
        <f>HLOOKUP(A34,'pooled normalised values'!$B$74:$V$83,10,FALSE)</f>
        <v>ns</v>
      </c>
      <c r="G34" s="133" t="str">
        <f t="shared" si="6"/>
        <v>NC</v>
      </c>
      <c r="H34" s="124" t="str">
        <f>IF(VLOOKUP(A34,liste_groupe[],4,FALSE)="%",VLOOKUP(A34,liste_groupe[],3,FALSE)/100,IF(ISBLANK(VLOOKUP(A34,liste_groupe[],4,FALSE)),"Non","Non"))</f>
        <v>Non</v>
      </c>
      <c r="I34" s="133" t="str">
        <f t="shared" si="7"/>
        <v>NC</v>
      </c>
      <c r="J34" s="138" t="e">
        <f t="shared" si="8"/>
        <v>#NUM!</v>
      </c>
      <c r="K34" s="139">
        <f t="shared" si="9"/>
        <v>0</v>
      </c>
      <c r="L34" s="140"/>
      <c r="M34" s="132">
        <f t="shared" si="10"/>
        <v>0</v>
      </c>
      <c r="N34" s="141" t="str">
        <f>IF(H34="Non",CONCATENATE(VLOOKUP(A34,liste_groupe[],5,FALSE),"-",VLOOKUP(A34,liste_groupe[],3,FALSE),VLOOKUP(A34,liste_groupe[],4,FALSE)," : ",ROUND(K34,0),"%"),CONCATENATE(VLOOKUP(A34,liste_groupe[],5,FALSE)," : ",ROUND(K34,0),"%"))</f>
        <v>Prochloraz-111µg/L : 0%</v>
      </c>
    </row>
    <row r="35" spans="1:14" s="77" customFormat="1" ht="15.5" x14ac:dyDescent="0.35">
      <c r="A35" s="128" t="str">
        <f>'Page de garde'!A41</f>
        <v>Prochloraz-333µg/L + Testostérone</v>
      </c>
      <c r="B35" s="99"/>
      <c r="C35" s="87"/>
      <c r="D35" s="87"/>
      <c r="E35" s="82"/>
      <c r="F35" s="94" t="str">
        <f>HLOOKUP(A35,'pooled normalised values'!$B$74:$V$83,10,FALSE)</f>
        <v>***</v>
      </c>
      <c r="G35" s="133" t="e">
        <f t="shared" si="6"/>
        <v>#NUM!</v>
      </c>
      <c r="H35" s="124" t="str">
        <f>IF(VLOOKUP(A35,liste_groupe[],4,FALSE)="%",VLOOKUP(A35,liste_groupe[],3,FALSE)/100,IF(ISBLANK(VLOOKUP(A35,liste_groupe[],4,FALSE)),"Non","Non"))</f>
        <v>Non</v>
      </c>
      <c r="I35" s="133" t="e">
        <f t="shared" si="7"/>
        <v>#NUM!</v>
      </c>
      <c r="J35" s="138" t="e">
        <f t="shared" si="8"/>
        <v>#NUM!</v>
      </c>
      <c r="K35" s="139" t="e">
        <f t="shared" si="9"/>
        <v>#NUM!</v>
      </c>
      <c r="L35" s="140"/>
      <c r="M35" s="132" t="e">
        <f t="shared" si="10"/>
        <v>#NUM!</v>
      </c>
      <c r="N35" s="141" t="e">
        <f>IF(H35="Non",CONCATENATE(VLOOKUP(A35,liste_groupe[],5,FALSE),"-",VLOOKUP(A35,liste_groupe[],3,FALSE),VLOOKUP(A35,liste_groupe[],4,FALSE)," : ",ROUND(K35,0),"%"),CONCATENATE(VLOOKUP(A35,liste_groupe[],5,FALSE)," : ",ROUND(K35,0),"%"))</f>
        <v>#NUM!</v>
      </c>
    </row>
    <row r="36" spans="1:14" s="77" customFormat="1" ht="15.5" x14ac:dyDescent="0.35">
      <c r="A36" s="128" t="str">
        <f>'Page de garde'!A42</f>
        <v>Prochloraz-1000µg/L + Testostérone</v>
      </c>
      <c r="B36" s="99"/>
      <c r="C36" s="87"/>
      <c r="D36" s="87"/>
      <c r="E36" s="82"/>
      <c r="F36" s="94" t="str">
        <f>HLOOKUP(A36,'pooled normalised values'!$B$74:$V$83,10,FALSE)</f>
        <v>***</v>
      </c>
      <c r="G36" s="133" t="e">
        <f t="shared" si="6"/>
        <v>#NUM!</v>
      </c>
      <c r="H36" s="124" t="str">
        <f>IF(VLOOKUP(A36,liste_groupe[],4,FALSE)="%",VLOOKUP(A36,liste_groupe[],3,FALSE)/100,IF(ISBLANK(VLOOKUP(A36,liste_groupe[],4,FALSE)),"Non","Non"))</f>
        <v>Non</v>
      </c>
      <c r="I36" s="133" t="e">
        <f t="shared" si="7"/>
        <v>#NUM!</v>
      </c>
      <c r="J36" s="138" t="e">
        <f t="shared" si="8"/>
        <v>#NUM!</v>
      </c>
      <c r="K36" s="139" t="e">
        <f t="shared" si="9"/>
        <v>#NUM!</v>
      </c>
      <c r="L36" s="140"/>
      <c r="M36" s="132" t="e">
        <f t="shared" si="10"/>
        <v>#NUM!</v>
      </c>
      <c r="N36" s="141" t="e">
        <f>IF(H36="Non",CONCATENATE(VLOOKUP(A36,liste_groupe[],5,FALSE),"-",VLOOKUP(A36,liste_groupe[],3,FALSE),VLOOKUP(A36,liste_groupe[],4,FALSE)," : ",ROUND(K36,0),"%"),CONCATENATE(VLOOKUP(A36,liste_groupe[],5,FALSE)," : ",ROUND(K36,0),"%"))</f>
        <v>#NUM!</v>
      </c>
    </row>
    <row r="37" spans="1:14" s="77" customFormat="1" ht="15.5" x14ac:dyDescent="0.35">
      <c r="A37" s="128">
        <f>'Page de garde'!A43</f>
        <v>0</v>
      </c>
      <c r="B37" s="99"/>
      <c r="C37" s="87"/>
      <c r="D37" s="87"/>
      <c r="E37" s="82"/>
      <c r="F37" s="94" t="e">
        <f>HLOOKUP(A37,'pooled normalised values'!$B$74:$V$83,10,FALSE)</f>
        <v>#N/A</v>
      </c>
      <c r="G37" s="133" t="e">
        <f t="shared" si="6"/>
        <v>#N/A</v>
      </c>
      <c r="H37" s="124" t="e">
        <f>IF(VLOOKUP(A37,liste_groupe[],4,FALSE)="%",VLOOKUP(A37,liste_groupe[],3,FALSE)/100,IF(ISBLANK(VLOOKUP(A37,liste_groupe[],4,FALSE)),"Non","Non"))</f>
        <v>#N/A</v>
      </c>
      <c r="I37" s="133" t="e">
        <f t="shared" si="7"/>
        <v>#N/A</v>
      </c>
      <c r="J37" s="138" t="e">
        <f t="shared" si="8"/>
        <v>#N/A</v>
      </c>
      <c r="K37" s="139" t="e">
        <f t="shared" si="9"/>
        <v>#N/A</v>
      </c>
      <c r="L37" s="140"/>
      <c r="M37" s="132" t="e">
        <f t="shared" si="10"/>
        <v>#N/A</v>
      </c>
      <c r="N37" s="141" t="e">
        <f>IF(H37="Non",CONCATENATE(VLOOKUP(A37,liste_groupe[],5,FALSE),"-",VLOOKUP(A37,liste_groupe[],3,FALSE),VLOOKUP(A37,liste_groupe[],4,FALSE)," : ",ROUND(K37,0),"%"),CONCATENATE(VLOOKUP(A37,liste_groupe[],5,FALSE)," : ",ROUND(K37,0),"%"))</f>
        <v>#N/A</v>
      </c>
    </row>
    <row r="38" spans="1:14" s="77" customFormat="1" ht="15.5" x14ac:dyDescent="0.35">
      <c r="A38" s="128">
        <f>'Page de garde'!A44</f>
        <v>0</v>
      </c>
      <c r="B38" s="99"/>
      <c r="C38" s="87"/>
      <c r="D38" s="87"/>
      <c r="E38" s="82"/>
      <c r="F38" s="94" t="e">
        <f>HLOOKUP(A38,'pooled normalised values'!$B$74:$V$83,10,FALSE)</f>
        <v>#N/A</v>
      </c>
      <c r="G38" s="133" t="e">
        <f t="shared" si="6"/>
        <v>#N/A</v>
      </c>
      <c r="H38" s="124" t="e">
        <f>IF(VLOOKUP(A38,liste_groupe[],4,FALSE)="%",VLOOKUP(A38,liste_groupe[],3,FALSE)/100,IF(ISBLANK(VLOOKUP(A38,liste_groupe[],4,FALSE)),"Non","Non"))</f>
        <v>#N/A</v>
      </c>
      <c r="I38" s="133" t="e">
        <f t="shared" si="7"/>
        <v>#N/A</v>
      </c>
      <c r="J38" s="138" t="e">
        <f t="shared" si="8"/>
        <v>#N/A</v>
      </c>
      <c r="K38" s="139" t="e">
        <f t="shared" si="9"/>
        <v>#N/A</v>
      </c>
      <c r="L38" s="140"/>
      <c r="M38" s="132" t="e">
        <f t="shared" si="10"/>
        <v>#N/A</v>
      </c>
      <c r="N38" s="141" t="e">
        <f>IF(H38="Non",CONCATENATE(VLOOKUP(A38,liste_groupe[],5,FALSE),"-",VLOOKUP(A38,liste_groupe[],3,FALSE),VLOOKUP(A38,liste_groupe[],4,FALSE)," : ",ROUND(K38,0),"%"),CONCATENATE(VLOOKUP(A38,liste_groupe[],5,FALSE)," : ",ROUND(K38,0),"%"))</f>
        <v>#N/A</v>
      </c>
    </row>
    <row r="39" spans="1:14" s="77" customFormat="1" ht="15.5" x14ac:dyDescent="0.35">
      <c r="A39" s="128">
        <f>'Page de garde'!A45</f>
        <v>0</v>
      </c>
      <c r="B39" s="99"/>
      <c r="C39" s="87"/>
      <c r="D39" s="87"/>
      <c r="E39" s="82"/>
      <c r="F39" s="94" t="e">
        <f>HLOOKUP(A39,'pooled normalised values'!$B$74:$V$83,10,FALSE)</f>
        <v>#N/A</v>
      </c>
      <c r="G39" s="133" t="e">
        <f t="shared" ref="G39:G50" si="11">IF(F39="NS","NC",ROUND(B39-$B$29,2-(1+INT(LOG10(ABS(B39-$B$29))))))</f>
        <v>#N/A</v>
      </c>
      <c r="H39" s="124" t="e">
        <f>IF(VLOOKUP(A39,liste_groupe[],4,FALSE)="%",VLOOKUP(A39,liste_groupe[],3,FALSE)/100,IF(ISBLANK(VLOOKUP(A39,liste_groupe[],4,FALSE)),"Non","Non"))</f>
        <v>#N/A</v>
      </c>
      <c r="I39" s="133" t="e">
        <f t="shared" si="7"/>
        <v>#N/A</v>
      </c>
      <c r="J39" s="138" t="e">
        <f t="shared" ref="J39:J50" si="12">IF(G39&lt;0,$G$31,$G$30)</f>
        <v>#N/A</v>
      </c>
      <c r="K39" s="139" t="e">
        <f t="shared" si="9"/>
        <v>#N/A</v>
      </c>
      <c r="L39" s="140"/>
      <c r="M39" s="132" t="e">
        <f t="shared" si="10"/>
        <v>#N/A</v>
      </c>
      <c r="N39" s="141" t="e">
        <f>IF(H39="Non",CONCATENATE(VLOOKUP(A39,liste_groupe[],5,FALSE),"-",VLOOKUP(A39,liste_groupe[],3,FALSE),VLOOKUP(A39,liste_groupe[],4,FALSE)," : ",ROUND(K39,0),"%"),CONCATENATE(VLOOKUP(A39,liste_groupe[],5,FALSE)," : ",ROUND(K39,0),"%"))</f>
        <v>#N/A</v>
      </c>
    </row>
    <row r="40" spans="1:14" s="77" customFormat="1" ht="15.5" x14ac:dyDescent="0.35">
      <c r="A40" s="128">
        <f>'Page de garde'!A46</f>
        <v>0</v>
      </c>
      <c r="B40" s="99"/>
      <c r="C40" s="87"/>
      <c r="D40" s="87"/>
      <c r="E40" s="82"/>
      <c r="F40" s="94" t="e">
        <f>HLOOKUP(A40,'pooled normalised values'!$B$74:$V$83,10,FALSE)</f>
        <v>#N/A</v>
      </c>
      <c r="G40" s="133" t="e">
        <f t="shared" si="11"/>
        <v>#N/A</v>
      </c>
      <c r="H40" s="124" t="e">
        <f>IF(VLOOKUP(A40,liste_groupe[],4,FALSE)="%",VLOOKUP(A40,liste_groupe[],3,FALSE)/100,IF(ISBLANK(VLOOKUP(A40,liste_groupe[],4,FALSE)),"Non","Non"))</f>
        <v>#N/A</v>
      </c>
      <c r="I40" s="133" t="e">
        <f t="shared" si="7"/>
        <v>#N/A</v>
      </c>
      <c r="J40" s="138" t="e">
        <f t="shared" si="12"/>
        <v>#N/A</v>
      </c>
      <c r="K40" s="139" t="e">
        <f t="shared" si="9"/>
        <v>#N/A</v>
      </c>
      <c r="L40" s="140"/>
      <c r="M40" s="132" t="e">
        <f t="shared" si="10"/>
        <v>#N/A</v>
      </c>
      <c r="N40" s="141" t="e">
        <f>IF(H40="Non",CONCATENATE(VLOOKUP(A40,liste_groupe[],5,FALSE),"-",VLOOKUP(A40,liste_groupe[],3,FALSE),VLOOKUP(A40,liste_groupe[],4,FALSE)," : ",ROUND(K40,0),"%"),CONCATENATE(VLOOKUP(A40,liste_groupe[],5,FALSE)," : ",ROUND(K40,0),"%"))</f>
        <v>#N/A</v>
      </c>
    </row>
    <row r="41" spans="1:14" s="77" customFormat="1" ht="15.5" x14ac:dyDescent="0.35">
      <c r="A41" s="128">
        <f>'Page de garde'!A47</f>
        <v>0</v>
      </c>
      <c r="B41" s="99"/>
      <c r="C41" s="87"/>
      <c r="D41" s="87"/>
      <c r="E41" s="82"/>
      <c r="F41" s="94" t="e">
        <f>HLOOKUP(A41,'pooled normalised values'!$B$74:$V$83,10,FALSE)</f>
        <v>#N/A</v>
      </c>
      <c r="G41" s="133" t="e">
        <f t="shared" si="11"/>
        <v>#N/A</v>
      </c>
      <c r="H41" s="124" t="e">
        <f>IF(VLOOKUP(A41,liste_groupe[],4,FALSE)="%",VLOOKUP(A41,liste_groupe[],3,FALSE)/100,IF(ISBLANK(VLOOKUP(A41,liste_groupe[],4,FALSE)),"Non","Non"))</f>
        <v>#N/A</v>
      </c>
      <c r="I41" s="133" t="e">
        <f t="shared" si="7"/>
        <v>#N/A</v>
      </c>
      <c r="J41" s="138" t="e">
        <f t="shared" si="12"/>
        <v>#N/A</v>
      </c>
      <c r="K41" s="139" t="e">
        <f t="shared" si="9"/>
        <v>#N/A</v>
      </c>
      <c r="L41" s="140"/>
      <c r="M41" s="132" t="e">
        <f t="shared" si="10"/>
        <v>#N/A</v>
      </c>
      <c r="N41" s="141" t="e">
        <f>IF(H41="Non",CONCATENATE(VLOOKUP(A41,liste_groupe[],5,FALSE),"-",VLOOKUP(A41,liste_groupe[],3,FALSE),VLOOKUP(A41,liste_groupe[],4,FALSE)," : ",ROUND(K41,0),"%"),CONCATENATE(VLOOKUP(A41,liste_groupe[],5,FALSE)," : ",ROUND(K41,0),"%"))</f>
        <v>#N/A</v>
      </c>
    </row>
    <row r="42" spans="1:14" s="77" customFormat="1" ht="15.5" x14ac:dyDescent="0.35">
      <c r="A42" s="128">
        <f>'Page de garde'!A48</f>
        <v>0</v>
      </c>
      <c r="B42" s="99"/>
      <c r="C42" s="87"/>
      <c r="D42" s="87"/>
      <c r="E42" s="82"/>
      <c r="F42" s="94" t="e">
        <f>HLOOKUP(A42,'pooled normalised values'!$B$74:$V$83,10,FALSE)</f>
        <v>#N/A</v>
      </c>
      <c r="G42" s="133" t="e">
        <f t="shared" si="11"/>
        <v>#N/A</v>
      </c>
      <c r="H42" s="124" t="e">
        <f>IF(VLOOKUP(A42,liste_groupe[],4,FALSE)="%",VLOOKUP(A42,liste_groupe[],3,FALSE)/100,IF(ISBLANK(VLOOKUP(A42,liste_groupe[],4,FALSE)),"Non","Non"))</f>
        <v>#N/A</v>
      </c>
      <c r="I42" s="133" t="e">
        <f t="shared" si="7"/>
        <v>#N/A</v>
      </c>
      <c r="J42" s="138" t="e">
        <f t="shared" si="12"/>
        <v>#N/A</v>
      </c>
      <c r="K42" s="139" t="e">
        <f t="shared" si="9"/>
        <v>#N/A</v>
      </c>
      <c r="L42" s="140"/>
      <c r="M42" s="132" t="e">
        <f t="shared" si="10"/>
        <v>#N/A</v>
      </c>
      <c r="N42" s="141" t="e">
        <f>IF(H42="Non",CONCATENATE(VLOOKUP(A42,liste_groupe[],5,FALSE),"-",VLOOKUP(A42,liste_groupe[],3,FALSE),VLOOKUP(A42,liste_groupe[],4,FALSE)," : ",ROUND(K42,0),"%"),CONCATENATE(VLOOKUP(A42,liste_groupe[],5,FALSE)," : ",ROUND(K42,0),"%"))</f>
        <v>#N/A</v>
      </c>
    </row>
    <row r="43" spans="1:14" s="77" customFormat="1" ht="15.5" x14ac:dyDescent="0.35">
      <c r="A43" s="128">
        <f>'Page de garde'!A49</f>
        <v>0</v>
      </c>
      <c r="B43" s="99"/>
      <c r="C43" s="87"/>
      <c r="D43" s="87"/>
      <c r="E43" s="82"/>
      <c r="F43" s="94" t="e">
        <f>HLOOKUP(A43,'pooled normalised values'!$B$74:$V$83,10,FALSE)</f>
        <v>#N/A</v>
      </c>
      <c r="G43" s="133" t="e">
        <f t="shared" si="11"/>
        <v>#N/A</v>
      </c>
      <c r="H43" s="124" t="e">
        <f>IF(VLOOKUP(A43,liste_groupe[],4,FALSE)="%",VLOOKUP(A43,liste_groupe[],3,FALSE)/100,IF(ISBLANK(VLOOKUP(A43,liste_groupe[],4,FALSE)),"Non","Non"))</f>
        <v>#N/A</v>
      </c>
      <c r="I43" s="133" t="e">
        <f t="shared" si="7"/>
        <v>#N/A</v>
      </c>
      <c r="J43" s="138" t="e">
        <f t="shared" si="12"/>
        <v>#N/A</v>
      </c>
      <c r="K43" s="139" t="e">
        <f t="shared" si="9"/>
        <v>#N/A</v>
      </c>
      <c r="L43" s="140"/>
      <c r="M43" s="132" t="e">
        <f t="shared" si="10"/>
        <v>#N/A</v>
      </c>
      <c r="N43" s="141" t="e">
        <f>IF(H43="Non",CONCATENATE(VLOOKUP(A43,liste_groupe[],5,FALSE),"-",VLOOKUP(A43,liste_groupe[],3,FALSE),VLOOKUP(A43,liste_groupe[],4,FALSE)," : ",ROUND(K43,0),"%"),CONCATENATE(VLOOKUP(A43,liste_groupe[],5,FALSE)," : ",ROUND(K43,0),"%"))</f>
        <v>#N/A</v>
      </c>
    </row>
    <row r="44" spans="1:14" s="77" customFormat="1" ht="15.5" x14ac:dyDescent="0.35">
      <c r="A44" s="128">
        <f>'Page de garde'!A50</f>
        <v>0</v>
      </c>
      <c r="B44" s="99"/>
      <c r="C44" s="87"/>
      <c r="D44" s="87"/>
      <c r="E44" s="82"/>
      <c r="F44" s="94" t="e">
        <f>HLOOKUP(A44,'pooled normalised values'!$B$74:$V$83,10,FALSE)</f>
        <v>#N/A</v>
      </c>
      <c r="G44" s="133" t="e">
        <f t="shared" si="11"/>
        <v>#N/A</v>
      </c>
      <c r="H44" s="124" t="e">
        <f>IF(VLOOKUP(A44,liste_groupe[],4,FALSE)="%",VLOOKUP(A44,liste_groupe[],3,FALSE)/100,IF(ISBLANK(VLOOKUP(A44,liste_groupe[],4,FALSE)),"Non","Non"))</f>
        <v>#N/A</v>
      </c>
      <c r="I44" s="133" t="e">
        <f t="shared" si="7"/>
        <v>#N/A</v>
      </c>
      <c r="J44" s="138" t="e">
        <f t="shared" si="12"/>
        <v>#N/A</v>
      </c>
      <c r="K44" s="139" t="e">
        <f t="shared" si="9"/>
        <v>#N/A</v>
      </c>
      <c r="L44" s="140"/>
      <c r="M44" s="132" t="e">
        <f t="shared" si="10"/>
        <v>#N/A</v>
      </c>
      <c r="N44" s="141" t="e">
        <f>IF(H44="Non",CONCATENATE(VLOOKUP(A44,liste_groupe[],5,FALSE),"-",VLOOKUP(A44,liste_groupe[],3,FALSE),VLOOKUP(A44,liste_groupe[],4,FALSE)," : ",ROUND(K44,0),"%"),CONCATENATE(VLOOKUP(A44,liste_groupe[],5,FALSE)," : ",ROUND(K44,0),"%"))</f>
        <v>#N/A</v>
      </c>
    </row>
    <row r="45" spans="1:14" s="77" customFormat="1" ht="15.5" x14ac:dyDescent="0.35">
      <c r="A45" s="128">
        <f>'Page de garde'!A51</f>
        <v>0</v>
      </c>
      <c r="B45" s="99"/>
      <c r="C45" s="87"/>
      <c r="D45" s="87"/>
      <c r="E45" s="82"/>
      <c r="F45" s="94" t="e">
        <f>HLOOKUP(A45,'pooled normalised values'!$B$74:$V$83,10,FALSE)</f>
        <v>#N/A</v>
      </c>
      <c r="G45" s="133" t="e">
        <f t="shared" si="11"/>
        <v>#N/A</v>
      </c>
      <c r="H45" s="124" t="e">
        <f>IF(VLOOKUP(A45,liste_groupe[],4,FALSE)="%",VLOOKUP(A45,liste_groupe[],3,FALSE)/100,IF(ISBLANK(VLOOKUP(A45,liste_groupe[],4,FALSE)),"Non","Non"))</f>
        <v>#N/A</v>
      </c>
      <c r="I45" s="133" t="e">
        <f t="shared" si="7"/>
        <v>#N/A</v>
      </c>
      <c r="J45" s="138" t="e">
        <f t="shared" si="12"/>
        <v>#N/A</v>
      </c>
      <c r="K45" s="139" t="e">
        <f t="shared" si="9"/>
        <v>#N/A</v>
      </c>
      <c r="L45" s="140"/>
      <c r="M45" s="132" t="e">
        <f t="shared" si="10"/>
        <v>#N/A</v>
      </c>
      <c r="N45" s="141" t="e">
        <f>IF(H45="Non",CONCATENATE(VLOOKUP(A45,liste_groupe[],5,FALSE),"-",VLOOKUP(A45,liste_groupe[],3,FALSE),VLOOKUP(A45,liste_groupe[],4,FALSE)," : ",ROUND(K45,0),"%"),CONCATENATE(VLOOKUP(A45,liste_groupe[],5,FALSE)," : ",ROUND(K45,0),"%"))</f>
        <v>#N/A</v>
      </c>
    </row>
    <row r="46" spans="1:14" s="77" customFormat="1" ht="15.5" x14ac:dyDescent="0.35">
      <c r="A46" s="128">
        <f>'Page de garde'!A52</f>
        <v>0</v>
      </c>
      <c r="B46" s="99"/>
      <c r="C46" s="87"/>
      <c r="D46" s="87"/>
      <c r="E46" s="82"/>
      <c r="F46" s="94" t="e">
        <f>HLOOKUP(A46,'pooled normalised values'!$B$74:$V$83,10,FALSE)</f>
        <v>#N/A</v>
      </c>
      <c r="G46" s="133" t="e">
        <f t="shared" si="11"/>
        <v>#N/A</v>
      </c>
      <c r="H46" s="124" t="e">
        <f>IF(VLOOKUP(A46,liste_groupe[],4,FALSE)="%",VLOOKUP(A46,liste_groupe[],3,FALSE)/100,IF(ISBLANK(VLOOKUP(A46,liste_groupe[],4,FALSE)),"Non","Non"))</f>
        <v>#N/A</v>
      </c>
      <c r="I46" s="133" t="e">
        <f t="shared" si="7"/>
        <v>#N/A</v>
      </c>
      <c r="J46" s="138" t="e">
        <f t="shared" si="12"/>
        <v>#N/A</v>
      </c>
      <c r="K46" s="139" t="e">
        <f t="shared" si="9"/>
        <v>#N/A</v>
      </c>
      <c r="L46" s="140"/>
      <c r="M46" s="132" t="e">
        <f t="shared" si="10"/>
        <v>#N/A</v>
      </c>
      <c r="N46" s="141" t="e">
        <f>IF(H46="Non",CONCATENATE(VLOOKUP(A46,liste_groupe[],5,FALSE),"-",VLOOKUP(A46,liste_groupe[],3,FALSE),VLOOKUP(A46,liste_groupe[],4,FALSE)," : ",ROUND(K46,0),"%"),CONCATENATE(VLOOKUP(A46,liste_groupe[],5,FALSE)," : ",ROUND(K46,0),"%"))</f>
        <v>#N/A</v>
      </c>
    </row>
    <row r="47" spans="1:14" s="77" customFormat="1" ht="15.5" x14ac:dyDescent="0.35">
      <c r="A47" s="128">
        <f>'Page de garde'!A53</f>
        <v>0</v>
      </c>
      <c r="B47" s="99"/>
      <c r="C47" s="87"/>
      <c r="D47" s="87"/>
      <c r="E47" s="82"/>
      <c r="F47" s="94" t="e">
        <f>HLOOKUP(A47,'pooled normalised values'!$B$74:$V$83,10,FALSE)</f>
        <v>#N/A</v>
      </c>
      <c r="G47" s="133" t="e">
        <f t="shared" si="11"/>
        <v>#N/A</v>
      </c>
      <c r="H47" s="124" t="e">
        <f>IF(VLOOKUP(A47,liste_groupe[],4,FALSE)="%",VLOOKUP(A47,liste_groupe[],3,FALSE)/100,IF(ISBLANK(VLOOKUP(A47,liste_groupe[],4,FALSE)),"Non","Non"))</f>
        <v>#N/A</v>
      </c>
      <c r="I47" s="133" t="e">
        <f t="shared" si="7"/>
        <v>#N/A</v>
      </c>
      <c r="J47" s="138" t="e">
        <f t="shared" si="12"/>
        <v>#N/A</v>
      </c>
      <c r="K47" s="139" t="e">
        <f t="shared" si="9"/>
        <v>#N/A</v>
      </c>
      <c r="L47" s="140"/>
      <c r="M47" s="132" t="e">
        <f t="shared" si="10"/>
        <v>#N/A</v>
      </c>
      <c r="N47" s="141" t="e">
        <f>IF(H47="Non",CONCATENATE(VLOOKUP(A47,liste_groupe[],5,FALSE),"-",VLOOKUP(A47,liste_groupe[],3,FALSE),VLOOKUP(A47,liste_groupe[],4,FALSE)," : ",ROUND(K47,0),"%"),CONCATENATE(VLOOKUP(A47,liste_groupe[],5,FALSE)," : ",ROUND(K47,0),"%"))</f>
        <v>#N/A</v>
      </c>
    </row>
    <row r="48" spans="1:14" s="77" customFormat="1" ht="15.5" x14ac:dyDescent="0.35">
      <c r="A48" s="128">
        <f>'Page de garde'!A54</f>
        <v>0</v>
      </c>
      <c r="B48" s="99"/>
      <c r="C48" s="87"/>
      <c r="D48" s="87"/>
      <c r="E48" s="82"/>
      <c r="F48" s="94" t="e">
        <f>HLOOKUP(A48,'pooled normalised values'!$B$74:$V$83,10,FALSE)</f>
        <v>#N/A</v>
      </c>
      <c r="G48" s="133" t="e">
        <f t="shared" si="11"/>
        <v>#N/A</v>
      </c>
      <c r="H48" s="124" t="e">
        <f>IF(VLOOKUP(A48,liste_groupe[],4,FALSE)="%",VLOOKUP(A48,liste_groupe[],3,FALSE)/100,IF(ISBLANK(VLOOKUP(A48,liste_groupe[],4,FALSE)),"Non","Non"))</f>
        <v>#N/A</v>
      </c>
      <c r="I48" s="133" t="e">
        <f t="shared" si="7"/>
        <v>#N/A</v>
      </c>
      <c r="J48" s="138" t="e">
        <f t="shared" si="12"/>
        <v>#N/A</v>
      </c>
      <c r="K48" s="139" t="e">
        <f t="shared" si="9"/>
        <v>#N/A</v>
      </c>
      <c r="L48" s="140"/>
      <c r="M48" s="132" t="e">
        <f t="shared" si="10"/>
        <v>#N/A</v>
      </c>
      <c r="N48" s="141" t="e">
        <f>IF(H48="Non",CONCATENATE(VLOOKUP(A48,liste_groupe[],5,FALSE),"-",VLOOKUP(A48,liste_groupe[],3,FALSE),VLOOKUP(A48,liste_groupe[],4,FALSE)," : ",ROUND(K48,0),"%"),CONCATENATE(VLOOKUP(A48,liste_groupe[],5,FALSE)," : ",ROUND(K48,0),"%"))</f>
        <v>#N/A</v>
      </c>
    </row>
    <row r="49" spans="1:15" s="77" customFormat="1" ht="15.5" x14ac:dyDescent="0.35">
      <c r="A49" s="128">
        <f>'Page de garde'!A55</f>
        <v>0</v>
      </c>
      <c r="B49" s="99"/>
      <c r="C49" s="87"/>
      <c r="D49" s="87"/>
      <c r="E49" s="82"/>
      <c r="F49" s="94" t="e">
        <f>HLOOKUP(A49,'pooled normalised values'!$B$74:$V$83,10,FALSE)</f>
        <v>#N/A</v>
      </c>
      <c r="G49" s="133" t="e">
        <f t="shared" si="11"/>
        <v>#N/A</v>
      </c>
      <c r="H49" s="124" t="e">
        <f>IF(VLOOKUP(A49,liste_groupe[],4,FALSE)="%",VLOOKUP(A49,liste_groupe[],3,FALSE)/100,IF(ISBLANK(VLOOKUP(A49,liste_groupe[],4,FALSE)),"Non","Non"))</f>
        <v>#N/A</v>
      </c>
      <c r="I49" s="133" t="e">
        <f t="shared" si="7"/>
        <v>#N/A</v>
      </c>
      <c r="J49" s="138" t="e">
        <f t="shared" si="12"/>
        <v>#N/A</v>
      </c>
      <c r="K49" s="139" t="e">
        <f t="shared" si="9"/>
        <v>#N/A</v>
      </c>
      <c r="L49" s="140"/>
      <c r="M49" s="132" t="e">
        <f t="shared" si="10"/>
        <v>#N/A</v>
      </c>
      <c r="N49" s="141" t="e">
        <f>IF(H49="Non",CONCATENATE(VLOOKUP(A49,liste_groupe[],5,FALSE),"-",VLOOKUP(A49,liste_groupe[],3,FALSE),VLOOKUP(A49,liste_groupe[],4,FALSE)," : ",ROUND(K49,0),"%"),CONCATENATE(VLOOKUP(A49,liste_groupe[],5,FALSE)," : ",ROUND(K49,0),"%"))</f>
        <v>#N/A</v>
      </c>
    </row>
    <row r="50" spans="1:15" s="77" customFormat="1" ht="15.5" x14ac:dyDescent="0.35">
      <c r="A50" s="128">
        <f>'Page de garde'!A56</f>
        <v>0</v>
      </c>
      <c r="B50" s="99"/>
      <c r="C50" s="87"/>
      <c r="D50" s="87"/>
      <c r="E50" s="82"/>
      <c r="F50" s="94" t="e">
        <f>HLOOKUP(A50,'pooled normalised values'!$B$74:$V$83,10,FALSE)</f>
        <v>#N/A</v>
      </c>
      <c r="G50" s="133" t="e">
        <f t="shared" si="11"/>
        <v>#N/A</v>
      </c>
      <c r="H50" s="124" t="e">
        <f>IF(VLOOKUP(A50,liste_groupe[],4,FALSE)="%",VLOOKUP(A50,liste_groupe[],3,FALSE)/100,IF(ISBLANK(VLOOKUP(A50,liste_groupe[],4,FALSE)),"Non","Non"))</f>
        <v>#N/A</v>
      </c>
      <c r="I50" s="133" t="e">
        <f t="shared" si="7"/>
        <v>#N/A</v>
      </c>
      <c r="J50" s="138" t="e">
        <f t="shared" si="12"/>
        <v>#N/A</v>
      </c>
      <c r="K50" s="139" t="e">
        <f t="shared" si="9"/>
        <v>#N/A</v>
      </c>
      <c r="L50" s="140"/>
      <c r="M50" s="132" t="e">
        <f t="shared" si="10"/>
        <v>#N/A</v>
      </c>
      <c r="N50" s="141" t="e">
        <f>IF(H50="Non",CONCATENATE(VLOOKUP(A50,liste_groupe[],5,FALSE),"-",VLOOKUP(A50,liste_groupe[],3,FALSE),VLOOKUP(A50,liste_groupe[],4,FALSE)," : ",ROUND(K50,0),"%"),CONCATENATE(VLOOKUP(A50,liste_groupe[],5,FALSE)," : ",ROUND(K50,0),"%"))</f>
        <v>#N/A</v>
      </c>
    </row>
    <row r="51" spans="1:15" s="77" customFormat="1" ht="15.5" x14ac:dyDescent="0.35">
      <c r="A51" s="128">
        <f>'Page de garde'!A57</f>
        <v>0</v>
      </c>
      <c r="B51" s="99"/>
      <c r="C51" s="87"/>
      <c r="D51" s="87"/>
      <c r="E51" s="82"/>
      <c r="F51" s="94" t="e">
        <f>HLOOKUP(A51,'pooled normalised values'!$B$74:$V$83,10,FALSE)</f>
        <v>#N/A</v>
      </c>
      <c r="G51" s="133" t="e">
        <f t="shared" si="6"/>
        <v>#N/A</v>
      </c>
      <c r="H51" s="124" t="e">
        <f>IF(VLOOKUP(A51,liste_groupe[],4,FALSE)="%",VLOOKUP(A51,liste_groupe[],3,FALSE)/100,IF(ISBLANK(VLOOKUP(A51,liste_groupe[],4,FALSE)),"Non","Non"))</f>
        <v>#N/A</v>
      </c>
      <c r="I51" s="133" t="e">
        <f t="shared" si="7"/>
        <v>#N/A</v>
      </c>
      <c r="J51" s="138" t="e">
        <f t="shared" si="8"/>
        <v>#N/A</v>
      </c>
      <c r="K51" s="139" t="e">
        <f t="shared" si="9"/>
        <v>#N/A</v>
      </c>
      <c r="L51" s="140"/>
      <c r="M51" s="132" t="e">
        <f t="shared" si="10"/>
        <v>#N/A</v>
      </c>
      <c r="N51" s="141" t="e">
        <f>IF(H51="Non",CONCATENATE(VLOOKUP(A51,liste_groupe[],5,FALSE),"-",VLOOKUP(A51,liste_groupe[],3,FALSE),VLOOKUP(A51,liste_groupe[],4,FALSE)," : ",ROUND(K51,0),"%"),CONCATENATE(VLOOKUP(A51,liste_groupe[],5,FALSE)," : ",ROUND(K51,0),"%"))</f>
        <v>#N/A</v>
      </c>
    </row>
    <row r="52" spans="1:15" s="77" customFormat="1" ht="16" thickBot="1" x14ac:dyDescent="0.4">
      <c r="E52" s="78"/>
      <c r="F52" s="78"/>
      <c r="G52" s="78"/>
      <c r="H52" s="78"/>
      <c r="I52" s="78"/>
      <c r="J52" s="78"/>
      <c r="K52" s="78"/>
      <c r="L52" s="78"/>
      <c r="M52" s="78"/>
      <c r="N52" s="78"/>
    </row>
    <row r="53" spans="1:15" s="48" customFormat="1" ht="26.5" thickBot="1" x14ac:dyDescent="0.4">
      <c r="A53" s="225" t="s">
        <v>60</v>
      </c>
      <c r="B53" s="226"/>
      <c r="C53" s="226"/>
      <c r="D53" s="226"/>
      <c r="E53" s="226"/>
      <c r="F53" s="226"/>
      <c r="G53" s="226"/>
      <c r="H53" s="226"/>
      <c r="I53" s="226"/>
      <c r="J53" s="226"/>
      <c r="K53" s="226"/>
      <c r="L53" s="226"/>
      <c r="M53" s="226"/>
      <c r="N53" s="226"/>
      <c r="O53" s="227"/>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80" customWidth="1"/>
    <col min="2" max="2" width="46.26953125" style="180" customWidth="1"/>
    <col min="3" max="3" width="15.26953125" style="180" customWidth="1"/>
    <col min="4" max="4" width="24.7265625" style="180" customWidth="1"/>
    <col min="5" max="5" width="24.453125" style="180" customWidth="1"/>
    <col min="6" max="6" width="23.1796875" style="180" customWidth="1"/>
    <col min="7" max="7" width="21.26953125" style="180" customWidth="1"/>
    <col min="8" max="16384" width="11.453125" style="180"/>
  </cols>
  <sheetData>
    <row r="1" spans="1:7" ht="29.5" thickBot="1" x14ac:dyDescent="0.4">
      <c r="A1" s="185" t="s">
        <v>132</v>
      </c>
      <c r="B1" s="186" t="s">
        <v>133</v>
      </c>
      <c r="C1" s="186" t="s">
        <v>139</v>
      </c>
      <c r="D1" s="186" t="s">
        <v>138</v>
      </c>
      <c r="E1" s="186" t="s">
        <v>140</v>
      </c>
      <c r="F1" s="187" t="s">
        <v>141</v>
      </c>
      <c r="G1" s="188" t="s">
        <v>142</v>
      </c>
    </row>
    <row r="2" spans="1:7" ht="58" x14ac:dyDescent="0.35">
      <c r="A2" s="181" t="s">
        <v>134</v>
      </c>
      <c r="B2" s="182" t="s">
        <v>135</v>
      </c>
      <c r="C2" s="182" t="s">
        <v>136</v>
      </c>
      <c r="D2" s="182" t="s">
        <v>143</v>
      </c>
      <c r="E2" s="182" t="s">
        <v>137</v>
      </c>
      <c r="F2" s="183" t="s">
        <v>136</v>
      </c>
      <c r="G2" s="184"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0.11859234730227697</v>
      </c>
      <c r="D2" s="17" t="s">
        <v>9</v>
      </c>
      <c r="E2" s="18"/>
      <c r="F2" s="19" t="str">
        <f>'pooled normalised values'!J74</f>
        <v>Prochloraz-37µg/L</v>
      </c>
      <c r="G2" s="19" t="str">
        <f>'pooled normalised values'!K74</f>
        <v>Prochloraz-111µg/L</v>
      </c>
      <c r="H2" s="19" t="str">
        <f>'pooled normalised values'!L74</f>
        <v>Prochloraz-333µg/L</v>
      </c>
      <c r="I2" s="19" t="str">
        <f>'pooled normalised values'!M74</f>
        <v>Prochloraz-1000µg/L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Prochloraz-12µg/L + Testostérone</v>
      </c>
      <c r="W2" s="19" t="str">
        <f>'pooled normalised values'!S74</f>
        <v>Prochloraz-37µg/L + Testostérone</v>
      </c>
      <c r="X2" s="19" t="str">
        <f>'pooled normalised values'!T74</f>
        <v>Prochloraz-111µg/L + Testostérone</v>
      </c>
      <c r="Y2" s="19" t="str">
        <f>'pooled normalised values'!U74</f>
        <v>Prochloraz-333µg/L + Testostérone</v>
      </c>
      <c r="Z2" s="19" t="str">
        <f>'pooled normalised values'!V74</f>
        <v>Prochloraz-1000µg/L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0.114305354817455</v>
      </c>
      <c r="G3" s="19">
        <f>HLOOKUP(G2,'pooled normalised values'!C74:W83,2,FALSE)</f>
        <v>0.10006852442498115</v>
      </c>
      <c r="H3" s="19">
        <f>HLOOKUP(H2,'pooled normalised values'!C74:X83,2,FALSE)</f>
        <v>0.15375834897735421</v>
      </c>
      <c r="I3" s="19">
        <f>HLOOKUP(I2,'pooled normalised values'!D74:Y83,2,FALSE)</f>
        <v>0.177682640126409</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0.83886812994352211</v>
      </c>
      <c r="W3" s="19">
        <f>HLOOKUP(W2,'pooled normalised values'!N74:AM83,2,FALSE)</f>
        <v>1.0067826261762012</v>
      </c>
      <c r="X3" s="19">
        <f>HLOOKUP(X2,'pooled normalised values'!N74:AN83,2,FALSE)</f>
        <v>0.61446587435755828</v>
      </c>
      <c r="Y3" s="19">
        <f>HLOOKUP(Y2,'pooled normalised values'!N74:AO83,2,FALSE)</f>
        <v>0.3330181494734154</v>
      </c>
      <c r="Z3" s="19">
        <f>HLOOKUP(Z2,'pooled normalised values'!N74:AP83,2,FALSE)</f>
        <v>0.1609354199701406</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1.0000000000000004</v>
      </c>
      <c r="D4" s="21" t="s">
        <v>2</v>
      </c>
      <c r="E4" s="22"/>
      <c r="F4" s="19">
        <f>HLOOKUP(F2,'pooled normalised values'!B74:V83,3,FALSE)</f>
        <v>1.9150555795434777E-2</v>
      </c>
      <c r="G4" s="19">
        <f>HLOOKUP(G2,'pooled normalised values'!C74:W83,3,FALSE)</f>
        <v>2.1208923131888924E-2</v>
      </c>
      <c r="H4" s="19">
        <f>HLOOKUP(H2,'pooled normalised values'!C74:X83,3,FALSE)</f>
        <v>2.3074937800339604E-2</v>
      </c>
      <c r="I4" s="19">
        <f>HLOOKUP(I2,'pooled normalised values'!D74:Y83,3,FALSE)</f>
        <v>3.5802047625812627E-2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0.16415615366304329</v>
      </c>
      <c r="W4" s="19">
        <f>HLOOKUP(W2,'pooled normalised values'!N74:AM83,3,FALSE)</f>
        <v>0.16897991911353255</v>
      </c>
      <c r="X4" s="19">
        <f>HLOOKUP(X2,'pooled normalised values'!N74:AN83,3,FALSE)</f>
        <v>0.13868826869266934</v>
      </c>
      <c r="Y4" s="19">
        <f>HLOOKUP(Y2,'pooled normalised values'!N74:AO83,3,FALSE)</f>
        <v>8.2252987129787292E-2</v>
      </c>
      <c r="Z4" s="19">
        <f>HLOOKUP(Z2,'pooled normalised values'!N74:AP83,3,FALSE)</f>
        <v>3.0769075977412619E-2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1.8282014752371005</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v>
      </c>
      <c r="Z5" s="19" t="str">
        <f>HLOOKUP(Z2,'pooled normalised values'!N74:AP83,10,FALSE)</f>
        <v>***</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0.11393961358239073</v>
      </c>
      <c r="D6" s="21" t="s">
        <v>12</v>
      </c>
      <c r="E6" s="24">
        <f>$B$2</f>
        <v>0.11859234730227697</v>
      </c>
      <c r="F6" s="24">
        <f>$B$2</f>
        <v>0.11859234730227697</v>
      </c>
      <c r="G6" s="24">
        <f t="shared" ref="G6:R6" si="0">$B$2</f>
        <v>0.11859234730227697</v>
      </c>
      <c r="H6" s="24">
        <f t="shared" si="0"/>
        <v>0.11859234730227697</v>
      </c>
      <c r="I6" s="24">
        <f t="shared" si="0"/>
        <v>0.11859234730227697</v>
      </c>
      <c r="J6" s="24">
        <f t="shared" si="0"/>
        <v>0.11859234730227697</v>
      </c>
      <c r="K6" s="24">
        <f t="shared" si="0"/>
        <v>0.11859234730227697</v>
      </c>
      <c r="L6" s="24">
        <f t="shared" si="0"/>
        <v>0.11859234730227697</v>
      </c>
      <c r="M6" s="24">
        <f t="shared" si="0"/>
        <v>0.11859234730227697</v>
      </c>
      <c r="N6" s="24">
        <f t="shared" si="0"/>
        <v>0.11859234730227697</v>
      </c>
      <c r="O6" s="24">
        <f t="shared" si="0"/>
        <v>0.11859234730227697</v>
      </c>
      <c r="P6" s="24">
        <f t="shared" si="0"/>
        <v>0.11859234730227697</v>
      </c>
      <c r="Q6" s="24">
        <f t="shared" si="0"/>
        <v>0.11859234730227697</v>
      </c>
      <c r="R6" s="24">
        <f t="shared" si="0"/>
        <v>0.11859234730227697</v>
      </c>
      <c r="S6" s="24">
        <f>$B$2</f>
        <v>0.11859234730227697</v>
      </c>
      <c r="T6" s="24">
        <f>$B$2</f>
        <v>0.11859234730227697</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1.0000000000000004</v>
      </c>
      <c r="V7" s="25">
        <f t="shared" si="1"/>
        <v>1.0000000000000004</v>
      </c>
      <c r="W7" s="25">
        <f t="shared" si="1"/>
        <v>1.0000000000000004</v>
      </c>
      <c r="X7" s="25">
        <f t="shared" si="1"/>
        <v>1.0000000000000004</v>
      </c>
      <c r="Y7" s="25">
        <f t="shared" si="1"/>
        <v>1.0000000000000004</v>
      </c>
      <c r="Z7" s="25">
        <f t="shared" si="1"/>
        <v>1.0000000000000004</v>
      </c>
      <c r="AA7" s="25">
        <f t="shared" si="1"/>
        <v>1.0000000000000004</v>
      </c>
      <c r="AB7" s="25">
        <f t="shared" si="1"/>
        <v>1.0000000000000004</v>
      </c>
      <c r="AC7" s="25">
        <f t="shared" si="1"/>
        <v>1.0000000000000004</v>
      </c>
      <c r="AD7" s="25">
        <f t="shared" si="1"/>
        <v>1.0000000000000004</v>
      </c>
      <c r="AE7" s="25">
        <f t="shared" si="1"/>
        <v>1.0000000000000004</v>
      </c>
      <c r="AF7" s="25">
        <f t="shared" si="1"/>
        <v>1.0000000000000004</v>
      </c>
      <c r="AG7" s="25">
        <f t="shared" si="1"/>
        <v>1.0000000000000004</v>
      </c>
      <c r="AH7" s="25">
        <f t="shared" si="1"/>
        <v>1.0000000000000004</v>
      </c>
      <c r="AI7" s="25">
        <f t="shared" si="1"/>
        <v>1.0000000000000004</v>
      </c>
      <c r="AJ7" s="25">
        <f t="shared" si="1"/>
        <v>1.0000000000000004</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0.11393961358239073</v>
      </c>
      <c r="V8" s="25">
        <f t="shared" ref="V8:AJ8" si="2">$B$6</f>
        <v>0.11393961358239073</v>
      </c>
      <c r="W8" s="25">
        <f t="shared" si="2"/>
        <v>0.11393961358239073</v>
      </c>
      <c r="X8" s="25">
        <f t="shared" si="2"/>
        <v>0.11393961358239073</v>
      </c>
      <c r="Y8" s="25">
        <f t="shared" si="2"/>
        <v>0.11393961358239073</v>
      </c>
      <c r="Z8" s="25">
        <f t="shared" si="2"/>
        <v>0.11393961358239073</v>
      </c>
      <c r="AA8" s="25">
        <f t="shared" si="2"/>
        <v>0.11393961358239073</v>
      </c>
      <c r="AB8" s="25">
        <f t="shared" si="2"/>
        <v>0.11393961358239073</v>
      </c>
      <c r="AC8" s="25">
        <f t="shared" si="2"/>
        <v>0.11393961358239073</v>
      </c>
      <c r="AD8" s="25">
        <f t="shared" si="2"/>
        <v>0.11393961358239073</v>
      </c>
      <c r="AE8" s="25">
        <f t="shared" si="2"/>
        <v>0.11393961358239073</v>
      </c>
      <c r="AF8" s="25">
        <f t="shared" si="2"/>
        <v>0.11393961358239073</v>
      </c>
      <c r="AG8" s="25">
        <f t="shared" si="2"/>
        <v>0.11393961358239073</v>
      </c>
      <c r="AH8" s="25">
        <f t="shared" si="2"/>
        <v>0.11393961358239073</v>
      </c>
      <c r="AI8" s="25">
        <f t="shared" si="2"/>
        <v>0.11393961358239073</v>
      </c>
      <c r="AJ8" s="25">
        <f t="shared" si="2"/>
        <v>0.11393961358239073</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1.7142618616547098</v>
      </c>
      <c r="V9" s="25">
        <f>$B$5-V8</f>
        <v>1.7142618616547098</v>
      </c>
      <c r="W9" s="25">
        <f t="shared" ref="W9:AH9" si="4">$B$5-W8</f>
        <v>1.7142618616547098</v>
      </c>
      <c r="X9" s="25">
        <f t="shared" si="4"/>
        <v>1.7142618616547098</v>
      </c>
      <c r="Y9" s="25">
        <f t="shared" si="4"/>
        <v>1.7142618616547098</v>
      </c>
      <c r="Z9" s="25">
        <f t="shared" si="4"/>
        <v>1.7142618616547098</v>
      </c>
      <c r="AA9" s="25">
        <f t="shared" si="4"/>
        <v>1.7142618616547098</v>
      </c>
      <c r="AB9" s="25">
        <f t="shared" si="4"/>
        <v>1.7142618616547098</v>
      </c>
      <c r="AC9" s="25">
        <f t="shared" si="4"/>
        <v>1.7142618616547098</v>
      </c>
      <c r="AD9" s="25">
        <f t="shared" si="4"/>
        <v>1.7142618616547098</v>
      </c>
      <c r="AE9" s="25">
        <f t="shared" si="4"/>
        <v>1.7142618616547098</v>
      </c>
      <c r="AF9" s="25">
        <f t="shared" si="4"/>
        <v>1.7142618616547098</v>
      </c>
      <c r="AG9" s="25">
        <f t="shared" si="4"/>
        <v>1.7142618616547098</v>
      </c>
      <c r="AH9" s="25">
        <f t="shared" si="4"/>
        <v>1.7142618616547098</v>
      </c>
      <c r="AI9" s="25">
        <f>$B$5-AI8</f>
        <v>1.7142618616547098</v>
      </c>
      <c r="AJ9" s="25">
        <f>$B$5-AJ8</f>
        <v>1.7142618616547098</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0.78573813834529016</v>
      </c>
      <c r="V10" s="25">
        <f>2.5-V9</f>
        <v>0.78573813834529016</v>
      </c>
      <c r="W10" s="25">
        <f t="shared" ref="W10:AH10" si="6">2.5-W9</f>
        <v>0.78573813834529016</v>
      </c>
      <c r="X10" s="25">
        <f t="shared" si="6"/>
        <v>0.78573813834529016</v>
      </c>
      <c r="Y10" s="25">
        <f t="shared" si="6"/>
        <v>0.78573813834529016</v>
      </c>
      <c r="Z10" s="25">
        <f t="shared" si="6"/>
        <v>0.78573813834529016</v>
      </c>
      <c r="AA10" s="25">
        <f t="shared" si="6"/>
        <v>0.78573813834529016</v>
      </c>
      <c r="AB10" s="25">
        <f t="shared" si="6"/>
        <v>0.78573813834529016</v>
      </c>
      <c r="AC10" s="25">
        <f t="shared" si="6"/>
        <v>0.78573813834529016</v>
      </c>
      <c r="AD10" s="25">
        <f t="shared" si="6"/>
        <v>0.78573813834529016</v>
      </c>
      <c r="AE10" s="25">
        <f t="shared" si="6"/>
        <v>0.78573813834529016</v>
      </c>
      <c r="AF10" s="25">
        <f t="shared" si="6"/>
        <v>0.78573813834529016</v>
      </c>
      <c r="AG10" s="25">
        <f t="shared" si="6"/>
        <v>0.78573813834529016</v>
      </c>
      <c r="AH10" s="25">
        <f t="shared" si="6"/>
        <v>0.78573813834529016</v>
      </c>
      <c r="AI10" s="25">
        <f>2.5-AI9</f>
        <v>0.78573813834529016</v>
      </c>
      <c r="AJ10" s="25">
        <f>2.5-AJ9</f>
        <v>0.78573813834529016</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0.11859234730227697</v>
      </c>
      <c r="D2" s="17" t="s">
        <v>9</v>
      </c>
      <c r="E2" s="18"/>
      <c r="F2" s="19" t="str">
        <f>'pooled normalised values'!J74</f>
        <v>Prochloraz-37µg/L</v>
      </c>
      <c r="G2" s="18"/>
      <c r="H2" s="20"/>
      <c r="I2" s="19" t="str">
        <f>'pooled normalised values'!R74</f>
        <v>Prochloraz-12µg/L + Testostérone</v>
      </c>
      <c r="J2" s="20"/>
      <c r="K2" s="17" t="s">
        <v>9</v>
      </c>
    </row>
    <row r="3" spans="1:11" x14ac:dyDescent="0.25">
      <c r="A3" s="17" t="s">
        <v>71</v>
      </c>
      <c r="B3" s="63">
        <f>'summary results'!E6</f>
        <v>0</v>
      </c>
      <c r="D3" s="21" t="s">
        <v>10</v>
      </c>
      <c r="E3" s="22"/>
      <c r="F3" s="19">
        <f>HLOOKUP(F2,'pooled normalised values'!B74:V83,2,FALSE)</f>
        <v>0.114305354817455</v>
      </c>
      <c r="G3" s="22"/>
      <c r="H3" s="20"/>
      <c r="I3" s="19">
        <f>HLOOKUP(I2,'pooled normalised values'!N74:AL83,2,FALSE)</f>
        <v>0.83886812994352211</v>
      </c>
      <c r="J3" s="20"/>
      <c r="K3" s="21" t="s">
        <v>10</v>
      </c>
    </row>
    <row r="4" spans="1:11" x14ac:dyDescent="0.25">
      <c r="A4" s="17" t="s">
        <v>72</v>
      </c>
      <c r="B4" s="63">
        <f>'pooled normalised values'!O75</f>
        <v>1.0000000000000004</v>
      </c>
      <c r="D4" s="21" t="s">
        <v>2</v>
      </c>
      <c r="E4" s="22"/>
      <c r="F4" s="19">
        <f>HLOOKUP(F2,'pooled normalised values'!B74:V83,3,FALSE)</f>
        <v>1.9150555795434777E-2</v>
      </c>
      <c r="G4" s="22"/>
      <c r="H4" s="20"/>
      <c r="I4" s="19">
        <f>HLOOKUP(I2,'pooled normalised values'!N74:AL83,3,FALSE)</f>
        <v>0.16415615366304329</v>
      </c>
      <c r="J4" s="20"/>
      <c r="K4" s="21" t="s">
        <v>2</v>
      </c>
    </row>
    <row r="5" spans="1:11" x14ac:dyDescent="0.25">
      <c r="A5" s="17" t="s">
        <v>73</v>
      </c>
      <c r="B5" s="63">
        <f>'pooled normalised values'!P75</f>
        <v>1.8282014752371005</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0.11393961358239073</v>
      </c>
      <c r="D6" s="21" t="s">
        <v>12</v>
      </c>
      <c r="E6" s="24">
        <f>$B$2</f>
        <v>0.11859234730227697</v>
      </c>
      <c r="F6" s="24">
        <f>$B$2</f>
        <v>0.11859234730227697</v>
      </c>
      <c r="G6" s="24">
        <f>$B$2</f>
        <v>0.11859234730227697</v>
      </c>
      <c r="H6" s="25"/>
      <c r="I6" s="25"/>
      <c r="J6" s="25"/>
      <c r="K6" s="21" t="s">
        <v>12</v>
      </c>
    </row>
    <row r="7" spans="1:11" x14ac:dyDescent="0.25">
      <c r="B7" s="26"/>
      <c r="D7" s="26" t="s">
        <v>13</v>
      </c>
      <c r="E7" s="24"/>
      <c r="F7" s="24"/>
      <c r="G7" s="27"/>
      <c r="H7" s="25">
        <f t="shared" ref="H7:J7" si="0">$B$4</f>
        <v>1.0000000000000004</v>
      </c>
      <c r="I7" s="25">
        <f t="shared" si="0"/>
        <v>1.0000000000000004</v>
      </c>
      <c r="J7" s="25">
        <f t="shared" si="0"/>
        <v>1.0000000000000004</v>
      </c>
      <c r="K7" s="26" t="s">
        <v>13</v>
      </c>
    </row>
    <row r="8" spans="1:11" x14ac:dyDescent="0.25">
      <c r="D8" s="28" t="s">
        <v>14</v>
      </c>
      <c r="E8" s="24">
        <v>0</v>
      </c>
      <c r="F8" s="24">
        <v>0</v>
      </c>
      <c r="G8" s="27">
        <v>0</v>
      </c>
      <c r="H8" s="25">
        <f>$B$6</f>
        <v>0.11393961358239073</v>
      </c>
      <c r="I8" s="25">
        <f t="shared" ref="I8:J8" si="1">$B$6</f>
        <v>0.11393961358239073</v>
      </c>
      <c r="J8" s="25">
        <f t="shared" si="1"/>
        <v>0.11393961358239073</v>
      </c>
      <c r="K8" s="28" t="s">
        <v>14</v>
      </c>
    </row>
    <row r="9" spans="1:11" x14ac:dyDescent="0.25">
      <c r="D9" s="28" t="s">
        <v>15</v>
      </c>
      <c r="E9" s="29">
        <f>$B$3-E8</f>
        <v>0</v>
      </c>
      <c r="F9" s="29">
        <f>$B$3-F8</f>
        <v>0</v>
      </c>
      <c r="G9" s="29">
        <f>$B$3-G8</f>
        <v>0</v>
      </c>
      <c r="H9" s="25">
        <f>$B$5-H8</f>
        <v>1.7142618616547098</v>
      </c>
      <c r="I9" s="25">
        <f>$B$5-I8</f>
        <v>1.7142618616547098</v>
      </c>
      <c r="J9" s="25">
        <f>$B$5-J8</f>
        <v>1.7142618616547098</v>
      </c>
      <c r="K9" s="28" t="s">
        <v>15</v>
      </c>
    </row>
    <row r="10" spans="1:11" x14ac:dyDescent="0.25">
      <c r="D10" s="28" t="s">
        <v>16</v>
      </c>
      <c r="E10" s="27">
        <f t="shared" ref="E10:J10" si="2">2.5-E9</f>
        <v>2.5</v>
      </c>
      <c r="F10" s="27">
        <f t="shared" si="2"/>
        <v>2.5</v>
      </c>
      <c r="G10" s="27">
        <f t="shared" si="2"/>
        <v>2.5</v>
      </c>
      <c r="H10" s="25">
        <f t="shared" si="2"/>
        <v>0.78573813834529016</v>
      </c>
      <c r="I10" s="25">
        <f t="shared" si="2"/>
        <v>0.78573813834529016</v>
      </c>
      <c r="J10" s="25">
        <f t="shared" si="2"/>
        <v>0.78573813834529016</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7" t="s">
        <v>102</v>
      </c>
      <c r="B1" s="147" t="s">
        <v>103</v>
      </c>
      <c r="C1" s="144" t="s">
        <v>86</v>
      </c>
      <c r="D1" s="144" t="s">
        <v>87</v>
      </c>
      <c r="E1" s="145" t="s">
        <v>88</v>
      </c>
      <c r="F1" s="145" t="s">
        <v>89</v>
      </c>
      <c r="G1" s="144" t="s">
        <v>90</v>
      </c>
      <c r="H1" s="144" t="s">
        <v>91</v>
      </c>
      <c r="I1" s="144" t="s">
        <v>92</v>
      </c>
      <c r="J1" s="144" t="s">
        <v>93</v>
      </c>
      <c r="K1" s="144" t="s">
        <v>94</v>
      </c>
      <c r="L1" s="144" t="s">
        <v>95</v>
      </c>
      <c r="M1" s="144" t="s">
        <v>96</v>
      </c>
      <c r="N1" s="144" t="s">
        <v>97</v>
      </c>
      <c r="Q1" s="228" t="s">
        <v>99</v>
      </c>
      <c r="R1" s="228"/>
      <c r="S1" s="228"/>
      <c r="U1" s="228" t="s">
        <v>98</v>
      </c>
      <c r="V1" s="228"/>
      <c r="W1" s="228"/>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9" t="s">
        <v>7</v>
      </c>
      <c r="R2" s="1" t="s">
        <v>131</v>
      </c>
      <c r="U2" s="119" t="s">
        <v>7</v>
      </c>
      <c r="V2" s="1" t="s">
        <v>131</v>
      </c>
    </row>
    <row r="3" spans="1:23" x14ac:dyDescent="0.3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9" t="s">
        <v>78</v>
      </c>
      <c r="R3" s="1" t="s">
        <v>106</v>
      </c>
      <c r="U3" s="119"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9" t="s">
        <v>100</v>
      </c>
      <c r="U5" s="119"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6" t="s">
        <v>112</v>
      </c>
      <c r="U6" s="146" t="s">
        <v>101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48"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70D026-C55E-42E5-84CA-9F47572A3DC8}"/>
</file>

<file path=customXml/itemProps2.xml><?xml version="1.0" encoding="utf-8"?>
<ds:datastoreItem xmlns:ds="http://schemas.openxmlformats.org/officeDocument/2006/customXml" ds:itemID="{9D28CB10-08C4-4D3C-96FC-8E38448ED84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2022-10-25T15:11:29Z</dcterms:modified>
</cp:coreProperties>
</file>